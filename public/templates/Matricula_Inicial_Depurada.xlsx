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  <sheet name="Hoja4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<sst xmlns="http://schemas.openxmlformats.org/spreadsheetml/2006/main" count="56111" uniqueCount="17241">
  <si>
    <t xml:space="preserve">CodPer</t>
  </si>
  <si>
    <t xml:space="preserve">CodGra</t>
  </si>
  <si>
    <t xml:space="preserve">CodSec</t>
  </si>
  <si>
    <t xml:space="preserve">CedAlu</t>
  </si>
  <si>
    <t xml:space="preserve">FchInsc</t>
  </si>
  <si>
    <t xml:space="preserve">FchNac</t>
  </si>
  <si>
    <t xml:space="preserve">SexAlu</t>
  </si>
  <si>
    <t xml:space="preserve">LugNac</t>
  </si>
  <si>
    <t xml:space="preserve">EntFed</t>
  </si>
  <si>
    <t xml:space="preserve">CedRpr</t>
  </si>
  <si>
    <t xml:space="preserve">Cédula Limpia</t>
  </si>
  <si>
    <t xml:space="preserve">Fecha Limpia</t>
  </si>
  <si>
    <t xml:space="preserve">Sexo Limpio</t>
  </si>
  <si>
    <t xml:space="preserve">Lugar Nacimiento Limpio</t>
  </si>
  <si>
    <t xml:space="preserve">Entidad Federal Limpia</t>
  </si>
  <si>
    <t xml:space="preserve">2025-2026</t>
  </si>
  <si>
    <t xml:space="preserve">1F</t>
  </si>
  <si>
    <t xml:space="preserve">A</t>
  </si>
  <si>
    <t xml:space="preserve">000034914190</t>
  </si>
  <si>
    <t xml:space="preserve">000035178783</t>
  </si>
  <si>
    <t xml:space="preserve">000035178802</t>
  </si>
  <si>
    <t xml:space="preserve">000035182532</t>
  </si>
  <si>
    <t xml:space="preserve">000036217814</t>
  </si>
  <si>
    <t xml:space="preserve">000036233626</t>
  </si>
  <si>
    <t xml:space="preserve">000036380491</t>
  </si>
  <si>
    <t xml:space="preserve">000036426374</t>
  </si>
  <si>
    <t xml:space="preserve">000036445996</t>
  </si>
  <si>
    <t xml:space="preserve">000036523932</t>
  </si>
  <si>
    <t xml:space="preserve">000036582440</t>
  </si>
  <si>
    <t xml:space="preserve">000036698493</t>
  </si>
  <si>
    <t xml:space="preserve">000036988319</t>
  </si>
  <si>
    <t xml:space="preserve">000036988321</t>
  </si>
  <si>
    <t xml:space="preserve">000037045767</t>
  </si>
  <si>
    <t xml:space="preserve">000037116030</t>
  </si>
  <si>
    <t xml:space="preserve">000037148269</t>
  </si>
  <si>
    <t xml:space="preserve">000037295032</t>
  </si>
  <si>
    <t xml:space="preserve">001122465212</t>
  </si>
  <si>
    <t xml:space="preserve">011214356858</t>
  </si>
  <si>
    <t xml:space="preserve">011223466442</t>
  </si>
  <si>
    <t xml:space="preserve">011311393842</t>
  </si>
  <si>
    <t xml:space="preserve">011312620121</t>
  </si>
  <si>
    <t xml:space="preserve">011314497413</t>
  </si>
  <si>
    <t xml:space="preserve">011317565179</t>
  </si>
  <si>
    <t xml:space="preserve">011318382574</t>
  </si>
  <si>
    <t xml:space="preserve">011320070096</t>
  </si>
  <si>
    <t xml:space="preserve">011320685679</t>
  </si>
  <si>
    <t xml:space="preserve">011324249814</t>
  </si>
  <si>
    <t xml:space="preserve">011325039665</t>
  </si>
  <si>
    <t xml:space="preserve">011326169613</t>
  </si>
  <si>
    <t xml:space="preserve">011334755573</t>
  </si>
  <si>
    <t xml:space="preserve">011413005174</t>
  </si>
  <si>
    <t xml:space="preserve">011424725888</t>
  </si>
  <si>
    <t xml:space="preserve">011515195481</t>
  </si>
  <si>
    <t xml:space="preserve">B</t>
  </si>
  <si>
    <t xml:space="preserve">000034399638</t>
  </si>
  <si>
    <t xml:space="preserve">000034550840</t>
  </si>
  <si>
    <t xml:space="preserve">000034835260</t>
  </si>
  <si>
    <t xml:space="preserve">000034845285</t>
  </si>
  <si>
    <t xml:space="preserve">000035073621</t>
  </si>
  <si>
    <t xml:space="preserve">000036098443</t>
  </si>
  <si>
    <t xml:space="preserve">000036126829</t>
  </si>
  <si>
    <t xml:space="preserve">000036213735</t>
  </si>
  <si>
    <t xml:space="preserve">000036241612</t>
  </si>
  <si>
    <t xml:space="preserve">000036406059</t>
  </si>
  <si>
    <t xml:space="preserve">000036416892</t>
  </si>
  <si>
    <t xml:space="preserve">000036416894</t>
  </si>
  <si>
    <t xml:space="preserve">000036438835</t>
  </si>
  <si>
    <t xml:space="preserve">000036439259</t>
  </si>
  <si>
    <t xml:space="preserve">000036563492</t>
  </si>
  <si>
    <t xml:space="preserve">000036574021</t>
  </si>
  <si>
    <t xml:space="preserve">000036582445</t>
  </si>
  <si>
    <t xml:space="preserve">000036633832</t>
  </si>
  <si>
    <t xml:space="preserve">000036807578</t>
  </si>
  <si>
    <t xml:space="preserve">000036833197</t>
  </si>
  <si>
    <t xml:space="preserve">000036833226</t>
  </si>
  <si>
    <t xml:space="preserve">000036841866</t>
  </si>
  <si>
    <t xml:space="preserve">000036932512</t>
  </si>
  <si>
    <t xml:space="preserve">000036966439</t>
  </si>
  <si>
    <t xml:space="preserve">011220834391</t>
  </si>
  <si>
    <t xml:space="preserve">011317833734</t>
  </si>
  <si>
    <t xml:space="preserve">011322469544</t>
  </si>
  <si>
    <t xml:space="preserve">011323272285</t>
  </si>
  <si>
    <t xml:space="preserve">NULL</t>
  </si>
  <si>
    <t xml:space="preserve">011325596102</t>
  </si>
  <si>
    <t xml:space="preserve">011415053986</t>
  </si>
  <si>
    <t xml:space="preserve">011417938235</t>
  </si>
  <si>
    <t xml:space="preserve">011423466371</t>
  </si>
  <si>
    <t xml:space="preserve">011523466488</t>
  </si>
  <si>
    <t xml:space="preserve">011529645071</t>
  </si>
  <si>
    <t xml:space="preserve">C</t>
  </si>
  <si>
    <t xml:space="preserve">000034760845</t>
  </si>
  <si>
    <t xml:space="preserve">000034835261</t>
  </si>
  <si>
    <t xml:space="preserve">000036070529</t>
  </si>
  <si>
    <t xml:space="preserve">000036228085</t>
  </si>
  <si>
    <t xml:space="preserve">000036292258</t>
  </si>
  <si>
    <t xml:space="preserve">000036345288</t>
  </si>
  <si>
    <t xml:space="preserve">000036469673</t>
  </si>
  <si>
    <t xml:space="preserve">000036773562</t>
  </si>
  <si>
    <t xml:space="preserve">000036848161</t>
  </si>
  <si>
    <t xml:space="preserve">000036864147</t>
  </si>
  <si>
    <t xml:space="preserve">000036907613</t>
  </si>
  <si>
    <t xml:space="preserve">000036988353</t>
  </si>
  <si>
    <t xml:space="preserve">000037007137</t>
  </si>
  <si>
    <t xml:space="preserve">000037029917</t>
  </si>
  <si>
    <t xml:space="preserve">000037030009</t>
  </si>
  <si>
    <t xml:space="preserve">000037107700</t>
  </si>
  <si>
    <t xml:space="preserve">000037266329</t>
  </si>
  <si>
    <t xml:space="preserve">011216687079</t>
  </si>
  <si>
    <t xml:space="preserve">011217087302</t>
  </si>
  <si>
    <t xml:space="preserve">011220686019</t>
  </si>
  <si>
    <t xml:space="preserve">011223753792</t>
  </si>
  <si>
    <t xml:space="preserve">011312257478</t>
  </si>
  <si>
    <t xml:space="preserve">011314863556</t>
  </si>
  <si>
    <t xml:space="preserve">011315280714</t>
  </si>
  <si>
    <t xml:space="preserve">011317184613</t>
  </si>
  <si>
    <t xml:space="preserve">011319811119</t>
  </si>
  <si>
    <t xml:space="preserve">011319989239</t>
  </si>
  <si>
    <t xml:space="preserve">011320370250</t>
  </si>
  <si>
    <t xml:space="preserve">c</t>
  </si>
  <si>
    <t xml:space="preserve">011320508742</t>
  </si>
  <si>
    <t xml:space="preserve">011320686046</t>
  </si>
  <si>
    <t xml:space="preserve">011322141195</t>
  </si>
  <si>
    <t xml:space="preserve">011322163949</t>
  </si>
  <si>
    <t xml:space="preserve">011326872780</t>
  </si>
  <si>
    <t xml:space="preserve">011411287577</t>
  </si>
  <si>
    <t xml:space="preserve">011415889860</t>
  </si>
  <si>
    <t xml:space="preserve">011418394487</t>
  </si>
  <si>
    <t xml:space="preserve">011421510257</t>
  </si>
  <si>
    <t xml:space="preserve">011423856225</t>
  </si>
  <si>
    <t xml:space="preserve">D</t>
  </si>
  <si>
    <t xml:space="preserve">000034627849</t>
  </si>
  <si>
    <t xml:space="preserve">000034721138</t>
  </si>
  <si>
    <t xml:space="preserve">000034740637</t>
  </si>
  <si>
    <t xml:space="preserve">000034883166</t>
  </si>
  <si>
    <t xml:space="preserve">000036309036</t>
  </si>
  <si>
    <t xml:space="preserve">000036309037</t>
  </si>
  <si>
    <t xml:space="preserve">000036406175</t>
  </si>
  <si>
    <t xml:space="preserve">000036571188</t>
  </si>
  <si>
    <t xml:space="preserve">000036847861</t>
  </si>
  <si>
    <t xml:space="preserve">000036889249</t>
  </si>
  <si>
    <t xml:space="preserve">000036994118</t>
  </si>
  <si>
    <t xml:space="preserve">000037083294</t>
  </si>
  <si>
    <t xml:space="preserve">000037255475</t>
  </si>
  <si>
    <t xml:space="preserve">000037310728</t>
  </si>
  <si>
    <t xml:space="preserve">000037316592</t>
  </si>
  <si>
    <t xml:space="preserve">000037395728</t>
  </si>
  <si>
    <t xml:space="preserve">001132083403</t>
  </si>
  <si>
    <t xml:space="preserve">010923769228</t>
  </si>
  <si>
    <t xml:space="preserve">011125439345</t>
  </si>
  <si>
    <t xml:space="preserve">011219211656</t>
  </si>
  <si>
    <t xml:space="preserve">011220508672</t>
  </si>
  <si>
    <t xml:space="preserve">011224249815</t>
  </si>
  <si>
    <t xml:space="preserve">011317180079</t>
  </si>
  <si>
    <t xml:space="preserve">011318317900</t>
  </si>
  <si>
    <t xml:space="preserve">011321510341</t>
  </si>
  <si>
    <t xml:space="preserve">011323460028</t>
  </si>
  <si>
    <t xml:space="preserve">011419811519</t>
  </si>
  <si>
    <t xml:space="preserve">011421228588</t>
  </si>
  <si>
    <t xml:space="preserve">011425883890</t>
  </si>
  <si>
    <t xml:space="preserve">011517938286</t>
  </si>
  <si>
    <t xml:space="preserve">E</t>
  </si>
  <si>
    <t xml:space="preserve">000034534055</t>
  </si>
  <si>
    <t xml:space="preserve">000034565898</t>
  </si>
  <si>
    <t xml:space="preserve">000035116976</t>
  </si>
  <si>
    <t xml:space="preserve">000036559655</t>
  </si>
  <si>
    <t xml:space="preserve">000036672026</t>
  </si>
  <si>
    <t xml:space="preserve">000036896072</t>
  </si>
  <si>
    <t xml:space="preserve">000037053783</t>
  </si>
  <si>
    <t xml:space="preserve">000037067699</t>
  </si>
  <si>
    <t xml:space="preserve">000037083443</t>
  </si>
  <si>
    <t xml:space="preserve">000037110901</t>
  </si>
  <si>
    <t xml:space="preserve">000037150050</t>
  </si>
  <si>
    <t xml:space="preserve">000037255644</t>
  </si>
  <si>
    <t xml:space="preserve">000037299882</t>
  </si>
  <si>
    <t xml:space="preserve">000037316810</t>
  </si>
  <si>
    <t xml:space="preserve">000037350989</t>
  </si>
  <si>
    <t xml:space="preserve">011120508575</t>
  </si>
  <si>
    <t xml:space="preserve">011120834480</t>
  </si>
  <si>
    <t xml:space="preserve">011123769891</t>
  </si>
  <si>
    <t xml:space="preserve">011223466542</t>
  </si>
  <si>
    <t xml:space="preserve">011225855310</t>
  </si>
  <si>
    <t xml:space="preserve">011226169780</t>
  </si>
  <si>
    <t xml:space="preserve">011315261741</t>
  </si>
  <si>
    <t xml:space="preserve">011317416591</t>
  </si>
  <si>
    <t xml:space="preserve">011319811048</t>
  </si>
  <si>
    <t xml:space="preserve">011321037559</t>
  </si>
  <si>
    <t xml:space="preserve">011323466502</t>
  </si>
  <si>
    <t xml:space="preserve">011323769865</t>
  </si>
  <si>
    <t xml:space="preserve">011325596497</t>
  </si>
  <si>
    <t xml:space="preserve">011325680333</t>
  </si>
  <si>
    <t xml:space="preserve">011325883743</t>
  </si>
  <si>
    <t xml:space="preserve">011330489586</t>
  </si>
  <si>
    <t xml:space="preserve">2F</t>
  </si>
  <si>
    <t xml:space="preserve">000034550811</t>
  </si>
  <si>
    <t xml:space="preserve">000034565934</t>
  </si>
  <si>
    <t xml:space="preserve">000034616111</t>
  </si>
  <si>
    <t xml:space="preserve">000034692313</t>
  </si>
  <si>
    <t xml:space="preserve">000034704048</t>
  </si>
  <si>
    <t xml:space="preserve">000034728059</t>
  </si>
  <si>
    <t xml:space="preserve">000034733401</t>
  </si>
  <si>
    <t xml:space="preserve">000034755555</t>
  </si>
  <si>
    <t xml:space="preserve">000034774701</t>
  </si>
  <si>
    <t xml:space="preserve">000034784799</t>
  </si>
  <si>
    <t xml:space="preserve">000034804813</t>
  </si>
  <si>
    <t xml:space="preserve">000034820414</t>
  </si>
  <si>
    <t xml:space="preserve">000034847532</t>
  </si>
  <si>
    <t xml:space="preserve">000034920562</t>
  </si>
  <si>
    <t xml:space="preserve">000034920916</t>
  </si>
  <si>
    <t xml:space="preserve">000035026728</t>
  </si>
  <si>
    <t xml:space="preserve">000036214098</t>
  </si>
  <si>
    <t xml:space="preserve">000036283020</t>
  </si>
  <si>
    <t xml:space="preserve">000036376951</t>
  </si>
  <si>
    <t xml:space="preserve">000036426364</t>
  </si>
  <si>
    <t xml:space="preserve">000036430463</t>
  </si>
  <si>
    <t xml:space="preserve">000036452126</t>
  </si>
  <si>
    <t xml:space="preserve">000036502020</t>
  </si>
  <si>
    <t xml:space="preserve">000036531643</t>
  </si>
  <si>
    <t xml:space="preserve">001128355057</t>
  </si>
  <si>
    <t xml:space="preserve">011115889487</t>
  </si>
  <si>
    <t xml:space="preserve">011117953650</t>
  </si>
  <si>
    <t xml:space="preserve">011120605306</t>
  </si>
  <si>
    <t xml:space="preserve">011120834399</t>
  </si>
  <si>
    <t xml:space="preserve">011120835909</t>
  </si>
  <si>
    <t xml:space="preserve">011215009849</t>
  </si>
  <si>
    <t xml:space="preserve">011215053855</t>
  </si>
  <si>
    <t xml:space="preserve">011215466865</t>
  </si>
  <si>
    <t xml:space="preserve">011217071402</t>
  </si>
  <si>
    <t xml:space="preserve">011217089276</t>
  </si>
  <si>
    <t xml:space="preserve">011221228281</t>
  </si>
  <si>
    <t xml:space="preserve">011221511084</t>
  </si>
  <si>
    <t xml:space="preserve">011315466866</t>
  </si>
  <si>
    <t xml:space="preserve">000033729239</t>
  </si>
  <si>
    <t xml:space="preserve">000034399600</t>
  </si>
  <si>
    <t xml:space="preserve">000034400151</t>
  </si>
  <si>
    <t xml:space="preserve">000034407750</t>
  </si>
  <si>
    <t xml:space="preserve">000034408087</t>
  </si>
  <si>
    <t xml:space="preserve">000034452848</t>
  </si>
  <si>
    <t xml:space="preserve">000034470778</t>
  </si>
  <si>
    <t xml:space="preserve">000034522615</t>
  </si>
  <si>
    <t xml:space="preserve">000034565906</t>
  </si>
  <si>
    <t xml:space="preserve">000034895417</t>
  </si>
  <si>
    <t xml:space="preserve">000035065505</t>
  </si>
  <si>
    <t xml:space="preserve">000035171992</t>
  </si>
  <si>
    <t xml:space="preserve">000036326971</t>
  </si>
  <si>
    <t xml:space="preserve">000036430468</t>
  </si>
  <si>
    <t xml:space="preserve">000036430469</t>
  </si>
  <si>
    <t xml:space="preserve">000036431982</t>
  </si>
  <si>
    <t xml:space="preserve">000036454569</t>
  </si>
  <si>
    <t xml:space="preserve">011023466448</t>
  </si>
  <si>
    <t xml:space="preserve">011119016788</t>
  </si>
  <si>
    <t xml:space="preserve">011123856424</t>
  </si>
  <si>
    <t xml:space="preserve">011206805246</t>
  </si>
  <si>
    <t xml:space="preserve">011207813088</t>
  </si>
  <si>
    <t xml:space="preserve">011212047056</t>
  </si>
  <si>
    <t xml:space="preserve">011212697333</t>
  </si>
  <si>
    <t xml:space="preserve">011216298401</t>
  </si>
  <si>
    <t xml:space="preserve">011216918390</t>
  </si>
  <si>
    <t xml:space="preserve">011218518970</t>
  </si>
  <si>
    <t xml:space="preserve">011220058741</t>
  </si>
  <si>
    <t xml:space="preserve">011221511047</t>
  </si>
  <si>
    <t xml:space="preserve">011223752051</t>
  </si>
  <si>
    <t xml:space="preserve">011315260612</t>
  </si>
  <si>
    <t xml:space="preserve">011315987770</t>
  </si>
  <si>
    <t xml:space="preserve">011318662184</t>
  </si>
  <si>
    <t xml:space="preserve">011319989803</t>
  </si>
  <si>
    <t xml:space="preserve">000034399607</t>
  </si>
  <si>
    <t xml:space="preserve">000034408137</t>
  </si>
  <si>
    <t xml:space="preserve">000034423638</t>
  </si>
  <si>
    <t xml:space="preserve">000034474589</t>
  </si>
  <si>
    <t xml:space="preserve">000034525856</t>
  </si>
  <si>
    <t xml:space="preserve">000034525861</t>
  </si>
  <si>
    <t xml:space="preserve">000034674895</t>
  </si>
  <si>
    <t xml:space="preserve">000034827759</t>
  </si>
  <si>
    <t xml:space="preserve">000035022003</t>
  </si>
  <si>
    <t xml:space="preserve">000035066345</t>
  </si>
  <si>
    <t xml:space="preserve">000035071084</t>
  </si>
  <si>
    <t xml:space="preserve">000035138178</t>
  </si>
  <si>
    <t xml:space="preserve">000036303431</t>
  </si>
  <si>
    <t xml:space="preserve">000036576270</t>
  </si>
  <si>
    <t xml:space="preserve">000036613213</t>
  </si>
  <si>
    <t xml:space="preserve">000036625212</t>
  </si>
  <si>
    <t xml:space="preserve">000036672027</t>
  </si>
  <si>
    <t xml:space="preserve">011025296415</t>
  </si>
  <si>
    <t xml:space="preserve">011123466358</t>
  </si>
  <si>
    <t xml:space="preserve">011207773194</t>
  </si>
  <si>
    <t xml:space="preserve">011212327525</t>
  </si>
  <si>
    <t xml:space="preserve">011217566807</t>
  </si>
  <si>
    <t xml:space="preserve">011218429572</t>
  </si>
  <si>
    <t xml:space="preserve">011218822924</t>
  </si>
  <si>
    <t xml:space="preserve">011218918505</t>
  </si>
  <si>
    <t xml:space="preserve">011219211028</t>
  </si>
  <si>
    <t xml:space="preserve">011221509628</t>
  </si>
  <si>
    <t xml:space="preserve">011221510341</t>
  </si>
  <si>
    <t xml:space="preserve">011222088262</t>
  </si>
  <si>
    <t xml:space="preserve">011224249414</t>
  </si>
  <si>
    <t xml:space="preserve">011224250421</t>
  </si>
  <si>
    <t xml:space="preserve">011314207344</t>
  </si>
  <si>
    <t xml:space="preserve">011317566051</t>
  </si>
  <si>
    <t xml:space="preserve">011320204606</t>
  </si>
  <si>
    <t xml:space="preserve">011322152681</t>
  </si>
  <si>
    <t xml:space="preserve">000033724640</t>
  </si>
  <si>
    <t xml:space="preserve">000034298726</t>
  </si>
  <si>
    <t xml:space="preserve">000034462342</t>
  </si>
  <si>
    <t xml:space="preserve">000034474803</t>
  </si>
  <si>
    <t xml:space="preserve">000034550839</t>
  </si>
  <si>
    <t xml:space="preserve">000034715473</t>
  </si>
  <si>
    <t xml:space="preserve">000034810431</t>
  </si>
  <si>
    <t xml:space="preserve">000035065504</t>
  </si>
  <si>
    <t xml:space="preserve">000036242058</t>
  </si>
  <si>
    <t xml:space="preserve">000036281900</t>
  </si>
  <si>
    <t xml:space="preserve">000037299883</t>
  </si>
  <si>
    <t xml:space="preserve">011017184601</t>
  </si>
  <si>
    <t xml:space="preserve">011018382324</t>
  </si>
  <si>
    <t xml:space="preserve">011112442875</t>
  </si>
  <si>
    <t xml:space="preserve">011112621007</t>
  </si>
  <si>
    <t xml:space="preserve">011114862697</t>
  </si>
  <si>
    <t xml:space="preserve">011117180826</t>
  </si>
  <si>
    <t xml:space="preserve">011118285274</t>
  </si>
  <si>
    <t xml:space="preserve">011119408913</t>
  </si>
  <si>
    <t xml:space="preserve">011217070774</t>
  </si>
  <si>
    <t xml:space="preserve">011217565063</t>
  </si>
  <si>
    <t xml:space="preserve">011218394489</t>
  </si>
  <si>
    <t xml:space="preserve">011218662109</t>
  </si>
  <si>
    <t xml:space="preserve">011219016782</t>
  </si>
  <si>
    <t xml:space="preserve">011219450519</t>
  </si>
  <si>
    <t xml:space="preserve">011220440706</t>
  </si>
  <si>
    <t xml:space="preserve">011321039153</t>
  </si>
  <si>
    <t xml:space="preserve">011523466502</t>
  </si>
  <si>
    <t xml:space="preserve">021217565063</t>
  </si>
  <si>
    <t xml:space="preserve">000034801409</t>
  </si>
  <si>
    <t xml:space="preserve">000034914171</t>
  </si>
  <si>
    <t xml:space="preserve">000035028560</t>
  </si>
  <si>
    <t xml:space="preserve">000035147220</t>
  </si>
  <si>
    <t xml:space="preserve">000036348983</t>
  </si>
  <si>
    <t xml:space="preserve">000036486372</t>
  </si>
  <si>
    <t xml:space="preserve">000036580938</t>
  </si>
  <si>
    <t xml:space="preserve">011016298584</t>
  </si>
  <si>
    <t xml:space="preserve">011020508337</t>
  </si>
  <si>
    <t xml:space="preserve">011112257673</t>
  </si>
  <si>
    <t xml:space="preserve">011120277168</t>
  </si>
  <si>
    <t xml:space="preserve">011120508650</t>
  </si>
  <si>
    <t xml:space="preserve">011121078335</t>
  </si>
  <si>
    <t xml:space="preserve">011208508062</t>
  </si>
  <si>
    <t xml:space="preserve">011216621631</t>
  </si>
  <si>
    <t xml:space="preserve">011217260054</t>
  </si>
  <si>
    <t xml:space="preserve">011219767949</t>
  </si>
  <si>
    <t xml:space="preserve">011219838568</t>
  </si>
  <si>
    <t xml:space="preserve">011219838596</t>
  </si>
  <si>
    <t xml:space="preserve">011220277168</t>
  </si>
  <si>
    <t xml:space="preserve">011220508337</t>
  </si>
  <si>
    <t xml:space="preserve">011221039598</t>
  </si>
  <si>
    <t xml:space="preserve">011221355038</t>
  </si>
  <si>
    <t xml:space="preserve">011223466333</t>
  </si>
  <si>
    <t xml:space="preserve">011223466581</t>
  </si>
  <si>
    <t xml:space="preserve">011224249806</t>
  </si>
  <si>
    <t xml:space="preserve">011321355038</t>
  </si>
  <si>
    <t xml:space="preserve">3F</t>
  </si>
  <si>
    <t xml:space="preserve">000033857232</t>
  </si>
  <si>
    <t xml:space="preserve">000034398409</t>
  </si>
  <si>
    <t xml:space="preserve">000034399690</t>
  </si>
  <si>
    <t xml:space="preserve">000034406899</t>
  </si>
  <si>
    <t xml:space="preserve">000034407749</t>
  </si>
  <si>
    <t xml:space="preserve">000034408145</t>
  </si>
  <si>
    <t xml:space="preserve">000034471198</t>
  </si>
  <si>
    <t xml:space="preserve">000034474755</t>
  </si>
  <si>
    <t xml:space="preserve">000034525860</t>
  </si>
  <si>
    <t xml:space="preserve">000034692307</t>
  </si>
  <si>
    <t xml:space="preserve">000034701066</t>
  </si>
  <si>
    <t xml:space="preserve">000034704057</t>
  </si>
  <si>
    <t xml:space="preserve">000034804821</t>
  </si>
  <si>
    <t xml:space="preserve">000034895436</t>
  </si>
  <si>
    <t xml:space="preserve">000035009055</t>
  </si>
  <si>
    <t xml:space="preserve">000035028591</t>
  </si>
  <si>
    <t xml:space="preserve">000035031506</t>
  </si>
  <si>
    <t xml:space="preserve">000035046958</t>
  </si>
  <si>
    <t xml:space="preserve">000036126828</t>
  </si>
  <si>
    <t xml:space="preserve">000036644510</t>
  </si>
  <si>
    <t xml:space="preserve">000036968226</t>
  </si>
  <si>
    <t xml:space="preserve">011012099694</t>
  </si>
  <si>
    <t xml:space="preserve">011014698283</t>
  </si>
  <si>
    <t xml:space="preserve">011115194297</t>
  </si>
  <si>
    <t xml:space="preserve">011115194298</t>
  </si>
  <si>
    <t xml:space="preserve">011117461800</t>
  </si>
  <si>
    <t xml:space="preserve">011118517987</t>
  </si>
  <si>
    <t xml:space="preserve">011119213252</t>
  </si>
  <si>
    <t xml:space="preserve">011120685010</t>
  </si>
  <si>
    <t xml:space="preserve">011121228281</t>
  </si>
  <si>
    <t xml:space="preserve">011217634574</t>
  </si>
  <si>
    <t xml:space="preserve">011217735893</t>
  </si>
  <si>
    <t xml:space="preserve">112139121073</t>
  </si>
  <si>
    <t xml:space="preserve">000032895009</t>
  </si>
  <si>
    <t xml:space="preserve">000033607513</t>
  </si>
  <si>
    <t xml:space="preserve">b</t>
  </si>
  <si>
    <t xml:space="preserve">000033811150</t>
  </si>
  <si>
    <t xml:space="preserve">000034153350</t>
  </si>
  <si>
    <t xml:space="preserve">000034243386</t>
  </si>
  <si>
    <t xml:space="preserve">000034298792</t>
  </si>
  <si>
    <t xml:space="preserve">000034334342</t>
  </si>
  <si>
    <t xml:space="preserve">000034407202</t>
  </si>
  <si>
    <t xml:space="preserve">000034423580</t>
  </si>
  <si>
    <t xml:space="preserve">000034474670</t>
  </si>
  <si>
    <t xml:space="preserve">000034595461</t>
  </si>
  <si>
    <t xml:space="preserve">000034733440</t>
  </si>
  <si>
    <t xml:space="preserve">000034765322</t>
  </si>
  <si>
    <t xml:space="preserve">000034780757</t>
  </si>
  <si>
    <t xml:space="preserve">000034905536</t>
  </si>
  <si>
    <t xml:space="preserve">000034920924</t>
  </si>
  <si>
    <t xml:space="preserve">000035012914</t>
  </si>
  <si>
    <t xml:space="preserve">000035031498</t>
  </si>
  <si>
    <t xml:space="preserve">000035138180</t>
  </si>
  <si>
    <t xml:space="preserve">000036034833</t>
  </si>
  <si>
    <t xml:space="preserve">000036387881</t>
  </si>
  <si>
    <t xml:space="preserve">000036454378</t>
  </si>
  <si>
    <t xml:space="preserve">011017567897</t>
  </si>
  <si>
    <t xml:space="preserve">011026239598</t>
  </si>
  <si>
    <t xml:space="preserve">011115749208</t>
  </si>
  <si>
    <t xml:space="preserve">011117565192</t>
  </si>
  <si>
    <t xml:space="preserve">011117567020</t>
  </si>
  <si>
    <t xml:space="preserve">011120058311</t>
  </si>
  <si>
    <t xml:space="preserve">011120685679</t>
  </si>
  <si>
    <t xml:space="preserve">011123466330</t>
  </si>
  <si>
    <t xml:space="preserve">011123466542</t>
  </si>
  <si>
    <t xml:space="preserve">011217566372</t>
  </si>
  <si>
    <t xml:space="preserve">000033152793</t>
  </si>
  <si>
    <t xml:space="preserve">000034089715</t>
  </si>
  <si>
    <t xml:space="preserve">000034130174</t>
  </si>
  <si>
    <t xml:space="preserve">000034400495</t>
  </si>
  <si>
    <t xml:space="preserve">000034407773</t>
  </si>
  <si>
    <t xml:space="preserve">000034407949</t>
  </si>
  <si>
    <t xml:space="preserve">000034463164</t>
  </si>
  <si>
    <t xml:space="preserve">000034475017</t>
  </si>
  <si>
    <t xml:space="preserve">000034528734</t>
  </si>
  <si>
    <t xml:space="preserve">000034565904</t>
  </si>
  <si>
    <t xml:space="preserve">000034620635</t>
  </si>
  <si>
    <t xml:space="preserve">000034620637</t>
  </si>
  <si>
    <t xml:space="preserve">000034627852</t>
  </si>
  <si>
    <t xml:space="preserve">000034638763</t>
  </si>
  <si>
    <t xml:space="preserve">000034715455</t>
  </si>
  <si>
    <t xml:space="preserve">000035028582</t>
  </si>
  <si>
    <t xml:space="preserve">000036009189</t>
  </si>
  <si>
    <t xml:space="preserve">000037448104</t>
  </si>
  <si>
    <t xml:space="preserve">010909710142</t>
  </si>
  <si>
    <t xml:space="preserve">011006709599</t>
  </si>
  <si>
    <t xml:space="preserve">011013371798</t>
  </si>
  <si>
    <t xml:space="preserve">011015466864</t>
  </si>
  <si>
    <t xml:space="preserve">011114896372</t>
  </si>
  <si>
    <t xml:space="preserve">011116079644</t>
  </si>
  <si>
    <t xml:space="preserve">011118394511</t>
  </si>
  <si>
    <t xml:space="preserve">011120371881</t>
  </si>
  <si>
    <t xml:space="preserve">011120948543</t>
  </si>
  <si>
    <t xml:space="preserve">011122163949</t>
  </si>
  <si>
    <t xml:space="preserve">011125293775</t>
  </si>
  <si>
    <t xml:space="preserve">011210430001</t>
  </si>
  <si>
    <t xml:space="preserve">021125239775</t>
  </si>
  <si>
    <t xml:space="preserve">000034399672</t>
  </si>
  <si>
    <t xml:space="preserve">000034576946</t>
  </si>
  <si>
    <t xml:space="preserve">000034779379</t>
  </si>
  <si>
    <t xml:space="preserve">000034886460</t>
  </si>
  <si>
    <t xml:space="preserve">000034920939</t>
  </si>
  <si>
    <t xml:space="preserve">000035066347</t>
  </si>
  <si>
    <t xml:space="preserve">000035093585</t>
  </si>
  <si>
    <t xml:space="preserve">000035178809</t>
  </si>
  <si>
    <t xml:space="preserve">000036514342</t>
  </si>
  <si>
    <t xml:space="preserve">010822153806</t>
  </si>
  <si>
    <t xml:space="preserve">010920277168</t>
  </si>
  <si>
    <t xml:space="preserve">011007628687</t>
  </si>
  <si>
    <t xml:space="preserve">011020508293</t>
  </si>
  <si>
    <t xml:space="preserve">011112868835</t>
  </si>
  <si>
    <t xml:space="preserve">011115053986</t>
  </si>
  <si>
    <t xml:space="preserve">011116186148</t>
  </si>
  <si>
    <t xml:space="preserve">011117566953</t>
  </si>
  <si>
    <t xml:space="preserve">011118624020</t>
  </si>
  <si>
    <t xml:space="preserve">011118662101</t>
  </si>
  <si>
    <t xml:space="preserve">011120686045</t>
  </si>
  <si>
    <t xml:space="preserve">011120778506</t>
  </si>
  <si>
    <t xml:space="preserve">011121490627</t>
  </si>
  <si>
    <t xml:space="preserve">011123466535</t>
  </si>
  <si>
    <t xml:space="preserve">011124249954</t>
  </si>
  <si>
    <t xml:space="preserve">011124251305</t>
  </si>
  <si>
    <t xml:space="preserve">011125540511</t>
  </si>
  <si>
    <t xml:space="preserve">011125763536</t>
  </si>
  <si>
    <t xml:space="preserve">011125883383</t>
  </si>
  <si>
    <t xml:space="preserve">011227090463</t>
  </si>
  <si>
    <t xml:space="preserve">4F</t>
  </si>
  <si>
    <t xml:space="preserve">000033123722</t>
  </si>
  <si>
    <t xml:space="preserve">000033675821</t>
  </si>
  <si>
    <t xml:space="preserve">000033792347</t>
  </si>
  <si>
    <t xml:space="preserve">000033893307</t>
  </si>
  <si>
    <t xml:space="preserve">000034051309</t>
  </si>
  <si>
    <t xml:space="preserve">000034097156</t>
  </si>
  <si>
    <t xml:space="preserve">000034129813</t>
  </si>
  <si>
    <t xml:space="preserve">000034301431</t>
  </si>
  <si>
    <t xml:space="preserve">000034400592</t>
  </si>
  <si>
    <t xml:space="preserve">000034407792</t>
  </si>
  <si>
    <t xml:space="preserve">000034408098</t>
  </si>
  <si>
    <t xml:space="preserve">000034415374</t>
  </si>
  <si>
    <t xml:space="preserve">000034422299</t>
  </si>
  <si>
    <t xml:space="preserve">000034423627</t>
  </si>
  <si>
    <t xml:space="preserve">000034462350</t>
  </si>
  <si>
    <t xml:space="preserve">000034463333</t>
  </si>
  <si>
    <t xml:space="preserve">000034470919</t>
  </si>
  <si>
    <t xml:space="preserve">000034471212</t>
  </si>
  <si>
    <t xml:space="preserve">000034637736</t>
  </si>
  <si>
    <t xml:space="preserve">000034820426</t>
  </si>
  <si>
    <t xml:space="preserve">000034827885</t>
  </si>
  <si>
    <t xml:space="preserve">000036208123</t>
  </si>
  <si>
    <t xml:space="preserve">000036388691</t>
  </si>
  <si>
    <t xml:space="preserve">000036618079</t>
  </si>
  <si>
    <t xml:space="preserve">000036872439</t>
  </si>
  <si>
    <t xml:space="preserve">011014544415</t>
  </si>
  <si>
    <t xml:space="preserve">011020148203</t>
  </si>
  <si>
    <t xml:space="preserve">011116687667</t>
  </si>
  <si>
    <t xml:space="preserve">000033459867</t>
  </si>
  <si>
    <t xml:space="preserve">000033459869</t>
  </si>
  <si>
    <t xml:space="preserve">000033570381</t>
  </si>
  <si>
    <t xml:space="preserve">000033608222</t>
  </si>
  <si>
    <t xml:space="preserve">000033724393</t>
  </si>
  <si>
    <t xml:space="preserve">000033811170</t>
  </si>
  <si>
    <t xml:space="preserve">000033859828</t>
  </si>
  <si>
    <t xml:space="preserve">000034243363</t>
  </si>
  <si>
    <t xml:space="preserve">000034397382</t>
  </si>
  <si>
    <t xml:space="preserve">000034408101</t>
  </si>
  <si>
    <t xml:space="preserve">000034414686</t>
  </si>
  <si>
    <t xml:space="preserve">000034576914</t>
  </si>
  <si>
    <t xml:space="preserve">000034576930</t>
  </si>
  <si>
    <t xml:space="preserve">000034620634</t>
  </si>
  <si>
    <t xml:space="preserve">000034620636</t>
  </si>
  <si>
    <t xml:space="preserve">000034620641</t>
  </si>
  <si>
    <t xml:space="preserve">000034620849</t>
  </si>
  <si>
    <t xml:space="preserve">000034620857</t>
  </si>
  <si>
    <t xml:space="preserve">000034718996</t>
  </si>
  <si>
    <t xml:space="preserve">000036111072</t>
  </si>
  <si>
    <t xml:space="preserve">000036658847</t>
  </si>
  <si>
    <t xml:space="preserve">000036936202</t>
  </si>
  <si>
    <t xml:space="preserve">000036990890</t>
  </si>
  <si>
    <t xml:space="preserve">010920778232</t>
  </si>
  <si>
    <t xml:space="preserve">011114256016</t>
  </si>
  <si>
    <t xml:space="preserve">011117567023</t>
  </si>
  <si>
    <t xml:space="preserve">011119017548</t>
  </si>
  <si>
    <t xml:space="preserve">000032783353</t>
  </si>
  <si>
    <t xml:space="preserve">000033723986</t>
  </si>
  <si>
    <t xml:space="preserve">000033724040</t>
  </si>
  <si>
    <t xml:space="preserve">000033724690</t>
  </si>
  <si>
    <t xml:space="preserve">000033729244</t>
  </si>
  <si>
    <t xml:space="preserve">000033809213</t>
  </si>
  <si>
    <t xml:space="preserve">000033809239</t>
  </si>
  <si>
    <t xml:space="preserve">000033892229</t>
  </si>
  <si>
    <t xml:space="preserve">000034069980</t>
  </si>
  <si>
    <t xml:space="preserve">000034242732</t>
  </si>
  <si>
    <t xml:space="preserve">000034400584</t>
  </si>
  <si>
    <t xml:space="preserve">000034407011</t>
  </si>
  <si>
    <t xml:space="preserve">000034407754</t>
  </si>
  <si>
    <t xml:space="preserve">000034408110</t>
  </si>
  <si>
    <t xml:space="preserve">000034609402</t>
  </si>
  <si>
    <t xml:space="preserve">000034620640</t>
  </si>
  <si>
    <t xml:space="preserve">000034620848</t>
  </si>
  <si>
    <t xml:space="preserve">000034743560</t>
  </si>
  <si>
    <t xml:space="preserve">000034755554</t>
  </si>
  <si>
    <t xml:space="preserve">000034804310</t>
  </si>
  <si>
    <t xml:space="preserve">000034850856</t>
  </si>
  <si>
    <t xml:space="preserve">000034920952</t>
  </si>
  <si>
    <t xml:space="preserve">000035065480</t>
  </si>
  <si>
    <t xml:space="preserve">000036371651</t>
  </si>
  <si>
    <t xml:space="preserve">010817940543</t>
  </si>
  <si>
    <t xml:space="preserve">010917940543</t>
  </si>
  <si>
    <t xml:space="preserve">010920204594</t>
  </si>
  <si>
    <t xml:space="preserve">011015280159</t>
  </si>
  <si>
    <t xml:space="preserve">011019989803</t>
  </si>
  <si>
    <t xml:space="preserve">011025680354</t>
  </si>
  <si>
    <t xml:space="preserve">104104243403</t>
  </si>
  <si>
    <t xml:space="preserve">110112624442</t>
  </si>
  <si>
    <t xml:space="preserve">000033152266</t>
  </si>
  <si>
    <t xml:space="preserve">000033458559</t>
  </si>
  <si>
    <t xml:space="preserve">000033597363</t>
  </si>
  <si>
    <t xml:space="preserve">000033811172</t>
  </si>
  <si>
    <t xml:space="preserve">000034295482</t>
  </si>
  <si>
    <t xml:space="preserve">000034463382</t>
  </si>
  <si>
    <t xml:space="preserve">000034616104</t>
  </si>
  <si>
    <t xml:space="preserve">000034696160</t>
  </si>
  <si>
    <t xml:space="preserve">000034718983</t>
  </si>
  <si>
    <t xml:space="preserve">000034765323</t>
  </si>
  <si>
    <t xml:space="preserve">000034827865</t>
  </si>
  <si>
    <t xml:space="preserve">000035065503</t>
  </si>
  <si>
    <t xml:space="preserve">000035147228</t>
  </si>
  <si>
    <t xml:space="preserve">010812945683</t>
  </si>
  <si>
    <t xml:space="preserve">010818053986</t>
  </si>
  <si>
    <t xml:space="preserve">010917293826</t>
  </si>
  <si>
    <t xml:space="preserve">010920508293</t>
  </si>
  <si>
    <t xml:space="preserve">010920778206</t>
  </si>
  <si>
    <t xml:space="preserve">011017566956</t>
  </si>
  <si>
    <t xml:space="preserve">011024738808</t>
  </si>
  <si>
    <t xml:space="preserve">011115766186</t>
  </si>
  <si>
    <t xml:space="preserve">011224250015</t>
  </si>
  <si>
    <t xml:space="preserve">5F</t>
  </si>
  <si>
    <t xml:space="preserve">000033152404</t>
  </si>
  <si>
    <t xml:space="preserve">000033152597</t>
  </si>
  <si>
    <t xml:space="preserve">000033431508</t>
  </si>
  <si>
    <t xml:space="preserve">000033431580</t>
  </si>
  <si>
    <t xml:space="preserve">000033599989</t>
  </si>
  <si>
    <t xml:space="preserve">000033607940</t>
  </si>
  <si>
    <t xml:space="preserve">000033724409</t>
  </si>
  <si>
    <t xml:space="preserve">000033724414</t>
  </si>
  <si>
    <t xml:space="preserve">000033811169</t>
  </si>
  <si>
    <t xml:space="preserve">000033860372</t>
  </si>
  <si>
    <t xml:space="preserve">000034397360</t>
  </si>
  <si>
    <t xml:space="preserve">000034407795</t>
  </si>
  <si>
    <t xml:space="preserve">000034414625</t>
  </si>
  <si>
    <t xml:space="preserve">000034845343</t>
  </si>
  <si>
    <t xml:space="preserve">000034847547</t>
  </si>
  <si>
    <t xml:space="preserve">000034920574</t>
  </si>
  <si>
    <t xml:space="preserve">000035091353</t>
  </si>
  <si>
    <t xml:space="preserve">000035095557</t>
  </si>
  <si>
    <t xml:space="preserve">000036218291</t>
  </si>
  <si>
    <t xml:space="preserve">000036218339</t>
  </si>
  <si>
    <t xml:space="preserve">000036737210</t>
  </si>
  <si>
    <t xml:space="preserve">000036988317</t>
  </si>
  <si>
    <t xml:space="preserve">000037225219</t>
  </si>
  <si>
    <t xml:space="preserve">000037430923</t>
  </si>
  <si>
    <t xml:space="preserve">010915260165</t>
  </si>
  <si>
    <t xml:space="preserve">011025596408</t>
  </si>
  <si>
    <t xml:space="preserve">000032773024</t>
  </si>
  <si>
    <t xml:space="preserve">000032839712</t>
  </si>
  <si>
    <t xml:space="preserve">000033123562</t>
  </si>
  <si>
    <t xml:space="preserve">000033316628</t>
  </si>
  <si>
    <t xml:space="preserve">000033431534</t>
  </si>
  <si>
    <t xml:space="preserve">000033500284</t>
  </si>
  <si>
    <t xml:space="preserve">000033571210</t>
  </si>
  <si>
    <t xml:space="preserve">000033576409</t>
  </si>
  <si>
    <t xml:space="preserve">000033608341</t>
  </si>
  <si>
    <t xml:space="preserve">000033724397</t>
  </si>
  <si>
    <t xml:space="preserve">000033724795</t>
  </si>
  <si>
    <t xml:space="preserve">000033729396</t>
  </si>
  <si>
    <t xml:space="preserve">000033809229</t>
  </si>
  <si>
    <t xml:space="preserve">000034414692</t>
  </si>
  <si>
    <t xml:space="preserve">000034423624</t>
  </si>
  <si>
    <t xml:space="preserve">000034462434</t>
  </si>
  <si>
    <t xml:space="preserve">000034550824</t>
  </si>
  <si>
    <t xml:space="preserve">000034845297</t>
  </si>
  <si>
    <t xml:space="preserve">000035178772</t>
  </si>
  <si>
    <t xml:space="preserve">000036711437</t>
  </si>
  <si>
    <t xml:space="preserve">000036791553</t>
  </si>
  <si>
    <t xml:space="preserve">000036975152</t>
  </si>
  <si>
    <t xml:space="preserve">000037164988</t>
  </si>
  <si>
    <t xml:space="preserve">000037413876</t>
  </si>
  <si>
    <t xml:space="preserve">010916353618</t>
  </si>
  <si>
    <t xml:space="preserve">000031798863</t>
  </si>
  <si>
    <t xml:space="preserve">000032749831</t>
  </si>
  <si>
    <t xml:space="preserve">000032768619</t>
  </si>
  <si>
    <t xml:space="preserve">000032895000</t>
  </si>
  <si>
    <t xml:space="preserve">000033123794</t>
  </si>
  <si>
    <t xml:space="preserve">000033316627</t>
  </si>
  <si>
    <t xml:space="preserve">000033316635</t>
  </si>
  <si>
    <t xml:space="preserve">000033356349</t>
  </si>
  <si>
    <t xml:space="preserve">000033431541</t>
  </si>
  <si>
    <t xml:space="preserve">000033431589</t>
  </si>
  <si>
    <t xml:space="preserve">000033532215</t>
  </si>
  <si>
    <t xml:space="preserve">000033575761</t>
  </si>
  <si>
    <t xml:space="preserve">000033724191</t>
  </si>
  <si>
    <t xml:space="preserve">000033729320</t>
  </si>
  <si>
    <t xml:space="preserve">000033729379</t>
  </si>
  <si>
    <t xml:space="preserve">000033729389</t>
  </si>
  <si>
    <t xml:space="preserve">000033745899</t>
  </si>
  <si>
    <t xml:space="preserve">000033792320</t>
  </si>
  <si>
    <t xml:space="preserve">000034309806</t>
  </si>
  <si>
    <t xml:space="preserve">000034400156</t>
  </si>
  <si>
    <t xml:space="preserve">000034463307</t>
  </si>
  <si>
    <t xml:space="preserve">000034595467</t>
  </si>
  <si>
    <t xml:space="preserve">000034740643</t>
  </si>
  <si>
    <t xml:space="preserve">000034886418</t>
  </si>
  <si>
    <t xml:space="preserve">000034939639</t>
  </si>
  <si>
    <t xml:space="preserve">000035182539</t>
  </si>
  <si>
    <t xml:space="preserve">000036070537</t>
  </si>
  <si>
    <t xml:space="preserve">000036416893</t>
  </si>
  <si>
    <t xml:space="preserve">000036622875</t>
  </si>
  <si>
    <t xml:space="preserve">000032768620</t>
  </si>
  <si>
    <t xml:space="preserve">000032839637</t>
  </si>
  <si>
    <t xml:space="preserve">000033152612</t>
  </si>
  <si>
    <t xml:space="preserve">000033152626</t>
  </si>
  <si>
    <t xml:space="preserve">000033201134</t>
  </si>
  <si>
    <t xml:space="preserve">000033210352</t>
  </si>
  <si>
    <t xml:space="preserve">000033294527</t>
  </si>
  <si>
    <t xml:space="preserve">000033431490</t>
  </si>
  <si>
    <t xml:space="preserve">000033556493</t>
  </si>
  <si>
    <t xml:space="preserve">000033576386</t>
  </si>
  <si>
    <t xml:space="preserve">000033607848</t>
  </si>
  <si>
    <t xml:space="preserve">000033607889</t>
  </si>
  <si>
    <t xml:space="preserve">000033608438</t>
  </si>
  <si>
    <t xml:space="preserve">000033724458</t>
  </si>
  <si>
    <t xml:space="preserve">000033811154</t>
  </si>
  <si>
    <t xml:space="preserve">000034461278</t>
  </si>
  <si>
    <t xml:space="preserve">000034463403</t>
  </si>
  <si>
    <t xml:space="preserve">000034637727</t>
  </si>
  <si>
    <t xml:space="preserve">000034767451</t>
  </si>
  <si>
    <t xml:space="preserve">000035091352</t>
  </si>
  <si>
    <t xml:space="preserve">000035093588</t>
  </si>
  <si>
    <t xml:space="preserve">000035093600</t>
  </si>
  <si>
    <t xml:space="preserve">000035094089</t>
  </si>
  <si>
    <t xml:space="preserve">000035110242</t>
  </si>
  <si>
    <t xml:space="preserve">000036866985</t>
  </si>
  <si>
    <t xml:space="preserve">011016687079</t>
  </si>
  <si>
    <t xml:space="preserve">NomAlu</t>
  </si>
  <si>
    <t xml:space="preserve">ApeAlu</t>
  </si>
  <si>
    <t xml:space="preserve">NacAlu</t>
  </si>
  <si>
    <t xml:space="preserve">Estado</t>
  </si>
  <si>
    <t xml:space="preserve">Direccion</t>
  </si>
  <si>
    <t xml:space="preserve">Telefono</t>
  </si>
  <si>
    <t xml:space="preserve">PaisNa</t>
  </si>
  <si>
    <t xml:space="preserve">000023466358</t>
  </si>
  <si>
    <t xml:space="preserve">ALEX MIGUEL</t>
  </si>
  <si>
    <t xml:space="preserve">FARIA TORRES</t>
  </si>
  <si>
    <t xml:space="preserve">MASCULINO</t>
  </si>
  <si>
    <t xml:space="preserve">VENEZOLANO</t>
  </si>
  <si>
    <t xml:space="preserve">MARACAIBO</t>
  </si>
  <si>
    <t xml:space="preserve">ZULIA</t>
  </si>
  <si>
    <t xml:space="preserve">ZU</t>
  </si>
  <si>
    <t xml:space="preserve">CAMPO COQUIVACOA</t>
  </si>
  <si>
    <t xml:space="preserve">*</t>
  </si>
  <si>
    <t xml:space="preserve">21509183</t>
  </si>
  <si>
    <t xml:space="preserve">VENEZUELA</t>
  </si>
  <si>
    <t xml:space="preserve">000023769464</t>
  </si>
  <si>
    <t xml:space="preserve">ALEXANDER RAMON</t>
  </si>
  <si>
    <t xml:space="preserve">SILVA ARPUSSHANA</t>
  </si>
  <si>
    <t xml:space="preserve">JESUS ENRIQUE LOSSADA</t>
  </si>
  <si>
    <t xml:space="preserve">S/ EL LABERINTO</t>
  </si>
  <si>
    <t xml:space="preserve">0412-6497504</t>
  </si>
  <si>
    <t xml:space="preserve">12697341</t>
  </si>
  <si>
    <t xml:space="preserve">000024413243</t>
  </si>
  <si>
    <t xml:space="preserve">LUIS ALEJANDRO</t>
  </si>
  <si>
    <t xml:space="preserve">ESPINA URDANETA </t>
  </si>
  <si>
    <t xml:space="preserve">AV. PRINCIPAL LA PAZ</t>
  </si>
  <si>
    <t xml:space="preserve">17088450</t>
  </si>
  <si>
    <t xml:space="preserve">000025342414</t>
  </si>
  <si>
    <t xml:space="preserve">NADITH JOSE</t>
  </si>
  <si>
    <t xml:space="preserve">ATENCIO NAVA</t>
  </si>
  <si>
    <t xml:space="preserve">CIUDAD COMUNAL EL LAB.</t>
  </si>
  <si>
    <t xml:space="preserve">0416-0617240</t>
  </si>
  <si>
    <t xml:space="preserve">12443385</t>
  </si>
  <si>
    <t xml:space="preserve">000025439229</t>
  </si>
  <si>
    <t xml:space="preserve">LEANDRO JOSE</t>
  </si>
  <si>
    <t xml:space="preserve">URDANETA URDANETA</t>
  </si>
  <si>
    <t xml:space="preserve">LA CONQUISTA</t>
  </si>
  <si>
    <t xml:space="preserve">13005218</t>
  </si>
  <si>
    <t xml:space="preserve">000025439252</t>
  </si>
  <si>
    <t xml:space="preserve">JHONY GEL</t>
  </si>
  <si>
    <t xml:space="preserve">REYES RINCON</t>
  </si>
  <si>
    <t xml:space="preserve">B/ MARIO URDANETA</t>
  </si>
  <si>
    <t xml:space="preserve">0416-2242199</t>
  </si>
  <si>
    <t xml:space="preserve">10429013</t>
  </si>
  <si>
    <t xml:space="preserve">000025439255</t>
  </si>
  <si>
    <t xml:space="preserve">JHOENDRY JESUS</t>
  </si>
  <si>
    <t xml:space="preserve">GONZALEZ GONZALEZ</t>
  </si>
  <si>
    <t xml:space="preserve">SECTOR 115</t>
  </si>
  <si>
    <t xml:space="preserve">0416-0180696</t>
  </si>
  <si>
    <t xml:space="preserve">09702102</t>
  </si>
  <si>
    <t xml:space="preserve">000028558574</t>
  </si>
  <si>
    <t xml:space="preserve">JOHAN DAVID</t>
  </si>
  <si>
    <t xml:space="preserve">CASTILLO VILLALOBOS</t>
  </si>
  <si>
    <t xml:space="preserve">SECTOR VILLAS SALAS</t>
  </si>
  <si>
    <t xml:space="preserve">0416-2623361</t>
  </si>
  <si>
    <t xml:space="preserve">16016439</t>
  </si>
  <si>
    <t xml:space="preserve">000025596484</t>
  </si>
  <si>
    <t xml:space="preserve">GIBELYS DEL CARMEN</t>
  </si>
  <si>
    <t xml:space="preserve">BRACHO GONZALEZ</t>
  </si>
  <si>
    <t xml:space="preserve">FEMENINO</t>
  </si>
  <si>
    <t xml:space="preserve">S/ PARADA DE LOS BUSES</t>
  </si>
  <si>
    <t xml:space="preserve">13428543</t>
  </si>
  <si>
    <t xml:space="preserve">000025680343</t>
  </si>
  <si>
    <t xml:space="preserve">GUSTAVO ALBERTO</t>
  </si>
  <si>
    <t xml:space="preserve">ATENCIO NUÑEZ</t>
  </si>
  <si>
    <t xml:space="preserve">S/ EL NAZARENO</t>
  </si>
  <si>
    <t xml:space="preserve">0416-3618417</t>
  </si>
  <si>
    <t xml:space="preserve">09741221</t>
  </si>
  <si>
    <t xml:space="preserve">000025763020</t>
  </si>
  <si>
    <t xml:space="preserve">FABIAN RICARDO</t>
  </si>
  <si>
    <t xml:space="preserve">ROMERO MONTIEL</t>
  </si>
  <si>
    <t xml:space="preserve">MARA</t>
  </si>
  <si>
    <t xml:space="preserve">21490627</t>
  </si>
  <si>
    <t xml:space="preserve">000025883046</t>
  </si>
  <si>
    <t xml:space="preserve">ANGEL RENE</t>
  </si>
  <si>
    <t xml:space="preserve">FERRER VARGAS</t>
  </si>
  <si>
    <t xml:space="preserve">S/ ROBERTO FUENMAYOR</t>
  </si>
  <si>
    <t xml:space="preserve">0416-2250558</t>
  </si>
  <si>
    <t xml:space="preserve">22163806</t>
  </si>
  <si>
    <t xml:space="preserve">000025883047</t>
  </si>
  <si>
    <t xml:space="preserve">BRAYAN JOSE</t>
  </si>
  <si>
    <t xml:space="preserve">HERRERA PADILLA</t>
  </si>
  <si>
    <t xml:space="preserve">21421748</t>
  </si>
  <si>
    <t xml:space="preserve">000025883310</t>
  </si>
  <si>
    <t xml:space="preserve">YELIBETH MATILDE</t>
  </si>
  <si>
    <t xml:space="preserve">VITOLA HERRERA</t>
  </si>
  <si>
    <t xml:space="preserve">SECTOR CHINITO RAFAEL</t>
  </si>
  <si>
    <t xml:space="preserve">0426-7613816</t>
  </si>
  <si>
    <t xml:space="preserve">22163728</t>
  </si>
  <si>
    <t xml:space="preserve">000025883730</t>
  </si>
  <si>
    <t xml:space="preserve">ORTEGA GUTIERREZ</t>
  </si>
  <si>
    <t xml:space="preserve">SECTOR EL 115</t>
  </si>
  <si>
    <t xml:space="preserve">0426-3619990</t>
  </si>
  <si>
    <t xml:space="preserve">25820362</t>
  </si>
  <si>
    <t xml:space="preserve">000025979099</t>
  </si>
  <si>
    <t xml:space="preserve">FIDEL JOSE</t>
  </si>
  <si>
    <t xml:space="preserve">FINOL CARRILLO</t>
  </si>
  <si>
    <t xml:space="preserve">15195850</t>
  </si>
  <si>
    <t xml:space="preserve">000026169244</t>
  </si>
  <si>
    <t xml:space="preserve">DIOMAR JOSE</t>
  </si>
  <si>
    <t xml:space="preserve">URDANETA BRAVO</t>
  </si>
  <si>
    <t xml:space="preserve">SECTOR EL HONDITO</t>
  </si>
  <si>
    <t xml:space="preserve">15624131</t>
  </si>
  <si>
    <t xml:space="preserve">000026169596</t>
  </si>
  <si>
    <t xml:space="preserve">NEIYIRE DEL CARMEN</t>
  </si>
  <si>
    <t xml:space="preserve">CASTRO BRAVO </t>
  </si>
  <si>
    <t xml:space="preserve">B/ SAN BENITO</t>
  </si>
  <si>
    <t xml:space="preserve">0426-8675511</t>
  </si>
  <si>
    <t xml:space="preserve">06805810</t>
  </si>
  <si>
    <t xml:space="preserve">000026169606</t>
  </si>
  <si>
    <t xml:space="preserve">NILSO GREGORIO</t>
  </si>
  <si>
    <t xml:space="preserve">CASTRO FERRER</t>
  </si>
  <si>
    <t xml:space="preserve">0262-6875220</t>
  </si>
  <si>
    <t xml:space="preserve">07875717</t>
  </si>
  <si>
    <t xml:space="preserve">000026169613</t>
  </si>
  <si>
    <t xml:space="preserve">ROSELY DEL CARMEN</t>
  </si>
  <si>
    <t xml:space="preserve">HERRERA BRAVO</t>
  </si>
  <si>
    <t xml:space="preserve">CAMPO BOYACA</t>
  </si>
  <si>
    <t xml:space="preserve">09741986</t>
  </si>
  <si>
    <t xml:space="preserve">000026169883</t>
  </si>
  <si>
    <t xml:space="preserve">YALIXANDRE JESUS</t>
  </si>
  <si>
    <t xml:space="preserve">FARIA BOSCAN </t>
  </si>
  <si>
    <t xml:space="preserve">LA JAVILLITA</t>
  </si>
  <si>
    <t xml:space="preserve">0426-6231269</t>
  </si>
  <si>
    <t xml:space="preserve">16428507</t>
  </si>
  <si>
    <t xml:space="preserve">000026276230</t>
  </si>
  <si>
    <t xml:space="preserve">JOSE GABRIEL</t>
  </si>
  <si>
    <t xml:space="preserve">MADUEÑO FERRER</t>
  </si>
  <si>
    <t xml:space="preserve">CAMPO CALIZA</t>
  </si>
  <si>
    <t xml:space="preserve">0416-7225991</t>
  </si>
  <si>
    <t xml:space="preserve">09790085</t>
  </si>
  <si>
    <t xml:space="preserve">000026276282</t>
  </si>
  <si>
    <t xml:space="preserve">YORVIS RAFAEL</t>
  </si>
  <si>
    <t xml:space="preserve">ROJANO MENESES</t>
  </si>
  <si>
    <t xml:space="preserve">BARRIO SIMON BOLIVAR</t>
  </si>
  <si>
    <t xml:space="preserve">24958997</t>
  </si>
  <si>
    <t xml:space="preserve">000026276283</t>
  </si>
  <si>
    <t xml:space="preserve">CARLOS ALBERTO</t>
  </si>
  <si>
    <t xml:space="preserve">FERNANDEZ NARVAEZ</t>
  </si>
  <si>
    <t xml:space="preserve">25192378</t>
  </si>
  <si>
    <t xml:space="preserve">000026375757</t>
  </si>
  <si>
    <t xml:space="preserve">PATRICIO JESUS</t>
  </si>
  <si>
    <t xml:space="preserve">16428952</t>
  </si>
  <si>
    <t xml:space="preserve">000026375758</t>
  </si>
  <si>
    <t xml:space="preserve">RAMON DAVID</t>
  </si>
  <si>
    <t xml:space="preserve">MONTIEL CHACIN</t>
  </si>
  <si>
    <t xml:space="preserve">0416-8680203</t>
  </si>
  <si>
    <t xml:space="preserve">15946036</t>
  </si>
  <si>
    <t xml:space="preserve">000026481006</t>
  </si>
  <si>
    <t xml:space="preserve">YONERVIS JOSE</t>
  </si>
  <si>
    <t xml:space="preserve">URDANETA BERRUETA</t>
  </si>
  <si>
    <t xml:space="preserve">0426-7697759</t>
  </si>
  <si>
    <t xml:space="preserve">13705301</t>
  </si>
  <si>
    <t xml:space="preserve">000026481008</t>
  </si>
  <si>
    <t xml:space="preserve">JADEL ANTONIO</t>
  </si>
  <si>
    <t xml:space="preserve">CALLE LAS FLORES</t>
  </si>
  <si>
    <t xml:space="preserve">11874679</t>
  </si>
  <si>
    <t xml:space="preserve">000026481101</t>
  </si>
  <si>
    <t xml:space="preserve">JAVIER JOSE</t>
  </si>
  <si>
    <t xml:space="preserve">NAVAS BRAVO</t>
  </si>
  <si>
    <t xml:space="preserve">B/ ROBERTO FUENMAYOR</t>
  </si>
  <si>
    <t xml:space="preserve">0416-5663270</t>
  </si>
  <si>
    <t xml:space="preserve">14356857</t>
  </si>
  <si>
    <t xml:space="preserve">000026481280</t>
  </si>
  <si>
    <t xml:space="preserve">ALEJANDRO JOSUE</t>
  </si>
  <si>
    <t xml:space="preserve">CHACIN BORJAS</t>
  </si>
  <si>
    <t xml:space="preserve">LA CONCEPCION</t>
  </si>
  <si>
    <t xml:space="preserve">0424-6186065</t>
  </si>
  <si>
    <t xml:space="preserve">07886399</t>
  </si>
  <si>
    <t xml:space="preserve">000026481879</t>
  </si>
  <si>
    <t xml:space="preserve">DAVIEL JESUS</t>
  </si>
  <si>
    <t xml:space="preserve">BARRUETA FUENMAYOR</t>
  </si>
  <si>
    <t xml:space="preserve">0262-5159068</t>
  </si>
  <si>
    <t xml:space="preserve">09736648</t>
  </si>
  <si>
    <t xml:space="preserve">000026639916</t>
  </si>
  <si>
    <t xml:space="preserve">LUIS ALBERTO</t>
  </si>
  <si>
    <t xml:space="preserve">LAS PARCELAS DE LA PAZ</t>
  </si>
  <si>
    <t xml:space="preserve">0412-6458138</t>
  </si>
  <si>
    <t xml:space="preserve">12514095</t>
  </si>
  <si>
    <t xml:space="preserve">000026639990</t>
  </si>
  <si>
    <t xml:space="preserve">JADELCIO JESUS</t>
  </si>
  <si>
    <t xml:space="preserve">FERRER PALMAR</t>
  </si>
  <si>
    <t xml:space="preserve">SECTOR LOS JAGUEYES</t>
  </si>
  <si>
    <t xml:space="preserve">0416-1626960</t>
  </si>
  <si>
    <t xml:space="preserve">11293942</t>
  </si>
  <si>
    <t xml:space="preserve">000029645071</t>
  </si>
  <si>
    <t xml:space="preserve">YELITZA DEL CARMEN</t>
  </si>
  <si>
    <t xml:space="preserve">PALMAR PALMAR</t>
  </si>
  <si>
    <t xml:space="preserve">LAS VEGAS</t>
  </si>
  <si>
    <t xml:space="preserve">21686142</t>
  </si>
  <si>
    <t xml:space="preserve">000026657297</t>
  </si>
  <si>
    <t xml:space="preserve">JOSE MEDARDO</t>
  </si>
  <si>
    <t xml:space="preserve">GONZALEZ URIANA</t>
  </si>
  <si>
    <t xml:space="preserve">PARAGUAIPOA</t>
  </si>
  <si>
    <t xml:space="preserve">13418043</t>
  </si>
  <si>
    <t xml:space="preserve">000026694642</t>
  </si>
  <si>
    <t xml:space="preserve">ALEXANDER JOSE</t>
  </si>
  <si>
    <t xml:space="preserve">BARRIOS URDANETA</t>
  </si>
  <si>
    <t xml:space="preserve">SECTOR LA GRAN PARADA</t>
  </si>
  <si>
    <t xml:space="preserve">0262-4939993</t>
  </si>
  <si>
    <t xml:space="preserve">18381879</t>
  </si>
  <si>
    <t xml:space="preserve">000026710050</t>
  </si>
  <si>
    <t xml:space="preserve">MARCIAL DANIEL</t>
  </si>
  <si>
    <t xml:space="preserve">BAEZ GONZALEZ</t>
  </si>
  <si>
    <t xml:space="preserve">11662725</t>
  </si>
  <si>
    <t xml:space="preserve">000026710092</t>
  </si>
  <si>
    <t xml:space="preserve">MICHAEL ANTONIO</t>
  </si>
  <si>
    <t xml:space="preserve">FERNANDEZ GOMEZ</t>
  </si>
  <si>
    <t xml:space="preserve">0416-6677619</t>
  </si>
  <si>
    <t xml:space="preserve">09785849</t>
  </si>
  <si>
    <t xml:space="preserve">000026710109</t>
  </si>
  <si>
    <t xml:space="preserve">NELSON JHUNIOR</t>
  </si>
  <si>
    <t xml:space="preserve">FUENMAYOR MARTINEZ</t>
  </si>
  <si>
    <t xml:space="preserve">S/ LA GRAN PARADA</t>
  </si>
  <si>
    <t xml:space="preserve">0416-3673760</t>
  </si>
  <si>
    <t xml:space="preserve">13005141</t>
  </si>
  <si>
    <t xml:space="preserve">000026860088</t>
  </si>
  <si>
    <t xml:space="preserve">LEONARDO JOSE</t>
  </si>
  <si>
    <t xml:space="preserve">RAMIREZ ATENCIO</t>
  </si>
  <si>
    <t xml:space="preserve">0262-2051852</t>
  </si>
  <si>
    <t xml:space="preserve">14658855</t>
  </si>
  <si>
    <t xml:space="preserve">000026872544</t>
  </si>
  <si>
    <t xml:space="preserve">GENESIS DARIANA</t>
  </si>
  <si>
    <t xml:space="preserve">FUENMAYOR BRIÑEZ</t>
  </si>
  <si>
    <t xml:space="preserve">SECTOR LAS MARIAS</t>
  </si>
  <si>
    <t xml:space="preserve">0416-2213131</t>
  </si>
  <si>
    <t xml:space="preserve">10408584</t>
  </si>
  <si>
    <t xml:space="preserve">000026872545</t>
  </si>
  <si>
    <t xml:space="preserve">WILLIAM JOSE</t>
  </si>
  <si>
    <t xml:space="preserve">14545781</t>
  </si>
  <si>
    <t xml:space="preserve">000026872553</t>
  </si>
  <si>
    <t xml:space="preserve">ALEJANDRO JOSE</t>
  </si>
  <si>
    <t xml:space="preserve">MAYOR PEÑA</t>
  </si>
  <si>
    <t xml:space="preserve">0416-2688969</t>
  </si>
  <si>
    <t xml:space="preserve">13627184</t>
  </si>
  <si>
    <t xml:space="preserve">000026872569</t>
  </si>
  <si>
    <t xml:space="preserve">JOSE LEONARDO</t>
  </si>
  <si>
    <t xml:space="preserve">MONTIEL MONTIEL</t>
  </si>
  <si>
    <t xml:space="preserve">EL CUJI</t>
  </si>
  <si>
    <t xml:space="preserve">0416-2662157</t>
  </si>
  <si>
    <t xml:space="preserve">10410994</t>
  </si>
  <si>
    <t xml:space="preserve">000026872571</t>
  </si>
  <si>
    <t xml:space="preserve">ABNA BEL</t>
  </si>
  <si>
    <t xml:space="preserve">MARA </t>
  </si>
  <si>
    <t xml:space="preserve">SECTOR PARAISO</t>
  </si>
  <si>
    <t xml:space="preserve">06807965</t>
  </si>
  <si>
    <t xml:space="preserve">000027090259</t>
  </si>
  <si>
    <t xml:space="preserve">ROBERT GREGORIO</t>
  </si>
  <si>
    <t xml:space="preserve">URDANETA BOSCAN </t>
  </si>
  <si>
    <t xml:space="preserve">S/ LA JAVILLITA</t>
  </si>
  <si>
    <t xml:space="preserve">0416-5672287</t>
  </si>
  <si>
    <t xml:space="preserve">17296270</t>
  </si>
  <si>
    <t xml:space="preserve">000027090263</t>
  </si>
  <si>
    <t xml:space="preserve">DANIEL JESUS</t>
  </si>
  <si>
    <t xml:space="preserve">VILCHEZ GONZALEZ</t>
  </si>
  <si>
    <t xml:space="preserve">LOS JAGUEYES</t>
  </si>
  <si>
    <t xml:space="preserve">16988659</t>
  </si>
  <si>
    <t xml:space="preserve">000027090281</t>
  </si>
  <si>
    <t xml:space="preserve">ANGEL JOEL</t>
  </si>
  <si>
    <t xml:space="preserve">FUENMAYOR PEREZ</t>
  </si>
  <si>
    <t xml:space="preserve">SAN JOSE</t>
  </si>
  <si>
    <t xml:space="preserve">S/CHINITO RAFAEL</t>
  </si>
  <si>
    <t xml:space="preserve">0426-1600536</t>
  </si>
  <si>
    <t xml:space="preserve">06764942</t>
  </si>
  <si>
    <t xml:space="preserve">000027090285</t>
  </si>
  <si>
    <t xml:space="preserve">DEIBY JESUS</t>
  </si>
  <si>
    <t xml:space="preserve">ROBLES CAYAMA</t>
  </si>
  <si>
    <t xml:space="preserve">S/ NOTEREY </t>
  </si>
  <si>
    <t xml:space="preserve">0416-2737389</t>
  </si>
  <si>
    <t xml:space="preserve">15748617</t>
  </si>
  <si>
    <t xml:space="preserve">000027090326</t>
  </si>
  <si>
    <t xml:space="preserve">NEIDER JOSE</t>
  </si>
  <si>
    <t xml:space="preserve">000027090457</t>
  </si>
  <si>
    <t xml:space="preserve">YOELIANA CHIQUINQUIRA</t>
  </si>
  <si>
    <t xml:space="preserve">EL LABERINTO</t>
  </si>
  <si>
    <t xml:space="preserve">13705306</t>
  </si>
  <si>
    <t xml:space="preserve">000027090458</t>
  </si>
  <si>
    <t xml:space="preserve">VICTOR ALFONSO</t>
  </si>
  <si>
    <t xml:space="preserve">BRACHO MENDEZ</t>
  </si>
  <si>
    <t xml:space="preserve">07796092</t>
  </si>
  <si>
    <t xml:space="preserve">000027090465</t>
  </si>
  <si>
    <t xml:space="preserve">YORGENIS JAVIER</t>
  </si>
  <si>
    <t xml:space="preserve">URDANETA VILLALOBOS</t>
  </si>
  <si>
    <t xml:space="preserve">14922522</t>
  </si>
  <si>
    <t xml:space="preserve">000027090468</t>
  </si>
  <si>
    <t xml:space="preserve">ANGEL FRANCISCO</t>
  </si>
  <si>
    <t xml:space="preserve">URDANETA MADUEÑO</t>
  </si>
  <si>
    <t xml:space="preserve">05839968</t>
  </si>
  <si>
    <t xml:space="preserve">000027090471</t>
  </si>
  <si>
    <t xml:space="preserve">JESUS ALBERTO</t>
  </si>
  <si>
    <t xml:space="preserve">CHAVEZ VILLALOBOS</t>
  </si>
  <si>
    <t xml:space="preserve">15060205</t>
  </si>
  <si>
    <t xml:space="preserve">000027090472</t>
  </si>
  <si>
    <t xml:space="preserve">YOAN CARLO</t>
  </si>
  <si>
    <t xml:space="preserve">BRIÑEZ HERNANDEZ</t>
  </si>
  <si>
    <t xml:space="preserve">0416-4658152</t>
  </si>
  <si>
    <t xml:space="preserve">19767595</t>
  </si>
  <si>
    <t xml:space="preserve">000027090489</t>
  </si>
  <si>
    <t xml:space="preserve">LENDIS DEL CARMEN</t>
  </si>
  <si>
    <t xml:space="preserve">MERCADO MEDINA</t>
  </si>
  <si>
    <t xml:space="preserve">S/ SALINETA</t>
  </si>
  <si>
    <t xml:space="preserve">0426-8641320</t>
  </si>
  <si>
    <t xml:space="preserve">14256367</t>
  </si>
  <si>
    <t xml:space="preserve">000027090497</t>
  </si>
  <si>
    <t xml:space="preserve">GENARO JOSE</t>
  </si>
  <si>
    <t xml:space="preserve">PORTILLO BELTRAN</t>
  </si>
  <si>
    <t xml:space="preserve">S/ EL HONDITO</t>
  </si>
  <si>
    <t xml:space="preserve">0416-4608362</t>
  </si>
  <si>
    <t xml:space="preserve">17566382</t>
  </si>
  <si>
    <t xml:space="preserve">000027090518</t>
  </si>
  <si>
    <t xml:space="preserve">ALEJANDRA CAROLINA</t>
  </si>
  <si>
    <t xml:space="preserve">PEREZ JIMENEZ</t>
  </si>
  <si>
    <t xml:space="preserve">0426-3609472</t>
  </si>
  <si>
    <t xml:space="preserve">14141915</t>
  </si>
  <si>
    <t xml:space="preserve">000027090534</t>
  </si>
  <si>
    <t xml:space="preserve">KEIVYS JOSE</t>
  </si>
  <si>
    <t xml:space="preserve">RODELO GONZALEZ</t>
  </si>
  <si>
    <t xml:space="preserve">0426-7678870</t>
  </si>
  <si>
    <t xml:space="preserve">18120392</t>
  </si>
  <si>
    <t xml:space="preserve">000027090626</t>
  </si>
  <si>
    <t xml:space="preserve">ANGELICA MARIA</t>
  </si>
  <si>
    <t xml:space="preserve">0416-8680202</t>
  </si>
  <si>
    <t xml:space="preserve">000027090639</t>
  </si>
  <si>
    <t xml:space="preserve">EUDIANA JOSEFINA</t>
  </si>
  <si>
    <t xml:space="preserve">0416-9680657</t>
  </si>
  <si>
    <t xml:space="preserve">15194081</t>
  </si>
  <si>
    <t xml:space="preserve">000027090641</t>
  </si>
  <si>
    <t xml:space="preserve">MARCELO DAVID</t>
  </si>
  <si>
    <t xml:space="preserve">0416-2610467</t>
  </si>
  <si>
    <t xml:space="preserve">09043622</t>
  </si>
  <si>
    <t xml:space="preserve">000027090642</t>
  </si>
  <si>
    <t xml:space="preserve">ANDREINA JOHANA</t>
  </si>
  <si>
    <t xml:space="preserve">0416-0180695</t>
  </si>
  <si>
    <t xml:space="preserve">000027090643</t>
  </si>
  <si>
    <t xml:space="preserve">YAMILETH JOSEFINA</t>
  </si>
  <si>
    <t xml:space="preserve">GONZALEZ CASTELLANOS</t>
  </si>
  <si>
    <t xml:space="preserve">0416-1069798</t>
  </si>
  <si>
    <t xml:space="preserve">13048983</t>
  </si>
  <si>
    <t xml:space="preserve">000027090650</t>
  </si>
  <si>
    <t xml:space="preserve">ANGELICA CLARITZA</t>
  </si>
  <si>
    <t xml:space="preserve">MONTIEL PALMAR</t>
  </si>
  <si>
    <t xml:space="preserve">NOTEREY</t>
  </si>
  <si>
    <t xml:space="preserve">09768759</t>
  </si>
  <si>
    <t xml:space="preserve">000027090653</t>
  </si>
  <si>
    <t xml:space="preserve">ANDY DANIEL</t>
  </si>
  <si>
    <t xml:space="preserve">VILLALOBOS FERNANDEZ</t>
  </si>
  <si>
    <t xml:space="preserve">0416-8607244</t>
  </si>
  <si>
    <t xml:space="preserve">15010339</t>
  </si>
  <si>
    <t xml:space="preserve">000027090803</t>
  </si>
  <si>
    <t xml:space="preserve">ANGELA D' JESUS</t>
  </si>
  <si>
    <t xml:space="preserve">BRIÑEZ FERNANDEZ </t>
  </si>
  <si>
    <t xml:space="preserve">SECTOR LAS PARCELAS</t>
  </si>
  <si>
    <t xml:space="preserve">10735888</t>
  </si>
  <si>
    <t xml:space="preserve">000027090813</t>
  </si>
  <si>
    <t xml:space="preserve">ELIAN ANTONIO</t>
  </si>
  <si>
    <t xml:space="preserve">URDANETA FUENMAYOR</t>
  </si>
  <si>
    <t xml:space="preserve">0426-8243415</t>
  </si>
  <si>
    <t xml:space="preserve">18517831</t>
  </si>
  <si>
    <t xml:space="preserve">000027090819</t>
  </si>
  <si>
    <t xml:space="preserve">MARIUS CAROLINA</t>
  </si>
  <si>
    <t xml:space="preserve">VILLALOBOS FONSECA</t>
  </si>
  <si>
    <t xml:space="preserve">17088517</t>
  </si>
  <si>
    <t xml:space="preserve">000027090823</t>
  </si>
  <si>
    <t xml:space="preserve">JULIETH DEL CARMEN</t>
  </si>
  <si>
    <t xml:space="preserve">VILLALOBOS PARRA</t>
  </si>
  <si>
    <t xml:space="preserve">18650764</t>
  </si>
  <si>
    <t xml:space="preserve">000027153051</t>
  </si>
  <si>
    <t xml:space="preserve">HILLARY PATRICIA</t>
  </si>
  <si>
    <t xml:space="preserve">FUENMAYOR URBINA</t>
  </si>
  <si>
    <t xml:space="preserve">11068570</t>
  </si>
  <si>
    <t xml:space="preserve">000027197006</t>
  </si>
  <si>
    <t xml:space="preserve">ENDER JOSE</t>
  </si>
  <si>
    <t xml:space="preserve">FUENMAYOR TRONCOZO</t>
  </si>
  <si>
    <t xml:space="preserve">22141433</t>
  </si>
  <si>
    <t xml:space="preserve">000027495801</t>
  </si>
  <si>
    <t xml:space="preserve">SERGIANGELY SARAY</t>
  </si>
  <si>
    <t xml:space="preserve">FUENMAYOR BOSCAN</t>
  </si>
  <si>
    <t xml:space="preserve">VIA 4 BOCAS</t>
  </si>
  <si>
    <t xml:space="preserve">0426-9613276</t>
  </si>
  <si>
    <t xml:space="preserve">15561871</t>
  </si>
  <si>
    <t xml:space="preserve">000027633263</t>
  </si>
  <si>
    <t xml:space="preserve">KARIBAY YARÉ</t>
  </si>
  <si>
    <t xml:space="preserve">GONZALEZ FUENMAYOR</t>
  </si>
  <si>
    <t xml:space="preserve">14738179</t>
  </si>
  <si>
    <t xml:space="preserve">000027633395</t>
  </si>
  <si>
    <t xml:space="preserve">ENDER ALBERTO</t>
  </si>
  <si>
    <t xml:space="preserve">FINOL CHAVEZ</t>
  </si>
  <si>
    <t xml:space="preserve">09770174</t>
  </si>
  <si>
    <t xml:space="preserve">000027633398</t>
  </si>
  <si>
    <t xml:space="preserve">JESUS MANUEL</t>
  </si>
  <si>
    <t xml:space="preserve">MALDONADO OCHOA</t>
  </si>
  <si>
    <t xml:space="preserve">S/ MARIMONDA</t>
  </si>
  <si>
    <t xml:space="preserve">0416-0693385</t>
  </si>
  <si>
    <t xml:space="preserve">12620394</t>
  </si>
  <si>
    <t xml:space="preserve">000027633401</t>
  </si>
  <si>
    <t xml:space="preserve">KELVIS DE JESUS</t>
  </si>
  <si>
    <t xml:space="preserve">0416-7613533</t>
  </si>
  <si>
    <t xml:space="preserve">11293936</t>
  </si>
  <si>
    <t xml:space="preserve">000027633402</t>
  </si>
  <si>
    <t xml:space="preserve">LUIS MARIO</t>
  </si>
  <si>
    <t xml:space="preserve">MELEAN FINOL</t>
  </si>
  <si>
    <t xml:space="preserve">0426-3231388</t>
  </si>
  <si>
    <t xml:space="preserve">13607986</t>
  </si>
  <si>
    <t xml:space="preserve">000027633404</t>
  </si>
  <si>
    <t xml:space="preserve">DIEGO ALFONSO</t>
  </si>
  <si>
    <t xml:space="preserve">CHAVEZ FERRER</t>
  </si>
  <si>
    <t xml:space="preserve">15260612</t>
  </si>
  <si>
    <t xml:space="preserve">000027633405</t>
  </si>
  <si>
    <t xml:space="preserve">ROSALINDA DEL CARMEN</t>
  </si>
  <si>
    <t xml:space="preserve">MONTILLA FARIA</t>
  </si>
  <si>
    <t xml:space="preserve">SECTOR CORITO</t>
  </si>
  <si>
    <t xml:space="preserve">16018528</t>
  </si>
  <si>
    <t xml:space="preserve">000027633406</t>
  </si>
  <si>
    <t xml:space="preserve">PIRELA FUENMAYOR</t>
  </si>
  <si>
    <t xml:space="preserve">S/ EL TAPARO</t>
  </si>
  <si>
    <t xml:space="preserve">15239824</t>
  </si>
  <si>
    <t xml:space="preserve">000027633407</t>
  </si>
  <si>
    <t xml:space="preserve">ANGEL GABRIEL</t>
  </si>
  <si>
    <t xml:space="preserve">URDANETA ROMERO</t>
  </si>
  <si>
    <t xml:space="preserve">10451038</t>
  </si>
  <si>
    <t xml:space="preserve">000027633408</t>
  </si>
  <si>
    <t xml:space="preserve">ANTHONIEL JESUS</t>
  </si>
  <si>
    <t xml:space="preserve">ESPINA DURAN</t>
  </si>
  <si>
    <t xml:space="preserve">13415035</t>
  </si>
  <si>
    <t xml:space="preserve">000027633409</t>
  </si>
  <si>
    <t xml:space="preserve">JOSE ARMANDO</t>
  </si>
  <si>
    <t xml:space="preserve">VILLALOBOS ROMERO</t>
  </si>
  <si>
    <t xml:space="preserve">SECTOR LA CONQUISTA</t>
  </si>
  <si>
    <t xml:space="preserve">13704435</t>
  </si>
  <si>
    <t xml:space="preserve">000027633411</t>
  </si>
  <si>
    <t xml:space="preserve">DERWIN JOSE</t>
  </si>
  <si>
    <t xml:space="preserve">BRAVO SANCHEZ</t>
  </si>
  <si>
    <t xml:space="preserve">14736564</t>
  </si>
  <si>
    <t xml:space="preserve">000027633413</t>
  </si>
  <si>
    <t xml:space="preserve">RICHARD ANTONIO</t>
  </si>
  <si>
    <t xml:space="preserve">GONZALEZ URDANETA</t>
  </si>
  <si>
    <t xml:space="preserve">15405807</t>
  </si>
  <si>
    <t xml:space="preserve">000027633420</t>
  </si>
  <si>
    <t xml:space="preserve">ANGELIN PAOLA</t>
  </si>
  <si>
    <t xml:space="preserve">VILLALOBOS URDANETA</t>
  </si>
  <si>
    <t xml:space="preserve">S/ LA CONQUISTA</t>
  </si>
  <si>
    <t xml:space="preserve">14522078</t>
  </si>
  <si>
    <t xml:space="preserve">000027633421</t>
  </si>
  <si>
    <t xml:space="preserve">DIEGO ANDRES</t>
  </si>
  <si>
    <t xml:space="preserve">PIRELA OJEDA</t>
  </si>
  <si>
    <t xml:space="preserve">EL TAPARO</t>
  </si>
  <si>
    <t xml:space="preserve">0262-8080595</t>
  </si>
  <si>
    <t xml:space="preserve">16621728</t>
  </si>
  <si>
    <t xml:space="preserve">000027633422</t>
  </si>
  <si>
    <t xml:space="preserve">LUDENIS ANTONIO</t>
  </si>
  <si>
    <t xml:space="preserve">FUENMAYOR MONTES</t>
  </si>
  <si>
    <t xml:space="preserve">0416-2284470</t>
  </si>
  <si>
    <t xml:space="preserve">83140320</t>
  </si>
  <si>
    <t xml:space="preserve">000027633423</t>
  </si>
  <si>
    <t xml:space="preserve">JORIANYELHY MILAGROS</t>
  </si>
  <si>
    <t xml:space="preserve">GODOY URDANETA</t>
  </si>
  <si>
    <t xml:space="preserve">S/ CHINITO RAFAEL</t>
  </si>
  <si>
    <t xml:space="preserve">0426-6253114</t>
  </si>
  <si>
    <t xml:space="preserve">12513385</t>
  </si>
  <si>
    <t xml:space="preserve">000027633424</t>
  </si>
  <si>
    <t xml:space="preserve">YONEL DE JESUS</t>
  </si>
  <si>
    <t xml:space="preserve">000027633425</t>
  </si>
  <si>
    <t xml:space="preserve">CESIBEL ALEJANDRA</t>
  </si>
  <si>
    <t xml:space="preserve">GARCIA BOSCAN</t>
  </si>
  <si>
    <t xml:space="preserve">14117153</t>
  </si>
  <si>
    <t xml:space="preserve">000027633426</t>
  </si>
  <si>
    <t xml:space="preserve">DEINIS ANTONIO</t>
  </si>
  <si>
    <t xml:space="preserve">MORALES BERRUETA</t>
  </si>
  <si>
    <t xml:space="preserve">BARRIO CAUCAGUITA</t>
  </si>
  <si>
    <t xml:space="preserve">21422151</t>
  </si>
  <si>
    <t xml:space="preserve">000027633429</t>
  </si>
  <si>
    <t xml:space="preserve">LUIS JOSE</t>
  </si>
  <si>
    <t xml:space="preserve">GARCIA CARDOZO</t>
  </si>
  <si>
    <t xml:space="preserve">12872875</t>
  </si>
  <si>
    <t xml:space="preserve">000027633432</t>
  </si>
  <si>
    <t xml:space="preserve">GLENDER ALEJANDRO</t>
  </si>
  <si>
    <t xml:space="preserve">VILLALOBOS FARIA</t>
  </si>
  <si>
    <t xml:space="preserve">000027633438</t>
  </si>
  <si>
    <t xml:space="preserve">NEIYERLI DEL CARMEN</t>
  </si>
  <si>
    <t xml:space="preserve">000027633444</t>
  </si>
  <si>
    <t xml:space="preserve">ANGELICA DEL CARMEN</t>
  </si>
  <si>
    <t xml:space="preserve">FARIA GONZALEZ</t>
  </si>
  <si>
    <t xml:space="preserve">14280466</t>
  </si>
  <si>
    <t xml:space="preserve">000027633452</t>
  </si>
  <si>
    <t xml:space="preserve">SOLANGELY DE LOS ANGELES</t>
  </si>
  <si>
    <t xml:space="preserve">NEGRETE QUINTERO</t>
  </si>
  <si>
    <t xml:space="preserve">15763416</t>
  </si>
  <si>
    <t xml:space="preserve">000027633458</t>
  </si>
  <si>
    <t xml:space="preserve">LUZDARY CAROLINA</t>
  </si>
  <si>
    <t xml:space="preserve">0416-3675384</t>
  </si>
  <si>
    <t xml:space="preserve">17088508</t>
  </si>
  <si>
    <t xml:space="preserve">000027633470</t>
  </si>
  <si>
    <t xml:space="preserve">VICTORIO ALEJANDRO</t>
  </si>
  <si>
    <t xml:space="preserve">LOPEZ OCHOA</t>
  </si>
  <si>
    <t xml:space="preserve">0416-5623318</t>
  </si>
  <si>
    <t xml:space="preserve">13080973</t>
  </si>
  <si>
    <t xml:space="preserve">000027633471</t>
  </si>
  <si>
    <t xml:space="preserve">GENESIS MARIOLIS</t>
  </si>
  <si>
    <t xml:space="preserve">GONZALEZ GUERRERO</t>
  </si>
  <si>
    <t xml:space="preserve">13816966</t>
  </si>
  <si>
    <t xml:space="preserve">000027633473</t>
  </si>
  <si>
    <t xml:space="preserve">LILIBETH MARIA</t>
  </si>
  <si>
    <t xml:space="preserve">GONZALEZ VALBUENA</t>
  </si>
  <si>
    <t xml:space="preserve">13440041</t>
  </si>
  <si>
    <t xml:space="preserve">000027633474</t>
  </si>
  <si>
    <t xml:space="preserve">GLISELIS ESTHER</t>
  </si>
  <si>
    <t xml:space="preserve">AÑEZ ATENCIO</t>
  </si>
  <si>
    <t xml:space="preserve">25763880</t>
  </si>
  <si>
    <t xml:space="preserve">000027633491</t>
  </si>
  <si>
    <t xml:space="preserve">BEIGLY CHIQUINQUIRA</t>
  </si>
  <si>
    <t xml:space="preserve">FLEIRE LUZARDO</t>
  </si>
  <si>
    <t xml:space="preserve">0426-1667243</t>
  </si>
  <si>
    <t xml:space="preserve">13460612</t>
  </si>
  <si>
    <t xml:space="preserve">000027633493</t>
  </si>
  <si>
    <t xml:space="preserve">KEIDY YOJANA</t>
  </si>
  <si>
    <t xml:space="preserve">CUADRADO RODRIGUEZ</t>
  </si>
  <si>
    <t xml:space="preserve">SAN FRANCISCO</t>
  </si>
  <si>
    <t xml:space="preserve">0416-9600965</t>
  </si>
  <si>
    <t xml:space="preserve">12693476</t>
  </si>
  <si>
    <t xml:space="preserve">000027633512</t>
  </si>
  <si>
    <t xml:space="preserve">ESTRELLA MARIA</t>
  </si>
  <si>
    <t xml:space="preserve">MORENO FARIA</t>
  </si>
  <si>
    <t xml:space="preserve">0262-4930375</t>
  </si>
  <si>
    <t xml:space="preserve">06947643</t>
  </si>
  <si>
    <t xml:space="preserve">000027633535</t>
  </si>
  <si>
    <t xml:space="preserve">YULIANI SARAHI</t>
  </si>
  <si>
    <t xml:space="preserve">RIVERO MORALES</t>
  </si>
  <si>
    <t xml:space="preserve">12803177</t>
  </si>
  <si>
    <t xml:space="preserve">000027633561</t>
  </si>
  <si>
    <t xml:space="preserve">KENDRY JAVIER</t>
  </si>
  <si>
    <t xml:space="preserve">URDANETA FERNANDEZ</t>
  </si>
  <si>
    <t xml:space="preserve">SECTOR MARIMONDA III</t>
  </si>
  <si>
    <t xml:space="preserve">07628687</t>
  </si>
  <si>
    <t xml:space="preserve">000027633563</t>
  </si>
  <si>
    <t xml:space="preserve">YOKENDRY JAVIER</t>
  </si>
  <si>
    <t xml:space="preserve">GONZALEZ GUANIPA</t>
  </si>
  <si>
    <t xml:space="preserve">09755473</t>
  </si>
  <si>
    <t xml:space="preserve">000027633569</t>
  </si>
  <si>
    <t xml:space="preserve">JOSE ENRIQUE</t>
  </si>
  <si>
    <t xml:space="preserve">LEON CHAVEZ </t>
  </si>
  <si>
    <t xml:space="preserve">BARRIO MARIO URDANETA</t>
  </si>
  <si>
    <t xml:space="preserve">15011813</t>
  </si>
  <si>
    <t xml:space="preserve">000027633571</t>
  </si>
  <si>
    <t xml:space="preserve">ANGEL EDUARDO</t>
  </si>
  <si>
    <t xml:space="preserve">RINCON GONZALEZ</t>
  </si>
  <si>
    <t xml:space="preserve">0426-3620273</t>
  </si>
  <si>
    <t xml:space="preserve">12379634</t>
  </si>
  <si>
    <t xml:space="preserve">000027633572</t>
  </si>
  <si>
    <t xml:space="preserve">OMARVIS JOSE</t>
  </si>
  <si>
    <t xml:space="preserve">MORALES FINOL</t>
  </si>
  <si>
    <t xml:space="preserve">0416-1132713</t>
  </si>
  <si>
    <t xml:space="preserve">11297481</t>
  </si>
  <si>
    <t xml:space="preserve">000027633577</t>
  </si>
  <si>
    <t xml:space="preserve">HOLOVALIS ABIGAIL</t>
  </si>
  <si>
    <t xml:space="preserve">BARRIOS DIAZ</t>
  </si>
  <si>
    <t xml:space="preserve">09770807</t>
  </si>
  <si>
    <t xml:space="preserve">000027633812</t>
  </si>
  <si>
    <t xml:space="preserve">WILMER ANTONIO</t>
  </si>
  <si>
    <t xml:space="preserve">NEGRETTE VILLALOBOS</t>
  </si>
  <si>
    <t xml:space="preserve">21421733</t>
  </si>
  <si>
    <t xml:space="preserve">000027633813</t>
  </si>
  <si>
    <t xml:space="preserve">LORIATHNI ISABEL</t>
  </si>
  <si>
    <t xml:space="preserve">INCIARTE BRAVO</t>
  </si>
  <si>
    <t xml:space="preserve">0426-4656895</t>
  </si>
  <si>
    <t xml:space="preserve">12306829</t>
  </si>
  <si>
    <t xml:space="preserve">000027633814</t>
  </si>
  <si>
    <t xml:space="preserve">YOSKERWIN JOSE</t>
  </si>
  <si>
    <t xml:space="preserve">BRIÑEZ OLIVERO</t>
  </si>
  <si>
    <t xml:space="preserve">S/ MARIO URDANETA</t>
  </si>
  <si>
    <t xml:space="preserve">0416-2276385</t>
  </si>
  <si>
    <t xml:space="preserve">16494712</t>
  </si>
  <si>
    <t xml:space="preserve">000027633815</t>
  </si>
  <si>
    <t xml:space="preserve">JOSKENDY DAVID</t>
  </si>
  <si>
    <t xml:space="preserve">OLIVERO ARRIETA</t>
  </si>
  <si>
    <t xml:space="preserve">000027633816</t>
  </si>
  <si>
    <t xml:space="preserve">NEIDELIN PAOLA</t>
  </si>
  <si>
    <t xml:space="preserve">FINOL RIVERO</t>
  </si>
  <si>
    <t xml:space="preserve">B/ EL COLORADO</t>
  </si>
  <si>
    <t xml:space="preserve">0426-9614400</t>
  </si>
  <si>
    <t xml:space="preserve">14279012</t>
  </si>
  <si>
    <t xml:space="preserve">000027633817</t>
  </si>
  <si>
    <t xml:space="preserve">HECTOR LUIS</t>
  </si>
  <si>
    <t xml:space="preserve">INCIARTE PIRELA</t>
  </si>
  <si>
    <t xml:space="preserve">0412-7640162</t>
  </si>
  <si>
    <t xml:space="preserve">14747209</t>
  </si>
  <si>
    <t xml:space="preserve">000027633818</t>
  </si>
  <si>
    <t xml:space="preserve">EDILIANA</t>
  </si>
  <si>
    <t xml:space="preserve">CUADRADO FINOL</t>
  </si>
  <si>
    <t xml:space="preserve">11291327</t>
  </si>
  <si>
    <t xml:space="preserve">000027633836</t>
  </si>
  <si>
    <t xml:space="preserve">FERNANDO JOSE</t>
  </si>
  <si>
    <t xml:space="preserve">FERNANDEZ FERNANDEZ</t>
  </si>
  <si>
    <t xml:space="preserve">B/ SIMON BOLIVAR</t>
  </si>
  <si>
    <t xml:space="preserve">0416-0153725</t>
  </si>
  <si>
    <t xml:space="preserve">21711080</t>
  </si>
  <si>
    <t xml:space="preserve">000027633837</t>
  </si>
  <si>
    <t xml:space="preserve">ENMANUEL DE JESUS</t>
  </si>
  <si>
    <t xml:space="preserve">PORTILLO QUIROZ</t>
  </si>
  <si>
    <t xml:space="preserve">0416-9034299</t>
  </si>
  <si>
    <t xml:space="preserve">17915815</t>
  </si>
  <si>
    <t xml:space="preserve">000027633842</t>
  </si>
  <si>
    <t xml:space="preserve">DEIVIS JESUS</t>
  </si>
  <si>
    <t xml:space="preserve">BARROSO DE LA CRUZ</t>
  </si>
  <si>
    <t xml:space="preserve">S/ LA CANTV</t>
  </si>
  <si>
    <t xml:space="preserve">20380445</t>
  </si>
  <si>
    <t xml:space="preserve">000027633843</t>
  </si>
  <si>
    <t xml:space="preserve">LENIN JUNIOR</t>
  </si>
  <si>
    <t xml:space="preserve">QUINTANA HERRERA</t>
  </si>
  <si>
    <t xml:space="preserve">B/ LA GRAN FAMILIA</t>
  </si>
  <si>
    <t xml:space="preserve">0426-1632403</t>
  </si>
  <si>
    <t xml:space="preserve">12802519</t>
  </si>
  <si>
    <t xml:space="preserve">000027633846</t>
  </si>
  <si>
    <t xml:space="preserve">MARIA ANA</t>
  </si>
  <si>
    <t xml:space="preserve">DE LA CRUZ FARIA</t>
  </si>
  <si>
    <t xml:space="preserve">CORITO</t>
  </si>
  <si>
    <t xml:space="preserve">0416-7642663</t>
  </si>
  <si>
    <t xml:space="preserve">11287004</t>
  </si>
  <si>
    <t xml:space="preserve">000027633850</t>
  </si>
  <si>
    <t xml:space="preserve">GERARDO JOSUE</t>
  </si>
  <si>
    <t xml:space="preserve">FERNANDEZ MOLLEDA</t>
  </si>
  <si>
    <t xml:space="preserve">0426-6246857</t>
  </si>
  <si>
    <t xml:space="preserve">05051836</t>
  </si>
  <si>
    <t xml:space="preserve">000027633851</t>
  </si>
  <si>
    <t xml:space="preserve">JEFFERSON BRAYAN</t>
  </si>
  <si>
    <t xml:space="preserve">BERRUETA VILLASMIL</t>
  </si>
  <si>
    <t xml:space="preserve">19811471</t>
  </si>
  <si>
    <t xml:space="preserve">000027633891</t>
  </si>
  <si>
    <t xml:space="preserve">MAIROBIS DEL CARMEN</t>
  </si>
  <si>
    <t xml:space="preserve">BRAVO MORENO</t>
  </si>
  <si>
    <t xml:space="preserve">0426-3006721</t>
  </si>
  <si>
    <t xml:space="preserve">18318939</t>
  </si>
  <si>
    <t xml:space="preserve">000027744057</t>
  </si>
  <si>
    <t xml:space="preserve">YEIVANY KRISMEL</t>
  </si>
  <si>
    <t xml:space="preserve">DELGADO PULGAR</t>
  </si>
  <si>
    <t xml:space="preserve">13005187</t>
  </si>
  <si>
    <t xml:space="preserve">000027744058</t>
  </si>
  <si>
    <t xml:space="preserve">GRENYELY ROSA</t>
  </si>
  <si>
    <t xml:space="preserve">0426-1603813</t>
  </si>
  <si>
    <t xml:space="preserve">17565044</t>
  </si>
  <si>
    <t xml:space="preserve">000027744059</t>
  </si>
  <si>
    <t xml:space="preserve">REGINO JOSE</t>
  </si>
  <si>
    <t xml:space="preserve">PALMAR URDANETA</t>
  </si>
  <si>
    <t xml:space="preserve">07798228</t>
  </si>
  <si>
    <t xml:space="preserve">000027744339</t>
  </si>
  <si>
    <t xml:space="preserve">KEVIN JUNIOR</t>
  </si>
  <si>
    <t xml:space="preserve">FERNANDEZ MOLERO</t>
  </si>
  <si>
    <t xml:space="preserve">16608890</t>
  </si>
  <si>
    <t xml:space="preserve">000027744340</t>
  </si>
  <si>
    <t xml:space="preserve">KLEIDER JOSE</t>
  </si>
  <si>
    <t xml:space="preserve">ROBLES PORTILLO</t>
  </si>
  <si>
    <t xml:space="preserve">15889661</t>
  </si>
  <si>
    <t xml:space="preserve">000027744341</t>
  </si>
  <si>
    <t xml:space="preserve">YEIDIMAR CHIQUINQUIRA</t>
  </si>
  <si>
    <t xml:space="preserve">ROMERO JUAREZ</t>
  </si>
  <si>
    <t xml:space="preserve">0262-8661231</t>
  </si>
  <si>
    <t xml:space="preserve">05723434</t>
  </si>
  <si>
    <t xml:space="preserve">000027744345</t>
  </si>
  <si>
    <t xml:space="preserve">YAIBILET DEL CARMEN</t>
  </si>
  <si>
    <t xml:space="preserve">ALDANA FUENMAYOR</t>
  </si>
  <si>
    <t xml:space="preserve">14458546</t>
  </si>
  <si>
    <t xml:space="preserve">000027744347</t>
  </si>
  <si>
    <t xml:space="preserve">ROXIBEL DEL CARMEN</t>
  </si>
  <si>
    <t xml:space="preserve">URDANETA RUBIO</t>
  </si>
  <si>
    <t xml:space="preserve">DETRÁS DE LA GUARDIA</t>
  </si>
  <si>
    <t xml:space="preserve">16835711</t>
  </si>
  <si>
    <t xml:space="preserve">000027744348</t>
  </si>
  <si>
    <t xml:space="preserve">DEIGLIMAR SOLAINNE</t>
  </si>
  <si>
    <t xml:space="preserve">MANRIQUE QUINTERO</t>
  </si>
  <si>
    <t xml:space="preserve">0426-2679937</t>
  </si>
  <si>
    <t xml:space="preserve">12344084</t>
  </si>
  <si>
    <t xml:space="preserve">000027744350</t>
  </si>
  <si>
    <t xml:space="preserve">ANGIBELY CHIQUINQUIRA</t>
  </si>
  <si>
    <t xml:space="preserve">LIZARAZO BRACHO</t>
  </si>
  <si>
    <t xml:space="preserve">13574709</t>
  </si>
  <si>
    <t xml:space="preserve">000027744361</t>
  </si>
  <si>
    <t xml:space="preserve">YIRSON JAVIER</t>
  </si>
  <si>
    <t xml:space="preserve">VILLALOBOS JIMENEZ</t>
  </si>
  <si>
    <t xml:space="preserve">16728951</t>
  </si>
  <si>
    <t xml:space="preserve">000027744424</t>
  </si>
  <si>
    <t xml:space="preserve">ISAAC DE JESUS</t>
  </si>
  <si>
    <t xml:space="preserve">RIVERO MORLES</t>
  </si>
  <si>
    <t xml:space="preserve">0416-5680434</t>
  </si>
  <si>
    <t xml:space="preserve">17938273</t>
  </si>
  <si>
    <t xml:space="preserve">000027744468</t>
  </si>
  <si>
    <t xml:space="preserve">YULIANI KARINA</t>
  </si>
  <si>
    <t xml:space="preserve">URDANETA MARIN </t>
  </si>
  <si>
    <t xml:space="preserve">SECTOR LA M</t>
  </si>
  <si>
    <t xml:space="preserve">09715445</t>
  </si>
  <si>
    <t xml:space="preserve">000027744473</t>
  </si>
  <si>
    <t xml:space="preserve">NAHYN</t>
  </si>
  <si>
    <t xml:space="preserve">PRIMERA MELEAN</t>
  </si>
  <si>
    <t xml:space="preserve">07766126</t>
  </si>
  <si>
    <t xml:space="preserve">000027744476</t>
  </si>
  <si>
    <t xml:space="preserve">JOSE DAVID</t>
  </si>
  <si>
    <t xml:space="preserve">SECTOR LAS VEGAS</t>
  </si>
  <si>
    <t xml:space="preserve">0426-8666113</t>
  </si>
  <si>
    <t xml:space="preserve">09752475</t>
  </si>
  <si>
    <t xml:space="preserve">000027744490</t>
  </si>
  <si>
    <t xml:space="preserve">DEIBIS JESUS</t>
  </si>
  <si>
    <t xml:space="preserve">PORTILLO GONZALEZ</t>
  </si>
  <si>
    <t xml:space="preserve">0426-1610173</t>
  </si>
  <si>
    <t xml:space="preserve">15986796</t>
  </si>
  <si>
    <t xml:space="preserve">000027744524</t>
  </si>
  <si>
    <t xml:space="preserve">JACKSON GREGORIO</t>
  </si>
  <si>
    <t xml:space="preserve">ANTUNEZ NUÑEZ</t>
  </si>
  <si>
    <t xml:space="preserve">16985783</t>
  </si>
  <si>
    <t xml:space="preserve">000027744527</t>
  </si>
  <si>
    <t xml:space="preserve">ADRIANGELI ESTHER</t>
  </si>
  <si>
    <t xml:space="preserve">CASTILLO CUBILLAN</t>
  </si>
  <si>
    <t xml:space="preserve">0426-3617962</t>
  </si>
  <si>
    <t xml:space="preserve">05047924</t>
  </si>
  <si>
    <t xml:space="preserve">000027886859</t>
  </si>
  <si>
    <t xml:space="preserve">JESUS DANIEL</t>
  </si>
  <si>
    <t xml:space="preserve">ACOSTA RODRIGUEZ</t>
  </si>
  <si>
    <t xml:space="preserve">99999999</t>
  </si>
  <si>
    <t xml:space="preserve">000027845414</t>
  </si>
  <si>
    <t xml:space="preserve">YONEILIS DEL CARMEN</t>
  </si>
  <si>
    <t xml:space="preserve">MOLLEJA QUINTERO</t>
  </si>
  <si>
    <t xml:space="preserve">SECTOR LAS MATAS</t>
  </si>
  <si>
    <t xml:space="preserve">15625665</t>
  </si>
  <si>
    <t xml:space="preserve">000027886907</t>
  </si>
  <si>
    <t xml:space="preserve">ELIANA CAROLINA</t>
  </si>
  <si>
    <t xml:space="preserve">CASTILLO AULAR</t>
  </si>
  <si>
    <t xml:space="preserve">07814215</t>
  </si>
  <si>
    <t xml:space="preserve">000027909056</t>
  </si>
  <si>
    <t xml:space="preserve">JOMILETH YOANY</t>
  </si>
  <si>
    <t xml:space="preserve">FERNANDEZ CABRERA</t>
  </si>
  <si>
    <t xml:space="preserve">PARADA DE LOS BUSES</t>
  </si>
  <si>
    <t xml:space="preserve">0416-8629456</t>
  </si>
  <si>
    <t xml:space="preserve">09779409</t>
  </si>
  <si>
    <t xml:space="preserve">000027918827</t>
  </si>
  <si>
    <t xml:space="preserve">ALEXANDER</t>
  </si>
  <si>
    <t xml:space="preserve">DUQUE MEDINA</t>
  </si>
  <si>
    <t xml:space="preserve">CARDENAS</t>
  </si>
  <si>
    <t xml:space="preserve">TÁCHIRA</t>
  </si>
  <si>
    <t xml:space="preserve">LAS CASITAS EL DILUVIO</t>
  </si>
  <si>
    <t xml:space="preserve">0263-7877301</t>
  </si>
  <si>
    <t xml:space="preserve">17677563</t>
  </si>
  <si>
    <t xml:space="preserve">000027931749</t>
  </si>
  <si>
    <t xml:space="preserve">DADIER ANTONIO</t>
  </si>
  <si>
    <t xml:space="preserve">URDANETA VARGAS</t>
  </si>
  <si>
    <t xml:space="preserve">BARRIO SAN BENITO</t>
  </si>
  <si>
    <t xml:space="preserve">29523277</t>
  </si>
  <si>
    <t xml:space="preserve">000027932109</t>
  </si>
  <si>
    <t xml:space="preserve">MARY ISABEL</t>
  </si>
  <si>
    <t xml:space="preserve">CORONA MONTIEL</t>
  </si>
  <si>
    <t xml:space="preserve">MACHIQUES DE PERIJA</t>
  </si>
  <si>
    <t xml:space="preserve">S/ LAS VEGAS</t>
  </si>
  <si>
    <t xml:space="preserve">14895893</t>
  </si>
  <si>
    <t xml:space="preserve">000027997797</t>
  </si>
  <si>
    <t xml:space="preserve">JOSSEMILHY GABRIELA</t>
  </si>
  <si>
    <t xml:space="preserve">FERRER URDANETA</t>
  </si>
  <si>
    <t xml:space="preserve">MAUROA</t>
  </si>
  <si>
    <t xml:space="preserve">FALCON</t>
  </si>
  <si>
    <t xml:space="preserve">FA</t>
  </si>
  <si>
    <t xml:space="preserve">0426-6253113</t>
  </si>
  <si>
    <t xml:space="preserve">000027998213</t>
  </si>
  <si>
    <t xml:space="preserve">ANYELINA CHIQUINQUIRA</t>
  </si>
  <si>
    <t xml:space="preserve">12468060</t>
  </si>
  <si>
    <t xml:space="preserve">000027998214</t>
  </si>
  <si>
    <t xml:space="preserve">GREGORIO JOSE</t>
  </si>
  <si>
    <t xml:space="preserve">RAMIREZ PAZ</t>
  </si>
  <si>
    <t xml:space="preserve">15286449</t>
  </si>
  <si>
    <t xml:space="preserve">000027998216</t>
  </si>
  <si>
    <t xml:space="preserve">ANDERSON JOSE</t>
  </si>
  <si>
    <t xml:space="preserve">RODRIGUEZ FUENMAYOR</t>
  </si>
  <si>
    <t xml:space="preserve">09741064</t>
  </si>
  <si>
    <t xml:space="preserve">000027998218</t>
  </si>
  <si>
    <t xml:space="preserve">MARY YULY</t>
  </si>
  <si>
    <t xml:space="preserve">BERRUETA GONZALEZ</t>
  </si>
  <si>
    <t xml:space="preserve">11869024</t>
  </si>
  <si>
    <t xml:space="preserve">000027998227</t>
  </si>
  <si>
    <t xml:space="preserve">LEONELA DEL VALLE</t>
  </si>
  <si>
    <t xml:space="preserve">INCIARTE BRIÑEZ</t>
  </si>
  <si>
    <t xml:space="preserve">0416-0613568</t>
  </si>
  <si>
    <t xml:space="preserve">13005228</t>
  </si>
  <si>
    <t xml:space="preserve">000027998231</t>
  </si>
  <si>
    <t xml:space="preserve">JORGE LUIS</t>
  </si>
  <si>
    <t xml:space="preserve">BOHORQUEZ ATENCIO</t>
  </si>
  <si>
    <t xml:space="preserve">16458575</t>
  </si>
  <si>
    <t xml:space="preserve">000027998233</t>
  </si>
  <si>
    <t xml:space="preserve">EBERSON YIOVANNI</t>
  </si>
  <si>
    <t xml:space="preserve">RAMIREZ RIOS</t>
  </si>
  <si>
    <t xml:space="preserve">0262-2051842</t>
  </si>
  <si>
    <t xml:space="preserve">09772512</t>
  </si>
  <si>
    <t xml:space="preserve">000027998238</t>
  </si>
  <si>
    <t xml:space="preserve">JOSE DANIEL</t>
  </si>
  <si>
    <t xml:space="preserve">VERA GONZALEZ</t>
  </si>
  <si>
    <t xml:space="preserve">13627952</t>
  </si>
  <si>
    <t xml:space="preserve">000027998247</t>
  </si>
  <si>
    <t xml:space="preserve">ALIRIANA ANDREINA</t>
  </si>
  <si>
    <t xml:space="preserve">FUENMAYOR NEGRETTI</t>
  </si>
  <si>
    <t xml:space="preserve">09778821</t>
  </si>
  <si>
    <t xml:space="preserve">000027998248</t>
  </si>
  <si>
    <t xml:space="preserve">RICK LAYONEL</t>
  </si>
  <si>
    <t xml:space="preserve">RIVERO ZARRAGA</t>
  </si>
  <si>
    <t xml:space="preserve">0416-5618511</t>
  </si>
  <si>
    <t xml:space="preserve">16728235</t>
  </si>
  <si>
    <t xml:space="preserve">000027998250</t>
  </si>
  <si>
    <t xml:space="preserve">OMAR JOSE</t>
  </si>
  <si>
    <t xml:space="preserve">VERA PULGAR </t>
  </si>
  <si>
    <t xml:space="preserve">SECTOR EL TAPARO</t>
  </si>
  <si>
    <t xml:space="preserve">0412-4272848</t>
  </si>
  <si>
    <t xml:space="preserve">12872364</t>
  </si>
  <si>
    <t xml:space="preserve">000027998251</t>
  </si>
  <si>
    <t xml:space="preserve">ANILUZ EDICTA</t>
  </si>
  <si>
    <t xml:space="preserve">VILLALOBOS SOTURNO</t>
  </si>
  <si>
    <t xml:space="preserve">10443832</t>
  </si>
  <si>
    <t xml:space="preserve">000027998255</t>
  </si>
  <si>
    <t xml:space="preserve">GELIMAR KARINA</t>
  </si>
  <si>
    <t xml:space="preserve">FUENMAYOR OLIVEROS</t>
  </si>
  <si>
    <t xml:space="preserve">12621420</t>
  </si>
  <si>
    <t xml:space="preserve">000027998257</t>
  </si>
  <si>
    <t xml:space="preserve">NAIDELIS DEL CARMEN</t>
  </si>
  <si>
    <t xml:space="preserve">FERNANDEZ FUENMAYOR</t>
  </si>
  <si>
    <t xml:space="preserve">S/ LAS JAVILLITAS</t>
  </si>
  <si>
    <t xml:space="preserve">0426-9670758</t>
  </si>
  <si>
    <t xml:space="preserve">13081048</t>
  </si>
  <si>
    <t xml:space="preserve">000027998258</t>
  </si>
  <si>
    <t xml:space="preserve">YORGELIS PAOLA</t>
  </si>
  <si>
    <t xml:space="preserve">PERCHE BRIÑEZ</t>
  </si>
  <si>
    <t xml:space="preserve">0426-1618947</t>
  </si>
  <si>
    <t xml:space="preserve">11866123</t>
  </si>
  <si>
    <t xml:space="preserve">000027998259</t>
  </si>
  <si>
    <t xml:space="preserve">LISBEIDYS DANIELA</t>
  </si>
  <si>
    <t xml:space="preserve">MATOS GONZALEZ</t>
  </si>
  <si>
    <t xml:space="preserve">BARRIO 5 DE ENERO</t>
  </si>
  <si>
    <t xml:space="preserve">16296510</t>
  </si>
  <si>
    <t xml:space="preserve">000027998261</t>
  </si>
  <si>
    <t xml:space="preserve">MAIBELIS DEL CARMEN</t>
  </si>
  <si>
    <t xml:space="preserve">FARIA MAPARI</t>
  </si>
  <si>
    <t xml:space="preserve">LAS JAVILLITAS</t>
  </si>
  <si>
    <t xml:space="preserve">18918123</t>
  </si>
  <si>
    <t xml:space="preserve">000027998262</t>
  </si>
  <si>
    <t xml:space="preserve">MARIA DE LOS ANGELES</t>
  </si>
  <si>
    <t xml:space="preserve">SIBIRA FERNANDEZ</t>
  </si>
  <si>
    <t xml:space="preserve">17413862</t>
  </si>
  <si>
    <t xml:space="preserve">000027998265</t>
  </si>
  <si>
    <t xml:space="preserve">YURAIMIS DEL VALLE</t>
  </si>
  <si>
    <t xml:space="preserve">MOLINA URDANETA</t>
  </si>
  <si>
    <t xml:space="preserve">LOS MARANOS</t>
  </si>
  <si>
    <t xml:space="preserve">0416-2242670</t>
  </si>
  <si>
    <t xml:space="preserve">13005144</t>
  </si>
  <si>
    <t xml:space="preserve">000028088801</t>
  </si>
  <si>
    <t xml:space="preserve">ELISEO RAMON</t>
  </si>
  <si>
    <t xml:space="preserve">VILLALOBOS PALMAR</t>
  </si>
  <si>
    <t xml:space="preserve">11286238</t>
  </si>
  <si>
    <t xml:space="preserve">000028088804</t>
  </si>
  <si>
    <t xml:space="preserve">ANGIBEL CAROLINA</t>
  </si>
  <si>
    <t xml:space="preserve">CARREÑO URDANETA</t>
  </si>
  <si>
    <t xml:space="preserve">0416-5618615</t>
  </si>
  <si>
    <t xml:space="preserve">09744652</t>
  </si>
  <si>
    <t xml:space="preserve">000028088833</t>
  </si>
  <si>
    <t xml:space="preserve">FLORES MONTIEL</t>
  </si>
  <si>
    <t xml:space="preserve">0426-1660607</t>
  </si>
  <si>
    <t xml:space="preserve">16609601</t>
  </si>
  <si>
    <t xml:space="preserve">000028103780</t>
  </si>
  <si>
    <t xml:space="preserve">DIEGO JOSE</t>
  </si>
  <si>
    <t xml:space="preserve">ACOSTA RUIZ</t>
  </si>
  <si>
    <t xml:space="preserve">SANTA RITA</t>
  </si>
  <si>
    <t xml:space="preserve">19119164</t>
  </si>
  <si>
    <t xml:space="preserve">000028133168</t>
  </si>
  <si>
    <t xml:space="preserve">KEIVERT JOSE</t>
  </si>
  <si>
    <t xml:space="preserve">CASTILLO MOLERO</t>
  </si>
  <si>
    <t xml:space="preserve">0262-4937692</t>
  </si>
  <si>
    <t xml:space="preserve">14234401</t>
  </si>
  <si>
    <t xml:space="preserve">000028145548</t>
  </si>
  <si>
    <t xml:space="preserve">CECILIA RUTHMERIS</t>
  </si>
  <si>
    <t xml:space="preserve">BASTIDAS RAMIREZ</t>
  </si>
  <si>
    <t xml:space="preserve">CARACAS</t>
  </si>
  <si>
    <t xml:space="preserve">DISTRITO CAPITAL</t>
  </si>
  <si>
    <t xml:space="preserve">DC</t>
  </si>
  <si>
    <t xml:space="preserve">0426-7694185</t>
  </si>
  <si>
    <t xml:space="preserve">11876703</t>
  </si>
  <si>
    <t xml:space="preserve">000028145549</t>
  </si>
  <si>
    <t xml:space="preserve">ADAILSA SELENDY</t>
  </si>
  <si>
    <t xml:space="preserve">0426-7694186</t>
  </si>
  <si>
    <t xml:space="preserve">000028252740</t>
  </si>
  <si>
    <t xml:space="preserve">YULEINIS DEL VALLE</t>
  </si>
  <si>
    <t xml:space="preserve">LEAL GONZALEZ</t>
  </si>
  <si>
    <t xml:space="preserve">SECTOR EL PUEBLO</t>
  </si>
  <si>
    <t xml:space="preserve">0416-9080128</t>
  </si>
  <si>
    <t xml:space="preserve">16016320</t>
  </si>
  <si>
    <t xml:space="preserve">000028265286</t>
  </si>
  <si>
    <t xml:space="preserve">VALDES MONTERO</t>
  </si>
  <si>
    <t xml:space="preserve">25491489</t>
  </si>
  <si>
    <t xml:space="preserve">000028271168</t>
  </si>
  <si>
    <t xml:space="preserve">YONEL MANUEL</t>
  </si>
  <si>
    <t xml:space="preserve">BRACHO REYES</t>
  </si>
  <si>
    <t xml:space="preserve">0416-1679181</t>
  </si>
  <si>
    <t xml:space="preserve">81904953</t>
  </si>
  <si>
    <t xml:space="preserve">000028400218</t>
  </si>
  <si>
    <t xml:space="preserve">DIOMAR SEGUNDO</t>
  </si>
  <si>
    <t xml:space="preserve">AVENDAÑO FUENMAYOR</t>
  </si>
  <si>
    <t xml:space="preserve">0412-6635936</t>
  </si>
  <si>
    <t xml:space="preserve">06805873</t>
  </si>
  <si>
    <t xml:space="preserve">000028470762</t>
  </si>
  <si>
    <t xml:space="preserve">DARKELI MARIBEL</t>
  </si>
  <si>
    <t xml:space="preserve">URDANETA FONSECA</t>
  </si>
  <si>
    <t xml:space="preserve">16017810</t>
  </si>
  <si>
    <t xml:space="preserve">000028506087</t>
  </si>
  <si>
    <t xml:space="preserve">OSMEIDY CAROLINA</t>
  </si>
  <si>
    <t xml:space="preserve">BRIÑEZ MORALES</t>
  </si>
  <si>
    <t xml:space="preserve">16018560</t>
  </si>
  <si>
    <t xml:space="preserve">000028509687</t>
  </si>
  <si>
    <t xml:space="preserve">DANIELA MARIA</t>
  </si>
  <si>
    <t xml:space="preserve">GONZALEZ PALMAR</t>
  </si>
  <si>
    <t xml:space="preserve">S/ LOS JAGUEYES</t>
  </si>
  <si>
    <t xml:space="preserve">21686077</t>
  </si>
  <si>
    <t xml:space="preserve">000028515826</t>
  </si>
  <si>
    <t xml:space="preserve">RICHARD JOSE</t>
  </si>
  <si>
    <t xml:space="preserve">GONZALEZ FERRER</t>
  </si>
  <si>
    <t xml:space="preserve">12695224</t>
  </si>
  <si>
    <t xml:space="preserve">000028515976</t>
  </si>
  <si>
    <t xml:space="preserve">JOSE MARCELO</t>
  </si>
  <si>
    <t xml:space="preserve">MORALES MORALES</t>
  </si>
  <si>
    <t xml:space="preserve">SECTOR LA JAVILLITA</t>
  </si>
  <si>
    <t xml:space="preserve">05054043</t>
  </si>
  <si>
    <t xml:space="preserve">000028527565</t>
  </si>
  <si>
    <t xml:space="preserve">LUIS FERNANDO</t>
  </si>
  <si>
    <t xml:space="preserve">HERNANDEZ MIRANDA</t>
  </si>
  <si>
    <t xml:space="preserve">11299502</t>
  </si>
  <si>
    <t xml:space="preserve">000028582588</t>
  </si>
  <si>
    <t xml:space="preserve">ALEXANDER DE JESUS</t>
  </si>
  <si>
    <t xml:space="preserve">BERTEL FERNANDEZ</t>
  </si>
  <si>
    <t xml:space="preserve">0416-7683332</t>
  </si>
  <si>
    <t xml:space="preserve">11688553</t>
  </si>
  <si>
    <t xml:space="preserve">000028582782</t>
  </si>
  <si>
    <t xml:space="preserve">CELIMAR BETANIA</t>
  </si>
  <si>
    <t xml:space="preserve">MOLERO SIBIRA</t>
  </si>
  <si>
    <t xml:space="preserve">20508671</t>
  </si>
  <si>
    <t xml:space="preserve">000028569476</t>
  </si>
  <si>
    <t xml:space="preserve">LUIS ENRIQUE</t>
  </si>
  <si>
    <t xml:space="preserve">DIAZ GONZALEZ</t>
  </si>
  <si>
    <t xml:space="preserve">12870515</t>
  </si>
  <si>
    <t xml:space="preserve">000028497736</t>
  </si>
  <si>
    <t xml:space="preserve">MEDALDO JOSE</t>
  </si>
  <si>
    <t xml:space="preserve">PARRA CASTILLO</t>
  </si>
  <si>
    <t xml:space="preserve">17567805</t>
  </si>
  <si>
    <t xml:space="preserve">000029523975</t>
  </si>
  <si>
    <t xml:space="preserve">ABRAHNY TRINIDAD</t>
  </si>
  <si>
    <t xml:space="preserve">ISSA SANCHEZ</t>
  </si>
  <si>
    <t xml:space="preserve">0263-7877676</t>
  </si>
  <si>
    <t xml:space="preserve">25186751</t>
  </si>
  <si>
    <t xml:space="preserve">000029546990</t>
  </si>
  <si>
    <t xml:space="preserve">LUGO FINOL</t>
  </si>
  <si>
    <t xml:space="preserve">0426-4256169</t>
  </si>
  <si>
    <t xml:space="preserve">12379379</t>
  </si>
  <si>
    <t xml:space="preserve">000029563314</t>
  </si>
  <si>
    <t xml:space="preserve">REINALDO ALBERTO</t>
  </si>
  <si>
    <t xml:space="preserve">AÑEZ AVILA </t>
  </si>
  <si>
    <t xml:space="preserve">09744047</t>
  </si>
  <si>
    <t xml:space="preserve">000029573032</t>
  </si>
  <si>
    <t xml:space="preserve">JESUS JAVIER</t>
  </si>
  <si>
    <t xml:space="preserve">FINOL ROMERO</t>
  </si>
  <si>
    <t xml:space="preserve">URB/ EL COLORADO</t>
  </si>
  <si>
    <t xml:space="preserve">0426-4692540</t>
  </si>
  <si>
    <t xml:space="preserve">16079698</t>
  </si>
  <si>
    <t xml:space="preserve">000029607163</t>
  </si>
  <si>
    <t xml:space="preserve">MEDINA</t>
  </si>
  <si>
    <t xml:space="preserve">TACHIRA</t>
  </si>
  <si>
    <t xml:space="preserve">TA</t>
  </si>
  <si>
    <t xml:space="preserve">0263-7877302</t>
  </si>
  <si>
    <t xml:space="preserve">000029613080</t>
  </si>
  <si>
    <t xml:space="preserve">JESUS DAVID</t>
  </si>
  <si>
    <t xml:space="preserve">ROBLES SARMIENTO</t>
  </si>
  <si>
    <t xml:space="preserve">NOTEREY II</t>
  </si>
  <si>
    <t xml:space="preserve">0262-8039321</t>
  </si>
  <si>
    <t xml:space="preserve">11291736</t>
  </si>
  <si>
    <t xml:space="preserve">000029645769</t>
  </si>
  <si>
    <t xml:space="preserve">NOHERLIS SARAIS</t>
  </si>
  <si>
    <t xml:space="preserve">ESIS FINOL</t>
  </si>
  <si>
    <t xml:space="preserve">15286413</t>
  </si>
  <si>
    <t xml:space="preserve">000029646245</t>
  </si>
  <si>
    <t xml:space="preserve">MARYORIS CAROLINA</t>
  </si>
  <si>
    <t xml:space="preserve">PALMAR</t>
  </si>
  <si>
    <t xml:space="preserve">18394679</t>
  </si>
  <si>
    <t xml:space="preserve">000029714050</t>
  </si>
  <si>
    <t xml:space="preserve">MARIANGEL</t>
  </si>
  <si>
    <t xml:space="preserve">CASTELLAR PRINS</t>
  </si>
  <si>
    <t xml:space="preserve">0416-7643436</t>
  </si>
  <si>
    <t xml:space="preserve">12602471</t>
  </si>
  <si>
    <t xml:space="preserve">000029714935</t>
  </si>
  <si>
    <t xml:space="preserve">GABRIELA DEL CARMEN</t>
  </si>
  <si>
    <t xml:space="preserve">HERNANDEZ DUARTE</t>
  </si>
  <si>
    <t xml:space="preserve">16781896</t>
  </si>
  <si>
    <t xml:space="preserve">000029717999</t>
  </si>
  <si>
    <t xml:space="preserve">SANTIAGO</t>
  </si>
  <si>
    <t xml:space="preserve">JIMENEZ CAMPO</t>
  </si>
  <si>
    <t xml:space="preserve">SIMON BOLIVAR</t>
  </si>
  <si>
    <t xml:space="preserve">83140326</t>
  </si>
  <si>
    <t xml:space="preserve">000029730059</t>
  </si>
  <si>
    <t xml:space="preserve">PEDRO PABLO</t>
  </si>
  <si>
    <t xml:space="preserve">URDANETA CARVAJAL</t>
  </si>
  <si>
    <t xml:space="preserve">07826755</t>
  </si>
  <si>
    <t xml:space="preserve">000029730454</t>
  </si>
  <si>
    <t xml:space="preserve">ADARLY JASMIN</t>
  </si>
  <si>
    <t xml:space="preserve">VALERA VELASQUEZ</t>
  </si>
  <si>
    <t xml:space="preserve">0416-2283530</t>
  </si>
  <si>
    <t xml:space="preserve">17070482</t>
  </si>
  <si>
    <t xml:space="preserve">000029749286</t>
  </si>
  <si>
    <t xml:space="preserve">JOHANA ESTHER</t>
  </si>
  <si>
    <t xml:space="preserve">0426-8677966</t>
  </si>
  <si>
    <t xml:space="preserve">13511807</t>
  </si>
  <si>
    <t xml:space="preserve">000029790974</t>
  </si>
  <si>
    <t xml:space="preserve">RIVERO PADILLA</t>
  </si>
  <si>
    <t xml:space="preserve">83507169</t>
  </si>
  <si>
    <t xml:space="preserve">000029790990</t>
  </si>
  <si>
    <t xml:space="preserve">WILMER JOSE</t>
  </si>
  <si>
    <t xml:space="preserve">FARIA ATENCIO</t>
  </si>
  <si>
    <t xml:space="preserve">16151676</t>
  </si>
  <si>
    <t xml:space="preserve">000029812015</t>
  </si>
  <si>
    <t xml:space="preserve">CARLOS DANIEL</t>
  </si>
  <si>
    <t xml:space="preserve">ROMERO BERRUETA</t>
  </si>
  <si>
    <t xml:space="preserve">PLANTA DE PDVSA-GAS</t>
  </si>
  <si>
    <t xml:space="preserve">11286215</t>
  </si>
  <si>
    <t xml:space="preserve">000029812017</t>
  </si>
  <si>
    <t xml:space="preserve">NEIRILYN YULIANA</t>
  </si>
  <si>
    <t xml:space="preserve">VERA TORRES</t>
  </si>
  <si>
    <t xml:space="preserve">SECTOR ROBERTO FUENMAYOR</t>
  </si>
  <si>
    <t xml:space="preserve">17088456</t>
  </si>
  <si>
    <t xml:space="preserve">000029812018</t>
  </si>
  <si>
    <t xml:space="preserve">VANESSA SOBEIDA</t>
  </si>
  <si>
    <t xml:space="preserve">000029812020</t>
  </si>
  <si>
    <t xml:space="preserve">ESTEFANI</t>
  </si>
  <si>
    <t xml:space="preserve">VITAR MERCADO</t>
  </si>
  <si>
    <t xml:space="preserve">0416-2245618</t>
  </si>
  <si>
    <t xml:space="preserve">30666536</t>
  </si>
  <si>
    <t xml:space="preserve">000029816221</t>
  </si>
  <si>
    <t xml:space="preserve">NAIROBYS PATRICIA</t>
  </si>
  <si>
    <t xml:space="preserve">DIAZ NAVA</t>
  </si>
  <si>
    <t xml:space="preserve">14370480</t>
  </si>
  <si>
    <t xml:space="preserve">000029816721</t>
  </si>
  <si>
    <t xml:space="preserve">OSNAIRY DEL VALLE</t>
  </si>
  <si>
    <t xml:space="preserve">RAMIREZ CUADRO </t>
  </si>
  <si>
    <t xml:space="preserve">0426-7611693</t>
  </si>
  <si>
    <t xml:space="preserve">04530876</t>
  </si>
  <si>
    <t xml:space="preserve">000029836214</t>
  </si>
  <si>
    <t xml:space="preserve">LASMELY DEL VALLE</t>
  </si>
  <si>
    <t xml:space="preserve">SOTURNO JIMENEZ</t>
  </si>
  <si>
    <t xml:space="preserve">0416-2690277</t>
  </si>
  <si>
    <t xml:space="preserve">18318016</t>
  </si>
  <si>
    <t xml:space="preserve">000029836216</t>
  </si>
  <si>
    <t xml:space="preserve">LORELIS ESTHER</t>
  </si>
  <si>
    <t xml:space="preserve">FERNANDEZ MAPARI</t>
  </si>
  <si>
    <t xml:space="preserve">16367554</t>
  </si>
  <si>
    <t xml:space="preserve">000029836341</t>
  </si>
  <si>
    <t xml:space="preserve">ANDRY JAVIER</t>
  </si>
  <si>
    <t xml:space="preserve">MATUTE GONZALEZ</t>
  </si>
  <si>
    <t xml:space="preserve">13371797</t>
  </si>
  <si>
    <t xml:space="preserve">000029836338</t>
  </si>
  <si>
    <t xml:space="preserve">YULIMAR ANDREINA</t>
  </si>
  <si>
    <t xml:space="preserve">GONZALEZ CASTILLO</t>
  </si>
  <si>
    <t xml:space="preserve">0426-4239402</t>
  </si>
  <si>
    <t xml:space="preserve">15466864</t>
  </si>
  <si>
    <t xml:space="preserve">000029844599</t>
  </si>
  <si>
    <t xml:space="preserve">JOSE CARLOS</t>
  </si>
  <si>
    <t xml:space="preserve">CARRASQUERO VILLALOBOS</t>
  </si>
  <si>
    <t xml:space="preserve">LA PARADA DE LOS BUSES</t>
  </si>
  <si>
    <t xml:space="preserve">0426-1616451</t>
  </si>
  <si>
    <t xml:space="preserve">07816627</t>
  </si>
  <si>
    <t xml:space="preserve">000029844649</t>
  </si>
  <si>
    <t xml:space="preserve">ELWIN JOSE</t>
  </si>
  <si>
    <t xml:space="preserve">RODRIGUEZ GONZALEZ</t>
  </si>
  <si>
    <t xml:space="preserve">0426-7010065</t>
  </si>
  <si>
    <t xml:space="preserve">10405727</t>
  </si>
  <si>
    <t xml:space="preserve">000029859473</t>
  </si>
  <si>
    <t xml:space="preserve">LISBETH DE LOS ANGELES</t>
  </si>
  <si>
    <t xml:space="preserve">JIMENEZ FUENMAYOR</t>
  </si>
  <si>
    <t xml:space="preserve">17184096</t>
  </si>
  <si>
    <t xml:space="preserve">000029902540</t>
  </si>
  <si>
    <t xml:space="preserve">KISBEL PAOLA</t>
  </si>
  <si>
    <t xml:space="preserve">URDANETA MALDONADO</t>
  </si>
  <si>
    <t xml:space="preserve">MARIMONDA III</t>
  </si>
  <si>
    <t xml:space="preserve">0426-4655987</t>
  </si>
  <si>
    <t xml:space="preserve">25680441</t>
  </si>
  <si>
    <t xml:space="preserve">000029902944</t>
  </si>
  <si>
    <t xml:space="preserve">YUSLIBER REINA</t>
  </si>
  <si>
    <t xml:space="preserve">RODRIGUEZ HERNANDEZ</t>
  </si>
  <si>
    <t xml:space="preserve">0416-0602531</t>
  </si>
  <si>
    <t xml:space="preserve">11393102</t>
  </si>
  <si>
    <t xml:space="preserve">000029902959</t>
  </si>
  <si>
    <t xml:space="preserve">EUDELI MARIA</t>
  </si>
  <si>
    <t xml:space="preserve">MARIN VILLALOBOS</t>
  </si>
  <si>
    <t xml:space="preserve">0416-0662345</t>
  </si>
  <si>
    <t xml:space="preserve">15559018</t>
  </si>
  <si>
    <t xml:space="preserve">000029902961</t>
  </si>
  <si>
    <t xml:space="preserve">ARMANDO ENRIQUE</t>
  </si>
  <si>
    <t xml:space="preserve">17295090</t>
  </si>
  <si>
    <t xml:space="preserve">000029902964</t>
  </si>
  <si>
    <t xml:space="preserve">BRAIAN JOSIAS</t>
  </si>
  <si>
    <t xml:space="preserve">RIVERO GONZALEZ</t>
  </si>
  <si>
    <t xml:space="preserve">0416-2662584</t>
  </si>
  <si>
    <t xml:space="preserve">12801563</t>
  </si>
  <si>
    <t xml:space="preserve">000029902974</t>
  </si>
  <si>
    <t xml:space="preserve">ANIBAL JAVIER</t>
  </si>
  <si>
    <t xml:space="preserve">OCHOA VIZCAINO</t>
  </si>
  <si>
    <t xml:space="preserve">25297891</t>
  </si>
  <si>
    <t xml:space="preserve">000029902984</t>
  </si>
  <si>
    <t xml:space="preserve">UBERLY GABRIELA</t>
  </si>
  <si>
    <t xml:space="preserve">FERNANDEZ ROMERO </t>
  </si>
  <si>
    <t xml:space="preserve">B/ CAUCAGUITA</t>
  </si>
  <si>
    <t xml:space="preserve">0426-7362171</t>
  </si>
  <si>
    <t xml:space="preserve">17736162</t>
  </si>
  <si>
    <t xml:space="preserve">000029902985</t>
  </si>
  <si>
    <t xml:space="preserve">DANIEL ALBERTO</t>
  </si>
  <si>
    <t xml:space="preserve">INCIARTE URDANETA</t>
  </si>
  <si>
    <t xml:space="preserve">0262-4930625</t>
  </si>
  <si>
    <t xml:space="preserve">13829829</t>
  </si>
  <si>
    <t xml:space="preserve">000029902989</t>
  </si>
  <si>
    <t xml:space="preserve">LUIS ANTONIO</t>
  </si>
  <si>
    <t xml:space="preserve">HERRERA VILCHEZ</t>
  </si>
  <si>
    <t xml:space="preserve">0416-0269589</t>
  </si>
  <si>
    <t xml:space="preserve">13704984</t>
  </si>
  <si>
    <t xml:space="preserve">000029932219</t>
  </si>
  <si>
    <t xml:space="preserve">MERCEDES MARIA</t>
  </si>
  <si>
    <t xml:space="preserve">URDANETA RIVERO</t>
  </si>
  <si>
    <t xml:space="preserve">0426-2615104</t>
  </si>
  <si>
    <t xml:space="preserve">09510626</t>
  </si>
  <si>
    <t xml:space="preserve">000030010396</t>
  </si>
  <si>
    <t xml:space="preserve">ALEXANDER JESUS</t>
  </si>
  <si>
    <t xml:space="preserve">MADUEÑO BOZO</t>
  </si>
  <si>
    <t xml:space="preserve">0424-6692309</t>
  </si>
  <si>
    <t xml:space="preserve">15889028</t>
  </si>
  <si>
    <t xml:space="preserve">000030029022</t>
  </si>
  <si>
    <t xml:space="preserve">YOBERLIN WILMARY</t>
  </si>
  <si>
    <t xml:space="preserve">LOZANO VILLALOBOS</t>
  </si>
  <si>
    <t xml:space="preserve">0426-1009091</t>
  </si>
  <si>
    <t xml:space="preserve">16729347</t>
  </si>
  <si>
    <t xml:space="preserve">010006805998</t>
  </si>
  <si>
    <t xml:space="preserve">MARISOL DEL CARMEN</t>
  </si>
  <si>
    <t xml:space="preserve">POLANCO GONZALEZ</t>
  </si>
  <si>
    <t xml:space="preserve">0426-6685992</t>
  </si>
  <si>
    <t xml:space="preserve">06805998</t>
  </si>
  <si>
    <t xml:space="preserve">000030049202</t>
  </si>
  <si>
    <t xml:space="preserve">SAMIR JESUS</t>
  </si>
  <si>
    <t xml:space="preserve">GUERRA GONZALEZ</t>
  </si>
  <si>
    <t xml:space="preserve">CARRETERA LABERINTO </t>
  </si>
  <si>
    <t xml:space="preserve">08507599</t>
  </si>
  <si>
    <t xml:space="preserve">000030101472</t>
  </si>
  <si>
    <t xml:space="preserve">ERIC JOSE</t>
  </si>
  <si>
    <t xml:space="preserve">VALLES ARIAS</t>
  </si>
  <si>
    <t xml:space="preserve">09745225</t>
  </si>
  <si>
    <t xml:space="preserve">000031669351</t>
  </si>
  <si>
    <t xml:space="preserve">ENRIQUE JOSE</t>
  </si>
  <si>
    <t xml:space="preserve">GONZALEZ BRAVO</t>
  </si>
  <si>
    <t xml:space="preserve">0426-6239768</t>
  </si>
  <si>
    <t xml:space="preserve">09753577</t>
  </si>
  <si>
    <t xml:space="preserve">000029977756</t>
  </si>
  <si>
    <t xml:space="preserve">DEIVIMAR DEL CARMEN</t>
  </si>
  <si>
    <t xml:space="preserve">CHAVEZ URDANETA</t>
  </si>
  <si>
    <t xml:space="preserve">0262-4933068</t>
  </si>
  <si>
    <t xml:space="preserve">09770529</t>
  </si>
  <si>
    <t xml:space="preserve">000031786431</t>
  </si>
  <si>
    <t xml:space="preserve">YODARVIS JOSE</t>
  </si>
  <si>
    <t xml:space="preserve">MEDINA FUENMAYOR</t>
  </si>
  <si>
    <t xml:space="preserve">4169603018</t>
  </si>
  <si>
    <t xml:space="preserve">10428564</t>
  </si>
  <si>
    <t xml:space="preserve">000030049196</t>
  </si>
  <si>
    <t xml:space="preserve">ANYIBELIS DELIA</t>
  </si>
  <si>
    <t xml:space="preserve">FERRER CONTRERAS</t>
  </si>
  <si>
    <t xml:space="preserve">SECTOR NOTEREY II</t>
  </si>
  <si>
    <t xml:space="preserve">0416-0173070</t>
  </si>
  <si>
    <t xml:space="preserve">11283885</t>
  </si>
  <si>
    <t xml:space="preserve">000031295323</t>
  </si>
  <si>
    <t xml:space="preserve">JAVIER ENRIQUE</t>
  </si>
  <si>
    <t xml:space="preserve">JIMENEZ RODRIGUEZ</t>
  </si>
  <si>
    <t xml:space="preserve">12444044</t>
  </si>
  <si>
    <t xml:space="preserve">010012757648</t>
  </si>
  <si>
    <t xml:space="preserve">CRISTIAN ANDRES</t>
  </si>
  <si>
    <t xml:space="preserve">OVIEDO COLON</t>
  </si>
  <si>
    <t xml:space="preserve">12757648</t>
  </si>
  <si>
    <t xml:space="preserve">000027633887</t>
  </si>
  <si>
    <t xml:space="preserve">ARIANA MICHELL</t>
  </si>
  <si>
    <t xml:space="preserve">S/ EL BESO LAS MARIAS</t>
  </si>
  <si>
    <t xml:space="preserve">12872780</t>
  </si>
  <si>
    <t xml:space="preserve">000030049195</t>
  </si>
  <si>
    <t xml:space="preserve">LUISANY DAYANA</t>
  </si>
  <si>
    <t xml:space="preserve">12872812</t>
  </si>
  <si>
    <t xml:space="preserve">000031884638</t>
  </si>
  <si>
    <t xml:space="preserve">MICHELLE MARGARITA</t>
  </si>
  <si>
    <t xml:space="preserve">BRAVO GONZALEZ</t>
  </si>
  <si>
    <t xml:space="preserve">13428850</t>
  </si>
  <si>
    <t xml:space="preserve">000031295314</t>
  </si>
  <si>
    <t xml:space="preserve">ANDRY JOSE</t>
  </si>
  <si>
    <t xml:space="preserve">CASTILLO RODRIGUEZ</t>
  </si>
  <si>
    <t xml:space="preserve">14824309</t>
  </si>
  <si>
    <t xml:space="preserve">000030084031</t>
  </si>
  <si>
    <t xml:space="preserve">ALISBEIRY MARIA</t>
  </si>
  <si>
    <t xml:space="preserve">VILCHEZ BRAVO</t>
  </si>
  <si>
    <t xml:space="preserve">15405087</t>
  </si>
  <si>
    <t xml:space="preserve">010015466779</t>
  </si>
  <si>
    <t xml:space="preserve">FREDDY ANTONIO</t>
  </si>
  <si>
    <t xml:space="preserve">ROMERO FUENMAYOR</t>
  </si>
  <si>
    <t xml:space="preserve">SECTOR LOS MARANOS</t>
  </si>
  <si>
    <t xml:space="preserve">0426-2232343</t>
  </si>
  <si>
    <t xml:space="preserve">15466779</t>
  </si>
  <si>
    <t xml:space="preserve">000030299129</t>
  </si>
  <si>
    <t xml:space="preserve">MARIA ANGELICA</t>
  </si>
  <si>
    <t xml:space="preserve">CAMACHO CAMPOS</t>
  </si>
  <si>
    <t xml:space="preserve">B/ 5 DE ENERO</t>
  </si>
  <si>
    <t xml:space="preserve">15765968</t>
  </si>
  <si>
    <t xml:space="preserve">000030231365</t>
  </si>
  <si>
    <t xml:space="preserve">YUBENIS JESUS</t>
  </si>
  <si>
    <t xml:space="preserve">NAVARRO PORTILLO</t>
  </si>
  <si>
    <t xml:space="preserve">S/ EL MATADERO</t>
  </si>
  <si>
    <t xml:space="preserve">0262-4116077</t>
  </si>
  <si>
    <t xml:space="preserve">15840049</t>
  </si>
  <si>
    <t xml:space="preserve">000029836352</t>
  </si>
  <si>
    <t xml:space="preserve">DEINER JOSE</t>
  </si>
  <si>
    <t xml:space="preserve">VALBUENA SALAZAR</t>
  </si>
  <si>
    <t xml:space="preserve">0426-9604558</t>
  </si>
  <si>
    <t xml:space="preserve">16187876</t>
  </si>
  <si>
    <t xml:space="preserve">000029963483</t>
  </si>
  <si>
    <t xml:space="preserve">DARIOLYS DEL CARMEN</t>
  </si>
  <si>
    <t xml:space="preserve">AVENDAÑO OLIVEROS</t>
  </si>
  <si>
    <t xml:space="preserve">16559945</t>
  </si>
  <si>
    <t xml:space="preserve">000030058119</t>
  </si>
  <si>
    <t xml:space="preserve">NAYIBIER OLIMAR</t>
  </si>
  <si>
    <t xml:space="preserve">YGUARAN AGUIRRE</t>
  </si>
  <si>
    <t xml:space="preserve">0416-5641097</t>
  </si>
  <si>
    <t xml:space="preserve">16560536</t>
  </si>
  <si>
    <t xml:space="preserve">000030101872</t>
  </si>
  <si>
    <t xml:space="preserve">YOARKI ALFONZO</t>
  </si>
  <si>
    <t xml:space="preserve">ANTUNEZ DIAZ</t>
  </si>
  <si>
    <t xml:space="preserve">0426-2661214</t>
  </si>
  <si>
    <t xml:space="preserve">000027744425</t>
  </si>
  <si>
    <t xml:space="preserve">GREGORY JOSE</t>
  </si>
  <si>
    <t xml:space="preserve">BRAVO BELTRAN</t>
  </si>
  <si>
    <t xml:space="preserve">17566372</t>
  </si>
  <si>
    <t xml:space="preserve">000030010991</t>
  </si>
  <si>
    <t xml:space="preserve">EDWIN JUNIOR</t>
  </si>
  <si>
    <t xml:space="preserve">BRACHO RIVERO</t>
  </si>
  <si>
    <t xml:space="preserve">18285274</t>
  </si>
  <si>
    <t xml:space="preserve">000030299125</t>
  </si>
  <si>
    <t xml:space="preserve">ARGENIS SEGUNDO</t>
  </si>
  <si>
    <t xml:space="preserve">URDANETA CASTILLO</t>
  </si>
  <si>
    <t xml:space="preserve">18918779</t>
  </si>
  <si>
    <t xml:space="preserve">000030101931</t>
  </si>
  <si>
    <t xml:space="preserve">ANGEL RADAMES</t>
  </si>
  <si>
    <t xml:space="preserve">21510257</t>
  </si>
  <si>
    <t xml:space="preserve">000031683566</t>
  </si>
  <si>
    <t xml:space="preserve">NEISIBEL CAROLINA</t>
  </si>
  <si>
    <t xml:space="preserve">OLIVERO SANCHEZ</t>
  </si>
  <si>
    <t xml:space="preserve">0426-6669692</t>
  </si>
  <si>
    <t xml:space="preserve">22140938</t>
  </si>
  <si>
    <t xml:space="preserve">010022163477</t>
  </si>
  <si>
    <t xml:space="preserve">ROMERO RODRIGUEZ</t>
  </si>
  <si>
    <t xml:space="preserve">0426-6635048</t>
  </si>
  <si>
    <t xml:space="preserve">22163477</t>
  </si>
  <si>
    <t xml:space="preserve">000030083666</t>
  </si>
  <si>
    <t xml:space="preserve">FABIO JAVIER</t>
  </si>
  <si>
    <t xml:space="preserve">RICO COLINA</t>
  </si>
  <si>
    <t xml:space="preserve">22246076</t>
  </si>
  <si>
    <t xml:space="preserve">010022613965</t>
  </si>
  <si>
    <t xml:space="preserve">MIRLEY PATRICIA</t>
  </si>
  <si>
    <t xml:space="preserve">GONZALEZ PICO</t>
  </si>
  <si>
    <t xml:space="preserve">22613965</t>
  </si>
  <si>
    <t xml:space="preserve">010057309490</t>
  </si>
  <si>
    <t xml:space="preserve">MANUELA NORALBA</t>
  </si>
  <si>
    <t xml:space="preserve">SANCHEZ PEREZ</t>
  </si>
  <si>
    <t xml:space="preserve">57309490</t>
  </si>
  <si>
    <t xml:space="preserve">000031050504</t>
  </si>
  <si>
    <t xml:space="preserve">YOANIS JOSE</t>
  </si>
  <si>
    <t xml:space="preserve">VILLALOBOS PALOMINO</t>
  </si>
  <si>
    <t xml:space="preserve">0261-3226238</t>
  </si>
  <si>
    <t xml:space="preserve">83140186</t>
  </si>
  <si>
    <t xml:space="preserve">000029836355</t>
  </si>
  <si>
    <t xml:space="preserve">MICHELY PAOLA</t>
  </si>
  <si>
    <t xml:space="preserve">GONZALEZ MARTINEZ</t>
  </si>
  <si>
    <t xml:space="preserve">0426-8620304</t>
  </si>
  <si>
    <t xml:space="preserve">09784453</t>
  </si>
  <si>
    <t xml:space="preserve">000030268294</t>
  </si>
  <si>
    <t xml:space="preserve">VALENTINA DE LOS ANGELES</t>
  </si>
  <si>
    <t xml:space="preserve">PEINADO GARCIA </t>
  </si>
  <si>
    <t xml:space="preserve">MATURIN</t>
  </si>
  <si>
    <t xml:space="preserve">MONAGAS</t>
  </si>
  <si>
    <t xml:space="preserve">MO</t>
  </si>
  <si>
    <t xml:space="preserve">0426-6676435</t>
  </si>
  <si>
    <t xml:space="preserve">16456338</t>
  </si>
  <si>
    <t xml:space="preserve">000030036569</t>
  </si>
  <si>
    <t xml:space="preserve">JESUS SALVADOR</t>
  </si>
  <si>
    <t xml:space="preserve">0426-3625096</t>
  </si>
  <si>
    <t xml:space="preserve">17183401</t>
  </si>
  <si>
    <t xml:space="preserve">000029836321</t>
  </si>
  <si>
    <t xml:space="preserve">ISMAEL ALIRIO</t>
  </si>
  <si>
    <t xml:space="preserve">CASTILLO CASTRO </t>
  </si>
  <si>
    <t xml:space="preserve">17183892</t>
  </si>
  <si>
    <t xml:space="preserve">000030029500</t>
  </si>
  <si>
    <t xml:space="preserve">YIRETH ANDREA</t>
  </si>
  <si>
    <t xml:space="preserve">VERGARA TIGRERA</t>
  </si>
  <si>
    <t xml:space="preserve">0416-9082805</t>
  </si>
  <si>
    <t xml:space="preserve">19810980</t>
  </si>
  <si>
    <t xml:space="preserve">010123089959</t>
  </si>
  <si>
    <t xml:space="preserve">ADOLFO JOSE</t>
  </si>
  <si>
    <t xml:space="preserve">CADENA POTE</t>
  </si>
  <si>
    <t xml:space="preserve">ROBERTO FUENMAYOR</t>
  </si>
  <si>
    <t xml:space="preserve">SECTOR EL NAZARENO</t>
  </si>
  <si>
    <t xml:space="preserve">0416-2237514</t>
  </si>
  <si>
    <t xml:space="preserve">10021882</t>
  </si>
  <si>
    <t xml:space="preserve">000030036090</t>
  </si>
  <si>
    <t xml:space="preserve">JUAN ANDRES</t>
  </si>
  <si>
    <t xml:space="preserve">FERNANDEZ GONZALEZ</t>
  </si>
  <si>
    <t xml:space="preserve">0262-2057728</t>
  </si>
  <si>
    <t xml:space="preserve">14279031</t>
  </si>
  <si>
    <t xml:space="preserve">000029717028</t>
  </si>
  <si>
    <t xml:space="preserve">YULIETH  </t>
  </si>
  <si>
    <t xml:space="preserve">COGOLLO RANGEL</t>
  </si>
  <si>
    <t xml:space="preserve">0426-8681986</t>
  </si>
  <si>
    <t xml:space="preserve">25145390</t>
  </si>
  <si>
    <t xml:space="preserve">019583176012</t>
  </si>
  <si>
    <t xml:space="preserve">CARMEN LUISA</t>
  </si>
  <si>
    <t xml:space="preserve">CORREA ZAMPALLO</t>
  </si>
  <si>
    <t xml:space="preserve">83176012</t>
  </si>
  <si>
    <t xml:space="preserve">019609778953</t>
  </si>
  <si>
    <t xml:space="preserve">FRAY LUIS</t>
  </si>
  <si>
    <t xml:space="preserve">FLOREZ OLIVEROS</t>
  </si>
  <si>
    <t xml:space="preserve">09778953</t>
  </si>
  <si>
    <t xml:space="preserve">000031525016</t>
  </si>
  <si>
    <t xml:space="preserve">YODARVI MANUEL</t>
  </si>
  <si>
    <t xml:space="preserve">MONTERO LOZANO</t>
  </si>
  <si>
    <t xml:space="preserve">0416-2222025</t>
  </si>
  <si>
    <t xml:space="preserve">13877173</t>
  </si>
  <si>
    <t xml:space="preserve">019719906307</t>
  </si>
  <si>
    <t xml:space="preserve">ELIO JESUS</t>
  </si>
  <si>
    <t xml:space="preserve">INCIARTE MADUEÑO</t>
  </si>
  <si>
    <t xml:space="preserve">19906307</t>
  </si>
  <si>
    <t xml:space="preserve">000029717026</t>
  </si>
  <si>
    <t xml:space="preserve">CAROLAY CAROLINA</t>
  </si>
  <si>
    <t xml:space="preserve">000031342614</t>
  </si>
  <si>
    <t xml:space="preserve">ESTEFANY CHIQUINQUIRA</t>
  </si>
  <si>
    <t xml:space="preserve">RAMIREZ MERCADO</t>
  </si>
  <si>
    <t xml:space="preserve">S/ LA PARADA</t>
  </si>
  <si>
    <t xml:space="preserve">0262-8088638</t>
  </si>
  <si>
    <t xml:space="preserve">06805795</t>
  </si>
  <si>
    <t xml:space="preserve">000030489586</t>
  </si>
  <si>
    <t xml:space="preserve">DEILY DEL CARMEN</t>
  </si>
  <si>
    <t xml:space="preserve">EL HONDITO</t>
  </si>
  <si>
    <t xml:space="preserve">0426-1682301</t>
  </si>
  <si>
    <t xml:space="preserve">12697228</t>
  </si>
  <si>
    <t xml:space="preserve">019817565481</t>
  </si>
  <si>
    <t xml:space="preserve">LEONEL JESUS</t>
  </si>
  <si>
    <t xml:space="preserve">MORALES  BALAZARTE</t>
  </si>
  <si>
    <t xml:space="preserve">17565481</t>
  </si>
  <si>
    <t xml:space="preserve">000029836732</t>
  </si>
  <si>
    <t xml:space="preserve">YOSELIN DEL CARMEN</t>
  </si>
  <si>
    <t xml:space="preserve">BRIÑEZ LOPEZ</t>
  </si>
  <si>
    <t xml:space="preserve">0426-2000528</t>
  </si>
  <si>
    <t xml:space="preserve">12513576</t>
  </si>
  <si>
    <t xml:space="preserve">000030974533</t>
  </si>
  <si>
    <t xml:space="preserve">YONAIRY PAOLA</t>
  </si>
  <si>
    <t xml:space="preserve">0416-2222024</t>
  </si>
  <si>
    <t xml:space="preserve">000029902970</t>
  </si>
  <si>
    <t xml:space="preserve">JOSHOA ANDRES</t>
  </si>
  <si>
    <t xml:space="preserve">GARCIA MOLERO</t>
  </si>
  <si>
    <t xml:space="preserve">16834958</t>
  </si>
  <si>
    <t xml:space="preserve">000031645509</t>
  </si>
  <si>
    <t xml:space="preserve">TATIANA DEL CARMEN</t>
  </si>
  <si>
    <t xml:space="preserve">DIAZ CHICA</t>
  </si>
  <si>
    <t xml:space="preserve">0426-2635519</t>
  </si>
  <si>
    <t xml:space="preserve">17834613</t>
  </si>
  <si>
    <t xml:space="preserve">000031285210</t>
  </si>
  <si>
    <t xml:space="preserve">YULIETH PAOLA</t>
  </si>
  <si>
    <t xml:space="preserve">VILLALOBOS RISTER</t>
  </si>
  <si>
    <t xml:space="preserve">BARRIO CHINITO RAFAEL</t>
  </si>
  <si>
    <t xml:space="preserve">18821110</t>
  </si>
  <si>
    <t xml:space="preserve">019921711080</t>
  </si>
  <si>
    <t xml:space="preserve">JOSE GREGORIO</t>
  </si>
  <si>
    <t xml:space="preserve">MENDOZA FERNANDEZ </t>
  </si>
  <si>
    <t xml:space="preserve">0416-0153726</t>
  </si>
  <si>
    <t xml:space="preserve">000029986396</t>
  </si>
  <si>
    <t xml:space="preserve">KENDRY PAOLA</t>
  </si>
  <si>
    <t xml:space="preserve">MARQUEZ VILORIA</t>
  </si>
  <si>
    <t xml:space="preserve">EL COLORADO II</t>
  </si>
  <si>
    <t xml:space="preserve">22141303</t>
  </si>
  <si>
    <t xml:space="preserve">019925181058</t>
  </si>
  <si>
    <t xml:space="preserve">EDGAR ANTONIO</t>
  </si>
  <si>
    <t xml:space="preserve">MUÑOZ RODRIGUEZ</t>
  </si>
  <si>
    <t xml:space="preserve">EL CARMEN DE BOLIVAR</t>
  </si>
  <si>
    <t xml:space="preserve">COLOMBIA</t>
  </si>
  <si>
    <t xml:space="preserve">EX</t>
  </si>
  <si>
    <t xml:space="preserve">0416-7601031</t>
  </si>
  <si>
    <t xml:space="preserve">25181058</t>
  </si>
  <si>
    <t xml:space="preserve">019925481695</t>
  </si>
  <si>
    <t xml:space="preserve">CAMILO ANDRES</t>
  </si>
  <si>
    <t xml:space="preserve">CHAVEZ ALVARES</t>
  </si>
  <si>
    <t xml:space="preserve">25481695</t>
  </si>
  <si>
    <t xml:space="preserve">019933272477</t>
  </si>
  <si>
    <t xml:space="preserve">MERCEDES EDITH</t>
  </si>
  <si>
    <t xml:space="preserve">TAPIA BARRIOS</t>
  </si>
  <si>
    <t xml:space="preserve">ROSARIO DE PERIJA</t>
  </si>
  <si>
    <t xml:space="preserve">0426-6697442</t>
  </si>
  <si>
    <t xml:space="preserve">33272477</t>
  </si>
  <si>
    <t xml:space="preserve">019933273323</t>
  </si>
  <si>
    <t xml:space="preserve">YESICA PAOLA</t>
  </si>
  <si>
    <t xml:space="preserve">GARCIA CARMONA</t>
  </si>
  <si>
    <t xml:space="preserve">33273323</t>
  </si>
  <si>
    <t xml:space="preserve">010006239062</t>
  </si>
  <si>
    <t xml:space="preserve">ELVER JESUS</t>
  </si>
  <si>
    <t xml:space="preserve">POLO PADILLA</t>
  </si>
  <si>
    <t xml:space="preserve">10623940</t>
  </si>
  <si>
    <t xml:space="preserve">000020509932</t>
  </si>
  <si>
    <t xml:space="preserve">ELVIA YAJAIRA</t>
  </si>
  <si>
    <t xml:space="preserve">4160166940</t>
  </si>
  <si>
    <t xml:space="preserve">000023466483</t>
  </si>
  <si>
    <t xml:space="preserve">CARLOS JARBER</t>
  </si>
  <si>
    <t xml:space="preserve">NAVA SANCHEZ</t>
  </si>
  <si>
    <t xml:space="preserve">SECTOR SAN VALENTIN</t>
  </si>
  <si>
    <t xml:space="preserve">4268685277</t>
  </si>
  <si>
    <t xml:space="preserve">07971588</t>
  </si>
  <si>
    <t xml:space="preserve">000023466549</t>
  </si>
  <si>
    <t xml:space="preserve">YOHENDRY ENRIQUE</t>
  </si>
  <si>
    <t xml:space="preserve">SUAREZ SUAREZ</t>
  </si>
  <si>
    <t xml:space="preserve">SECTOR CHINO RAFAEL</t>
  </si>
  <si>
    <t xml:space="preserve">4168648581</t>
  </si>
  <si>
    <t xml:space="preserve">19178215</t>
  </si>
  <si>
    <t xml:space="preserve">000023554855</t>
  </si>
  <si>
    <t xml:space="preserve">VILLALOBOS VILLALOBOS</t>
  </si>
  <si>
    <t xml:space="preserve">SECTOR SAN ANTONIO</t>
  </si>
  <si>
    <t xml:space="preserve">2626870861</t>
  </si>
  <si>
    <t xml:space="preserve">10434390</t>
  </si>
  <si>
    <t xml:space="preserve">000023856389</t>
  </si>
  <si>
    <t xml:space="preserve">VERONICA DEL CARMEN</t>
  </si>
  <si>
    <t xml:space="preserve">IGUARAN IGUARAN</t>
  </si>
  <si>
    <t xml:space="preserve">SECTOR EL 23, LOS COQUITOS</t>
  </si>
  <si>
    <t xml:space="preserve">4160693463</t>
  </si>
  <si>
    <t xml:space="preserve">09783304</t>
  </si>
  <si>
    <t xml:space="preserve">000024725039</t>
  </si>
  <si>
    <t xml:space="preserve">ALEJANDRO JUEZ</t>
  </si>
  <si>
    <t xml:space="preserve">4268692113</t>
  </si>
  <si>
    <t xml:space="preserve">000025039921</t>
  </si>
  <si>
    <t xml:space="preserve">LEOMER JOSE</t>
  </si>
  <si>
    <t xml:space="preserve">RIVAS ARRIETA</t>
  </si>
  <si>
    <t xml:space="preserve">4161136514</t>
  </si>
  <si>
    <t xml:space="preserve">13428119</t>
  </si>
  <si>
    <t xml:space="preserve">000025039934</t>
  </si>
  <si>
    <t xml:space="preserve">ROLANDY JAVIER</t>
  </si>
  <si>
    <t xml:space="preserve">CALDERA MORENO</t>
  </si>
  <si>
    <t xml:space="preserve">81934069</t>
  </si>
  <si>
    <t xml:space="preserve">000025596521</t>
  </si>
  <si>
    <t xml:space="preserve">NEGRETTE INCIARTE</t>
  </si>
  <si>
    <t xml:space="preserve">4147774066</t>
  </si>
  <si>
    <t xml:space="preserve">10579470</t>
  </si>
  <si>
    <t xml:space="preserve">000025597300</t>
  </si>
  <si>
    <t xml:space="preserve">DARLIS LISBETH</t>
  </si>
  <si>
    <t xml:space="preserve">MEDINA TELLO</t>
  </si>
  <si>
    <t xml:space="preserve">EL LABERINTO. CIUDAD COMUNAL</t>
  </si>
  <si>
    <t xml:space="preserve">4162282276</t>
  </si>
  <si>
    <t xml:space="preserve">13653504</t>
  </si>
  <si>
    <t xml:space="preserve">000025680344</t>
  </si>
  <si>
    <t xml:space="preserve">NEUDELVIS ALFREDO</t>
  </si>
  <si>
    <t xml:space="preserve">LABARCA URDANETA</t>
  </si>
  <si>
    <t xml:space="preserve">4266602973</t>
  </si>
  <si>
    <t xml:space="preserve">09779515</t>
  </si>
  <si>
    <t xml:space="preserve">000025680360</t>
  </si>
  <si>
    <t xml:space="preserve">JHON JADE</t>
  </si>
  <si>
    <t xml:space="preserve">BARRUETA PARRA</t>
  </si>
  <si>
    <t xml:space="preserve">4267608568</t>
  </si>
  <si>
    <t xml:space="preserve">09712974</t>
  </si>
  <si>
    <t xml:space="preserve">000025680366</t>
  </si>
  <si>
    <t xml:space="preserve">MARCO JOSE</t>
  </si>
  <si>
    <t xml:space="preserve">COLMENARES BRACHO</t>
  </si>
  <si>
    <t xml:space="preserve">4164682496</t>
  </si>
  <si>
    <t xml:space="preserve">11662962</t>
  </si>
  <si>
    <t xml:space="preserve">000025680368</t>
  </si>
  <si>
    <t xml:space="preserve">MIGUEL ANGEL</t>
  </si>
  <si>
    <t xml:space="preserve">FUENMAYOR JIMENEZ</t>
  </si>
  <si>
    <t xml:space="preserve">4263258215</t>
  </si>
  <si>
    <t xml:space="preserve">13370908</t>
  </si>
  <si>
    <t xml:space="preserve">000025680381</t>
  </si>
  <si>
    <t xml:space="preserve">NEIDA LUZ</t>
  </si>
  <si>
    <t xml:space="preserve">NAVARRO URDANETA</t>
  </si>
  <si>
    <t xml:space="preserve">4162611032</t>
  </si>
  <si>
    <t xml:space="preserve">15766899</t>
  </si>
  <si>
    <t xml:space="preserve">000025680394</t>
  </si>
  <si>
    <t xml:space="preserve">CINDY LUZ</t>
  </si>
  <si>
    <t xml:space="preserve">CARO VARGAS</t>
  </si>
  <si>
    <t xml:space="preserve">4167212696</t>
  </si>
  <si>
    <t xml:space="preserve">14630747</t>
  </si>
  <si>
    <t xml:space="preserve">000025680397</t>
  </si>
  <si>
    <t xml:space="preserve">JONATHAN JOSUE</t>
  </si>
  <si>
    <t xml:space="preserve">SUAREZ ARRIETA</t>
  </si>
  <si>
    <t xml:space="preserve">12443781</t>
  </si>
  <si>
    <t xml:space="preserve">000025680399</t>
  </si>
  <si>
    <t xml:space="preserve">YOSELIN CHIQUINQUIRA</t>
  </si>
  <si>
    <t xml:space="preserve">ROMERO SUAREZ</t>
  </si>
  <si>
    <t xml:space="preserve">4169622720</t>
  </si>
  <si>
    <t xml:space="preserve">11874644</t>
  </si>
  <si>
    <t xml:space="preserve">000025680400</t>
  </si>
  <si>
    <t xml:space="preserve">LENGUA CONTRERAS</t>
  </si>
  <si>
    <t xml:space="preserve">4168685100</t>
  </si>
  <si>
    <t xml:space="preserve">83140185</t>
  </si>
  <si>
    <t xml:space="preserve">000025706813</t>
  </si>
  <si>
    <t xml:space="preserve">IYERLIN GRACIELA</t>
  </si>
  <si>
    <t xml:space="preserve">GONZALEZ MARRERO</t>
  </si>
  <si>
    <t xml:space="preserve">GUATIRE</t>
  </si>
  <si>
    <t xml:space="preserve">4267015107</t>
  </si>
  <si>
    <t xml:space="preserve">11294504</t>
  </si>
  <si>
    <t xml:space="preserve">000025802859</t>
  </si>
  <si>
    <t xml:space="preserve">FELIPE LEONARDO</t>
  </si>
  <si>
    <t xml:space="preserve">SAN ANTONIO</t>
  </si>
  <si>
    <t xml:space="preserve">000025883026</t>
  </si>
  <si>
    <t xml:space="preserve">DANIEL ALEJANDRO</t>
  </si>
  <si>
    <t xml:space="preserve">416064368</t>
  </si>
  <si>
    <t xml:space="preserve">000025883383</t>
  </si>
  <si>
    <t xml:space="preserve">NEIDYS COROMOTO</t>
  </si>
  <si>
    <t xml:space="preserve">000025883678</t>
  </si>
  <si>
    <t xml:space="preserve">ROINER DE JESUS</t>
  </si>
  <si>
    <t xml:space="preserve">BRIÑEZ SUAREZ</t>
  </si>
  <si>
    <t xml:space="preserve">000025883779</t>
  </si>
  <si>
    <t xml:space="preserve">SERGIO ENRIQUE</t>
  </si>
  <si>
    <t xml:space="preserve">FUENMAYOR ATENCIO</t>
  </si>
  <si>
    <t xml:space="preserve">4163625019</t>
  </si>
  <si>
    <t xml:space="preserve">16354078</t>
  </si>
  <si>
    <t xml:space="preserve">000025883889</t>
  </si>
  <si>
    <t xml:space="preserve">LISANDRA DEL CARMEN</t>
  </si>
  <si>
    <t xml:space="preserve">4261674499</t>
  </si>
  <si>
    <t xml:space="preserve">12216648</t>
  </si>
  <si>
    <t xml:space="preserve">000025979267</t>
  </si>
  <si>
    <t xml:space="preserve">CLAREINY JOSEFINA</t>
  </si>
  <si>
    <t xml:space="preserve">QUINTERO QUINTERO</t>
  </si>
  <si>
    <t xml:space="preserve">4268554400</t>
  </si>
  <si>
    <t xml:space="preserve">11871259</t>
  </si>
  <si>
    <t xml:space="preserve">000025979497</t>
  </si>
  <si>
    <t xml:space="preserve">JULIO CESAR</t>
  </si>
  <si>
    <t xml:space="preserve">4264696880</t>
  </si>
  <si>
    <t xml:space="preserve">000026032366</t>
  </si>
  <si>
    <t xml:space="preserve">JANDER MANUEL</t>
  </si>
  <si>
    <t xml:space="preserve">BALLESTERO PEREZ</t>
  </si>
  <si>
    <t xml:space="preserve">16559522</t>
  </si>
  <si>
    <t xml:space="preserve">000026169588</t>
  </si>
  <si>
    <t xml:space="preserve">JESUS BENITO</t>
  </si>
  <si>
    <t xml:space="preserve">LOPEZ URDANETA</t>
  </si>
  <si>
    <t xml:space="preserve">AV. PPAL LA PAZ</t>
  </si>
  <si>
    <t xml:space="preserve">4266657716</t>
  </si>
  <si>
    <t xml:space="preserve">07817417</t>
  </si>
  <si>
    <t xml:space="preserve">000026169589</t>
  </si>
  <si>
    <t xml:space="preserve">BRANDO JOSUE</t>
  </si>
  <si>
    <t xml:space="preserve">BARRIOS MARTINEZ</t>
  </si>
  <si>
    <t xml:space="preserve">4264605104</t>
  </si>
  <si>
    <t xml:space="preserve">11473355</t>
  </si>
  <si>
    <t xml:space="preserve">000026169610</t>
  </si>
  <si>
    <t xml:space="preserve">JOSE MANUEL</t>
  </si>
  <si>
    <t xml:space="preserve">URDANETA BENCOMO</t>
  </si>
  <si>
    <t xml:space="preserve">4261682301</t>
  </si>
  <si>
    <t xml:space="preserve">10997134</t>
  </si>
  <si>
    <t xml:space="preserve">000026169611</t>
  </si>
  <si>
    <t xml:space="preserve">GERSON ADAN</t>
  </si>
  <si>
    <t xml:space="preserve">GAMBOA GONZALEZ</t>
  </si>
  <si>
    <t xml:space="preserve">4164625897</t>
  </si>
  <si>
    <t xml:space="preserve">14545281</t>
  </si>
  <si>
    <t xml:space="preserve">000026169618</t>
  </si>
  <si>
    <t xml:space="preserve">LUIS DAVID</t>
  </si>
  <si>
    <t xml:space="preserve">4269632558</t>
  </si>
  <si>
    <t xml:space="preserve">000026169714</t>
  </si>
  <si>
    <t xml:space="preserve">ANA ELVIRA</t>
  </si>
  <si>
    <t xml:space="preserve">CASTILLO CASTILLO</t>
  </si>
  <si>
    <t xml:space="preserve">07876425</t>
  </si>
  <si>
    <t xml:space="preserve">000026169778</t>
  </si>
  <si>
    <t xml:space="preserve">ANDERSON JAVIER</t>
  </si>
  <si>
    <t xml:space="preserve">4268677966</t>
  </si>
  <si>
    <t xml:space="preserve">000026169781</t>
  </si>
  <si>
    <t xml:space="preserve">ARKENIS RAMON</t>
  </si>
  <si>
    <t xml:space="preserve">MORALES ROMERO</t>
  </si>
  <si>
    <t xml:space="preserve">LAS VIVIENDAS</t>
  </si>
  <si>
    <t xml:space="preserve">4269648041</t>
  </si>
  <si>
    <t xml:space="preserve">10414445</t>
  </si>
  <si>
    <t xml:space="preserve">000026169925</t>
  </si>
  <si>
    <t xml:space="preserve">YUSMARI DEL CARMEN</t>
  </si>
  <si>
    <t xml:space="preserve">EL BESO</t>
  </si>
  <si>
    <t xml:space="preserve">SECTOR EL BESO</t>
  </si>
  <si>
    <t xml:space="preserve">2620252129</t>
  </si>
  <si>
    <t xml:space="preserve">15194984</t>
  </si>
  <si>
    <t xml:space="preserve">000026239500</t>
  </si>
  <si>
    <t xml:space="preserve">YULITZA YOHANA</t>
  </si>
  <si>
    <t xml:space="preserve">4246227914</t>
  </si>
  <si>
    <t xml:space="preserve">000026239604</t>
  </si>
  <si>
    <t xml:space="preserve">LUCIMAR JOSEFINA</t>
  </si>
  <si>
    <t xml:space="preserve">BRAVO LABARCA</t>
  </si>
  <si>
    <t xml:space="preserve">4160857485</t>
  </si>
  <si>
    <t xml:space="preserve">11294490</t>
  </si>
  <si>
    <t xml:space="preserve">000026239872</t>
  </si>
  <si>
    <t xml:space="preserve">JOHANDERSON ENRIQUE</t>
  </si>
  <si>
    <t xml:space="preserve">TORRES PEREZ</t>
  </si>
  <si>
    <t xml:space="preserve">2625235073</t>
  </si>
  <si>
    <t xml:space="preserve">14083657</t>
  </si>
  <si>
    <t xml:space="preserve">000026276986</t>
  </si>
  <si>
    <t xml:space="preserve">JARVI JAVIER</t>
  </si>
  <si>
    <t xml:space="preserve">OLIVEROS OLIVEROS</t>
  </si>
  <si>
    <t xml:space="preserve">4269606960</t>
  </si>
  <si>
    <t xml:space="preserve">09782843</t>
  </si>
  <si>
    <t xml:space="preserve">000026353180</t>
  </si>
  <si>
    <t xml:space="preserve">ESPERANZA MARIA</t>
  </si>
  <si>
    <t xml:space="preserve">PERTUZ MONASTERIOS</t>
  </si>
  <si>
    <t xml:space="preserve">SECTOR EL BATACAZO</t>
  </si>
  <si>
    <t xml:space="preserve">4162644449</t>
  </si>
  <si>
    <t xml:space="preserve">22153713</t>
  </si>
  <si>
    <t xml:space="preserve">000026353185</t>
  </si>
  <si>
    <t xml:space="preserve">YOERVIS ENRIQUE</t>
  </si>
  <si>
    <t xml:space="preserve">GONZALEZ ORTEGA</t>
  </si>
  <si>
    <t xml:space="preserve">4262002102</t>
  </si>
  <si>
    <t xml:space="preserve">15193796</t>
  </si>
  <si>
    <t xml:space="preserve">000026353186</t>
  </si>
  <si>
    <t xml:space="preserve">CASTILLO BOSCAN</t>
  </si>
  <si>
    <t xml:space="preserve">4160866587</t>
  </si>
  <si>
    <t xml:space="preserve">15525424</t>
  </si>
  <si>
    <t xml:space="preserve">000026353191</t>
  </si>
  <si>
    <t xml:space="preserve">ESMAIRY PAOLA</t>
  </si>
  <si>
    <t xml:space="preserve">MORAN FINOL</t>
  </si>
  <si>
    <t xml:space="preserve">4266623081</t>
  </si>
  <si>
    <t xml:space="preserve">19645575</t>
  </si>
  <si>
    <t xml:space="preserve">000026375753</t>
  </si>
  <si>
    <t xml:space="preserve">RICHARD GABRIEL</t>
  </si>
  <si>
    <t xml:space="preserve">4165695904</t>
  </si>
  <si>
    <t xml:space="preserve">000026423332</t>
  </si>
  <si>
    <t xml:space="preserve">ELVIS JAVIER</t>
  </si>
  <si>
    <t xml:space="preserve">ATENCIO GONZALEZ</t>
  </si>
  <si>
    <t xml:space="preserve">SECTOR LA JABILLA</t>
  </si>
  <si>
    <t xml:space="preserve">4160263698</t>
  </si>
  <si>
    <t xml:space="preserve">15280983</t>
  </si>
  <si>
    <t xml:space="preserve">000026456430</t>
  </si>
  <si>
    <t xml:space="preserve">KERWIN JOSE</t>
  </si>
  <si>
    <t xml:space="preserve">LEAL ORTEGA</t>
  </si>
  <si>
    <t xml:space="preserve">08986865</t>
  </si>
  <si>
    <t xml:space="preserve">000026481085</t>
  </si>
  <si>
    <t xml:space="preserve">JEAN LUIS</t>
  </si>
  <si>
    <t xml:space="preserve">FINOL GONZALEZ</t>
  </si>
  <si>
    <t xml:space="preserve">4160604894</t>
  </si>
  <si>
    <t xml:space="preserve">06806310</t>
  </si>
  <si>
    <t xml:space="preserve">000026481100</t>
  </si>
  <si>
    <t xml:space="preserve">INES CHIQUINQUIRA</t>
  </si>
  <si>
    <t xml:space="preserve">HERNANDEZ DOMINGUEZ</t>
  </si>
  <si>
    <t xml:space="preserve">4164665915</t>
  </si>
  <si>
    <t xml:space="preserve">25489890</t>
  </si>
  <si>
    <t xml:space="preserve">000026481103</t>
  </si>
  <si>
    <t xml:space="preserve">YORBENIS ANTONIO</t>
  </si>
  <si>
    <t xml:space="preserve">FERRER MOLERO</t>
  </si>
  <si>
    <t xml:space="preserve">4264228502</t>
  </si>
  <si>
    <t xml:space="preserve">18382324</t>
  </si>
  <si>
    <t xml:space="preserve">000026481860</t>
  </si>
  <si>
    <t xml:space="preserve">ANGEL DANIEL</t>
  </si>
  <si>
    <t xml:space="preserve">BRIÑEZ PERCHE</t>
  </si>
  <si>
    <t xml:space="preserve">4264664206</t>
  </si>
  <si>
    <t xml:space="preserve">15525432</t>
  </si>
  <si>
    <t xml:space="preserve">000026481863</t>
  </si>
  <si>
    <t xml:space="preserve">RUDELVIS ADOLFO</t>
  </si>
  <si>
    <t xml:space="preserve">URDANETA BRACHO</t>
  </si>
  <si>
    <t xml:space="preserve">4264620636</t>
  </si>
  <si>
    <t xml:space="preserve">18317910</t>
  </si>
  <si>
    <t xml:space="preserve">000026481864</t>
  </si>
  <si>
    <t xml:space="preserve">LUCILA CRISTINA</t>
  </si>
  <si>
    <t xml:space="preserve">URDANETA FERRER</t>
  </si>
  <si>
    <t xml:space="preserve">2624111274</t>
  </si>
  <si>
    <t xml:space="preserve">12344501</t>
  </si>
  <si>
    <t xml:space="preserve">000026481876</t>
  </si>
  <si>
    <t xml:space="preserve">MAIROBIS MASSIEL</t>
  </si>
  <si>
    <t xml:space="preserve">VERA GUTIERREZ</t>
  </si>
  <si>
    <t xml:space="preserve">4168650989</t>
  </si>
  <si>
    <t xml:space="preserve">13010559</t>
  </si>
  <si>
    <t xml:space="preserve">000026481883</t>
  </si>
  <si>
    <t xml:space="preserve">DURAN PIRELA</t>
  </si>
  <si>
    <t xml:space="preserve">4246333727</t>
  </si>
  <si>
    <t xml:space="preserve">15524051</t>
  </si>
  <si>
    <t xml:space="preserve">000026481885</t>
  </si>
  <si>
    <t xml:space="preserve">LIYIRENIS DE LOS ANGELES</t>
  </si>
  <si>
    <t xml:space="preserve">FUENMAYOR MORALES</t>
  </si>
  <si>
    <t xml:space="preserve">SECTOR VALLE ENCANTADO</t>
  </si>
  <si>
    <t xml:space="preserve">4168664330</t>
  </si>
  <si>
    <t xml:space="preserve">15193099</t>
  </si>
  <si>
    <t xml:space="preserve">000026481891</t>
  </si>
  <si>
    <t xml:space="preserve">ANDRES EDUARDO</t>
  </si>
  <si>
    <t xml:space="preserve">PIRELA CASTILLO</t>
  </si>
  <si>
    <t xml:space="preserve">4162741166</t>
  </si>
  <si>
    <t xml:space="preserve">14117483</t>
  </si>
  <si>
    <t xml:space="preserve">000026481900</t>
  </si>
  <si>
    <t xml:space="preserve">NOLBEIDY COROMOTO</t>
  </si>
  <si>
    <t xml:space="preserve">BRAVO PORTILLO</t>
  </si>
  <si>
    <t xml:space="preserve">4269691132</t>
  </si>
  <si>
    <t xml:space="preserve">16493779</t>
  </si>
  <si>
    <t xml:space="preserve">000026535596</t>
  </si>
  <si>
    <t xml:space="preserve">YOSNEIDI GABRIELA</t>
  </si>
  <si>
    <t xml:space="preserve">GUERRERO ARAUJO</t>
  </si>
  <si>
    <t xml:space="preserve">MARACAY</t>
  </si>
  <si>
    <t xml:space="preserve">ARAGUA</t>
  </si>
  <si>
    <t xml:space="preserve">AR</t>
  </si>
  <si>
    <t xml:space="preserve">4164698037</t>
  </si>
  <si>
    <t xml:space="preserve">20355874</t>
  </si>
  <si>
    <t xml:space="preserve">000026639988</t>
  </si>
  <si>
    <t xml:space="preserve">ALBERTO ENRIQUE</t>
  </si>
  <si>
    <t xml:space="preserve">4262235316</t>
  </si>
  <si>
    <t xml:space="preserve">000026694646</t>
  </si>
  <si>
    <t xml:space="preserve">YORGENIS LUIS</t>
  </si>
  <si>
    <t xml:space="preserve">COLINA LOPEZ</t>
  </si>
  <si>
    <t xml:space="preserve">4167662367</t>
  </si>
  <si>
    <t xml:space="preserve">20578195</t>
  </si>
  <si>
    <t xml:space="preserve">000026694647</t>
  </si>
  <si>
    <t xml:space="preserve">ALEJANDRA DEL CARMEN</t>
  </si>
  <si>
    <t xml:space="preserve">PORTILLO NAVA</t>
  </si>
  <si>
    <t xml:space="preserve">2626874724</t>
  </si>
  <si>
    <t xml:space="preserve">16426219</t>
  </si>
  <si>
    <t xml:space="preserve">000026694648</t>
  </si>
  <si>
    <t xml:space="preserve">EBER ENRIQUE</t>
  </si>
  <si>
    <t xml:space="preserve">ELAGUILA GONZALEZ</t>
  </si>
  <si>
    <t xml:space="preserve">2628080287</t>
  </si>
  <si>
    <t xml:space="preserve">10406365</t>
  </si>
  <si>
    <t xml:space="preserve">000026694649</t>
  </si>
  <si>
    <t xml:space="preserve">JIMMY JOSE</t>
  </si>
  <si>
    <t xml:space="preserve">GUTIERREZ URDANETA</t>
  </si>
  <si>
    <t xml:space="preserve">4164610147</t>
  </si>
  <si>
    <t xml:space="preserve">09754407</t>
  </si>
  <si>
    <t xml:space="preserve">000026694651</t>
  </si>
  <si>
    <t xml:space="preserve">ANTONY JAVIER</t>
  </si>
  <si>
    <t xml:space="preserve">SULBARAN ABREU</t>
  </si>
  <si>
    <t xml:space="preserve">4169657121</t>
  </si>
  <si>
    <t xml:space="preserve">15946414</t>
  </si>
  <si>
    <t xml:space="preserve">000026694652</t>
  </si>
  <si>
    <t xml:space="preserve">NERDI JOSE</t>
  </si>
  <si>
    <t xml:space="preserve">ZAMBRANO MOLERO</t>
  </si>
  <si>
    <t xml:space="preserve">09745382</t>
  </si>
  <si>
    <t xml:space="preserve">000026694654</t>
  </si>
  <si>
    <t xml:space="preserve">MARIA PAULA</t>
  </si>
  <si>
    <t xml:space="preserve">13005181</t>
  </si>
  <si>
    <t xml:space="preserve">000026694663</t>
  </si>
  <si>
    <t xml:space="preserve">GENESIS NOHEMI</t>
  </si>
  <si>
    <t xml:space="preserve">VILLALOBOS CASTILLO</t>
  </si>
  <si>
    <t xml:space="preserve">2625238648</t>
  </si>
  <si>
    <t xml:space="preserve">13372873</t>
  </si>
  <si>
    <t xml:space="preserve">000026710048</t>
  </si>
  <si>
    <t xml:space="preserve">JOHAN ALEJANDRO</t>
  </si>
  <si>
    <t xml:space="preserve">IGUARAN GONZALEZ</t>
  </si>
  <si>
    <t xml:space="preserve">2628086474</t>
  </si>
  <si>
    <t xml:space="preserve">13429834</t>
  </si>
  <si>
    <t xml:space="preserve">000026710101</t>
  </si>
  <si>
    <t xml:space="preserve">CHARLIES JOSUEPH</t>
  </si>
  <si>
    <t xml:space="preserve">SECTOR LA PARADA</t>
  </si>
  <si>
    <t xml:space="preserve">4162662584</t>
  </si>
  <si>
    <t xml:space="preserve">000026710103</t>
  </si>
  <si>
    <t xml:space="preserve">MARIA FERNANDA</t>
  </si>
  <si>
    <t xml:space="preserve">BRIÑEZ CARDOZO</t>
  </si>
  <si>
    <t xml:space="preserve">4169637954</t>
  </si>
  <si>
    <t xml:space="preserve">18282583</t>
  </si>
  <si>
    <t xml:space="preserve">000026710104</t>
  </si>
  <si>
    <t xml:space="preserve">STEFANY MICHAEL</t>
  </si>
  <si>
    <t xml:space="preserve">MORALES MEJIAS</t>
  </si>
  <si>
    <t xml:space="preserve">2624118766</t>
  </si>
  <si>
    <t xml:space="preserve">04530878</t>
  </si>
  <si>
    <t xml:space="preserve">000026710106</t>
  </si>
  <si>
    <t xml:space="preserve">LUIS ANGEL</t>
  </si>
  <si>
    <t xml:space="preserve">GONZALEZ CIANFAGLIONE</t>
  </si>
  <si>
    <t xml:space="preserve">4263627081</t>
  </si>
  <si>
    <t xml:space="preserve">09785424</t>
  </si>
  <si>
    <t xml:space="preserve">000026710107</t>
  </si>
  <si>
    <t xml:space="preserve">ANGELO DE JESUS</t>
  </si>
  <si>
    <t xml:space="preserve">URDANETA SEPULVEDA</t>
  </si>
  <si>
    <t xml:space="preserve">4266431553</t>
  </si>
  <si>
    <t xml:space="preserve">12872836</t>
  </si>
  <si>
    <t xml:space="preserve">000026710110</t>
  </si>
  <si>
    <t xml:space="preserve">FRAN ENRIQUE</t>
  </si>
  <si>
    <t xml:space="preserve">BRACHO VILLALOBOS</t>
  </si>
  <si>
    <t xml:space="preserve">4261607308</t>
  </si>
  <si>
    <t xml:space="preserve">10431562</t>
  </si>
  <si>
    <t xml:space="preserve">000026743295</t>
  </si>
  <si>
    <t xml:space="preserve">WINDER JOSE</t>
  </si>
  <si>
    <t xml:space="preserve">4267658360</t>
  </si>
  <si>
    <t xml:space="preserve">000026743304</t>
  </si>
  <si>
    <t xml:space="preserve">ADRIANYS CAROLINA</t>
  </si>
  <si>
    <t xml:space="preserve">SUAREZ URDANETA</t>
  </si>
  <si>
    <t xml:space="preserve">4266019664</t>
  </si>
  <si>
    <t xml:space="preserve">15840272</t>
  </si>
  <si>
    <t xml:space="preserve">000026743394</t>
  </si>
  <si>
    <t xml:space="preserve">DUILIMAR JOSEFINA</t>
  </si>
  <si>
    <t xml:space="preserve">4261224794</t>
  </si>
  <si>
    <t xml:space="preserve">15719230</t>
  </si>
  <si>
    <t xml:space="preserve">000026743397</t>
  </si>
  <si>
    <t xml:space="preserve">JULIO FERNANDEZ</t>
  </si>
  <si>
    <t xml:space="preserve">4246445328</t>
  </si>
  <si>
    <t xml:space="preserve">14921267</t>
  </si>
  <si>
    <t xml:space="preserve">000026743401</t>
  </si>
  <si>
    <t xml:space="preserve">LORIANYS PAOLA</t>
  </si>
  <si>
    <t xml:space="preserve">PACHECO FUENMAYOR</t>
  </si>
  <si>
    <t xml:space="preserve">4167652181</t>
  </si>
  <si>
    <t xml:space="preserve">13757568</t>
  </si>
  <si>
    <t xml:space="preserve">000026743402</t>
  </si>
  <si>
    <t xml:space="preserve">VICTOR DANIEL</t>
  </si>
  <si>
    <t xml:space="preserve">GONZALEZ CHAVEZ</t>
  </si>
  <si>
    <t xml:space="preserve">4268609952</t>
  </si>
  <si>
    <t xml:space="preserve">15194298</t>
  </si>
  <si>
    <t xml:space="preserve">000026743403</t>
  </si>
  <si>
    <t xml:space="preserve">ADRIANYS MARGARITA</t>
  </si>
  <si>
    <t xml:space="preserve">OLIVEROS ROJAS</t>
  </si>
  <si>
    <t xml:space="preserve">4162263971</t>
  </si>
  <si>
    <t xml:space="preserve">15748449</t>
  </si>
  <si>
    <t xml:space="preserve">000026743407</t>
  </si>
  <si>
    <t xml:space="preserve">MILAGROS DE JESUS</t>
  </si>
  <si>
    <t xml:space="preserve">CUELLO FUENMAYOR</t>
  </si>
  <si>
    <t xml:space="preserve">MARIO URDANETA</t>
  </si>
  <si>
    <t xml:space="preserve">4268687021</t>
  </si>
  <si>
    <t xml:space="preserve">11391195</t>
  </si>
  <si>
    <t xml:space="preserve">000026743411</t>
  </si>
  <si>
    <t xml:space="preserve">ZULEIBI CAROLINA</t>
  </si>
  <si>
    <t xml:space="preserve">FUENMAYOR BERRUETA</t>
  </si>
  <si>
    <t xml:space="preserve">4261232480</t>
  </si>
  <si>
    <t xml:space="preserve">12621037</t>
  </si>
  <si>
    <t xml:space="preserve">000026743412</t>
  </si>
  <si>
    <t xml:space="preserve">ANGEL EMIRO</t>
  </si>
  <si>
    <t xml:space="preserve">GONZALEZ BERRUETA</t>
  </si>
  <si>
    <t xml:space="preserve">4160188921</t>
  </si>
  <si>
    <t xml:space="preserve">16835698</t>
  </si>
  <si>
    <t xml:space="preserve">000026806132</t>
  </si>
  <si>
    <t xml:space="preserve">ABEL ELIEZER</t>
  </si>
  <si>
    <t xml:space="preserve">FERNANDEZ ATENCIO</t>
  </si>
  <si>
    <t xml:space="preserve">4125295244</t>
  </si>
  <si>
    <t xml:space="preserve">21565560</t>
  </si>
  <si>
    <t xml:space="preserve">000026826428</t>
  </si>
  <si>
    <t xml:space="preserve">EDGAR MAURICIO</t>
  </si>
  <si>
    <t xml:space="preserve">SOCORRO FERNANDEZ</t>
  </si>
  <si>
    <t xml:space="preserve">EL MATAPALO</t>
  </si>
  <si>
    <t xml:space="preserve">22248015</t>
  </si>
  <si>
    <t xml:space="preserve">000026858440</t>
  </si>
  <si>
    <t xml:space="preserve">CARLOS MANUEL</t>
  </si>
  <si>
    <t xml:space="preserve">RAMIREZ BERMUDEZ</t>
  </si>
  <si>
    <t xml:space="preserve">4163643490</t>
  </si>
  <si>
    <t xml:space="preserve">11875260</t>
  </si>
  <si>
    <t xml:space="preserve">000026872186</t>
  </si>
  <si>
    <t xml:space="preserve">LUIS GUSTAVO</t>
  </si>
  <si>
    <t xml:space="preserve">PALMAR BRIÑEZ</t>
  </si>
  <si>
    <t xml:space="preserve">SECTOR MARIMONDA</t>
  </si>
  <si>
    <t xml:space="preserve">4164629041</t>
  </si>
  <si>
    <t xml:space="preserve">13005227</t>
  </si>
  <si>
    <t xml:space="preserve">000026872187</t>
  </si>
  <si>
    <t xml:space="preserve">DAIRIANIS SANDRIX</t>
  </si>
  <si>
    <t xml:space="preserve">NIETO GONZALEZ</t>
  </si>
  <si>
    <t xml:space="preserve">4125296792</t>
  </si>
  <si>
    <t xml:space="preserve">11862731</t>
  </si>
  <si>
    <t xml:space="preserve">000026872189</t>
  </si>
  <si>
    <t xml:space="preserve">MARIANGELES</t>
  </si>
  <si>
    <t xml:space="preserve">4261227060</t>
  </si>
  <si>
    <t xml:space="preserve">18319334</t>
  </si>
  <si>
    <t xml:space="preserve">000026872212</t>
  </si>
  <si>
    <t xml:space="preserve">NILINYER DE JESUS</t>
  </si>
  <si>
    <t xml:space="preserve">FERRER PEREZ</t>
  </si>
  <si>
    <t xml:space="preserve">4169601565</t>
  </si>
  <si>
    <t xml:space="preserve">14833231</t>
  </si>
  <si>
    <t xml:space="preserve">000026872213</t>
  </si>
  <si>
    <t xml:space="preserve">YORGELIS DEL CARMEN</t>
  </si>
  <si>
    <t xml:space="preserve">ROMERO FERNANDEZ</t>
  </si>
  <si>
    <t xml:space="preserve">4162677138</t>
  </si>
  <si>
    <t xml:space="preserve">09750030</t>
  </si>
  <si>
    <t xml:space="preserve">000026872214</t>
  </si>
  <si>
    <t xml:space="preserve">MIGUEL ENRIQUE</t>
  </si>
  <si>
    <t xml:space="preserve">PARADA FUENMAYOR</t>
  </si>
  <si>
    <t xml:space="preserve">4126677434</t>
  </si>
  <si>
    <t xml:space="preserve">000026872219</t>
  </si>
  <si>
    <t xml:space="preserve">ANGELLY COROMOTO</t>
  </si>
  <si>
    <t xml:space="preserve">FUENMAYOR MONTIEL</t>
  </si>
  <si>
    <t xml:space="preserve">2628088491</t>
  </si>
  <si>
    <t xml:space="preserve">08505826</t>
  </si>
  <si>
    <t xml:space="preserve">000026872296</t>
  </si>
  <si>
    <t xml:space="preserve">YANIRETH CHIQUINQUIRA</t>
  </si>
  <si>
    <t xml:space="preserve">VILLALOBOS OLIVEROS</t>
  </si>
  <si>
    <t xml:space="preserve">SECTOR LAS FLORES</t>
  </si>
  <si>
    <t xml:space="preserve">14921932</t>
  </si>
  <si>
    <t xml:space="preserve">000026872299</t>
  </si>
  <si>
    <t xml:space="preserve">WUILMARY CAROLINA</t>
  </si>
  <si>
    <t xml:space="preserve">NUÑEZ FERNANDEZ</t>
  </si>
  <si>
    <t xml:space="preserve">4163650268</t>
  </si>
  <si>
    <t xml:space="preserve">11867267</t>
  </si>
  <si>
    <t xml:space="preserve">000026872359</t>
  </si>
  <si>
    <t xml:space="preserve">YOENIS BENITO</t>
  </si>
  <si>
    <t xml:space="preserve">AZUAJE URDANETA</t>
  </si>
  <si>
    <t xml:space="preserve">4161614100</t>
  </si>
  <si>
    <t xml:space="preserve">06805719</t>
  </si>
  <si>
    <t xml:space="preserve">000026872550</t>
  </si>
  <si>
    <t xml:space="preserve">ROBINSON JOSE</t>
  </si>
  <si>
    <t xml:space="preserve">CASTILLO OLIVEROS</t>
  </si>
  <si>
    <t xml:space="preserve">4263608168</t>
  </si>
  <si>
    <t xml:space="preserve">15559014</t>
  </si>
  <si>
    <t xml:space="preserve">000026872551</t>
  </si>
  <si>
    <t xml:space="preserve">GREILY CAROLINA</t>
  </si>
  <si>
    <t xml:space="preserve">MAYOR FERRER</t>
  </si>
  <si>
    <t xml:space="preserve">4264657156</t>
  </si>
  <si>
    <t xml:space="preserve">11068638</t>
  </si>
  <si>
    <t xml:space="preserve">000026872552</t>
  </si>
  <si>
    <t xml:space="preserve">YOERLIS RHONIEL</t>
  </si>
  <si>
    <t xml:space="preserve">LEAL FUENMAYOR</t>
  </si>
  <si>
    <t xml:space="preserve">4262668590</t>
  </si>
  <si>
    <t xml:space="preserve">17567023</t>
  </si>
  <si>
    <t xml:space="preserve">000026872555</t>
  </si>
  <si>
    <t xml:space="preserve">YOHELIS DEL CARMEN</t>
  </si>
  <si>
    <t xml:space="preserve">SANCHEZ FUENMAYOR</t>
  </si>
  <si>
    <t xml:space="preserve">2624938025</t>
  </si>
  <si>
    <t xml:space="preserve">14862929</t>
  </si>
  <si>
    <t xml:space="preserve">000026872558</t>
  </si>
  <si>
    <t xml:space="preserve">GENESIS LENCIRE</t>
  </si>
  <si>
    <t xml:space="preserve">SIBIRA MOLERO</t>
  </si>
  <si>
    <t xml:space="preserve">16297684</t>
  </si>
  <si>
    <t xml:space="preserve">000026872561</t>
  </si>
  <si>
    <t xml:space="preserve">DUBRASKA ANDREA</t>
  </si>
  <si>
    <t xml:space="preserve">SECTOR LA ESQUINA</t>
  </si>
  <si>
    <t xml:space="preserve">4263680509</t>
  </si>
  <si>
    <t xml:space="preserve">11068633</t>
  </si>
  <si>
    <t xml:space="preserve">000026872562</t>
  </si>
  <si>
    <t xml:space="preserve">FRANCISCO JAVIER</t>
  </si>
  <si>
    <t xml:space="preserve">OLIVEROS MATOS</t>
  </si>
  <si>
    <t xml:space="preserve">2622051640</t>
  </si>
  <si>
    <t xml:space="preserve">13427944</t>
  </si>
  <si>
    <t xml:space="preserve">000026872564</t>
  </si>
  <si>
    <t xml:space="preserve">ALEJANDRA DE LOS ANGELES</t>
  </si>
  <si>
    <t xml:space="preserve">4161648801</t>
  </si>
  <si>
    <t xml:space="preserve">000026872565</t>
  </si>
  <si>
    <t xml:space="preserve">MAURIBEL DEL CARMEN</t>
  </si>
  <si>
    <t xml:space="preserve">VILLALOBOS COLINA</t>
  </si>
  <si>
    <t xml:space="preserve">4264665372</t>
  </si>
  <si>
    <t xml:space="preserve">15987680</t>
  </si>
  <si>
    <t xml:space="preserve">000026872566</t>
  </si>
  <si>
    <t xml:space="preserve">FREIBER JAVIER</t>
  </si>
  <si>
    <t xml:space="preserve">URDANETA MOLERO </t>
  </si>
  <si>
    <t xml:space="preserve">SECTOR SAN BENITO</t>
  </si>
  <si>
    <t xml:space="preserve">4166644464</t>
  </si>
  <si>
    <t xml:space="preserve">12513743</t>
  </si>
  <si>
    <t xml:space="preserve">000026872924</t>
  </si>
  <si>
    <t xml:space="preserve">YARIMAL DEL CARMEN</t>
  </si>
  <si>
    <t xml:space="preserve">RAMIREZ GONZALEZ</t>
  </si>
  <si>
    <t xml:space="preserve">SECTOR LOS COQUITOS</t>
  </si>
  <si>
    <t xml:space="preserve">2622052551</t>
  </si>
  <si>
    <t xml:space="preserve">10442177</t>
  </si>
  <si>
    <t xml:space="preserve">000026907244</t>
  </si>
  <si>
    <t xml:space="preserve">RUBEN DE JESUS</t>
  </si>
  <si>
    <t xml:space="preserve">URDANETA GONZALEZ</t>
  </si>
  <si>
    <t xml:space="preserve">SECTOR NOTEREY   I</t>
  </si>
  <si>
    <t xml:space="preserve">4263631025</t>
  </si>
  <si>
    <t xml:space="preserve">17566735</t>
  </si>
  <si>
    <t xml:space="preserve">000026974929</t>
  </si>
  <si>
    <t xml:space="preserve">BROCHERO BUELVAS</t>
  </si>
  <si>
    <t xml:space="preserve">LAS FLORES</t>
  </si>
  <si>
    <t xml:space="preserve">4167601159</t>
  </si>
  <si>
    <t xml:space="preserve">73227184</t>
  </si>
  <si>
    <t xml:space="preserve">000030274604</t>
  </si>
  <si>
    <t xml:space="preserve">RAIMELY ESTERHT</t>
  </si>
  <si>
    <t xml:space="preserve">VILLALOBOS GONZALEZ</t>
  </si>
  <si>
    <t xml:space="preserve">CANDELARIA</t>
  </si>
  <si>
    <t xml:space="preserve">CARABOBO</t>
  </si>
  <si>
    <t xml:space="preserve">CA</t>
  </si>
  <si>
    <t xml:space="preserve">4169607095</t>
  </si>
  <si>
    <t xml:space="preserve">13045695</t>
  </si>
  <si>
    <t xml:space="preserve">000027090020</t>
  </si>
  <si>
    <t xml:space="preserve">LUIS MIGUEL</t>
  </si>
  <si>
    <t xml:space="preserve">LAS PARCELAS DEL LABERINTO</t>
  </si>
  <si>
    <t xml:space="preserve">4266245833</t>
  </si>
  <si>
    <t xml:space="preserve">000027090163</t>
  </si>
  <si>
    <t xml:space="preserve">ELVIN JOSE</t>
  </si>
  <si>
    <t xml:space="preserve">4266226927</t>
  </si>
  <si>
    <t xml:space="preserve">14863556</t>
  </si>
  <si>
    <t xml:space="preserve">000027090267</t>
  </si>
  <si>
    <t xml:space="preserve">MAIRELIS DEL CARMEN</t>
  </si>
  <si>
    <t xml:space="preserve">HUERTA URDANETA</t>
  </si>
  <si>
    <t xml:space="preserve">10437055</t>
  </si>
  <si>
    <t xml:space="preserve">000027090270</t>
  </si>
  <si>
    <t xml:space="preserve">LISNET DEL VALLE</t>
  </si>
  <si>
    <t xml:space="preserve">ATENCIO PALMAR</t>
  </si>
  <si>
    <t xml:space="preserve">SECTOR EL LABERINTO</t>
  </si>
  <si>
    <t xml:space="preserve">4269222149</t>
  </si>
  <si>
    <t xml:space="preserve">14007992</t>
  </si>
  <si>
    <t xml:space="preserve">000027090274</t>
  </si>
  <si>
    <t xml:space="preserve">NILIANIS MARGARITA</t>
  </si>
  <si>
    <t xml:space="preserve">4163659418</t>
  </si>
  <si>
    <t xml:space="preserve">15839282</t>
  </si>
  <si>
    <t xml:space="preserve">000027090276</t>
  </si>
  <si>
    <t xml:space="preserve">NAIDA YANETH</t>
  </si>
  <si>
    <t xml:space="preserve">RINCON PALMAR</t>
  </si>
  <si>
    <t xml:space="preserve">2624114448</t>
  </si>
  <si>
    <t xml:space="preserve">13439603</t>
  </si>
  <si>
    <t xml:space="preserve">000027090277</t>
  </si>
  <si>
    <t xml:space="preserve">VICTOR HUGO</t>
  </si>
  <si>
    <t xml:space="preserve">ROMERO MORILLO</t>
  </si>
  <si>
    <t xml:space="preserve">4165647531</t>
  </si>
  <si>
    <t xml:space="preserve">15764737</t>
  </si>
  <si>
    <t xml:space="preserve">000027090279</t>
  </si>
  <si>
    <t xml:space="preserve">LUIS LEONARDO</t>
  </si>
  <si>
    <t xml:space="preserve">TORRES ZUAREZ</t>
  </si>
  <si>
    <t xml:space="preserve">EL LABERINTO, NOTEREY II</t>
  </si>
  <si>
    <t xml:space="preserve">4265650003</t>
  </si>
  <si>
    <t xml:space="preserve">10432542</t>
  </si>
  <si>
    <t xml:space="preserve">000027090453</t>
  </si>
  <si>
    <t xml:space="preserve">GABRIEL JOSE</t>
  </si>
  <si>
    <t xml:space="preserve">4262002566</t>
  </si>
  <si>
    <t xml:space="preserve">09751038</t>
  </si>
  <si>
    <t xml:space="preserve">000027090461</t>
  </si>
  <si>
    <t xml:space="preserve">DAIMARI AURORA</t>
  </si>
  <si>
    <t xml:space="preserve">000027090462</t>
  </si>
  <si>
    <t xml:space="preserve">DAYANA PAOLA</t>
  </si>
  <si>
    <t xml:space="preserve">2625239971</t>
  </si>
  <si>
    <t xml:space="preserve">000027090463</t>
  </si>
  <si>
    <t xml:space="preserve">ANYIBELIS KAROLAY</t>
  </si>
  <si>
    <t xml:space="preserve">QUIVA BOZO</t>
  </si>
  <si>
    <t xml:space="preserve">2622001361</t>
  </si>
  <si>
    <t xml:space="preserve">12589780</t>
  </si>
  <si>
    <t xml:space="preserve">000027090464</t>
  </si>
  <si>
    <t xml:space="preserve">DANIELA ALEJANDRA</t>
  </si>
  <si>
    <t xml:space="preserve">QUINTERO URDANETA</t>
  </si>
  <si>
    <t xml:space="preserve">4261636858</t>
  </si>
  <si>
    <t xml:space="preserve">15530630</t>
  </si>
  <si>
    <t xml:space="preserve">000027090466</t>
  </si>
  <si>
    <t xml:space="preserve">JEHONELA SARAY</t>
  </si>
  <si>
    <t xml:space="preserve">BARRIOS SIBIRA</t>
  </si>
  <si>
    <t xml:space="preserve">4266334935</t>
  </si>
  <si>
    <t xml:space="preserve">13974225</t>
  </si>
  <si>
    <t xml:space="preserve">000027090469</t>
  </si>
  <si>
    <t xml:space="preserve">ANDRES DAVID</t>
  </si>
  <si>
    <t xml:space="preserve">MOLERO OLIVEROS</t>
  </si>
  <si>
    <t xml:space="preserve">SECTOR CAUCAGUITA</t>
  </si>
  <si>
    <t xml:space="preserve">4162638100</t>
  </si>
  <si>
    <t xml:space="preserve">09779754</t>
  </si>
  <si>
    <t xml:space="preserve">000027090470</t>
  </si>
  <si>
    <t xml:space="preserve">DARKELIS CHIQUINQUIRA</t>
  </si>
  <si>
    <t xml:space="preserve">4267011667</t>
  </si>
  <si>
    <t xml:space="preserve">15524165</t>
  </si>
  <si>
    <t xml:space="preserve">000027090475</t>
  </si>
  <si>
    <t xml:space="preserve">ELEANYS MISEL</t>
  </si>
  <si>
    <t xml:space="preserve">000027090476</t>
  </si>
  <si>
    <t xml:space="preserve">YERIANY COROMOTO</t>
  </si>
  <si>
    <t xml:space="preserve">PARCELAMIENTO EL NAZARENO</t>
  </si>
  <si>
    <t xml:space="preserve">4163618417</t>
  </si>
  <si>
    <t xml:space="preserve">000027090479</t>
  </si>
  <si>
    <t xml:space="preserve">NESTOR ANTONIO</t>
  </si>
  <si>
    <t xml:space="preserve">RUIZ GONZALEZ</t>
  </si>
  <si>
    <t xml:space="preserve">4261620669</t>
  </si>
  <si>
    <t xml:space="preserve">13511944</t>
  </si>
  <si>
    <t xml:space="preserve">000027090480</t>
  </si>
  <si>
    <t xml:space="preserve">SHARON CHIQUINQUIRA</t>
  </si>
  <si>
    <t xml:space="preserve">VILLALOBOS GALUE</t>
  </si>
  <si>
    <t xml:space="preserve">4267666911</t>
  </si>
  <si>
    <t xml:space="preserve">14007712</t>
  </si>
  <si>
    <t xml:space="preserve">000027090481</t>
  </si>
  <si>
    <t xml:space="preserve">SOLMAIRE PAOLA</t>
  </si>
  <si>
    <t xml:space="preserve">ATENCIO FUENMAYOR</t>
  </si>
  <si>
    <t xml:space="preserve">4269253970</t>
  </si>
  <si>
    <t xml:space="preserve">09757645</t>
  </si>
  <si>
    <t xml:space="preserve">000027090482</t>
  </si>
  <si>
    <t xml:space="preserve">BARRANCO URDANETA</t>
  </si>
  <si>
    <t xml:space="preserve">4161135657</t>
  </si>
  <si>
    <t xml:space="preserve">15195853</t>
  </si>
  <si>
    <t xml:space="preserve">000027090484</t>
  </si>
  <si>
    <t xml:space="preserve">YERALDIN CRISTAL</t>
  </si>
  <si>
    <t xml:space="preserve">FINOL QUINTERO</t>
  </si>
  <si>
    <t xml:space="preserve">4261633118</t>
  </si>
  <si>
    <t xml:space="preserve">10450417</t>
  </si>
  <si>
    <t xml:space="preserve">000027090486</t>
  </si>
  <si>
    <t xml:space="preserve">DARIANNYS CAROLINA</t>
  </si>
  <si>
    <t xml:space="preserve">CHAVEZ GONZALEZ</t>
  </si>
  <si>
    <t xml:space="preserve">4261616538</t>
  </si>
  <si>
    <t xml:space="preserve">13912073</t>
  </si>
  <si>
    <t xml:space="preserve">000027090487</t>
  </si>
  <si>
    <t xml:space="preserve">ARIANNI RAQUEL</t>
  </si>
  <si>
    <t xml:space="preserve">4168623252</t>
  </si>
  <si>
    <t xml:space="preserve">05796414</t>
  </si>
  <si>
    <t xml:space="preserve">000027090490</t>
  </si>
  <si>
    <t xml:space="preserve">FERRER QUINTERO</t>
  </si>
  <si>
    <t xml:space="preserve">4169039122</t>
  </si>
  <si>
    <t xml:space="preserve">09740181</t>
  </si>
  <si>
    <t xml:space="preserve">000027090492</t>
  </si>
  <si>
    <t xml:space="preserve">YEILY ANDREA</t>
  </si>
  <si>
    <t xml:space="preserve">GAMARRA POSSO</t>
  </si>
  <si>
    <t xml:space="preserve">4263624866</t>
  </si>
  <si>
    <t xml:space="preserve">25406303</t>
  </si>
  <si>
    <t xml:space="preserve">000027090494</t>
  </si>
  <si>
    <t xml:space="preserve">ANGELO JOSE</t>
  </si>
  <si>
    <t xml:space="preserve">4268647590</t>
  </si>
  <si>
    <t xml:space="preserve">000027090502</t>
  </si>
  <si>
    <t xml:space="preserve">JACKELIN ANA</t>
  </si>
  <si>
    <t xml:space="preserve">MOYEJA GARCIA</t>
  </si>
  <si>
    <t xml:space="preserve">4164623851</t>
  </si>
  <si>
    <t xml:space="preserve">17940582</t>
  </si>
  <si>
    <t xml:space="preserve">000027090505</t>
  </si>
  <si>
    <t xml:space="preserve">CRINYERBET RAFAEL</t>
  </si>
  <si>
    <t xml:space="preserve">2628087719</t>
  </si>
  <si>
    <t xml:space="preserve">09742905</t>
  </si>
  <si>
    <t xml:space="preserve">000027090506</t>
  </si>
  <si>
    <t xml:space="preserve">CESAR AGUSTO</t>
  </si>
  <si>
    <t xml:space="preserve">GONZALEZ ROMERO</t>
  </si>
  <si>
    <t xml:space="preserve">OJEDA</t>
  </si>
  <si>
    <t xml:space="preserve">4268605700</t>
  </si>
  <si>
    <t xml:space="preserve">07625795</t>
  </si>
  <si>
    <t xml:space="preserve">000027090508</t>
  </si>
  <si>
    <t xml:space="preserve">YENNIFER DEL CARMEN</t>
  </si>
  <si>
    <t xml:space="preserve">17563600</t>
  </si>
  <si>
    <t xml:space="preserve">000027090514</t>
  </si>
  <si>
    <t xml:space="preserve">DAIRELIS PAOLA</t>
  </si>
  <si>
    <t xml:space="preserve">4269604558</t>
  </si>
  <si>
    <t xml:space="preserve">11662963</t>
  </si>
  <si>
    <t xml:space="preserve">000027090516</t>
  </si>
  <si>
    <t xml:space="preserve">MARTIN ELIAS</t>
  </si>
  <si>
    <t xml:space="preserve">MEZA SALGADO</t>
  </si>
  <si>
    <t xml:space="preserve">4162604073</t>
  </si>
  <si>
    <t xml:space="preserve">11018135</t>
  </si>
  <si>
    <t xml:space="preserve">000027090517</t>
  </si>
  <si>
    <t xml:space="preserve">ANDREA ABIGAIL</t>
  </si>
  <si>
    <t xml:space="preserve">RIOS MARTINEZ</t>
  </si>
  <si>
    <t xml:space="preserve">4268223881</t>
  </si>
  <si>
    <t xml:space="preserve">09740190</t>
  </si>
  <si>
    <t xml:space="preserve">000027090520</t>
  </si>
  <si>
    <t xml:space="preserve">CARLOS JAVIER</t>
  </si>
  <si>
    <t xml:space="preserve">VILLALOBOS NEGRETTE</t>
  </si>
  <si>
    <t xml:space="preserve">LAS MARIAS</t>
  </si>
  <si>
    <t xml:space="preserve">4268630930</t>
  </si>
  <si>
    <t xml:space="preserve">07607729</t>
  </si>
  <si>
    <t xml:space="preserve">000027090521</t>
  </si>
  <si>
    <t xml:space="preserve">ANDREA PAOLA</t>
  </si>
  <si>
    <t xml:space="preserve">ALVARADO ESPINA</t>
  </si>
  <si>
    <t xml:space="preserve">4162638237</t>
  </si>
  <si>
    <t xml:space="preserve">13876185</t>
  </si>
  <si>
    <t xml:space="preserve">000027090527</t>
  </si>
  <si>
    <t xml:space="preserve">YEISIBER CAROLINA</t>
  </si>
  <si>
    <t xml:space="preserve">GONZALEZ OROZCO</t>
  </si>
  <si>
    <t xml:space="preserve">4267600501</t>
  </si>
  <si>
    <t xml:space="preserve">25145339</t>
  </si>
  <si>
    <t xml:space="preserve">000027090622</t>
  </si>
  <si>
    <t xml:space="preserve">URDANETA AÑEZ</t>
  </si>
  <si>
    <t xml:space="preserve">4125286706</t>
  </si>
  <si>
    <t xml:space="preserve">13653973</t>
  </si>
  <si>
    <t xml:space="preserve">000027090649</t>
  </si>
  <si>
    <t xml:space="preserve">LEONELA ODAIS</t>
  </si>
  <si>
    <t xml:space="preserve">FERREIRA BASTIDAS</t>
  </si>
  <si>
    <t xml:space="preserve">4262626094</t>
  </si>
  <si>
    <t xml:space="preserve">17416409</t>
  </si>
  <si>
    <t xml:space="preserve">000027090815</t>
  </si>
  <si>
    <t xml:space="preserve">YOLINETH ELOINA</t>
  </si>
  <si>
    <t xml:space="preserve">ROMERO MONTILLA</t>
  </si>
  <si>
    <t xml:space="preserve">4161607519</t>
  </si>
  <si>
    <t xml:space="preserve">18319318</t>
  </si>
  <si>
    <t xml:space="preserve">000027090824</t>
  </si>
  <si>
    <t xml:space="preserve">YURAINY ANDREINA</t>
  </si>
  <si>
    <t xml:space="preserve">CASTILLO VILCHEZ</t>
  </si>
  <si>
    <t xml:space="preserve">4162237109</t>
  </si>
  <si>
    <t xml:space="preserve">14416117</t>
  </si>
  <si>
    <t xml:space="preserve">000027090825</t>
  </si>
  <si>
    <t xml:space="preserve">NORAILY JOSEFINA</t>
  </si>
  <si>
    <t xml:space="preserve">SECTOR NAZARENO</t>
  </si>
  <si>
    <t xml:space="preserve">16687823</t>
  </si>
  <si>
    <t xml:space="preserve">000027197288</t>
  </si>
  <si>
    <t xml:space="preserve">SARAY PAOLA</t>
  </si>
  <si>
    <t xml:space="preserve">000027332876</t>
  </si>
  <si>
    <t xml:space="preserve">LEANDEL JOSE</t>
  </si>
  <si>
    <t xml:space="preserve">4261667243</t>
  </si>
  <si>
    <t xml:space="preserve">000027633209</t>
  </si>
  <si>
    <t xml:space="preserve">ARIAS VILCHEZ</t>
  </si>
  <si>
    <t xml:space="preserve">4162683739</t>
  </si>
  <si>
    <t xml:space="preserve">12381392</t>
  </si>
  <si>
    <t xml:space="preserve">000027633396</t>
  </si>
  <si>
    <t xml:space="preserve">CLAUDIO ENRIQUE</t>
  </si>
  <si>
    <t xml:space="preserve">LUENGO GONZALEZ</t>
  </si>
  <si>
    <t xml:space="preserve">2628088002</t>
  </si>
  <si>
    <t xml:space="preserve">09768008</t>
  </si>
  <si>
    <t xml:space="preserve">000027633397</t>
  </si>
  <si>
    <t xml:space="preserve">ANDY JOSE</t>
  </si>
  <si>
    <t xml:space="preserve">CHAVEZ BOSCAN</t>
  </si>
  <si>
    <t xml:space="preserve">4162741829</t>
  </si>
  <si>
    <t xml:space="preserve">16836631</t>
  </si>
  <si>
    <t xml:space="preserve">000027633400</t>
  </si>
  <si>
    <t xml:space="preserve">YORBENIS ENRIQUE</t>
  </si>
  <si>
    <t xml:space="preserve">BOSCAN URDANETA</t>
  </si>
  <si>
    <t xml:space="preserve">SECTOR LAS VIVIENDAS</t>
  </si>
  <si>
    <t xml:space="preserve">17071402</t>
  </si>
  <si>
    <t xml:space="preserve">000027633403</t>
  </si>
  <si>
    <t xml:space="preserve">EDUIN KLENIS</t>
  </si>
  <si>
    <t xml:space="preserve">4266633837</t>
  </si>
  <si>
    <t xml:space="preserve">12442321</t>
  </si>
  <si>
    <t xml:space="preserve">000027633414</t>
  </si>
  <si>
    <t xml:space="preserve">RICARDO JOSE</t>
  </si>
  <si>
    <t xml:space="preserve">4268231463</t>
  </si>
  <si>
    <t xml:space="preserve">000027633415</t>
  </si>
  <si>
    <t xml:space="preserve">ISAIAS JESUS</t>
  </si>
  <si>
    <t xml:space="preserve">CASTRO FUENMAYOR</t>
  </si>
  <si>
    <t xml:space="preserve">4262647389</t>
  </si>
  <si>
    <t xml:space="preserve">12327526</t>
  </si>
  <si>
    <t xml:space="preserve">000027633418</t>
  </si>
  <si>
    <t xml:space="preserve">NOELVI ANTONIO</t>
  </si>
  <si>
    <t xml:space="preserve">BOSCAN DUARTE</t>
  </si>
  <si>
    <t xml:space="preserve">2628085306</t>
  </si>
  <si>
    <t xml:space="preserve">09165962</t>
  </si>
  <si>
    <t xml:space="preserve">000027633428</t>
  </si>
  <si>
    <t xml:space="preserve">4262672056</t>
  </si>
  <si>
    <t xml:space="preserve">13624432</t>
  </si>
  <si>
    <t xml:space="preserve">000027633439</t>
  </si>
  <si>
    <t xml:space="preserve">ELIANDRY GABRIELA</t>
  </si>
  <si>
    <t xml:space="preserve">SECTOR VILLA SALA</t>
  </si>
  <si>
    <t xml:space="preserve">2624936566</t>
  </si>
  <si>
    <t xml:space="preserve">14208553</t>
  </si>
  <si>
    <t xml:space="preserve">000027633440</t>
  </si>
  <si>
    <t xml:space="preserve">DANNI DANIEL</t>
  </si>
  <si>
    <t xml:space="preserve">URDANETA BELLOSOS</t>
  </si>
  <si>
    <t xml:space="preserve">4261886407</t>
  </si>
  <si>
    <t xml:space="preserve">16687464</t>
  </si>
  <si>
    <t xml:space="preserve">000027633450</t>
  </si>
  <si>
    <t xml:space="preserve">JOSE JESUS</t>
  </si>
  <si>
    <t xml:space="preserve">VERA FUENMAYOR</t>
  </si>
  <si>
    <t xml:space="preserve">4268605069</t>
  </si>
  <si>
    <t xml:space="preserve">08506488</t>
  </si>
  <si>
    <t xml:space="preserve">000027633457</t>
  </si>
  <si>
    <t xml:space="preserve">YUSNEIDY DANIELA</t>
  </si>
  <si>
    <t xml:space="preserve">LEZAMA GONZALEZ</t>
  </si>
  <si>
    <t xml:space="preserve">4126582496</t>
  </si>
  <si>
    <t xml:space="preserve">12949271</t>
  </si>
  <si>
    <t xml:space="preserve">000027633466</t>
  </si>
  <si>
    <t xml:space="preserve">ELISBEL DEL CARMEN</t>
  </si>
  <si>
    <t xml:space="preserve">PEROZO BELLOSO</t>
  </si>
  <si>
    <t xml:space="preserve">4165622908</t>
  </si>
  <si>
    <t xml:space="preserve">16687467</t>
  </si>
  <si>
    <t xml:space="preserve">000027633486</t>
  </si>
  <si>
    <t xml:space="preserve">GREOMAR JOSE</t>
  </si>
  <si>
    <t xml:space="preserve">MEDINA ROMERO</t>
  </si>
  <si>
    <t xml:space="preserve">4160636051</t>
  </si>
  <si>
    <t xml:space="preserve">12999435</t>
  </si>
  <si>
    <t xml:space="preserve">000027633511</t>
  </si>
  <si>
    <t xml:space="preserve">ADRIANA THAIS</t>
  </si>
  <si>
    <t xml:space="preserve">4169659837</t>
  </si>
  <si>
    <t xml:space="preserve">09783741</t>
  </si>
  <si>
    <t xml:space="preserve">000027633564</t>
  </si>
  <si>
    <t xml:space="preserve">HEIDELYN ANDREINA</t>
  </si>
  <si>
    <t xml:space="preserve">ROMERO FERRER</t>
  </si>
  <si>
    <t xml:space="preserve">4160179240</t>
  </si>
  <si>
    <t xml:space="preserve">15260150</t>
  </si>
  <si>
    <t xml:space="preserve">000027633566</t>
  </si>
  <si>
    <t xml:space="preserve">ANGELIS CHIQUINQUIRA</t>
  </si>
  <si>
    <t xml:space="preserve">LIZARAZO URDANETA</t>
  </si>
  <si>
    <t xml:space="preserve">4266673617</t>
  </si>
  <si>
    <t xml:space="preserve">13627637</t>
  </si>
  <si>
    <t xml:space="preserve">000027633578</t>
  </si>
  <si>
    <t xml:space="preserve">FABIANA ISABEL</t>
  </si>
  <si>
    <t xml:space="preserve">MEDINA VALBUENA</t>
  </si>
  <si>
    <t xml:space="preserve">4246067433</t>
  </si>
  <si>
    <t xml:space="preserve">10418539</t>
  </si>
  <si>
    <t xml:space="preserve">000027633671</t>
  </si>
  <si>
    <t xml:space="preserve">ADALBELLY CHIQUINQUIRA</t>
  </si>
  <si>
    <t xml:space="preserve">MELEAN FERNANDEZ</t>
  </si>
  <si>
    <t xml:space="preserve">4269664067</t>
  </si>
  <si>
    <t xml:space="preserve">13001041</t>
  </si>
  <si>
    <t xml:space="preserve">000027633809</t>
  </si>
  <si>
    <t xml:space="preserve">ARIANNYS CAROLINA</t>
  </si>
  <si>
    <t xml:space="preserve">ROMERO VERGARA</t>
  </si>
  <si>
    <t xml:space="preserve">4269237027</t>
  </si>
  <si>
    <t xml:space="preserve">16987355</t>
  </si>
  <si>
    <t xml:space="preserve">000027633819</t>
  </si>
  <si>
    <t xml:space="preserve">MAIKLY DE JESUS</t>
  </si>
  <si>
    <t xml:space="preserve">CASTILLO BELLOSO</t>
  </si>
  <si>
    <t xml:space="preserve">4246933952</t>
  </si>
  <si>
    <t xml:space="preserve">15260762</t>
  </si>
  <si>
    <t xml:space="preserve">000027633839</t>
  </si>
  <si>
    <t xml:space="preserve">4267698504</t>
  </si>
  <si>
    <t xml:space="preserve">16080205</t>
  </si>
  <si>
    <t xml:space="preserve">000027633840</t>
  </si>
  <si>
    <t xml:space="preserve">RONALDO ENRIQUE</t>
  </si>
  <si>
    <t xml:space="preserve">PORTILLO HERNANDEZ</t>
  </si>
  <si>
    <t xml:space="preserve">2624117640</t>
  </si>
  <si>
    <t xml:space="preserve">05821473</t>
  </si>
  <si>
    <t xml:space="preserve">000027633841</t>
  </si>
  <si>
    <t xml:space="preserve">LISBAIRY DEL VALLE</t>
  </si>
  <si>
    <t xml:space="preserve">4126643293</t>
  </si>
  <si>
    <t xml:space="preserve">15946948</t>
  </si>
  <si>
    <t xml:space="preserve">000027633889</t>
  </si>
  <si>
    <t xml:space="preserve">ROSA ANGELICA</t>
  </si>
  <si>
    <t xml:space="preserve">FUENMAYOR VILLALOBOS</t>
  </si>
  <si>
    <t xml:space="preserve">4169671232</t>
  </si>
  <si>
    <t xml:space="preserve">11296477</t>
  </si>
  <si>
    <t xml:space="preserve">000027633890</t>
  </si>
  <si>
    <t xml:space="preserve">KEILA MARIA</t>
  </si>
  <si>
    <t xml:space="preserve">GONZALEZ FERNANDEZ</t>
  </si>
  <si>
    <t xml:space="preserve">2626879929</t>
  </si>
  <si>
    <t xml:space="preserve">06805039</t>
  </si>
  <si>
    <t xml:space="preserve">000027689902</t>
  </si>
  <si>
    <t xml:space="preserve">JESUS MIGUEL</t>
  </si>
  <si>
    <t xml:space="preserve">PERCHE BANDA</t>
  </si>
  <si>
    <t xml:space="preserve">4265649339</t>
  </si>
  <si>
    <t xml:space="preserve">25325419</t>
  </si>
  <si>
    <t xml:space="preserve">000027744343</t>
  </si>
  <si>
    <t xml:space="preserve">HEIDIMARY</t>
  </si>
  <si>
    <t xml:space="preserve">2628661231</t>
  </si>
  <si>
    <t xml:space="preserve">000027744349</t>
  </si>
  <si>
    <t xml:space="preserve">LILONKY CAROLAY</t>
  </si>
  <si>
    <t xml:space="preserve">VILLALOBOS AVENDAÑO</t>
  </si>
  <si>
    <t xml:space="preserve">2628088680</t>
  </si>
  <si>
    <t xml:space="preserve">12344434</t>
  </si>
  <si>
    <t xml:space="preserve">000027744422</t>
  </si>
  <si>
    <t xml:space="preserve">MARIANA ALEXANDRA</t>
  </si>
  <si>
    <t xml:space="preserve">AVILA PIRELA</t>
  </si>
  <si>
    <t xml:space="preserve">4246117386</t>
  </si>
  <si>
    <t xml:space="preserve">10405478</t>
  </si>
  <si>
    <t xml:space="preserve">000027744664</t>
  </si>
  <si>
    <t xml:space="preserve">FERRER VILLALOBOS</t>
  </si>
  <si>
    <t xml:space="preserve">4164686352</t>
  </si>
  <si>
    <t xml:space="preserve">15764352</t>
  </si>
  <si>
    <t xml:space="preserve">000027845422</t>
  </si>
  <si>
    <t xml:space="preserve">ZULAY VIRGINIA</t>
  </si>
  <si>
    <t xml:space="preserve">LA NUEVECITA</t>
  </si>
  <si>
    <t xml:space="preserve">4165660574</t>
  </si>
  <si>
    <t xml:space="preserve">000027998273</t>
  </si>
  <si>
    <t xml:space="preserve">LAGUNA BARROSO</t>
  </si>
  <si>
    <t xml:space="preserve">4169682272</t>
  </si>
  <si>
    <t xml:space="preserve">16918603</t>
  </si>
  <si>
    <t xml:space="preserve">000028000990</t>
  </si>
  <si>
    <t xml:space="preserve">ELIAS SAMUEL</t>
  </si>
  <si>
    <t xml:space="preserve">ARBELAEZ LADEUST</t>
  </si>
  <si>
    <t xml:space="preserve">LOS PANTALLA, VIA EL HONDITO</t>
  </si>
  <si>
    <t xml:space="preserve">000028088802</t>
  </si>
  <si>
    <t xml:space="preserve">EVELIN CAROLINA</t>
  </si>
  <si>
    <t xml:space="preserve">2638088569</t>
  </si>
  <si>
    <t xml:space="preserve">000028192711</t>
  </si>
  <si>
    <t xml:space="preserve">BRENDY ROSA</t>
  </si>
  <si>
    <t xml:space="preserve">RODRIGUEZ CHARRIS</t>
  </si>
  <si>
    <t xml:space="preserve">2624938000</t>
  </si>
  <si>
    <t xml:space="preserve">24958482</t>
  </si>
  <si>
    <t xml:space="preserve">000028400473</t>
  </si>
  <si>
    <t xml:space="preserve">ANDREA FABIANA</t>
  </si>
  <si>
    <t xml:space="preserve">FERNANDEZ LOPEZ</t>
  </si>
  <si>
    <t xml:space="preserve">4267008879</t>
  </si>
  <si>
    <t xml:space="preserve">13879716</t>
  </si>
  <si>
    <t xml:space="preserve">000028400734</t>
  </si>
  <si>
    <t xml:space="preserve">IRIANNY DEL VALLE</t>
  </si>
  <si>
    <t xml:space="preserve">RODRIGUEZ URDANETA</t>
  </si>
  <si>
    <t xml:space="preserve">4266247847</t>
  </si>
  <si>
    <t xml:space="preserve">13005192</t>
  </si>
  <si>
    <t xml:space="preserve">000028436138</t>
  </si>
  <si>
    <t xml:space="preserve">UBARDINA CAROLINA</t>
  </si>
  <si>
    <t xml:space="preserve">URDANETA MERCADO</t>
  </si>
  <si>
    <t xml:space="preserve">4246421280</t>
  </si>
  <si>
    <t xml:space="preserve">83162543</t>
  </si>
  <si>
    <t xml:space="preserve">000028467233</t>
  </si>
  <si>
    <t xml:space="preserve">EUDIS JOSE</t>
  </si>
  <si>
    <t xml:space="preserve">LOPEZ GARCIA</t>
  </si>
  <si>
    <t xml:space="preserve">4246499445</t>
  </si>
  <si>
    <t xml:space="preserve">21229162</t>
  </si>
  <si>
    <t xml:space="preserve">000028497255</t>
  </si>
  <si>
    <t xml:space="preserve">EDUARD ENRIQUE</t>
  </si>
  <si>
    <t xml:space="preserve">FAJARDO PEREZ</t>
  </si>
  <si>
    <t xml:space="preserve">26252350079</t>
  </si>
  <si>
    <t xml:space="preserve">14083677</t>
  </si>
  <si>
    <t xml:space="preserve">000028569058</t>
  </si>
  <si>
    <t xml:space="preserve">EUDIMAR</t>
  </si>
  <si>
    <t xml:space="preserve">URDANETA ALVAREZ</t>
  </si>
  <si>
    <t xml:space="preserve">4267671272</t>
  </si>
  <si>
    <t xml:space="preserve">83140299</t>
  </si>
  <si>
    <t xml:space="preserve">000028569239</t>
  </si>
  <si>
    <t xml:space="preserve">YENIFER DE LOS ANGELES</t>
  </si>
  <si>
    <t xml:space="preserve">VILLALOBOS QUIÑONES</t>
  </si>
  <si>
    <t xml:space="preserve">4263019990</t>
  </si>
  <si>
    <t xml:space="preserve">000029607861</t>
  </si>
  <si>
    <t xml:space="preserve">YANEISI CAROLINA</t>
  </si>
  <si>
    <t xml:space="preserve">RIVERO PATIÑO</t>
  </si>
  <si>
    <t xml:space="preserve">4161689544</t>
  </si>
  <si>
    <t xml:space="preserve">25200476</t>
  </si>
  <si>
    <t xml:space="preserve">000029790981</t>
  </si>
  <si>
    <t xml:space="preserve">YANELIN MARIA</t>
  </si>
  <si>
    <t xml:space="preserve">BRACHO PATIÑO</t>
  </si>
  <si>
    <t xml:space="preserve">4163664743</t>
  </si>
  <si>
    <t xml:space="preserve">07970403</t>
  </si>
  <si>
    <t xml:space="preserve">000029811826</t>
  </si>
  <si>
    <t xml:space="preserve">ASTRID CAROLINA</t>
  </si>
  <si>
    <t xml:space="preserve">FERRER BRACHO</t>
  </si>
  <si>
    <t xml:space="preserve">SECTOR LA JABILLITA</t>
  </si>
  <si>
    <t xml:space="preserve">4266660916</t>
  </si>
  <si>
    <t xml:space="preserve">06583629</t>
  </si>
  <si>
    <t xml:space="preserve">000029904590</t>
  </si>
  <si>
    <t xml:space="preserve">YOLIANI DEL CARMEN</t>
  </si>
  <si>
    <t xml:space="preserve">MORALES MONTIEL</t>
  </si>
  <si>
    <t xml:space="preserve">4162662157</t>
  </si>
  <si>
    <t xml:space="preserve">010064573573</t>
  </si>
  <si>
    <t xml:space="preserve">TATIANA PATRICIA</t>
  </si>
  <si>
    <t xml:space="preserve">THERAN SIERRA</t>
  </si>
  <si>
    <t xml:space="preserve">2625239514</t>
  </si>
  <si>
    <t xml:space="preserve">64573573</t>
  </si>
  <si>
    <t xml:space="preserve">019622141303</t>
  </si>
  <si>
    <t xml:space="preserve">CINDY PAOLA</t>
  </si>
  <si>
    <t xml:space="preserve">PIÑA LOZANO</t>
  </si>
  <si>
    <t xml:space="preserve">LAS JABILLAS</t>
  </si>
  <si>
    <t xml:space="preserve">4169646843</t>
  </si>
  <si>
    <t xml:space="preserve">000029812007</t>
  </si>
  <si>
    <t xml:space="preserve">JESLIA LIBETH</t>
  </si>
  <si>
    <t xml:space="preserve">000031884639</t>
  </si>
  <si>
    <t xml:space="preserve">MARY CARMEN</t>
  </si>
  <si>
    <t xml:space="preserve">4165641221</t>
  </si>
  <si>
    <t xml:space="preserve">019817098358</t>
  </si>
  <si>
    <t xml:space="preserve">JHOENNY VANESA</t>
  </si>
  <si>
    <t xml:space="preserve">GONZALEZ VILORIA</t>
  </si>
  <si>
    <t xml:space="preserve">4162680411</t>
  </si>
  <si>
    <t xml:space="preserve">17098358</t>
  </si>
  <si>
    <t xml:space="preserve">019883162039</t>
  </si>
  <si>
    <t xml:space="preserve">KENNYA MARCELA</t>
  </si>
  <si>
    <t xml:space="preserve">OBREGON SALINAS</t>
  </si>
  <si>
    <t xml:space="preserve">VALLEDUPAR</t>
  </si>
  <si>
    <t xml:space="preserve">2624939609</t>
  </si>
  <si>
    <t xml:space="preserve">83162039</t>
  </si>
  <si>
    <t xml:space="preserve">000030901743</t>
  </si>
  <si>
    <t xml:space="preserve">DANIELIS SHARO</t>
  </si>
  <si>
    <t xml:space="preserve">RODRIGUEZ BERRUETA</t>
  </si>
  <si>
    <t xml:space="preserve">2624936603</t>
  </si>
  <si>
    <t xml:space="preserve">09799521</t>
  </si>
  <si>
    <t xml:space="preserve">000030393094</t>
  </si>
  <si>
    <t xml:space="preserve">MILY CAROLINA</t>
  </si>
  <si>
    <t xml:space="preserve">CONTRERAS MOSCOTE</t>
  </si>
  <si>
    <t xml:space="preserve">4162263554</t>
  </si>
  <si>
    <t xml:space="preserve">16295924</t>
  </si>
  <si>
    <t xml:space="preserve">000031775577</t>
  </si>
  <si>
    <t xml:space="preserve">ESTEFANY PAOLA</t>
  </si>
  <si>
    <t xml:space="preserve">PEREZ OLIVERA</t>
  </si>
  <si>
    <t xml:space="preserve">4263004552</t>
  </si>
  <si>
    <t xml:space="preserve">25439269</t>
  </si>
  <si>
    <t xml:space="preserve">000030029091</t>
  </si>
  <si>
    <t xml:space="preserve">DAVID LEONARDO</t>
  </si>
  <si>
    <t xml:space="preserve">4162245618</t>
  </si>
  <si>
    <t xml:space="preserve">000031134997</t>
  </si>
  <si>
    <t xml:space="preserve">EVA SANDRID</t>
  </si>
  <si>
    <t xml:space="preserve">4160634002</t>
  </si>
  <si>
    <t xml:space="preserve">019983162248</t>
  </si>
  <si>
    <t xml:space="preserve">DAYANA CAROLINA</t>
  </si>
  <si>
    <t xml:space="preserve">BARRIOS REYES</t>
  </si>
  <si>
    <t xml:space="preserve">4246924306</t>
  </si>
  <si>
    <t xml:space="preserve">83162248</t>
  </si>
  <si>
    <t xml:space="preserve">000020984644</t>
  </si>
  <si>
    <t xml:space="preserve">LISBEISY LAIRETH</t>
  </si>
  <si>
    <t xml:space="preserve">ALVAREZ HERNANDEZ</t>
  </si>
  <si>
    <t xml:space="preserve">0262-4112174</t>
  </si>
  <si>
    <t xml:space="preserve">13397248</t>
  </si>
  <si>
    <t xml:space="preserve">000021039059</t>
  </si>
  <si>
    <t xml:space="preserve">GABRIELA GREGORIA</t>
  </si>
  <si>
    <t xml:space="preserve">BLANCO QUIROZ</t>
  </si>
  <si>
    <t xml:space="preserve">S/ CHINO RAFAEL</t>
  </si>
  <si>
    <t xml:space="preserve">0416-4189206</t>
  </si>
  <si>
    <t xml:space="preserve">25030936</t>
  </si>
  <si>
    <t xml:space="preserve">000021510142</t>
  </si>
  <si>
    <t xml:space="preserve">YENY DEL CARMEN</t>
  </si>
  <si>
    <t xml:space="preserve">VILLALOBOS MELEAN</t>
  </si>
  <si>
    <t xml:space="preserve">S/ LA M</t>
  </si>
  <si>
    <t xml:space="preserve">0426-8699441</t>
  </si>
  <si>
    <t xml:space="preserve">18874720</t>
  </si>
  <si>
    <t xml:space="preserve">000021510668</t>
  </si>
  <si>
    <t xml:space="preserve">JOHAN HUNBERTO</t>
  </si>
  <si>
    <t xml:space="preserve">0416-7687760</t>
  </si>
  <si>
    <t xml:space="preserve">000023466323</t>
  </si>
  <si>
    <t xml:space="preserve">NEDIXO GREGORIO</t>
  </si>
  <si>
    <t xml:space="preserve">CUADRADO SALAZAR</t>
  </si>
  <si>
    <t xml:space="preserve">10430001</t>
  </si>
  <si>
    <t xml:space="preserve">000023466355</t>
  </si>
  <si>
    <t xml:space="preserve">BARRIOS CONTRERA</t>
  </si>
  <si>
    <t xml:space="preserve">0426-7668078</t>
  </si>
  <si>
    <t xml:space="preserve">81936454</t>
  </si>
  <si>
    <t xml:space="preserve">000023466435</t>
  </si>
  <si>
    <t xml:space="preserve">YEIDELYN COROMOTO</t>
  </si>
  <si>
    <t xml:space="preserve">S/ EL DIQUE</t>
  </si>
  <si>
    <t xml:space="preserve">000023769186</t>
  </si>
  <si>
    <t xml:space="preserve">YENIFER DEL VALLE</t>
  </si>
  <si>
    <t xml:space="preserve">CASTILLO POLANCO</t>
  </si>
  <si>
    <t xml:space="preserve">12257429</t>
  </si>
  <si>
    <t xml:space="preserve">000023769196</t>
  </si>
  <si>
    <t xml:space="preserve">LUIS CARLOS</t>
  </si>
  <si>
    <t xml:space="preserve">ZAMBRANO BERRUETA</t>
  </si>
  <si>
    <t xml:space="preserve">0426-9686570</t>
  </si>
  <si>
    <t xml:space="preserve">13299954</t>
  </si>
  <si>
    <t xml:space="preserve">000023769216</t>
  </si>
  <si>
    <t xml:space="preserve">NESTOR ENRIQUE</t>
  </si>
  <si>
    <t xml:space="preserve">FERNANDEZ QUINTERO</t>
  </si>
  <si>
    <t xml:space="preserve">0416-0604569</t>
  </si>
  <si>
    <t xml:space="preserve">15764001</t>
  </si>
  <si>
    <t xml:space="preserve">000023770245</t>
  </si>
  <si>
    <t xml:space="preserve">MERWIN ANTONIO</t>
  </si>
  <si>
    <t xml:space="preserve">000024249319</t>
  </si>
  <si>
    <t xml:space="preserve">JOSE LUIS </t>
  </si>
  <si>
    <t xml:space="preserve">GARZA BLANCA</t>
  </si>
  <si>
    <t xml:space="preserve">CIUDAD COMUNAL EL LABERINTO</t>
  </si>
  <si>
    <t xml:space="preserve">0262-5151908</t>
  </si>
  <si>
    <t xml:space="preserve">21685097</t>
  </si>
  <si>
    <t xml:space="preserve">000024250022</t>
  </si>
  <si>
    <t xml:space="preserve">GENESIS ROSANGELES</t>
  </si>
  <si>
    <t xml:space="preserve">GUTIERREZ MONTIEL</t>
  </si>
  <si>
    <t xml:space="preserve">0426-4670187</t>
  </si>
  <si>
    <t xml:space="preserve">09757325</t>
  </si>
  <si>
    <t xml:space="preserve">000024250395</t>
  </si>
  <si>
    <t xml:space="preserve">ALEXIS ENRIQUE</t>
  </si>
  <si>
    <t xml:space="preserve">MORALES </t>
  </si>
  <si>
    <t xml:space="preserve">CERRO COCHINO</t>
  </si>
  <si>
    <t xml:space="preserve">0426-1671348</t>
  </si>
  <si>
    <t xml:space="preserve">11861390</t>
  </si>
  <si>
    <t xml:space="preserve">000024413086</t>
  </si>
  <si>
    <t xml:space="preserve">MARYELIS PAOLA</t>
  </si>
  <si>
    <t xml:space="preserve">S/ LAS JAVILLLAS</t>
  </si>
  <si>
    <t xml:space="preserve">0426-3249325</t>
  </si>
  <si>
    <t xml:space="preserve">000024413271</t>
  </si>
  <si>
    <t xml:space="preserve">LEONCIO DANIEL</t>
  </si>
  <si>
    <t xml:space="preserve">VERA URDANETA</t>
  </si>
  <si>
    <t xml:space="preserve">10448945</t>
  </si>
  <si>
    <t xml:space="preserve">000024725380</t>
  </si>
  <si>
    <t xml:space="preserve">MANUEL ALEJANDRO</t>
  </si>
  <si>
    <t xml:space="preserve">ROJAS BRIÑEZ</t>
  </si>
  <si>
    <t xml:space="preserve">0262-4980587</t>
  </si>
  <si>
    <t xml:space="preserve">09741350</t>
  </si>
  <si>
    <t xml:space="preserve">000025039864</t>
  </si>
  <si>
    <t xml:space="preserve">NODALVIS ALEJANDRO</t>
  </si>
  <si>
    <t xml:space="preserve">FUENMAYOR URDANETA</t>
  </si>
  <si>
    <t xml:space="preserve">CAMPO BOYACA CASA Nº 13B</t>
  </si>
  <si>
    <t xml:space="preserve">0426-8015332</t>
  </si>
  <si>
    <t xml:space="preserve">13005147</t>
  </si>
  <si>
    <t xml:space="preserve">000025039867</t>
  </si>
  <si>
    <t xml:space="preserve">JULIO JAVIER</t>
  </si>
  <si>
    <t xml:space="preserve">PORTILLO MAS Y RUBI</t>
  </si>
  <si>
    <t xml:space="preserve">S/ EL MATADERO LA PARADA DE LOS BUSES</t>
  </si>
  <si>
    <t xml:space="preserve">000025039935</t>
  </si>
  <si>
    <t xml:space="preserve">YORKELIS BEATRIZ</t>
  </si>
  <si>
    <t xml:space="preserve">PORTILLO URDANETA</t>
  </si>
  <si>
    <t xml:space="preserve">0426-6013969</t>
  </si>
  <si>
    <t xml:space="preserve">18662196</t>
  </si>
  <si>
    <t xml:space="preserve">000025234847</t>
  </si>
  <si>
    <t xml:space="preserve">ANGELO ENRIQUE</t>
  </si>
  <si>
    <t xml:space="preserve">MONTENEGRO NAVARRO </t>
  </si>
  <si>
    <t xml:space="preserve">BARRIO  5 DE ENERO</t>
  </si>
  <si>
    <t xml:space="preserve">18744675</t>
  </si>
  <si>
    <t xml:space="preserve">000025276163</t>
  </si>
  <si>
    <t xml:space="preserve">LUIS MANUEL</t>
  </si>
  <si>
    <t xml:space="preserve">PIRELA CASANOVA</t>
  </si>
  <si>
    <t xml:space="preserve">CAMPO COQUIVACOA CASA Nº45B</t>
  </si>
  <si>
    <t xml:space="preserve">0412-7908492</t>
  </si>
  <si>
    <t xml:space="preserve">000025276168</t>
  </si>
  <si>
    <t xml:space="preserve">JHONY JESUS</t>
  </si>
  <si>
    <t xml:space="preserve">SUAREZ RODRIGUEZ</t>
  </si>
  <si>
    <t xml:space="preserve">0262-4938087</t>
  </si>
  <si>
    <t xml:space="preserve">21509451</t>
  </si>
  <si>
    <t xml:space="preserve">000025276171</t>
  </si>
  <si>
    <t xml:space="preserve">0426-7600501</t>
  </si>
  <si>
    <t xml:space="preserve">000025297624</t>
  </si>
  <si>
    <t xml:space="preserve">NEOMAR ENRIQUE</t>
  </si>
  <si>
    <t xml:space="preserve">VERA SOTURNO</t>
  </si>
  <si>
    <t xml:space="preserve">LAS PARCELAS DE LA PAZ </t>
  </si>
  <si>
    <t xml:space="preserve">0426-8015636</t>
  </si>
  <si>
    <t xml:space="preserve">13627757</t>
  </si>
  <si>
    <t xml:space="preserve">000025339637</t>
  </si>
  <si>
    <t xml:space="preserve">ADELMO JESUS</t>
  </si>
  <si>
    <t xml:space="preserve">URDANETA SOCORRO</t>
  </si>
  <si>
    <t xml:space="preserve">0416-8601954</t>
  </si>
  <si>
    <t xml:space="preserve">18319300</t>
  </si>
  <si>
    <t xml:space="preserve">000025396649</t>
  </si>
  <si>
    <t xml:space="preserve">ADRIANA LUCY</t>
  </si>
  <si>
    <t xml:space="preserve">0263-6922696</t>
  </si>
  <si>
    <t xml:space="preserve">19393534</t>
  </si>
  <si>
    <t xml:space="preserve">000025439212</t>
  </si>
  <si>
    <t xml:space="preserve">JOHANDRY ALFONSO </t>
  </si>
  <si>
    <t xml:space="preserve">PACHECO PERCHE</t>
  </si>
  <si>
    <t xml:space="preserve">S/ EL TAPARO CASA Nº 40</t>
  </si>
  <si>
    <t xml:space="preserve">0426-6013090</t>
  </si>
  <si>
    <t xml:space="preserve">09710142</t>
  </si>
  <si>
    <t xml:space="preserve">000025439247</t>
  </si>
  <si>
    <t xml:space="preserve">NEUDO ENRIQUE</t>
  </si>
  <si>
    <t xml:space="preserve">VARGAS GONZALEZ</t>
  </si>
  <si>
    <t xml:space="preserve">S/ LAS VEGAS </t>
  </si>
  <si>
    <t xml:space="preserve">0263-8872612</t>
  </si>
  <si>
    <t xml:space="preserve">11861459</t>
  </si>
  <si>
    <t xml:space="preserve">000025596312</t>
  </si>
  <si>
    <t xml:space="preserve">JOSE RAFAEL </t>
  </si>
  <si>
    <t xml:space="preserve">PARRA ZARZA</t>
  </si>
  <si>
    <t xml:space="preserve">SALINETA</t>
  </si>
  <si>
    <t xml:space="preserve">CAMPO COQUIVACOA CASA Nº4B</t>
  </si>
  <si>
    <t xml:space="preserve">0426-6671684</t>
  </si>
  <si>
    <t xml:space="preserve">19645269</t>
  </si>
  <si>
    <t xml:space="preserve">000025596472</t>
  </si>
  <si>
    <t xml:space="preserve">CATARI NAVAS</t>
  </si>
  <si>
    <t xml:space="preserve">BARRIO SIMON BOLIVAR CASA Nº 32</t>
  </si>
  <si>
    <t xml:space="preserve">0416-0697191</t>
  </si>
  <si>
    <t xml:space="preserve">14356856</t>
  </si>
  <si>
    <t xml:space="preserve">000025596480</t>
  </si>
  <si>
    <t xml:space="preserve">SELENA DANIS</t>
  </si>
  <si>
    <t xml:space="preserve">CARABALLO MORALES </t>
  </si>
  <si>
    <t xml:space="preserve">17736117</t>
  </si>
  <si>
    <t xml:space="preserve">000025596482</t>
  </si>
  <si>
    <t xml:space="preserve">MARIMONDA 3</t>
  </si>
  <si>
    <t xml:space="preserve">0416-9681763</t>
  </si>
  <si>
    <t xml:space="preserve">000025596493</t>
  </si>
  <si>
    <t xml:space="preserve">FERRER CARIAS</t>
  </si>
  <si>
    <t xml:space="preserve">S/ EL BATACAZO CASA Nº 09</t>
  </si>
  <si>
    <t xml:space="preserve">0426-3240107</t>
  </si>
  <si>
    <t xml:space="preserve">14026396</t>
  </si>
  <si>
    <t xml:space="preserve">000025596498</t>
  </si>
  <si>
    <t xml:space="preserve">JHOENDRY JOSE</t>
  </si>
  <si>
    <t xml:space="preserve">AV.PPAL LA PAZ</t>
  </si>
  <si>
    <t xml:space="preserve">0416-1672605</t>
  </si>
  <si>
    <t xml:space="preserve">12513908</t>
  </si>
  <si>
    <t xml:space="preserve">000025596505</t>
  </si>
  <si>
    <t xml:space="preserve">YONKENDRY JOSE</t>
  </si>
  <si>
    <t xml:space="preserve">CALLE LAS FLORES DETRÁS DE LA BOMBA</t>
  </si>
  <si>
    <t xml:space="preserve">13428392</t>
  </si>
  <si>
    <t xml:space="preserve">000025596506</t>
  </si>
  <si>
    <t xml:space="preserve">YENDRI ANTONIO</t>
  </si>
  <si>
    <t xml:space="preserve">FUENMAYOR MEDRANO</t>
  </si>
  <si>
    <t xml:space="preserve">0426-66223707</t>
  </si>
  <si>
    <t xml:space="preserve">15053122</t>
  </si>
  <si>
    <t xml:space="preserve">000025596508</t>
  </si>
  <si>
    <t xml:space="preserve">GUSMARIEL  CAROLINA</t>
  </si>
  <si>
    <t xml:space="preserve">JIMENEZ MARTINEZ</t>
  </si>
  <si>
    <t xml:space="preserve">0416-1633038</t>
  </si>
  <si>
    <t xml:space="preserve">25325329</t>
  </si>
  <si>
    <t xml:space="preserve">000025596510</t>
  </si>
  <si>
    <t xml:space="preserve">LUVIN MICHELE</t>
  </si>
  <si>
    <t xml:space="preserve">000025596511</t>
  </si>
  <si>
    <t xml:space="preserve">SUAREZ MORILLO</t>
  </si>
  <si>
    <t xml:space="preserve">07885398</t>
  </si>
  <si>
    <t xml:space="preserve">000025596513</t>
  </si>
  <si>
    <t xml:space="preserve">ARIANA PAOLA</t>
  </si>
  <si>
    <t xml:space="preserve">000025596514</t>
  </si>
  <si>
    <t xml:space="preserve">LUIS MARIO </t>
  </si>
  <si>
    <t xml:space="preserve">HERRERA FUENMAYOR</t>
  </si>
  <si>
    <t xml:space="preserve">CAMPO COQUIVACOA CASA 40 A</t>
  </si>
  <si>
    <t xml:space="preserve">0426-3637783</t>
  </si>
  <si>
    <t xml:space="preserve">12327252</t>
  </si>
  <si>
    <t xml:space="preserve">000025596516</t>
  </si>
  <si>
    <t xml:space="preserve">HERRERA URDANETA</t>
  </si>
  <si>
    <t xml:space="preserve">0261-8954912</t>
  </si>
  <si>
    <t xml:space="preserve">13627638</t>
  </si>
  <si>
    <t xml:space="preserve">000025609863</t>
  </si>
  <si>
    <t xml:space="preserve">WINDER ANTONIO</t>
  </si>
  <si>
    <t xml:space="preserve">FERNANDEZ ROBLES</t>
  </si>
  <si>
    <t xml:space="preserve">CAMPO COQUIVACOA CASA Nº 03</t>
  </si>
  <si>
    <t xml:space="preserve">0426 -7699166</t>
  </si>
  <si>
    <t xml:space="preserve">11297402</t>
  </si>
  <si>
    <t xml:space="preserve">000025667314</t>
  </si>
  <si>
    <t xml:space="preserve">ESNEYDER RUBER</t>
  </si>
  <si>
    <t xml:space="preserve">S/ LAS PARCELAS DE LA PAZ</t>
  </si>
  <si>
    <t xml:space="preserve">0262-5235079</t>
  </si>
  <si>
    <t xml:space="preserve">000025680309</t>
  </si>
  <si>
    <t xml:space="preserve">FRANK JORMAN</t>
  </si>
  <si>
    <t xml:space="preserve">MATOS OVIEDO</t>
  </si>
  <si>
    <t xml:space="preserve">0416-0187815</t>
  </si>
  <si>
    <t xml:space="preserve">14207343</t>
  </si>
  <si>
    <t xml:space="preserve">000025680311</t>
  </si>
  <si>
    <t xml:space="preserve">ANYELA PAOLA</t>
  </si>
  <si>
    <t xml:space="preserve">0416-2243550</t>
  </si>
  <si>
    <t xml:space="preserve">000025680321</t>
  </si>
  <si>
    <t xml:space="preserve">ZULEIBY ANGELIS</t>
  </si>
  <si>
    <t xml:space="preserve">0426-1608331</t>
  </si>
  <si>
    <t xml:space="preserve">13080952</t>
  </si>
  <si>
    <t xml:space="preserve">000025680334</t>
  </si>
  <si>
    <t xml:space="preserve">PAOLA DEL CARMEN</t>
  </si>
  <si>
    <t xml:space="preserve">SILIET BASTIDAS</t>
  </si>
  <si>
    <t xml:space="preserve">09734977</t>
  </si>
  <si>
    <t xml:space="preserve">000025680369</t>
  </si>
  <si>
    <t xml:space="preserve">ANGEL ANTONIO</t>
  </si>
  <si>
    <t xml:space="preserve">AVENDAÑO AVENDAÑO</t>
  </si>
  <si>
    <t xml:space="preserve">CAMPO COQUIVACOA CASA Nº 10 C</t>
  </si>
  <si>
    <t xml:space="preserve">0262-8088680</t>
  </si>
  <si>
    <t xml:space="preserve">000025680384</t>
  </si>
  <si>
    <t xml:space="preserve">GABRIEL ANTONIO</t>
  </si>
  <si>
    <t xml:space="preserve">BRIÑEZ URDANETA</t>
  </si>
  <si>
    <t xml:space="preserve">0262-687520</t>
  </si>
  <si>
    <t xml:space="preserve">000025763445</t>
  </si>
  <si>
    <t xml:space="preserve">DARVIN JOSE</t>
  </si>
  <si>
    <t xml:space="preserve">ROMERO URDANETA</t>
  </si>
  <si>
    <t xml:space="preserve">BARRIO 05 DE ENERO CASA Nº32</t>
  </si>
  <si>
    <t xml:space="preserve">0412-6714923</t>
  </si>
  <si>
    <t xml:space="preserve">14458986</t>
  </si>
  <si>
    <t xml:space="preserve">000025763735</t>
  </si>
  <si>
    <t xml:space="preserve">YUSMARY COROMOTO</t>
  </si>
  <si>
    <t xml:space="preserve">VILCHEZ IGUARAN</t>
  </si>
  <si>
    <t xml:space="preserve">0263-8087323</t>
  </si>
  <si>
    <t xml:space="preserve">000025979260</t>
  </si>
  <si>
    <t xml:space="preserve">RONALD JESUS</t>
  </si>
  <si>
    <t xml:space="preserve">LOPEZ PAZ</t>
  </si>
  <si>
    <t xml:space="preserve">S/ EL PUEBLO</t>
  </si>
  <si>
    <t xml:space="preserve">0426-8633626</t>
  </si>
  <si>
    <t xml:space="preserve">09741339</t>
  </si>
  <si>
    <t xml:space="preserve">000025979325</t>
  </si>
  <si>
    <t xml:space="preserve">FERNANDEZ VEGA</t>
  </si>
  <si>
    <t xml:space="preserve">BARRIO SAN BENITO CASA Nº 28 A</t>
  </si>
  <si>
    <t xml:space="preserve">22163545</t>
  </si>
  <si>
    <t xml:space="preserve">000025855296</t>
  </si>
  <si>
    <t xml:space="preserve">MAZA REYES</t>
  </si>
  <si>
    <t xml:space="preserve">83162632</t>
  </si>
  <si>
    <t xml:space="preserve">000025883028</t>
  </si>
  <si>
    <t xml:space="preserve">ADRIANA BALBINA</t>
  </si>
  <si>
    <t xml:space="preserve">MORALES VILLALOBOS</t>
  </si>
  <si>
    <t xml:space="preserve">BARRIO MARIO URDANETA CASA Nº 4</t>
  </si>
  <si>
    <t xml:space="preserve">0426-8014864</t>
  </si>
  <si>
    <t xml:space="preserve">11857065</t>
  </si>
  <si>
    <t xml:space="preserve">000025883033</t>
  </si>
  <si>
    <t xml:space="preserve">LUIS OSLEDYS</t>
  </si>
  <si>
    <t xml:space="preserve">NEGRETTE MATOS</t>
  </si>
  <si>
    <t xml:space="preserve">CAMPO COQUIVACOA CASA Nº 5B</t>
  </si>
  <si>
    <t xml:space="preserve">06764570</t>
  </si>
  <si>
    <t xml:space="preserve">000025883233</t>
  </si>
  <si>
    <t xml:space="preserve">JOSARA JACKELIN</t>
  </si>
  <si>
    <t xml:space="preserve">FERNANDEZ MORALES</t>
  </si>
  <si>
    <t xml:space="preserve">S/ LAS MARIAS VIA SAN ANTONIO</t>
  </si>
  <si>
    <t xml:space="preserve">21688378</t>
  </si>
  <si>
    <t xml:space="preserve">000025883366</t>
  </si>
  <si>
    <t xml:space="preserve">YOENDER  JESUS</t>
  </si>
  <si>
    <t xml:space="preserve">HERNANDEZ GONZALEZ</t>
  </si>
  <si>
    <t xml:space="preserve">S/ LA FRAGUA VIA CUATRO BOCAS</t>
  </si>
  <si>
    <t xml:space="preserve">0416-3642258</t>
  </si>
  <si>
    <t xml:space="preserve">17951445</t>
  </si>
  <si>
    <t xml:space="preserve">000025883387</t>
  </si>
  <si>
    <t xml:space="preserve">MARZOLAINE DEL VALLE</t>
  </si>
  <si>
    <t xml:space="preserve">ORTIZ GONZALEZ</t>
  </si>
  <si>
    <t xml:space="preserve">0416-3619542</t>
  </si>
  <si>
    <t xml:space="preserve">11294611</t>
  </si>
  <si>
    <t xml:space="preserve">000025883401</t>
  </si>
  <si>
    <t xml:space="preserve">DERIANNY DEL CARMEN</t>
  </si>
  <si>
    <t xml:space="preserve">S/ HONDITO</t>
  </si>
  <si>
    <t xml:space="preserve">000025883627</t>
  </si>
  <si>
    <t xml:space="preserve">KIMBERLYN JULIANA</t>
  </si>
  <si>
    <t xml:space="preserve">IRIARTE URDANETA</t>
  </si>
  <si>
    <t xml:space="preserve">CAMPO CALITZA CASA Nº35</t>
  </si>
  <si>
    <t xml:space="preserve">0416-3601295</t>
  </si>
  <si>
    <t xml:space="preserve">14138403</t>
  </si>
  <si>
    <t xml:space="preserve">000025883653</t>
  </si>
  <si>
    <t xml:space="preserve">KATERINE ISABEL</t>
  </si>
  <si>
    <t xml:space="preserve">ORTIZ RODRIGUEZ</t>
  </si>
  <si>
    <t xml:space="preserve">0262-4938199</t>
  </si>
  <si>
    <t xml:space="preserve">57307295</t>
  </si>
  <si>
    <t xml:space="preserve">000025883721</t>
  </si>
  <si>
    <t xml:space="preserve">MAIRELYN ALEJANDRA</t>
  </si>
  <si>
    <t xml:space="preserve">FUENMAYOR FINOL </t>
  </si>
  <si>
    <t xml:space="preserve">S/ LOS MARANOS</t>
  </si>
  <si>
    <t xml:space="preserve">0426-8014908</t>
  </si>
  <si>
    <t xml:space="preserve">05058286</t>
  </si>
  <si>
    <t xml:space="preserve">000025883890</t>
  </si>
  <si>
    <t xml:space="preserve">NORALIS DEL CARMEN</t>
  </si>
  <si>
    <t xml:space="preserve">BARRIO MARIO URDANETA CASA Nº37</t>
  </si>
  <si>
    <t xml:space="preserve">0412-7878706</t>
  </si>
  <si>
    <t xml:space="preserve">000025883894</t>
  </si>
  <si>
    <t xml:space="preserve">ESNEIDER DAVID</t>
  </si>
  <si>
    <t xml:space="preserve">OLIVERO MANJARREZ</t>
  </si>
  <si>
    <t xml:space="preserve">0262-5153777</t>
  </si>
  <si>
    <t xml:space="preserve">22141324</t>
  </si>
  <si>
    <t xml:space="preserve">000025902490</t>
  </si>
  <si>
    <t xml:space="preserve">JUAN CARLOS</t>
  </si>
  <si>
    <t xml:space="preserve">SUAREZ CIANFAGLIONE</t>
  </si>
  <si>
    <t xml:space="preserve">0426-3627081</t>
  </si>
  <si>
    <t xml:space="preserve">000025979248</t>
  </si>
  <si>
    <t xml:space="preserve">JUAN DANIEL</t>
  </si>
  <si>
    <t xml:space="preserve">RAMIREZ CHAVEZ</t>
  </si>
  <si>
    <t xml:space="preserve">LA PARCELA DE LA PAZ</t>
  </si>
  <si>
    <t xml:space="preserve">0416-7612153</t>
  </si>
  <si>
    <t xml:space="preserve">14208548</t>
  </si>
  <si>
    <t xml:space="preserve">000025979480</t>
  </si>
  <si>
    <t xml:space="preserve">RUCETH COROMOTO</t>
  </si>
  <si>
    <t xml:space="preserve">SILVA RINCON</t>
  </si>
  <si>
    <t xml:space="preserve">CAMPO COQUIVACOA CASA Nº 22B</t>
  </si>
  <si>
    <t xml:space="preserve">0416-0609656</t>
  </si>
  <si>
    <t xml:space="preserve">06805752</t>
  </si>
  <si>
    <t xml:space="preserve">000025979498</t>
  </si>
  <si>
    <t xml:space="preserve">ROBERT ANTONI</t>
  </si>
  <si>
    <t xml:space="preserve">0416-5695904</t>
  </si>
  <si>
    <t xml:space="preserve">11264031</t>
  </si>
  <si>
    <t xml:space="preserve">000025979616</t>
  </si>
  <si>
    <t xml:space="preserve">FINOL MARIN </t>
  </si>
  <si>
    <t xml:space="preserve">0416-1698251</t>
  </si>
  <si>
    <t xml:space="preserve">10448408</t>
  </si>
  <si>
    <t xml:space="preserve">000025979643</t>
  </si>
  <si>
    <t xml:space="preserve">ROSELYS MARIA</t>
  </si>
  <si>
    <t xml:space="preserve">BOSCAN VILLALOBOS</t>
  </si>
  <si>
    <t xml:space="preserve">S/ EL ANEXO CASA Nº 10</t>
  </si>
  <si>
    <t xml:space="preserve">0262-4939898</t>
  </si>
  <si>
    <t xml:space="preserve">11876781</t>
  </si>
  <si>
    <t xml:space="preserve">000026062536</t>
  </si>
  <si>
    <t xml:space="preserve">EDGAR ALEXANDER</t>
  </si>
  <si>
    <t xml:space="preserve">CARIDAD BLANCO</t>
  </si>
  <si>
    <t xml:space="preserve">SINAMAICA</t>
  </si>
  <si>
    <t xml:space="preserve">CAMPO COQUIVACOA CASA Nº 41B</t>
  </si>
  <si>
    <t xml:space="preserve">0416-7681006</t>
  </si>
  <si>
    <t xml:space="preserve">10424279</t>
  </si>
  <si>
    <t xml:space="preserve">000026092970</t>
  </si>
  <si>
    <t xml:space="preserve">ALICETH </t>
  </si>
  <si>
    <t xml:space="preserve">CASERIO EL LABERINTO</t>
  </si>
  <si>
    <t xml:space="preserve">0263-4147739</t>
  </si>
  <si>
    <t xml:space="preserve">07876215</t>
  </si>
  <si>
    <t xml:space="preserve">000026093803</t>
  </si>
  <si>
    <t xml:space="preserve">NORBELIO JOSE</t>
  </si>
  <si>
    <t xml:space="preserve">LOS JAGUEYES S/ NOTEREY CASA Nº74</t>
  </si>
  <si>
    <t xml:space="preserve">0426-1614713</t>
  </si>
  <si>
    <t xml:space="preserve">14369929</t>
  </si>
  <si>
    <t xml:space="preserve">000026093950</t>
  </si>
  <si>
    <t xml:space="preserve">DEYNIS JOSE</t>
  </si>
  <si>
    <t xml:space="preserve">CASTILLO URDANETA </t>
  </si>
  <si>
    <t xml:space="preserve">S/115</t>
  </si>
  <si>
    <t xml:space="preserve">0416-6649139</t>
  </si>
  <si>
    <t xml:space="preserve">000026093963</t>
  </si>
  <si>
    <t xml:space="preserve">YONATHAN JESUS</t>
  </si>
  <si>
    <t xml:space="preserve">BERNAL FERNANDEZ </t>
  </si>
  <si>
    <t xml:space="preserve">0426-6669709</t>
  </si>
  <si>
    <t xml:space="preserve">16427155</t>
  </si>
  <si>
    <t xml:space="preserve">000026093970</t>
  </si>
  <si>
    <t xml:space="preserve">0426-2680506</t>
  </si>
  <si>
    <t xml:space="preserve">000026169242</t>
  </si>
  <si>
    <t xml:space="preserve">LEANDRY JOSE</t>
  </si>
  <si>
    <t xml:space="preserve">MORALES BALAZARTE </t>
  </si>
  <si>
    <t xml:space="preserve">VIA EL HONDITO S/ LA M</t>
  </si>
  <si>
    <t xml:space="preserve">0262-4932533</t>
  </si>
  <si>
    <t xml:space="preserve">000026169245</t>
  </si>
  <si>
    <t xml:space="preserve">JUAN LUIS</t>
  </si>
  <si>
    <t xml:space="preserve">FERRER FUENMAYOR</t>
  </si>
  <si>
    <t xml:space="preserve">0262-4933801</t>
  </si>
  <si>
    <t xml:space="preserve">11293938</t>
  </si>
  <si>
    <t xml:space="preserve">000026169581</t>
  </si>
  <si>
    <t xml:space="preserve">RIVERA VALLES</t>
  </si>
  <si>
    <t xml:space="preserve">AV.PPAL S/ LAS JAVILLA</t>
  </si>
  <si>
    <t xml:space="preserve">0426-4665995</t>
  </si>
  <si>
    <t xml:space="preserve">09798706</t>
  </si>
  <si>
    <t xml:space="preserve">000026169584</t>
  </si>
  <si>
    <t xml:space="preserve">LUISA CRISTINA</t>
  </si>
  <si>
    <t xml:space="preserve">URDANETA FERRER </t>
  </si>
  <si>
    <t xml:space="preserve">CAMPO BOYACA CASA Nº 8A</t>
  </si>
  <si>
    <t xml:space="preserve">0262-4111274</t>
  </si>
  <si>
    <t xml:space="preserve">000026169592</t>
  </si>
  <si>
    <t xml:space="preserve">HERRERA OLIVEROS</t>
  </si>
  <si>
    <t xml:space="preserve">CAMPO COQUIVACOA CASA Nº 30A</t>
  </si>
  <si>
    <t xml:space="preserve">0416-1607163</t>
  </si>
  <si>
    <t xml:space="preserve">13758009</t>
  </si>
  <si>
    <t xml:space="preserve">000026169598</t>
  </si>
  <si>
    <t xml:space="preserve">SOLMARI COROMOTO </t>
  </si>
  <si>
    <t xml:space="preserve">LA GRAN PARADA</t>
  </si>
  <si>
    <t xml:space="preserve">0416-9082559</t>
  </si>
  <si>
    <t xml:space="preserve">13414312</t>
  </si>
  <si>
    <t xml:space="preserve">000026169602</t>
  </si>
  <si>
    <t xml:space="preserve">RODOLFO JUNIOR</t>
  </si>
  <si>
    <t xml:space="preserve">CASTILLO PIRELA </t>
  </si>
  <si>
    <t xml:space="preserve">CAMPO CALIZA CASA Nº 1 A</t>
  </si>
  <si>
    <t xml:space="preserve">0416-5653338</t>
  </si>
  <si>
    <t xml:space="preserve">09792536</t>
  </si>
  <si>
    <t xml:space="preserve">000026169603</t>
  </si>
  <si>
    <t xml:space="preserve">0426-9605045</t>
  </si>
  <si>
    <t xml:space="preserve">000026169604</t>
  </si>
  <si>
    <t xml:space="preserve">RAFAEL JESUS</t>
  </si>
  <si>
    <t xml:space="preserve">0416-7652181</t>
  </si>
  <si>
    <t xml:space="preserve">13757668</t>
  </si>
  <si>
    <t xml:space="preserve">000026169609</t>
  </si>
  <si>
    <t xml:space="preserve">DANIELA DIBELKIS</t>
  </si>
  <si>
    <t xml:space="preserve">5 DE ENERO</t>
  </si>
  <si>
    <t xml:space="preserve">0416-5663454</t>
  </si>
  <si>
    <t xml:space="preserve">09748931</t>
  </si>
  <si>
    <t xml:space="preserve">000026169614</t>
  </si>
  <si>
    <t xml:space="preserve">FRANK WILLIAN</t>
  </si>
  <si>
    <t xml:space="preserve">AVILA FERNANDEZ</t>
  </si>
  <si>
    <t xml:space="preserve">BARRIO 5 DE ENERO CASA Nº55</t>
  </si>
  <si>
    <t xml:space="preserve">0426-2638686</t>
  </si>
  <si>
    <t xml:space="preserve">16081385</t>
  </si>
  <si>
    <t xml:space="preserve">000026169616</t>
  </si>
  <si>
    <t xml:space="preserve">VICTOR MANUEL</t>
  </si>
  <si>
    <t xml:space="preserve">URDANETA HERRERA</t>
  </si>
  <si>
    <t xml:space="preserve">BARRIO MARIO URDANETA CASA Nº 19</t>
  </si>
  <si>
    <t xml:space="preserve">0416-9036866</t>
  </si>
  <si>
    <t xml:space="preserve">15280216</t>
  </si>
  <si>
    <t xml:space="preserve">000026169658</t>
  </si>
  <si>
    <t xml:space="preserve">EVA SANDRYS</t>
  </si>
  <si>
    <t xml:space="preserve">S/ NOTEREY 1 VIA LABERINTO</t>
  </si>
  <si>
    <t xml:space="preserve">0426-4006237</t>
  </si>
  <si>
    <t xml:space="preserve">16016453</t>
  </si>
  <si>
    <t xml:space="preserve">000026169779</t>
  </si>
  <si>
    <t xml:space="preserve">ANDRO DE JESUS</t>
  </si>
  <si>
    <t xml:space="preserve">PORTILLO FUENMAYOR</t>
  </si>
  <si>
    <t xml:space="preserve">S/ROBERTO FUENMAYOR </t>
  </si>
  <si>
    <t xml:space="preserve">0426-1633118</t>
  </si>
  <si>
    <t xml:space="preserve">000026169782</t>
  </si>
  <si>
    <t xml:space="preserve">ALKEBER JAVIER</t>
  </si>
  <si>
    <t xml:space="preserve">S/ LAS VIVIENDAS CASA Nº 36</t>
  </si>
  <si>
    <t xml:space="preserve">0426-3663802</t>
  </si>
  <si>
    <t xml:space="preserve">000026169785</t>
  </si>
  <si>
    <t xml:space="preserve">CINDY DEL CARMEN</t>
  </si>
  <si>
    <t xml:space="preserve">LIZARAZO SALAZAR</t>
  </si>
  <si>
    <t xml:space="preserve">S/ YOCOIMA CASA Nº04 DIAGONAL AL CLUB UGALAB</t>
  </si>
  <si>
    <t xml:space="preserve">0426-7615148</t>
  </si>
  <si>
    <t xml:space="preserve">13653621</t>
  </si>
  <si>
    <t xml:space="preserve">000026169807</t>
  </si>
  <si>
    <t xml:space="preserve">JARVIN JOSUE</t>
  </si>
  <si>
    <t xml:space="preserve">CHACON BRIÑEZ</t>
  </si>
  <si>
    <t xml:space="preserve">0262-2103257</t>
  </si>
  <si>
    <t xml:space="preserve">13575210</t>
  </si>
  <si>
    <t xml:space="preserve">000026189396</t>
  </si>
  <si>
    <t xml:space="preserve">ANYERLIN VANESSA</t>
  </si>
  <si>
    <t xml:space="preserve">S/ EL COLORADO BARRIO MARIO URDANETA</t>
  </si>
  <si>
    <t xml:space="preserve">0426-1239848</t>
  </si>
  <si>
    <t xml:space="preserve">15531404</t>
  </si>
  <si>
    <t xml:space="preserve">000026169594</t>
  </si>
  <si>
    <t xml:space="preserve">EDIMAR</t>
  </si>
  <si>
    <t xml:space="preserve">000026200083</t>
  </si>
  <si>
    <t xml:space="preserve">DAINERYS MARIA</t>
  </si>
  <si>
    <t xml:space="preserve">URDANETA DORIA</t>
  </si>
  <si>
    <t xml:space="preserve">0426-6637000</t>
  </si>
  <si>
    <t xml:space="preserve">16149541</t>
  </si>
  <si>
    <t xml:space="preserve">000026236335</t>
  </si>
  <si>
    <t xml:space="preserve">JULIMAR</t>
  </si>
  <si>
    <t xml:space="preserve">VILLAMIZAR ATENCIO </t>
  </si>
  <si>
    <t xml:space="preserve">11662372</t>
  </si>
  <si>
    <t xml:space="preserve">000026239613</t>
  </si>
  <si>
    <t xml:space="preserve">ALBERT ENRIQUE</t>
  </si>
  <si>
    <t xml:space="preserve">CHACON FERNANDEZ</t>
  </si>
  <si>
    <t xml:space="preserve">BARRIO MARIO URDANETA CAS Nº 13</t>
  </si>
  <si>
    <t xml:space="preserve">0262-8089719</t>
  </si>
  <si>
    <t xml:space="preserve">12440946</t>
  </si>
  <si>
    <t xml:space="preserve">000026236651</t>
  </si>
  <si>
    <t xml:space="preserve">LEOMAR GREGORIO</t>
  </si>
  <si>
    <t xml:space="preserve">CAÑIZAREZ BARRIOS</t>
  </si>
  <si>
    <t xml:space="preserve">0426-3349935</t>
  </si>
  <si>
    <t xml:space="preserve">000026236652</t>
  </si>
  <si>
    <t xml:space="preserve">LEONEL GREGORIO</t>
  </si>
  <si>
    <t xml:space="preserve">000026239504</t>
  </si>
  <si>
    <t xml:space="preserve">YOLIANIS MARGARITA</t>
  </si>
  <si>
    <t xml:space="preserve">PERCHE MONTILLA</t>
  </si>
  <si>
    <t xml:space="preserve">0426-9242724</t>
  </si>
  <si>
    <t xml:space="preserve">000026239507</t>
  </si>
  <si>
    <t xml:space="preserve">PERCHE NEGRETTE</t>
  </si>
  <si>
    <t xml:space="preserve">S/ EL TAPARO CASA Nº 68</t>
  </si>
  <si>
    <t xml:space="preserve">0262-5236788</t>
  </si>
  <si>
    <t xml:space="preserve">14279752</t>
  </si>
  <si>
    <t xml:space="preserve">000026239598</t>
  </si>
  <si>
    <t xml:space="preserve">KENYERLY PAOLA</t>
  </si>
  <si>
    <t xml:space="preserve">MOLLEJA PULGAR</t>
  </si>
  <si>
    <t xml:space="preserve">S/ BARRIO MARIO URDANETA</t>
  </si>
  <si>
    <t xml:space="preserve">0262-4937356</t>
  </si>
  <si>
    <t xml:space="preserve">07758033</t>
  </si>
  <si>
    <t xml:space="preserve">000026239611</t>
  </si>
  <si>
    <t xml:space="preserve">DUVERLYN DE LOS ANGELES</t>
  </si>
  <si>
    <t xml:space="preserve">ZAMBRANO URDANETA</t>
  </si>
  <si>
    <t xml:space="preserve">LA CONQUISTA CASA Nº149</t>
  </si>
  <si>
    <t xml:space="preserve">0416-8699632</t>
  </si>
  <si>
    <t xml:space="preserve">13005139</t>
  </si>
  <si>
    <t xml:space="preserve">000026239614</t>
  </si>
  <si>
    <t xml:space="preserve">EVELYN VIRGINIA</t>
  </si>
  <si>
    <t xml:space="preserve">000026276222</t>
  </si>
  <si>
    <t xml:space="preserve">EDWIN JOSE</t>
  </si>
  <si>
    <t xml:space="preserve">MOLERO URDANETA</t>
  </si>
  <si>
    <t xml:space="preserve">S/ LAS VIVIENDAS</t>
  </si>
  <si>
    <t xml:space="preserve">0416-2687550</t>
  </si>
  <si>
    <t xml:space="preserve">08506114</t>
  </si>
  <si>
    <t xml:space="preserve">000026276374</t>
  </si>
  <si>
    <t xml:space="preserve">DAVID RAUL </t>
  </si>
  <si>
    <t xml:space="preserve">ROMERO VILCHEZ</t>
  </si>
  <si>
    <t xml:space="preserve">0416-5674302</t>
  </si>
  <si>
    <t xml:space="preserve">10429142</t>
  </si>
  <si>
    <t xml:space="preserve">000026276392</t>
  </si>
  <si>
    <t xml:space="preserve">NOLBERTO ANTONIO</t>
  </si>
  <si>
    <t xml:space="preserve">000026276470</t>
  </si>
  <si>
    <t xml:space="preserve">DAYANA  MISLEIDY</t>
  </si>
  <si>
    <t xml:space="preserve">SANCHEZ BOSCAN</t>
  </si>
  <si>
    <t xml:space="preserve">S/ EL BATACAZO CASA Nº 38</t>
  </si>
  <si>
    <t xml:space="preserve">0416-6672496</t>
  </si>
  <si>
    <t xml:space="preserve">15525431</t>
  </si>
  <si>
    <t xml:space="preserve">000026276968</t>
  </si>
  <si>
    <t xml:space="preserve">ORACELIS KLEISBER</t>
  </si>
  <si>
    <t xml:space="preserve">CASTILLO FERNANDEZ</t>
  </si>
  <si>
    <t xml:space="preserve">0426-6655371</t>
  </si>
  <si>
    <t xml:space="preserve">000026276970</t>
  </si>
  <si>
    <t xml:space="preserve">YELIMAR</t>
  </si>
  <si>
    <t xml:space="preserve">FERRER ATENCIO</t>
  </si>
  <si>
    <t xml:space="preserve">S/ EL NARANJAR  EL LABERINTO</t>
  </si>
  <si>
    <t xml:space="preserve">0416-4617007</t>
  </si>
  <si>
    <t xml:space="preserve">13474143</t>
  </si>
  <si>
    <t xml:space="preserve">000026276982</t>
  </si>
  <si>
    <t xml:space="preserve">ORIANI DEL CARMEN</t>
  </si>
  <si>
    <t xml:space="preserve">FUENMAYOR FUENMAYOR</t>
  </si>
  <si>
    <t xml:space="preserve">11297542</t>
  </si>
  <si>
    <t xml:space="preserve">000026276990</t>
  </si>
  <si>
    <t xml:space="preserve">YARIMAR CHIQUINQUIRA</t>
  </si>
  <si>
    <t xml:space="preserve">PIRELA FUENMAYOR </t>
  </si>
  <si>
    <t xml:space="preserve">CAMPO CAQUIVACOA CASA Nº2A</t>
  </si>
  <si>
    <t xml:space="preserve">0416-9626482</t>
  </si>
  <si>
    <t xml:space="preserve">14208804</t>
  </si>
  <si>
    <t xml:space="preserve">000026276996</t>
  </si>
  <si>
    <t xml:space="preserve">VICTOR SAMUEL</t>
  </si>
  <si>
    <t xml:space="preserve">AV.PPAL SAN VALENTIN</t>
  </si>
  <si>
    <t xml:space="preserve">0416-2260655</t>
  </si>
  <si>
    <t xml:space="preserve">14736567</t>
  </si>
  <si>
    <t xml:space="preserve">000026276999</t>
  </si>
  <si>
    <t xml:space="preserve">DEIVIS DEL VALLE</t>
  </si>
  <si>
    <t xml:space="preserve">SOTURNO MORENO</t>
  </si>
  <si>
    <t xml:space="preserve">S/ LAS MARIA VIA SAN ANTONIO</t>
  </si>
  <si>
    <t xml:space="preserve">0262-4115235</t>
  </si>
  <si>
    <t xml:space="preserve">15840142</t>
  </si>
  <si>
    <t xml:space="preserve">000026284628</t>
  </si>
  <si>
    <t xml:space="preserve">ANA CAROLINA</t>
  </si>
  <si>
    <t xml:space="preserve">ALTAMAR ALTAMAR</t>
  </si>
  <si>
    <t xml:space="preserve">CIUDAD COMUNAL</t>
  </si>
  <si>
    <t xml:space="preserve">0416-7512696</t>
  </si>
  <si>
    <t xml:space="preserve">000026353728</t>
  </si>
  <si>
    <t xml:space="preserve">DANIEL JOSUE</t>
  </si>
  <si>
    <t xml:space="preserve">CONTRERAS LUZARDO</t>
  </si>
  <si>
    <t xml:space="preserve">S/ LAS FLORES</t>
  </si>
  <si>
    <t xml:space="preserve">0262-2763214</t>
  </si>
  <si>
    <t xml:space="preserve">11862727</t>
  </si>
  <si>
    <t xml:space="preserve">000026481002</t>
  </si>
  <si>
    <t xml:space="preserve">DANIELA CAROLINA</t>
  </si>
  <si>
    <t xml:space="preserve">GONZALEZ DIAZ</t>
  </si>
  <si>
    <t xml:space="preserve">0262-8080495</t>
  </si>
  <si>
    <t xml:space="preserve">21077896</t>
  </si>
  <si>
    <t xml:space="preserve">000026481003</t>
  </si>
  <si>
    <t xml:space="preserve">MILEIDY ISABEL</t>
  </si>
  <si>
    <t xml:space="preserve">000026481007</t>
  </si>
  <si>
    <t xml:space="preserve">VIVIANA PATRICIA</t>
  </si>
  <si>
    <t xml:space="preserve">MASCO VARELA</t>
  </si>
  <si>
    <t xml:space="preserve">0262-8088911</t>
  </si>
  <si>
    <t xml:space="preserve">22474314</t>
  </si>
  <si>
    <t xml:space="preserve">000026481010</t>
  </si>
  <si>
    <t xml:space="preserve">IREIDY DEL CARMEN</t>
  </si>
  <si>
    <t xml:space="preserve">GONZALEZ COLINA</t>
  </si>
  <si>
    <t xml:space="preserve">BARRIO MARIO URDANETA CASA Nº 11</t>
  </si>
  <si>
    <t xml:space="preserve">0262-4938405</t>
  </si>
  <si>
    <t xml:space="preserve">08504511</t>
  </si>
  <si>
    <t xml:space="preserve">000026481056</t>
  </si>
  <si>
    <t xml:space="preserve">BRAIAN JOSE</t>
  </si>
  <si>
    <t xml:space="preserve">GUTIERREZ VASQUEZ </t>
  </si>
  <si>
    <t xml:space="preserve">BARRIO CHINO RAFAEL AV.PPAL C.Nº 66</t>
  </si>
  <si>
    <t xml:space="preserve">0426-6627929</t>
  </si>
  <si>
    <t xml:space="preserve">12305793</t>
  </si>
  <si>
    <t xml:space="preserve">000026481059</t>
  </si>
  <si>
    <t xml:space="preserve">YOIKER JOSE</t>
  </si>
  <si>
    <t xml:space="preserve">URDANETA QUINTERO</t>
  </si>
  <si>
    <t xml:space="preserve">0426-9234391</t>
  </si>
  <si>
    <t xml:space="preserve">17565192</t>
  </si>
  <si>
    <t xml:space="preserve">000026481102</t>
  </si>
  <si>
    <t xml:space="preserve">YUVENGLY MAIRE</t>
  </si>
  <si>
    <t xml:space="preserve">0416-5665713</t>
  </si>
  <si>
    <t xml:space="preserve">12620909</t>
  </si>
  <si>
    <t xml:space="preserve">000026481104</t>
  </si>
  <si>
    <t xml:space="preserve">YENNIFER PAOLA</t>
  </si>
  <si>
    <t xml:space="preserve">VALBUENA BARRIOS</t>
  </si>
  <si>
    <t xml:space="preserve">BARRUO ROBERTO FUENMAYOR</t>
  </si>
  <si>
    <t xml:space="preserve">0262-4111733</t>
  </si>
  <si>
    <t xml:space="preserve">18821865</t>
  </si>
  <si>
    <t xml:space="preserve">000026481105</t>
  </si>
  <si>
    <t xml:space="preserve">0416-4690105</t>
  </si>
  <si>
    <t xml:space="preserve">000026481106</t>
  </si>
  <si>
    <t xml:space="preserve">NAHIN ISABEL</t>
  </si>
  <si>
    <t xml:space="preserve">000026481107</t>
  </si>
  <si>
    <t xml:space="preserve">JOVANNY JUNIOR</t>
  </si>
  <si>
    <t xml:space="preserve">URDANETA FUENMAYOR </t>
  </si>
  <si>
    <t xml:space="preserve">S/ LOS MARAMOS PARADA DE LOS BUSES</t>
  </si>
  <si>
    <t xml:space="preserve">0416-6-2603231</t>
  </si>
  <si>
    <t xml:space="preserve">12805630</t>
  </si>
  <si>
    <t xml:space="preserve">000026481111</t>
  </si>
  <si>
    <t xml:space="preserve">ECLIPSIBEL LUNA</t>
  </si>
  <si>
    <t xml:space="preserve">RIVERO URDANETA</t>
  </si>
  <si>
    <t xml:space="preserve">0426-9231103</t>
  </si>
  <si>
    <t xml:space="preserve">10448947</t>
  </si>
  <si>
    <t xml:space="preserve">000026481113</t>
  </si>
  <si>
    <t xml:space="preserve">ZUREILIS DEL VALLE</t>
  </si>
  <si>
    <t xml:space="preserve">BELTRAN URDANETA</t>
  </si>
  <si>
    <t xml:space="preserve">000026481236</t>
  </si>
  <si>
    <t xml:space="preserve">EDWAR JOSE</t>
  </si>
  <si>
    <t xml:space="preserve">CASTILLO BRAVO </t>
  </si>
  <si>
    <t xml:space="preserve">VIA EL LABERINTO LOS JAGUEYES</t>
  </si>
  <si>
    <t xml:space="preserve">0262-4938142</t>
  </si>
  <si>
    <t xml:space="preserve">15405086</t>
  </si>
  <si>
    <t xml:space="preserve">000026481238</t>
  </si>
  <si>
    <t xml:space="preserve">NORBELIS DEL CARMEN</t>
  </si>
  <si>
    <t xml:space="preserve">URDANETA MORILLO</t>
  </si>
  <si>
    <t xml:space="preserve">LOS JAGUEYES S/ SAN ANTONIO</t>
  </si>
  <si>
    <t xml:space="preserve">0416-7019693</t>
  </si>
  <si>
    <t xml:space="preserve">09709395</t>
  </si>
  <si>
    <t xml:space="preserve">000026481239</t>
  </si>
  <si>
    <t xml:space="preserve">NORBELIN MARIA</t>
  </si>
  <si>
    <t xml:space="preserve">000026481861</t>
  </si>
  <si>
    <t xml:space="preserve">NEUMAR ENRIQUE</t>
  </si>
  <si>
    <t xml:space="preserve">0426-7639576</t>
  </si>
  <si>
    <t xml:space="preserve">12697333</t>
  </si>
  <si>
    <t xml:space="preserve">000026481878</t>
  </si>
  <si>
    <t xml:space="preserve">YONNY JUNIOR</t>
  </si>
  <si>
    <t xml:space="preserve">GAMERO FERNANDEZ </t>
  </si>
  <si>
    <t xml:space="preserve">0416-2634874</t>
  </si>
  <si>
    <t xml:space="preserve">000026481881</t>
  </si>
  <si>
    <t xml:space="preserve">ALBENI JOSE</t>
  </si>
  <si>
    <t xml:space="preserve">S/ EL TAPARO CASA Nº 11</t>
  </si>
  <si>
    <t xml:space="preserve">0414-6776574</t>
  </si>
  <si>
    <t xml:space="preserve">000026481882</t>
  </si>
  <si>
    <t xml:space="preserve">FRANGELIS PAOLA</t>
  </si>
  <si>
    <t xml:space="preserve">0426-8660846</t>
  </si>
  <si>
    <t xml:space="preserve">15944754</t>
  </si>
  <si>
    <t xml:space="preserve">000026481884</t>
  </si>
  <si>
    <t xml:space="preserve">RAQUELINA DEL CARMEN</t>
  </si>
  <si>
    <t xml:space="preserve">SOTO BRIÑEZ</t>
  </si>
  <si>
    <t xml:space="preserve">S/ROBERTO FUENMAYOR</t>
  </si>
  <si>
    <t xml:space="preserve">0426-8080997</t>
  </si>
  <si>
    <t xml:space="preserve">09354973</t>
  </si>
  <si>
    <t xml:space="preserve">000026481887</t>
  </si>
  <si>
    <t xml:space="preserve">NERVIS JESUS</t>
  </si>
  <si>
    <t xml:space="preserve">BRIÑEZ BRACHO</t>
  </si>
  <si>
    <t xml:space="preserve">0416-7640640</t>
  </si>
  <si>
    <t xml:space="preserve">12514014</t>
  </si>
  <si>
    <t xml:space="preserve">000026481888</t>
  </si>
  <si>
    <t xml:space="preserve">STEFANY CAROLINA</t>
  </si>
  <si>
    <t xml:space="preserve">S/ EL BATACAZO</t>
  </si>
  <si>
    <t xml:space="preserve">000026481899</t>
  </si>
  <si>
    <t xml:space="preserve">DOULEYMI YUNETZA</t>
  </si>
  <si>
    <t xml:space="preserve">ZAMBRANO FUENMAYOR</t>
  </si>
  <si>
    <t xml:space="preserve">BARRIO SIMON BOLIVAR CASA Nº24</t>
  </si>
  <si>
    <t xml:space="preserve">0426-7251057</t>
  </si>
  <si>
    <t xml:space="preserve">12619931</t>
  </si>
  <si>
    <t xml:space="preserve">000026541532</t>
  </si>
  <si>
    <t xml:space="preserve">FERRER RINCON</t>
  </si>
  <si>
    <t xml:space="preserve">0426-4692014</t>
  </si>
  <si>
    <t xml:space="preserve">10439962</t>
  </si>
  <si>
    <t xml:space="preserve">000026559401</t>
  </si>
  <si>
    <t xml:space="preserve">KERLLY  NORIBETH</t>
  </si>
  <si>
    <t xml:space="preserve">SAN FERNANDO DE APURE</t>
  </si>
  <si>
    <t xml:space="preserve">0416-2263681</t>
  </si>
  <si>
    <t xml:space="preserve">000026694643</t>
  </si>
  <si>
    <t xml:space="preserve">ZULAY DEL CARMEN</t>
  </si>
  <si>
    <t xml:space="preserve">0416-9637969</t>
  </si>
  <si>
    <t xml:space="preserve">16561721</t>
  </si>
  <si>
    <t xml:space="preserve">000026639914</t>
  </si>
  <si>
    <t xml:space="preserve">MARIANYEL DEL VALLE</t>
  </si>
  <si>
    <t xml:space="preserve">VILLALOBOS FUENMAYOR </t>
  </si>
  <si>
    <t xml:space="preserve">CAMPO BOYACA CASA Nº45A</t>
  </si>
  <si>
    <t xml:space="preserve">14524892</t>
  </si>
  <si>
    <t xml:space="preserve">000026639915</t>
  </si>
  <si>
    <t xml:space="preserve">ANGIBEL YOENIS</t>
  </si>
  <si>
    <t xml:space="preserve">QUIBA BOZO</t>
  </si>
  <si>
    <t xml:space="preserve">CAMPO CALITZA CASA Nº 08 CALLE Nº 02</t>
  </si>
  <si>
    <t xml:space="preserve">0412-0648974</t>
  </si>
  <si>
    <t xml:space="preserve">000026639926</t>
  </si>
  <si>
    <t xml:space="preserve">NAIBERKIS DEL VALLE</t>
  </si>
  <si>
    <t xml:space="preserve">FERNANDEZ VILLALOBOS</t>
  </si>
  <si>
    <t xml:space="preserve">S/ LA NUEVECITA</t>
  </si>
  <si>
    <t xml:space="preserve">0416-0190048</t>
  </si>
  <si>
    <t xml:space="preserve">15260611</t>
  </si>
  <si>
    <t xml:space="preserve">000026640483</t>
  </si>
  <si>
    <t xml:space="preserve">JHON DANIEL</t>
  </si>
  <si>
    <t xml:space="preserve">URDANETA PORTILLO</t>
  </si>
  <si>
    <t xml:space="preserve">0424-6103323</t>
  </si>
  <si>
    <t xml:space="preserve">17735598</t>
  </si>
  <si>
    <t xml:space="preserve">000026694637</t>
  </si>
  <si>
    <t xml:space="preserve">CESAR ANDRES</t>
  </si>
  <si>
    <t xml:space="preserve">RIVERA MOLLEJA</t>
  </si>
  <si>
    <t xml:space="preserve">VIA EL HONDITO S/LA M</t>
  </si>
  <si>
    <t xml:space="preserve">0426-8660569</t>
  </si>
  <si>
    <t xml:space="preserve">12513504</t>
  </si>
  <si>
    <t xml:space="preserve">000026694640</t>
  </si>
  <si>
    <t xml:space="preserve">ENILDA JOHANA</t>
  </si>
  <si>
    <t xml:space="preserve">MORALES CABARCAS</t>
  </si>
  <si>
    <t xml:space="preserve">S/ LS FRAGUA CASA Nº25</t>
  </si>
  <si>
    <t xml:space="preserve">0426-8653344</t>
  </si>
  <si>
    <t xml:space="preserve">15009710</t>
  </si>
  <si>
    <t xml:space="preserve">000026694650</t>
  </si>
  <si>
    <t xml:space="preserve">ANARIANJELYS PAOLA</t>
  </si>
  <si>
    <t xml:space="preserve">VERA GUANIPA</t>
  </si>
  <si>
    <t xml:space="preserve">AV.PPAL LA PAZ CALLE LAS FLORES</t>
  </si>
  <si>
    <t xml:space="preserve">0426-1223031</t>
  </si>
  <si>
    <t xml:space="preserve">000026694656</t>
  </si>
  <si>
    <t xml:space="preserve">MICHELLE DAYANA</t>
  </si>
  <si>
    <t xml:space="preserve">CASTILLO CARIAS</t>
  </si>
  <si>
    <t xml:space="preserve">S/ EL BATACAZO </t>
  </si>
  <si>
    <t xml:space="preserve">05844661</t>
  </si>
  <si>
    <t xml:space="preserve">000026694658</t>
  </si>
  <si>
    <t xml:space="preserve">DIEDILUZ DEL CARMEN</t>
  </si>
  <si>
    <t xml:space="preserve">FUENMAYOR GONZALEZ</t>
  </si>
  <si>
    <t xml:space="preserve">BARRIO 5 DEENERO</t>
  </si>
  <si>
    <t xml:space="preserve">0416-5604519</t>
  </si>
  <si>
    <t xml:space="preserve">16834896</t>
  </si>
  <si>
    <t xml:space="preserve">000026694670</t>
  </si>
  <si>
    <t xml:space="preserve">EUDOMAR ENRIQUE</t>
  </si>
  <si>
    <t xml:space="preserve">BRAVO VILCHEZ</t>
  </si>
  <si>
    <t xml:space="preserve">0412-1712952</t>
  </si>
  <si>
    <t xml:space="preserve">15195310</t>
  </si>
  <si>
    <t xml:space="preserve">000026710046</t>
  </si>
  <si>
    <t xml:space="preserve">GLEISYMAR EYLEEN</t>
  </si>
  <si>
    <t xml:space="preserve">EL LABERINTO CIUDAD COMUNAL</t>
  </si>
  <si>
    <t xml:space="preserve">0426-4696880</t>
  </si>
  <si>
    <t xml:space="preserve">000026710091</t>
  </si>
  <si>
    <t xml:space="preserve">MARIANGEL ESTER</t>
  </si>
  <si>
    <t xml:space="preserve">CARDOZO MORALES</t>
  </si>
  <si>
    <t xml:space="preserve">0424-6524399</t>
  </si>
  <si>
    <t xml:space="preserve">17833702</t>
  </si>
  <si>
    <t xml:space="preserve">000026710099</t>
  </si>
  <si>
    <t xml:space="preserve">DIEGLIS ANIBETH</t>
  </si>
  <si>
    <t xml:space="preserve">RUIZ POLO</t>
  </si>
  <si>
    <t xml:space="preserve">0426-2670588</t>
  </si>
  <si>
    <t xml:space="preserve">11867635</t>
  </si>
  <si>
    <t xml:space="preserve">000026710100</t>
  </si>
  <si>
    <t xml:space="preserve">YULEXI DEL VALLE</t>
  </si>
  <si>
    <t xml:space="preserve">MORALES GONZALEZ</t>
  </si>
  <si>
    <t xml:space="preserve">000026710934</t>
  </si>
  <si>
    <t xml:space="preserve">NESTOR MANUEL</t>
  </si>
  <si>
    <t xml:space="preserve">CRUZ DIAZ</t>
  </si>
  <si>
    <t xml:space="preserve">AV.PPAL  LA PARADA DE LOS BUSES,S/LOS MARANOS</t>
  </si>
  <si>
    <t xml:space="preserve">0262-8088002</t>
  </si>
  <si>
    <t xml:space="preserve">83162832</t>
  </si>
  <si>
    <t xml:space="preserve">000026743293</t>
  </si>
  <si>
    <t xml:space="preserve">ROSIMAR VANESSA</t>
  </si>
  <si>
    <t xml:space="preserve">MONTIEL PORTILLO</t>
  </si>
  <si>
    <t xml:space="preserve">0426-3690802</t>
  </si>
  <si>
    <t xml:space="preserve">14279465</t>
  </si>
  <si>
    <t xml:space="preserve">000026795626</t>
  </si>
  <si>
    <t xml:space="preserve">LINA MARIA</t>
  </si>
  <si>
    <t xml:space="preserve">RODRIGUEZ FANDIÑO </t>
  </si>
  <si>
    <t xml:space="preserve">0426-8231608</t>
  </si>
  <si>
    <t xml:space="preserve">000026795693</t>
  </si>
  <si>
    <t xml:space="preserve">CONDE FERNANDEZ</t>
  </si>
  <si>
    <t xml:space="preserve">BARRIO EL COLORADO</t>
  </si>
  <si>
    <t xml:space="preserve">22174385</t>
  </si>
  <si>
    <t xml:space="preserve">000026860087</t>
  </si>
  <si>
    <t xml:space="preserve">NOHERYS COROMOTO</t>
  </si>
  <si>
    <t xml:space="preserve">CHAVEZ CHAVEZ</t>
  </si>
  <si>
    <t xml:space="preserve">0426-7622475</t>
  </si>
  <si>
    <t xml:space="preserve">09742130</t>
  </si>
  <si>
    <t xml:space="preserve">000026860089</t>
  </si>
  <si>
    <t xml:space="preserve">LEANDRO JOSE </t>
  </si>
  <si>
    <t xml:space="preserve">GRATEROL ATENCIO</t>
  </si>
  <si>
    <t xml:space="preserve">CIUDAD COMNAL</t>
  </si>
  <si>
    <t xml:space="preserve">0262-2051851</t>
  </si>
  <si>
    <t xml:space="preserve">14658885</t>
  </si>
  <si>
    <t xml:space="preserve">000026872216</t>
  </si>
  <si>
    <t xml:space="preserve">ANYALIS TERESA</t>
  </si>
  <si>
    <t xml:space="preserve">CASTRO QUIROZ</t>
  </si>
  <si>
    <t xml:space="preserve">S/CHINO RAFAEL</t>
  </si>
  <si>
    <t xml:space="preserve">0426-8686051</t>
  </si>
  <si>
    <t xml:space="preserve">17915816</t>
  </si>
  <si>
    <t xml:space="preserve">000026872289</t>
  </si>
  <si>
    <t xml:space="preserve">XUXAN GLADYS GINGEREY</t>
  </si>
  <si>
    <t xml:space="preserve">FERRER VILCHEZ</t>
  </si>
  <si>
    <t xml:space="preserve">0416-0868577</t>
  </si>
  <si>
    <t xml:space="preserve">20508748</t>
  </si>
  <si>
    <t xml:space="preserve">000026872294</t>
  </si>
  <si>
    <t xml:space="preserve">KELVINSON ADRIAN</t>
  </si>
  <si>
    <t xml:space="preserve">0416-7631036</t>
  </si>
  <si>
    <t xml:space="preserve">12873523</t>
  </si>
  <si>
    <t xml:space="preserve">000026872298</t>
  </si>
  <si>
    <t xml:space="preserve">MARIO JOSE </t>
  </si>
  <si>
    <t xml:space="preserve">CAMPO COQUIVACOA CASA Nº11</t>
  </si>
  <si>
    <t xml:space="preserve">0412-7736007</t>
  </si>
  <si>
    <t xml:space="preserve">000026872568</t>
  </si>
  <si>
    <t xml:space="preserve">LEANDRO ANDRES</t>
  </si>
  <si>
    <t xml:space="preserve">13370771</t>
  </si>
  <si>
    <t xml:space="preserve">000026974815</t>
  </si>
  <si>
    <t xml:space="preserve">PEREZ VILLALOBOS</t>
  </si>
  <si>
    <t xml:space="preserve">0416-1656915</t>
  </si>
  <si>
    <t xml:space="preserve">08411296</t>
  </si>
  <si>
    <t xml:space="preserve">000027090454</t>
  </si>
  <si>
    <t xml:space="preserve">JASNORYS ANGELICA</t>
  </si>
  <si>
    <t xml:space="preserve">ACUÑA HERRERA</t>
  </si>
  <si>
    <t xml:space="preserve">S/ VILLA SALAS CASA Nº288</t>
  </si>
  <si>
    <t xml:space="preserve">0416-5634015</t>
  </si>
  <si>
    <t xml:space="preserve">10603004</t>
  </si>
  <si>
    <t xml:space="preserve">000027090460</t>
  </si>
  <si>
    <t xml:space="preserve">CLARIBETH MARIA</t>
  </si>
  <si>
    <t xml:space="preserve">MAESTRE VARELA</t>
  </si>
  <si>
    <t xml:space="preserve">S/ LAS MARIAS</t>
  </si>
  <si>
    <t xml:space="preserve">14137652</t>
  </si>
  <si>
    <t xml:space="preserve">000027090473</t>
  </si>
  <si>
    <t xml:space="preserve">YOJANI MARIA</t>
  </si>
  <si>
    <t xml:space="preserve">BARRIOS CIVIRA</t>
  </si>
  <si>
    <t xml:space="preserve">0416-4672722</t>
  </si>
  <si>
    <t xml:space="preserve">11288096</t>
  </si>
  <si>
    <t xml:space="preserve">000027090478</t>
  </si>
  <si>
    <t xml:space="preserve">KELLY CAROLAY</t>
  </si>
  <si>
    <t xml:space="preserve">FRANCO VILLALOBOS</t>
  </si>
  <si>
    <t xml:space="preserve">0424-6869777</t>
  </si>
  <si>
    <t xml:space="preserve">14824258</t>
  </si>
  <si>
    <t xml:space="preserve">000027090483</t>
  </si>
  <si>
    <t xml:space="preserve">LIZMAIRY ELIMAR</t>
  </si>
  <si>
    <t xml:space="preserve">BARRIO SIMON BOLIVAR CASA Nº 2</t>
  </si>
  <si>
    <t xml:space="preserve">0416-1135657</t>
  </si>
  <si>
    <t xml:space="preserve">000027090495</t>
  </si>
  <si>
    <t xml:space="preserve">MARKELIS PAOLA</t>
  </si>
  <si>
    <t xml:space="preserve">BRAVO MORENO </t>
  </si>
  <si>
    <t xml:space="preserve">S/ LAS JAVILLLAS </t>
  </si>
  <si>
    <t xml:space="preserve">0426-3149325</t>
  </si>
  <si>
    <t xml:space="preserve">000027090628</t>
  </si>
  <si>
    <t xml:space="preserve">ANABEL TERESA</t>
  </si>
  <si>
    <t xml:space="preserve">LUZARDO MEZA</t>
  </si>
  <si>
    <t xml:space="preserve">0263-6923628</t>
  </si>
  <si>
    <t xml:space="preserve">22078898</t>
  </si>
  <si>
    <t xml:space="preserve">000027090629</t>
  </si>
  <si>
    <t xml:space="preserve">ANYIBEL JOSEFA</t>
  </si>
  <si>
    <t xml:space="preserve">000027090818</t>
  </si>
  <si>
    <t xml:space="preserve">MARIANA CAROLINA</t>
  </si>
  <si>
    <t xml:space="preserve">0416-0863897</t>
  </si>
  <si>
    <t xml:space="preserve">000027101308</t>
  </si>
  <si>
    <t xml:space="preserve">KERLLY YOHANNA</t>
  </si>
  <si>
    <t xml:space="preserve">FUENMAYOR RODRIGUEZ</t>
  </si>
  <si>
    <t xml:space="preserve">SAN CRISTOBAL</t>
  </si>
  <si>
    <t xml:space="preserve">CAMPO BOYACA CALLE Nº 06 CASA Nº 71-B</t>
  </si>
  <si>
    <t xml:space="preserve">0416-1146078</t>
  </si>
  <si>
    <t xml:space="preserve">12463171</t>
  </si>
  <si>
    <t xml:space="preserve">000027197413</t>
  </si>
  <si>
    <t xml:space="preserve">ANGI MARIA</t>
  </si>
  <si>
    <t xml:space="preserve">0416-2295716</t>
  </si>
  <si>
    <t xml:space="preserve">000027367211</t>
  </si>
  <si>
    <t xml:space="preserve">JOSE FEDERMAN</t>
  </si>
  <si>
    <t xml:space="preserve">0416-2604073</t>
  </si>
  <si>
    <t xml:space="preserve">10181356</t>
  </si>
  <si>
    <t xml:space="preserve">000027440384</t>
  </si>
  <si>
    <t xml:space="preserve">TORRES  PEREZ</t>
  </si>
  <si>
    <t xml:space="preserve">LAS PARCELAS DE LA PAZ CASA Nº14</t>
  </si>
  <si>
    <t xml:space="preserve">0416-0626749</t>
  </si>
  <si>
    <t xml:space="preserve">000027457127</t>
  </si>
  <si>
    <t xml:space="preserve">RUDITH JOSEFINA</t>
  </si>
  <si>
    <t xml:space="preserve">0426-7225638</t>
  </si>
  <si>
    <t xml:space="preserve">22088262</t>
  </si>
  <si>
    <t xml:space="preserve">000027633393</t>
  </si>
  <si>
    <t xml:space="preserve">ELISMAR ESTHER</t>
  </si>
  <si>
    <t xml:space="preserve">DE ARMAS FINOL</t>
  </si>
  <si>
    <t xml:space="preserve">0262-4936622</t>
  </si>
  <si>
    <t xml:space="preserve">09787072</t>
  </si>
  <si>
    <t xml:space="preserve">000027633431</t>
  </si>
  <si>
    <t xml:space="preserve">GLENDA YUDITHMAR</t>
  </si>
  <si>
    <t xml:space="preserve">CAMPO COQUIVACOA CASA Nº25B</t>
  </si>
  <si>
    <t xml:space="preserve">0416-4635062</t>
  </si>
  <si>
    <t xml:space="preserve">000027633441</t>
  </si>
  <si>
    <t xml:space="preserve">ANGERBE JOSE</t>
  </si>
  <si>
    <t xml:space="preserve">CHAVEZ FERNANDEZ</t>
  </si>
  <si>
    <t xml:space="preserve">0416-2641647</t>
  </si>
  <si>
    <t xml:space="preserve">12381512</t>
  </si>
  <si>
    <t xml:space="preserve">000027633447</t>
  </si>
  <si>
    <t xml:space="preserve">NAIROBIS COROMOTO</t>
  </si>
  <si>
    <t xml:space="preserve">000027633575</t>
  </si>
  <si>
    <t xml:space="preserve">DILEY ANALY</t>
  </si>
  <si>
    <t xml:space="preserve">SOTURNO ARDILA</t>
  </si>
  <si>
    <t xml:space="preserve">S/ CAICAGUITA</t>
  </si>
  <si>
    <t xml:space="preserve">0426-2818862</t>
  </si>
  <si>
    <t xml:space="preserve">14723143</t>
  </si>
  <si>
    <t xml:space="preserve">000027633847</t>
  </si>
  <si>
    <t xml:space="preserve">ANDRES GERARDO</t>
  </si>
  <si>
    <t xml:space="preserve">VILLALOBOS GUTIERREZ</t>
  </si>
  <si>
    <t xml:space="preserve">CAMPO YOCOIMA, CASA Nº 10</t>
  </si>
  <si>
    <t xml:space="preserve">0412-7999597</t>
  </si>
  <si>
    <t xml:space="preserve">10083950</t>
  </si>
  <si>
    <t xml:space="preserve">000027633853</t>
  </si>
  <si>
    <t xml:space="preserve">JEICSON MOISES</t>
  </si>
  <si>
    <t xml:space="preserve">ROMERO ALVARINO</t>
  </si>
  <si>
    <t xml:space="preserve">0426-6606196</t>
  </si>
  <si>
    <t xml:space="preserve">21422325</t>
  </si>
  <si>
    <t xml:space="preserve">000027633892</t>
  </si>
  <si>
    <t xml:space="preserve">JESUS RAMON</t>
  </si>
  <si>
    <t xml:space="preserve">BERRUETA MOLINA</t>
  </si>
  <si>
    <t xml:space="preserve">LAS PARCELA AL FONDO DE LA GUARDIA</t>
  </si>
  <si>
    <t xml:space="preserve">0262-6875641</t>
  </si>
  <si>
    <t xml:space="preserve">18283606</t>
  </si>
  <si>
    <t xml:space="preserve">000027689730</t>
  </si>
  <si>
    <t xml:space="preserve">JOSE JUNIOR</t>
  </si>
  <si>
    <t xml:space="preserve">MOLINA PEREZ</t>
  </si>
  <si>
    <t xml:space="preserve">0426-6623081</t>
  </si>
  <si>
    <t xml:space="preserve">09775992</t>
  </si>
  <si>
    <t xml:space="preserve">000027689845</t>
  </si>
  <si>
    <t xml:space="preserve">SILENA MARCELA</t>
  </si>
  <si>
    <t xml:space="preserve">JIMENEZ BLANCO</t>
  </si>
  <si>
    <t xml:space="preserve">0426-1653574</t>
  </si>
  <si>
    <t xml:space="preserve">22649358</t>
  </si>
  <si>
    <t xml:space="preserve">000027735015</t>
  </si>
  <si>
    <t xml:space="preserve">AREVALO VALENCIA</t>
  </si>
  <si>
    <t xml:space="preserve">0416-5625461</t>
  </si>
  <si>
    <t xml:space="preserve">84735803</t>
  </si>
  <si>
    <t xml:space="preserve">000027744466</t>
  </si>
  <si>
    <t xml:space="preserve">YORYELIS DE LOS ANGELES</t>
  </si>
  <si>
    <t xml:space="preserve">INCIARTE VILCHEZ</t>
  </si>
  <si>
    <t xml:space="preserve">VIA EL HONDITOS/ LA M CASA Nº19</t>
  </si>
  <si>
    <t xml:space="preserve">0416-0171695</t>
  </si>
  <si>
    <t xml:space="preserve">15944993</t>
  </si>
  <si>
    <t xml:space="preserve">000027744528</t>
  </si>
  <si>
    <t xml:space="preserve">MANRIQUE ROMERO</t>
  </si>
  <si>
    <t xml:space="preserve">0416-7617688</t>
  </si>
  <si>
    <t xml:space="preserve">13298497</t>
  </si>
  <si>
    <t xml:space="preserve">000027931894</t>
  </si>
  <si>
    <t xml:space="preserve">WILLIAM JUNIOR</t>
  </si>
  <si>
    <t xml:space="preserve">TORDECILLA NISPERUZA</t>
  </si>
  <si>
    <t xml:space="preserve">0426-9690125</t>
  </si>
  <si>
    <t xml:space="preserve">32888622</t>
  </si>
  <si>
    <t xml:space="preserve">000027998224</t>
  </si>
  <si>
    <t xml:space="preserve">YAIRELIN DEL CARMEN</t>
  </si>
  <si>
    <t xml:space="preserve">FARIA BOSCAN</t>
  </si>
  <si>
    <t xml:space="preserve">AV.PPAL LA JAVILLA</t>
  </si>
  <si>
    <t xml:space="preserve">000027998230</t>
  </si>
  <si>
    <t xml:space="preserve">DAMARA DEL CARMEN</t>
  </si>
  <si>
    <t xml:space="preserve">NAVARRO RINCON</t>
  </si>
  <si>
    <t xml:space="preserve">0416-0671489</t>
  </si>
  <si>
    <t xml:space="preserve">21710396</t>
  </si>
  <si>
    <t xml:space="preserve">000027998241</t>
  </si>
  <si>
    <t xml:space="preserve">OLIVEROS MORELO</t>
  </si>
  <si>
    <t xml:space="preserve">S/ LAS MARIA</t>
  </si>
  <si>
    <t xml:space="preserve">0412-0655505</t>
  </si>
  <si>
    <t xml:space="preserve">11860583</t>
  </si>
  <si>
    <t xml:space="preserve">000028003781</t>
  </si>
  <si>
    <t xml:space="preserve">ALBERTO JUNIOR</t>
  </si>
  <si>
    <t xml:space="preserve">QUEIPO GONZALEZ</t>
  </si>
  <si>
    <t xml:space="preserve">CIDAD COMUNAL SECTOR ·1 MANZANA = 6 CASA Nº4</t>
  </si>
  <si>
    <t xml:space="preserve">0416-6688427</t>
  </si>
  <si>
    <t xml:space="preserve">05796893</t>
  </si>
  <si>
    <t xml:space="preserve">000028133086</t>
  </si>
  <si>
    <t xml:space="preserve">CARRASQUERO CARRASQUERO</t>
  </si>
  <si>
    <t xml:space="preserve">S/ VALLE ENCANTADO DE TRAS DE LA PLANTA</t>
  </si>
  <si>
    <t xml:space="preserve">0426-6011547</t>
  </si>
  <si>
    <t xml:space="preserve">09710863</t>
  </si>
  <si>
    <t xml:space="preserve">000029722348</t>
  </si>
  <si>
    <t xml:space="preserve">JORMAN MANUEL</t>
  </si>
  <si>
    <t xml:space="preserve">DIAZ BARRIOS</t>
  </si>
  <si>
    <t xml:space="preserve">CAJA SECA</t>
  </si>
  <si>
    <t xml:space="preserve">0262-2051577</t>
  </si>
  <si>
    <t xml:space="preserve">019745646665</t>
  </si>
  <si>
    <t xml:space="preserve">ANDREA MARGARITA</t>
  </si>
  <si>
    <t xml:space="preserve">001193545625</t>
  </si>
  <si>
    <t xml:space="preserve">VILLAMIZAR POLO</t>
  </si>
  <si>
    <t xml:space="preserve">MAGDALENA</t>
  </si>
  <si>
    <t xml:space="preserve">36729888</t>
  </si>
  <si>
    <t xml:space="preserve">000030070043</t>
  </si>
  <si>
    <t xml:space="preserve">GINA PAOLA</t>
  </si>
  <si>
    <t xml:space="preserve">PACHECO DE LA HOZ</t>
  </si>
  <si>
    <t xml:space="preserve">0426-0667492</t>
  </si>
  <si>
    <t xml:space="preserve">07697653</t>
  </si>
  <si>
    <t xml:space="preserve">019809778953</t>
  </si>
  <si>
    <t xml:space="preserve">MARIA JOSE</t>
  </si>
  <si>
    <t xml:space="preserve">019815720765</t>
  </si>
  <si>
    <t xml:space="preserve">DARIANYS CHIQUINQUIRA</t>
  </si>
  <si>
    <t xml:space="preserve">FERNANDEZ RENDON</t>
  </si>
  <si>
    <t xml:space="preserve">0416-2240458</t>
  </si>
  <si>
    <t xml:space="preserve">15720765</t>
  </si>
  <si>
    <t xml:space="preserve">000030122313</t>
  </si>
  <si>
    <t xml:space="preserve">WENDY LORIANIS</t>
  </si>
  <si>
    <t xml:space="preserve">0426-7682492</t>
  </si>
  <si>
    <t xml:space="preserve">019833817279</t>
  </si>
  <si>
    <t xml:space="preserve">LEONARDO </t>
  </si>
  <si>
    <t xml:space="preserve">OSORIO HOYOS</t>
  </si>
  <si>
    <t xml:space="preserve">0426-6601034</t>
  </si>
  <si>
    <t xml:space="preserve">33817279</t>
  </si>
  <si>
    <t xml:space="preserve">019933221099</t>
  </si>
  <si>
    <t xml:space="preserve">CRISTINA ANDREA</t>
  </si>
  <si>
    <t xml:space="preserve">CAMARGO FERNANDEZ</t>
  </si>
  <si>
    <t xml:space="preserve">BARRIO LAS FLORES</t>
  </si>
  <si>
    <t xml:space="preserve">0416-2614951</t>
  </si>
  <si>
    <t xml:space="preserve">33226099</t>
  </si>
  <si>
    <t xml:space="preserve">000020204596</t>
  </si>
  <si>
    <t xml:space="preserve">JUAN PABLO</t>
  </si>
  <si>
    <t xml:space="preserve">000020685009</t>
  </si>
  <si>
    <t xml:space="preserve">IVAN JOSE</t>
  </si>
  <si>
    <t xml:space="preserve">VALBUENA GONZALEZ </t>
  </si>
  <si>
    <t xml:space="preserve">CAMPO BOYACA </t>
  </si>
  <si>
    <t xml:space="preserve">0426-6634460</t>
  </si>
  <si>
    <t xml:space="preserve">06834726</t>
  </si>
  <si>
    <t xml:space="preserve">000021039453</t>
  </si>
  <si>
    <t xml:space="preserve">BLANCO ORTEGA</t>
  </si>
  <si>
    <t xml:space="preserve">0416-2667767</t>
  </si>
  <si>
    <t xml:space="preserve">25192536</t>
  </si>
  <si>
    <t xml:space="preserve">000021509290</t>
  </si>
  <si>
    <t xml:space="preserve">FRANCISCO ANTONIO</t>
  </si>
  <si>
    <t xml:space="preserve">RIVERO GONZALEZ </t>
  </si>
  <si>
    <t xml:space="preserve">0416-9685614</t>
  </si>
  <si>
    <t xml:space="preserve">000023441714</t>
  </si>
  <si>
    <t xml:space="preserve">DANIEL ENRIQUE</t>
  </si>
  <si>
    <t xml:space="preserve">MONTIEL URDANETA</t>
  </si>
  <si>
    <t xml:space="preserve">0426-7658540</t>
  </si>
  <si>
    <t xml:space="preserve">07828625</t>
  </si>
  <si>
    <t xml:space="preserve">000023466337</t>
  </si>
  <si>
    <t xml:space="preserve">CARLOS ANDRES</t>
  </si>
  <si>
    <t xml:space="preserve">0262-4938000</t>
  </si>
  <si>
    <t xml:space="preserve">000023466369</t>
  </si>
  <si>
    <t xml:space="preserve">ANGLY JOSE</t>
  </si>
  <si>
    <t xml:space="preserve">CHAVEZ RIVERA </t>
  </si>
  <si>
    <t xml:space="preserve">AV. PRINCIPAL LA PAZ </t>
  </si>
  <si>
    <t xml:space="preserve">14137052</t>
  </si>
  <si>
    <t xml:space="preserve">000023466371</t>
  </si>
  <si>
    <t xml:space="preserve">DANIBEL DEL CARMEN</t>
  </si>
  <si>
    <t xml:space="preserve">0416-1635712</t>
  </si>
  <si>
    <t xml:space="preserve">000023466432</t>
  </si>
  <si>
    <t xml:space="preserve">ALEJANDRA YULIETH</t>
  </si>
  <si>
    <t xml:space="preserve">S/ ROBERTO FUENMAYO</t>
  </si>
  <si>
    <t xml:space="preserve">14763566</t>
  </si>
  <si>
    <t xml:space="preserve">000023466464</t>
  </si>
  <si>
    <t xml:space="preserve">YENIRE CHIQUINQUIRA</t>
  </si>
  <si>
    <t xml:space="preserve">HERRERA DELGADO</t>
  </si>
  <si>
    <t xml:space="preserve">0416-4643875</t>
  </si>
  <si>
    <t xml:space="preserve">000023466487</t>
  </si>
  <si>
    <t xml:space="preserve">MAIRELYN DE LOS ANGELES</t>
  </si>
  <si>
    <t xml:space="preserve">URDANETA CARABALLO  </t>
  </si>
  <si>
    <t xml:space="preserve">0416-2215573</t>
  </si>
  <si>
    <t xml:space="preserve">06805874</t>
  </si>
  <si>
    <t xml:space="preserve">000023466516</t>
  </si>
  <si>
    <t xml:space="preserve">GUIDO MANUEL</t>
  </si>
  <si>
    <t xml:space="preserve">BARRIOS FLOREZ</t>
  </si>
  <si>
    <t xml:space="preserve">S/ CIENTO CUATRO</t>
  </si>
  <si>
    <t xml:space="preserve">0416-8658785</t>
  </si>
  <si>
    <t xml:space="preserve">25201100</t>
  </si>
  <si>
    <t xml:space="preserve">000023747570</t>
  </si>
  <si>
    <t xml:space="preserve">DEIVIS JOSE</t>
  </si>
  <si>
    <t xml:space="preserve">CABRERA BARROSO</t>
  </si>
  <si>
    <t xml:space="preserve">0263-8870368</t>
  </si>
  <si>
    <t xml:space="preserve">05042515</t>
  </si>
  <si>
    <t xml:space="preserve">000023769174</t>
  </si>
  <si>
    <t xml:space="preserve">YESMELI MARIA</t>
  </si>
  <si>
    <t xml:space="preserve">0416-0682992</t>
  </si>
  <si>
    <t xml:space="preserve">000023769198</t>
  </si>
  <si>
    <t xml:space="preserve">YAMILETH DEL VALLE</t>
  </si>
  <si>
    <t xml:space="preserve">S/LAS FLORES </t>
  </si>
  <si>
    <t xml:space="preserve">0416-2201855</t>
  </si>
  <si>
    <t xml:space="preserve">23769198</t>
  </si>
  <si>
    <t xml:space="preserve">000023769223</t>
  </si>
  <si>
    <t xml:space="preserve">YORKELYS CAROLINA</t>
  </si>
  <si>
    <t xml:space="preserve">0426-6233906</t>
  </si>
  <si>
    <t xml:space="preserve">15282950</t>
  </si>
  <si>
    <t xml:space="preserve">000023769234</t>
  </si>
  <si>
    <t xml:space="preserve">KELVIS JOSUE </t>
  </si>
  <si>
    <t xml:space="preserve">0416-0194571</t>
  </si>
  <si>
    <t xml:space="preserve">000023769866</t>
  </si>
  <si>
    <t xml:space="preserve">GUSMAN ENRIQUE</t>
  </si>
  <si>
    <t xml:space="preserve">OLIVEROS FUENMAYOR</t>
  </si>
  <si>
    <t xml:space="preserve">S/ LAS MARIAS </t>
  </si>
  <si>
    <t xml:space="preserve">0416-3622645</t>
  </si>
  <si>
    <t xml:space="preserve">15559010</t>
  </si>
  <si>
    <t xml:space="preserve">000023770187</t>
  </si>
  <si>
    <t xml:space="preserve">EXNESER </t>
  </si>
  <si>
    <t xml:space="preserve">S/EL COLORADO</t>
  </si>
  <si>
    <t xml:space="preserve">0426-8695295</t>
  </si>
  <si>
    <t xml:space="preserve">000023770198</t>
  </si>
  <si>
    <t xml:space="preserve">ALFREDO ENRIQUE</t>
  </si>
  <si>
    <t xml:space="preserve">ORTIZ PACHECO</t>
  </si>
  <si>
    <t xml:space="preserve">0416-9693922</t>
  </si>
  <si>
    <t xml:space="preserve">13461266</t>
  </si>
  <si>
    <t xml:space="preserve">000023770200</t>
  </si>
  <si>
    <t xml:space="preserve">LUIS FRANCISCO </t>
  </si>
  <si>
    <t xml:space="preserve">0426-4617217</t>
  </si>
  <si>
    <t xml:space="preserve">06805853</t>
  </si>
  <si>
    <t xml:space="preserve">000023770204</t>
  </si>
  <si>
    <t xml:space="preserve">ALBERT YUNIER</t>
  </si>
  <si>
    <t xml:space="preserve">BOSCAN QUINTERO</t>
  </si>
  <si>
    <t xml:space="preserve">14698281</t>
  </si>
  <si>
    <t xml:space="preserve">000023770229</t>
  </si>
  <si>
    <t xml:space="preserve">JESUS ANGEL</t>
  </si>
  <si>
    <t xml:space="preserve">FERRER FERRER </t>
  </si>
  <si>
    <t xml:space="preserve">0426-9234025</t>
  </si>
  <si>
    <t xml:space="preserve">10444131</t>
  </si>
  <si>
    <t xml:space="preserve">000023770241</t>
  </si>
  <si>
    <t xml:space="preserve">S/PARADA DE LOS BUSES</t>
  </si>
  <si>
    <t xml:space="preserve">10423626</t>
  </si>
  <si>
    <t xml:space="preserve">000023770243</t>
  </si>
  <si>
    <t xml:space="preserve">JOMARLYN CHIQUINQUIRA</t>
  </si>
  <si>
    <t xml:space="preserve">FINOL SUAREZ </t>
  </si>
  <si>
    <t xml:space="preserve">S/ BARRIO SIMON BOLIVAR</t>
  </si>
  <si>
    <t xml:space="preserve">0426-8654610</t>
  </si>
  <si>
    <t xml:space="preserve">09779653</t>
  </si>
  <si>
    <t xml:space="preserve">000023856225</t>
  </si>
  <si>
    <t xml:space="preserve">ELIZABETH DEL VALLE</t>
  </si>
  <si>
    <t xml:space="preserve">CASTILLO </t>
  </si>
  <si>
    <t xml:space="preserve">0416-5684791</t>
  </si>
  <si>
    <t xml:space="preserve">000023856419</t>
  </si>
  <si>
    <t xml:space="preserve">MARIA TRINIDAD</t>
  </si>
  <si>
    <t xml:space="preserve">FONSECA FONSECA</t>
  </si>
  <si>
    <t xml:space="preserve">LA PAZ</t>
  </si>
  <si>
    <t xml:space="preserve">0416-2614936</t>
  </si>
  <si>
    <t xml:space="preserve">000023856658</t>
  </si>
  <si>
    <t xml:space="preserve">WILFREDO JOSE</t>
  </si>
  <si>
    <t xml:space="preserve">000023876560</t>
  </si>
  <si>
    <t xml:space="preserve">EDNEGLI  PAOLA</t>
  </si>
  <si>
    <t xml:space="preserve">CARIDAD CASTRO</t>
  </si>
  <si>
    <t xml:space="preserve">0262-8661161</t>
  </si>
  <si>
    <t xml:space="preserve">000024249420</t>
  </si>
  <si>
    <t xml:space="preserve">MONTIEL LUZARDO</t>
  </si>
  <si>
    <t xml:space="preserve">S/ LAS FLORES CASA  166</t>
  </si>
  <si>
    <t xml:space="preserve">0416 3676617</t>
  </si>
  <si>
    <t xml:space="preserve">08506339</t>
  </si>
  <si>
    <t xml:space="preserve">000024250014</t>
  </si>
  <si>
    <t xml:space="preserve">RONALD ENRIQUE</t>
  </si>
  <si>
    <t xml:space="preserve">12218731</t>
  </si>
  <si>
    <t xml:space="preserve">000024250034</t>
  </si>
  <si>
    <t xml:space="preserve">FELIX JOSE</t>
  </si>
  <si>
    <t xml:space="preserve">ATENCIO PALMAR </t>
  </si>
  <si>
    <t xml:space="preserve">S/ NOTEREY</t>
  </si>
  <si>
    <t xml:space="preserve">0416-4675454</t>
  </si>
  <si>
    <t xml:space="preserve">000024250405</t>
  </si>
  <si>
    <t xml:space="preserve">ISABEL MARIA</t>
  </si>
  <si>
    <t xml:space="preserve">S/ EL NASARE</t>
  </si>
  <si>
    <t xml:space="preserve">0426-7019926</t>
  </si>
  <si>
    <t xml:space="preserve">000024250406</t>
  </si>
  <si>
    <t xml:space="preserve">YAJURE GONZALEZ</t>
  </si>
  <si>
    <t xml:space="preserve">S/ CALLE LA ENVIDIA</t>
  </si>
  <si>
    <t xml:space="preserve">0412-6438949</t>
  </si>
  <si>
    <t xml:space="preserve">10445045</t>
  </si>
  <si>
    <t xml:space="preserve">000024725034</t>
  </si>
  <si>
    <t xml:space="preserve">LOVERA VELASQUEZ</t>
  </si>
  <si>
    <t xml:space="preserve">AV. PRINCIPAL LA CONQUISTA</t>
  </si>
  <si>
    <t xml:space="preserve">0262-8089566</t>
  </si>
  <si>
    <t xml:space="preserve">09519984</t>
  </si>
  <si>
    <t xml:space="preserve">000024725067</t>
  </si>
  <si>
    <t xml:space="preserve">YERLY  DEL CARMEN </t>
  </si>
  <si>
    <t xml:space="preserve">B/MARIO URDANETA</t>
  </si>
  <si>
    <t xml:space="preserve">416969910</t>
  </si>
  <si>
    <t xml:space="preserve">000024725085</t>
  </si>
  <si>
    <t xml:space="preserve">ANGIE CAROLINA</t>
  </si>
  <si>
    <t xml:space="preserve">PATIÑO VIZCAINO</t>
  </si>
  <si>
    <t xml:space="preserve">0426-7253949</t>
  </si>
  <si>
    <t xml:space="preserve">25297881</t>
  </si>
  <si>
    <t xml:space="preserve">000024725392</t>
  </si>
  <si>
    <t xml:space="preserve">MARLON JESUS</t>
  </si>
  <si>
    <t xml:space="preserve">ORTEGA NIETO</t>
  </si>
  <si>
    <t xml:space="preserve">0416-0690660</t>
  </si>
  <si>
    <t xml:space="preserve">82204765</t>
  </si>
  <si>
    <t xml:space="preserve">000024725878</t>
  </si>
  <si>
    <t xml:space="preserve">EDIXON JOSE</t>
  </si>
  <si>
    <t xml:space="preserve">GUANIPA PIRELA</t>
  </si>
  <si>
    <t xml:space="preserve">0416-9084901</t>
  </si>
  <si>
    <t xml:space="preserve">12443185</t>
  </si>
  <si>
    <t xml:space="preserve">000024725887</t>
  </si>
  <si>
    <t xml:space="preserve">JOSE ANDRES</t>
  </si>
  <si>
    <t xml:space="preserve">GONZALEZ MORALES </t>
  </si>
  <si>
    <t xml:space="preserve">0262-8088554</t>
  </si>
  <si>
    <t xml:space="preserve">000025039655</t>
  </si>
  <si>
    <t xml:space="preserve">MAYDELIS DEL CARMEN</t>
  </si>
  <si>
    <t xml:space="preserve">INCIARTE RINCON </t>
  </si>
  <si>
    <t xml:space="preserve">B/CAUCAGUITA </t>
  </si>
  <si>
    <t xml:space="preserve">0426-9666649</t>
  </si>
  <si>
    <t xml:space="preserve">12100910</t>
  </si>
  <si>
    <t xml:space="preserve">000025039666</t>
  </si>
  <si>
    <t xml:space="preserve">EDIXON ENRIQUE </t>
  </si>
  <si>
    <t xml:space="preserve">ROMERO FERNANDEZ </t>
  </si>
  <si>
    <t xml:space="preserve">0262-4117528</t>
  </si>
  <si>
    <t xml:space="preserve">10437224</t>
  </si>
  <si>
    <t xml:space="preserve">000025039886</t>
  </si>
  <si>
    <t xml:space="preserve">ENYERBER ALEJANDRO</t>
  </si>
  <si>
    <t xml:space="preserve">0426-4643875</t>
  </si>
  <si>
    <t xml:space="preserve">000025039929</t>
  </si>
  <si>
    <t xml:space="preserve">MARIA CHIQUIQUIRA</t>
  </si>
  <si>
    <t xml:space="preserve">LIZARAZO CASTILLO</t>
  </si>
  <si>
    <t xml:space="preserve">09078284</t>
  </si>
  <si>
    <t xml:space="preserve">000025197837</t>
  </si>
  <si>
    <t xml:space="preserve">JEANS CARLOS</t>
  </si>
  <si>
    <t xml:space="preserve">VASQUEZ OLIVEROS</t>
  </si>
  <si>
    <t xml:space="preserve">B/SIMON BOLIVAR</t>
  </si>
  <si>
    <t xml:space="preserve">0416-4615752</t>
  </si>
  <si>
    <t xml:space="preserve">13300092</t>
  </si>
  <si>
    <t xml:space="preserve">000025230861</t>
  </si>
  <si>
    <t xml:space="preserve">ANGILUZ DEL CARMEN</t>
  </si>
  <si>
    <t xml:space="preserve">000025276156</t>
  </si>
  <si>
    <t xml:space="preserve">LUCIA SEGUNDA</t>
  </si>
  <si>
    <t xml:space="preserve">0262-5239113</t>
  </si>
  <si>
    <t xml:space="preserve">000025276169</t>
  </si>
  <si>
    <t xml:space="preserve">41646085003</t>
  </si>
  <si>
    <t xml:space="preserve">09766651</t>
  </si>
  <si>
    <t xml:space="preserve">000025297625</t>
  </si>
  <si>
    <t xml:space="preserve">GIBELYS JOSEFINA</t>
  </si>
  <si>
    <t xml:space="preserve">BRITO URDANETA</t>
  </si>
  <si>
    <t xml:space="preserve">S/MARIMONDA</t>
  </si>
  <si>
    <t xml:space="preserve">0426-8228810</t>
  </si>
  <si>
    <t xml:space="preserve">14305814</t>
  </si>
  <si>
    <t xml:space="preserve">000025325763</t>
  </si>
  <si>
    <t xml:space="preserve">JOSE MIGUEL</t>
  </si>
  <si>
    <t xml:space="preserve">PAEZ MEDINA</t>
  </si>
  <si>
    <t xml:space="preserve">B/ CINCO DE ENERO</t>
  </si>
  <si>
    <t xml:space="preserve">0416-0671647</t>
  </si>
  <si>
    <t xml:space="preserve">16729949</t>
  </si>
  <si>
    <t xml:space="preserve">000025339847</t>
  </si>
  <si>
    <t xml:space="preserve">000025396371</t>
  </si>
  <si>
    <t xml:space="preserve">LEANDRA DEL VALLE </t>
  </si>
  <si>
    <t xml:space="preserve">S/NOTEREI</t>
  </si>
  <si>
    <t xml:space="preserve">000025396378</t>
  </si>
  <si>
    <t xml:space="preserve">CRISTAL PAOLA </t>
  </si>
  <si>
    <t xml:space="preserve">CASTILLO DUARTE</t>
  </si>
  <si>
    <t xml:space="preserve">0262-5238648</t>
  </si>
  <si>
    <t xml:space="preserve">09078397</t>
  </si>
  <si>
    <t xml:space="preserve">000025396484</t>
  </si>
  <si>
    <t xml:space="preserve">YOSMELI MARIA</t>
  </si>
  <si>
    <t xml:space="preserve">URDANETA URDANETA </t>
  </si>
  <si>
    <t xml:space="preserve">0426-8011024</t>
  </si>
  <si>
    <t xml:space="preserve">06806276</t>
  </si>
  <si>
    <t xml:space="preserve">000025406554</t>
  </si>
  <si>
    <t xml:space="preserve">MAOLI ELINA</t>
  </si>
  <si>
    <t xml:space="preserve">0426-1237055</t>
  </si>
  <si>
    <t xml:space="preserve">09709321</t>
  </si>
  <si>
    <t xml:space="preserve">000025423240</t>
  </si>
  <si>
    <t xml:space="preserve">EVA ELENA</t>
  </si>
  <si>
    <t xml:space="preserve">MONTIEL</t>
  </si>
  <si>
    <t xml:space="preserve">EL CUJÍ</t>
  </si>
  <si>
    <t xml:space="preserve">S/LAS MARIAS</t>
  </si>
  <si>
    <t xml:space="preserve">000025439216</t>
  </si>
  <si>
    <t xml:space="preserve">MILAGROS JOSE </t>
  </si>
  <si>
    <t xml:space="preserve">PERCHE BRIÑEZ </t>
  </si>
  <si>
    <t xml:space="preserve">0426-8602431</t>
  </si>
  <si>
    <t xml:space="preserve">000025439218</t>
  </si>
  <si>
    <t xml:space="preserve">RUBEN DARIO </t>
  </si>
  <si>
    <t xml:space="preserve">FUENMAYOR FERNANDEZ</t>
  </si>
  <si>
    <t xml:space="preserve">0426-9664067</t>
  </si>
  <si>
    <t xml:space="preserve">000025439264</t>
  </si>
  <si>
    <t xml:space="preserve">DEIMARY DEL CARMEN</t>
  </si>
  <si>
    <t xml:space="preserve">URDANETA VILLALOBOS </t>
  </si>
  <si>
    <t xml:space="preserve">S/EL HONDITO</t>
  </si>
  <si>
    <t xml:space="preserve">000025439984</t>
  </si>
  <si>
    <t xml:space="preserve">SOLMAIRA DEL CARMEN</t>
  </si>
  <si>
    <t xml:space="preserve">VIELMA BRIÑEZ</t>
  </si>
  <si>
    <t xml:space="preserve">0262-8088492</t>
  </si>
  <si>
    <t xml:space="preserve">10166841</t>
  </si>
  <si>
    <t xml:space="preserve">000025484804</t>
  </si>
  <si>
    <t xml:space="preserve">EMILY DEL CARMEN</t>
  </si>
  <si>
    <t xml:space="preserve">ECHETO RINCON</t>
  </si>
  <si>
    <t xml:space="preserve">S/LA FRAGUA </t>
  </si>
  <si>
    <t xml:space="preserve">15060677</t>
  </si>
  <si>
    <t xml:space="preserve">000025484825</t>
  </si>
  <si>
    <t xml:space="preserve">GUZNEIDY JOSEFINA</t>
  </si>
  <si>
    <t xml:space="preserve">GONZALEZ POLANCO</t>
  </si>
  <si>
    <t xml:space="preserve">S/ LA FRAGUA </t>
  </si>
  <si>
    <t xml:space="preserve">0424-2342005</t>
  </si>
  <si>
    <t xml:space="preserve">17917586</t>
  </si>
  <si>
    <t xml:space="preserve">000025491571</t>
  </si>
  <si>
    <t xml:space="preserve">ARIANNY CAROLINA</t>
  </si>
  <si>
    <t xml:space="preserve">URDANETA MORENO </t>
  </si>
  <si>
    <t xml:space="preserve">4162679124</t>
  </si>
  <si>
    <t xml:space="preserve">07708168</t>
  </si>
  <si>
    <t xml:space="preserve">000025540168</t>
  </si>
  <si>
    <t xml:space="preserve">CHACIN PERCHE</t>
  </si>
  <si>
    <t xml:space="preserve">S/EL TAPARO</t>
  </si>
  <si>
    <t xml:space="preserve">0416-1137577</t>
  </si>
  <si>
    <t xml:space="preserve">14278888</t>
  </si>
  <si>
    <t xml:space="preserve">000025540510</t>
  </si>
  <si>
    <t xml:space="preserve">URDANETA MAPARI</t>
  </si>
  <si>
    <t xml:space="preserve">000025596356</t>
  </si>
  <si>
    <t xml:space="preserve">BOSCAN LUGO</t>
  </si>
  <si>
    <t xml:space="preserve">LA CONCEPCION </t>
  </si>
  <si>
    <t xml:space="preserve">0426-7676504</t>
  </si>
  <si>
    <t xml:space="preserve">11288835</t>
  </si>
  <si>
    <t xml:space="preserve">000025596469</t>
  </si>
  <si>
    <t xml:space="preserve">DAVID ELOY</t>
  </si>
  <si>
    <t xml:space="preserve">QUIVA  GONZALEZ </t>
  </si>
  <si>
    <t xml:space="preserve">0416-5256399</t>
  </si>
  <si>
    <t xml:space="preserve">14208762</t>
  </si>
  <si>
    <t xml:space="preserve">000025596485</t>
  </si>
  <si>
    <t xml:space="preserve">ARMANDO RAFAEL</t>
  </si>
  <si>
    <t xml:space="preserve">LUNA ARIAS </t>
  </si>
  <si>
    <t xml:space="preserve">B/ SAN VALENTIN</t>
  </si>
  <si>
    <t xml:space="preserve">0426-7667551</t>
  </si>
  <si>
    <t xml:space="preserve">25294244</t>
  </si>
  <si>
    <t xml:space="preserve">000025596491</t>
  </si>
  <si>
    <t xml:space="preserve">LEOMAR JESUS</t>
  </si>
  <si>
    <t xml:space="preserve">0416-1605124</t>
  </si>
  <si>
    <t xml:space="preserve">07767877</t>
  </si>
  <si>
    <t xml:space="preserve">000025596496</t>
  </si>
  <si>
    <t xml:space="preserve">ELVIS RAMON</t>
  </si>
  <si>
    <t xml:space="preserve">S/ROBERTO FUENMAYOR CASA 11</t>
  </si>
  <si>
    <t xml:space="preserve">0416-5676351</t>
  </si>
  <si>
    <t xml:space="preserve">000025596500</t>
  </si>
  <si>
    <t xml:space="preserve">YISKEIDRI CHIQUINQUIRA</t>
  </si>
  <si>
    <t xml:space="preserve">ROMERO CASTRO</t>
  </si>
  <si>
    <t xml:space="preserve">S/ LA MARIAS</t>
  </si>
  <si>
    <t xml:space="preserve">0262-4937221</t>
  </si>
  <si>
    <t xml:space="preserve">13379710</t>
  </si>
  <si>
    <t xml:space="preserve">000025596503</t>
  </si>
  <si>
    <t xml:space="preserve">MADELEYNE ANDREA</t>
  </si>
  <si>
    <t xml:space="preserve">VARGAS PORTILLO </t>
  </si>
  <si>
    <t xml:space="preserve">NUEVA LUCHA</t>
  </si>
  <si>
    <t xml:space="preserve">S/ VALLE ENCANTADO</t>
  </si>
  <si>
    <t xml:space="preserve">0416-3607792</t>
  </si>
  <si>
    <t xml:space="preserve">83056587</t>
  </si>
  <si>
    <t xml:space="preserve">000025596507</t>
  </si>
  <si>
    <t xml:space="preserve">YONEIDO ANTONIO</t>
  </si>
  <si>
    <t xml:space="preserve">0426-6623707</t>
  </si>
  <si>
    <t xml:space="preserve">000025596515</t>
  </si>
  <si>
    <t xml:space="preserve">YURGELYS MARIA</t>
  </si>
  <si>
    <t xml:space="preserve">AZUAJE VILLALOBOS</t>
  </si>
  <si>
    <t xml:space="preserve">0416-0670717</t>
  </si>
  <si>
    <t xml:space="preserve">13005764</t>
  </si>
  <si>
    <t xml:space="preserve">000025610992</t>
  </si>
  <si>
    <t xml:space="preserve">YORVIS ENRIQUE </t>
  </si>
  <si>
    <t xml:space="preserve">REALES MARQUEZ </t>
  </si>
  <si>
    <t xml:space="preserve">0426-3678294</t>
  </si>
  <si>
    <t xml:space="preserve">14548671</t>
  </si>
  <si>
    <t xml:space="preserve">000025680313</t>
  </si>
  <si>
    <t xml:space="preserve">ANGELO JOSE </t>
  </si>
  <si>
    <t xml:space="preserve">CHAVEZ URDANETA </t>
  </si>
  <si>
    <t xml:space="preserve">13005196</t>
  </si>
  <si>
    <t xml:space="preserve">000025680318</t>
  </si>
  <si>
    <t xml:space="preserve">RAUL EDUARDO</t>
  </si>
  <si>
    <t xml:space="preserve">0416-3614707</t>
  </si>
  <si>
    <t xml:space="preserve">000025680323</t>
  </si>
  <si>
    <t xml:space="preserve">YOHALIS DEL CARMEN</t>
  </si>
  <si>
    <t xml:space="preserve">0262-4938025</t>
  </si>
  <si>
    <t xml:space="preserve">000025680326</t>
  </si>
  <si>
    <t xml:space="preserve">ANGELIS YUSBEIDY</t>
  </si>
  <si>
    <t xml:space="preserve">000025680333</t>
  </si>
  <si>
    <t xml:space="preserve">FRANCELIS  ANDREINA </t>
  </si>
  <si>
    <t xml:space="preserve">PEREZ QUINTERO</t>
  </si>
  <si>
    <t xml:space="preserve">000025680339</t>
  </si>
  <si>
    <t xml:space="preserve">ZULAY DEL VALLE</t>
  </si>
  <si>
    <t xml:space="preserve">S/ CIENTO QUINCE</t>
  </si>
  <si>
    <t xml:space="preserve">0416-0651761</t>
  </si>
  <si>
    <t xml:space="preserve">000025680352</t>
  </si>
  <si>
    <t xml:space="preserve">JHOANDRY JOSE</t>
  </si>
  <si>
    <t xml:space="preserve">BALLESTERO SILVA </t>
  </si>
  <si>
    <t xml:space="preserve">0426-4615424</t>
  </si>
  <si>
    <t xml:space="preserve">22152923</t>
  </si>
  <si>
    <t xml:space="preserve">000025680353</t>
  </si>
  <si>
    <t xml:space="preserve">OSMER ENRIQUE</t>
  </si>
  <si>
    <t xml:space="preserve">MENCO FUENMAYOR</t>
  </si>
  <si>
    <t xml:space="preserve">0424-6657638</t>
  </si>
  <si>
    <t xml:space="preserve">11289914</t>
  </si>
  <si>
    <t xml:space="preserve">000025680371</t>
  </si>
  <si>
    <t xml:space="preserve">JOSUE DAVID</t>
  </si>
  <si>
    <t xml:space="preserve">CAMPOS MONTIEL</t>
  </si>
  <si>
    <t xml:space="preserve">0262-2054665</t>
  </si>
  <si>
    <t xml:space="preserve">07797867</t>
  </si>
  <si>
    <t xml:space="preserve">000025680372</t>
  </si>
  <si>
    <t xml:space="preserve">JESUS ENRIQUE</t>
  </si>
  <si>
    <t xml:space="preserve">0416-5627521</t>
  </si>
  <si>
    <t xml:space="preserve">07820131</t>
  </si>
  <si>
    <t xml:space="preserve">000025680382</t>
  </si>
  <si>
    <t xml:space="preserve">ENDERSON JOSE</t>
  </si>
  <si>
    <t xml:space="preserve">URDANETA MAYOR</t>
  </si>
  <si>
    <t xml:space="preserve">0262-5153491</t>
  </si>
  <si>
    <t xml:space="preserve">07815131</t>
  </si>
  <si>
    <t xml:space="preserve">000025680393</t>
  </si>
  <si>
    <t xml:space="preserve">ALEJANDRO ANTONIO</t>
  </si>
  <si>
    <t xml:space="preserve">0426-3660969</t>
  </si>
  <si>
    <t xml:space="preserve">000025680396</t>
  </si>
  <si>
    <t xml:space="preserve">RAFAEL JOSE</t>
  </si>
  <si>
    <t xml:space="preserve">000025680398</t>
  </si>
  <si>
    <t xml:space="preserve">ANTHONY JUNIOR</t>
  </si>
  <si>
    <t xml:space="preserve">S/ ROBERTO FUENMAYO </t>
  </si>
  <si>
    <t xml:space="preserve">0426-6073617</t>
  </si>
  <si>
    <t xml:space="preserve">000025680401</t>
  </si>
  <si>
    <t xml:space="preserve">YORMAN JOSE</t>
  </si>
  <si>
    <t xml:space="preserve">0416-0654109</t>
  </si>
  <si>
    <t xml:space="preserve">000025680404</t>
  </si>
  <si>
    <t xml:space="preserve">DILMERWIS FRANCISCO</t>
  </si>
  <si>
    <t xml:space="preserve">PAEZ GUANIPA</t>
  </si>
  <si>
    <t xml:space="preserve">0262-4116475</t>
  </si>
  <si>
    <t xml:space="preserve">12621899</t>
  </si>
  <si>
    <t xml:space="preserve">000025699091</t>
  </si>
  <si>
    <t xml:space="preserve">GITANYALIT YMER</t>
  </si>
  <si>
    <t xml:space="preserve">PERDOMO FUENMAYOR</t>
  </si>
  <si>
    <t xml:space="preserve">SAN RAFAEL </t>
  </si>
  <si>
    <t xml:space="preserve">S/ PARA DE LOS BUSES</t>
  </si>
  <si>
    <t xml:space="preserve">0424-6696712</t>
  </si>
  <si>
    <t xml:space="preserve">11297184</t>
  </si>
  <si>
    <t xml:space="preserve">000025763092</t>
  </si>
  <si>
    <t xml:space="preserve">YOMARVIS JOSE</t>
  </si>
  <si>
    <t xml:space="preserve">LOZANO LOZANO</t>
  </si>
  <si>
    <t xml:space="preserve">0416-7685412</t>
  </si>
  <si>
    <t xml:space="preserve">15766780</t>
  </si>
  <si>
    <t xml:space="preserve">000025763172</t>
  </si>
  <si>
    <t xml:space="preserve">MOISES DE JESUS</t>
  </si>
  <si>
    <t xml:space="preserve">OLIVEROS CABRERA</t>
  </si>
  <si>
    <t xml:space="preserve">12620986</t>
  </si>
  <si>
    <t xml:space="preserve">000025800599</t>
  </si>
  <si>
    <t xml:space="preserve">MARIANA YORGELIS</t>
  </si>
  <si>
    <t xml:space="preserve">QUERO ORTEGA </t>
  </si>
  <si>
    <t xml:space="preserve">0426-7650185</t>
  </si>
  <si>
    <t xml:space="preserve">22073350</t>
  </si>
  <si>
    <t xml:space="preserve">000025802857</t>
  </si>
  <si>
    <t xml:space="preserve">OLANGIBEL ANDREA</t>
  </si>
  <si>
    <t xml:space="preserve">VILLALOBOS CABRERA</t>
  </si>
  <si>
    <t xml:space="preserve">10410018</t>
  </si>
  <si>
    <t xml:space="preserve">000025819656</t>
  </si>
  <si>
    <t xml:space="preserve">SANDRA MILENA</t>
  </si>
  <si>
    <t xml:space="preserve">BARON GUERRERO</t>
  </si>
  <si>
    <t xml:space="preserve">RIO FRIO</t>
  </si>
  <si>
    <t xml:space="preserve">0426-2050990</t>
  </si>
  <si>
    <t xml:space="preserve">10518167</t>
  </si>
  <si>
    <t xml:space="preserve">000025855301</t>
  </si>
  <si>
    <t xml:space="preserve">MAURICIO MIGUEL</t>
  </si>
  <si>
    <t xml:space="preserve">0426-6242796</t>
  </si>
  <si>
    <t xml:space="preserve">000025883034</t>
  </si>
  <si>
    <t xml:space="preserve">YAKLEIDIS NAIBETH</t>
  </si>
  <si>
    <t xml:space="preserve">SALAZAR NAVAS</t>
  </si>
  <si>
    <t xml:space="preserve">0262-8080539</t>
  </si>
  <si>
    <t xml:space="preserve">14137934</t>
  </si>
  <si>
    <t xml:space="preserve">000025883035</t>
  </si>
  <si>
    <t xml:space="preserve">HAROLD SEGUNDO</t>
  </si>
  <si>
    <t xml:space="preserve">MATUTE MORALES</t>
  </si>
  <si>
    <t xml:space="preserve">AV. PRINCIPAL CALLE LA ENVIDIA</t>
  </si>
  <si>
    <t xml:space="preserve">0416-1650611</t>
  </si>
  <si>
    <t xml:space="preserve">05722044</t>
  </si>
  <si>
    <t xml:space="preserve">000025883040</t>
  </si>
  <si>
    <t xml:space="preserve">EDILIMAR </t>
  </si>
  <si>
    <t xml:space="preserve">0416-8611375</t>
  </si>
  <si>
    <t xml:space="preserve">21509145</t>
  </si>
  <si>
    <t xml:space="preserve">000025883171</t>
  </si>
  <si>
    <t xml:space="preserve">ROBERTH JOSE</t>
  </si>
  <si>
    <t xml:space="preserve">0263-6922798</t>
  </si>
  <si>
    <t xml:space="preserve">09754187</t>
  </si>
  <si>
    <t xml:space="preserve">000025883172</t>
  </si>
  <si>
    <t xml:space="preserve">LEIDY DEL CARMEN</t>
  </si>
  <si>
    <t xml:space="preserve">FUENMAYOR MONTENEGRO</t>
  </si>
  <si>
    <t xml:space="preserve">0416-1671402</t>
  </si>
  <si>
    <t xml:space="preserve">20686520</t>
  </si>
  <si>
    <t xml:space="preserve">000025883238</t>
  </si>
  <si>
    <t xml:space="preserve">WILLMEIDA CHIQUINQUIRA</t>
  </si>
  <si>
    <t xml:space="preserve">SOTURNO CABRERA</t>
  </si>
  <si>
    <t xml:space="preserve">0416-2619190</t>
  </si>
  <si>
    <t xml:space="preserve">15719292</t>
  </si>
  <si>
    <t xml:space="preserve">000025883309</t>
  </si>
  <si>
    <t xml:space="preserve">OSNAIDER ANTONIO</t>
  </si>
  <si>
    <t xml:space="preserve">0426-2229309</t>
  </si>
  <si>
    <t xml:space="preserve">22163128</t>
  </si>
  <si>
    <t xml:space="preserve">000025883312</t>
  </si>
  <si>
    <t xml:space="preserve">YENIFER JULIA</t>
  </si>
  <si>
    <t xml:space="preserve">HERRERA HERRERA</t>
  </si>
  <si>
    <t xml:space="preserve">0262-8088918</t>
  </si>
  <si>
    <t xml:space="preserve">12805792</t>
  </si>
  <si>
    <t xml:space="preserve">000025883371</t>
  </si>
  <si>
    <t xml:space="preserve">ELEISI BEL</t>
  </si>
  <si>
    <t xml:space="preserve">ROMERO JARAMILLO</t>
  </si>
  <si>
    <t xml:space="preserve">0426-8609031</t>
  </si>
  <si>
    <t xml:space="preserve">22140940</t>
  </si>
  <si>
    <t xml:space="preserve">000025883384</t>
  </si>
  <si>
    <t xml:space="preserve">ALY JAVIER</t>
  </si>
  <si>
    <t xml:space="preserve">000025883398</t>
  </si>
  <si>
    <t xml:space="preserve">ADRIAN JOSE</t>
  </si>
  <si>
    <t xml:space="preserve">CUADRADO SANTANDER</t>
  </si>
  <si>
    <t xml:space="preserve">4120778576</t>
  </si>
  <si>
    <t xml:space="preserve">14698441</t>
  </si>
  <si>
    <t xml:space="preserve">000025883400</t>
  </si>
  <si>
    <t xml:space="preserve">ANGEL THOMAS </t>
  </si>
  <si>
    <t xml:space="preserve">CASTILLO FUENMAYOR </t>
  </si>
  <si>
    <t xml:space="preserve">0426-9623133</t>
  </si>
  <si>
    <t xml:space="preserve">12619930</t>
  </si>
  <si>
    <t xml:space="preserve">000025883423</t>
  </si>
  <si>
    <t xml:space="preserve">ELIANIS JOSEFINA</t>
  </si>
  <si>
    <t xml:space="preserve">GONZALEZ BRACHO</t>
  </si>
  <si>
    <t xml:space="preserve">0416-9602464</t>
  </si>
  <si>
    <t xml:space="preserve">09743711</t>
  </si>
  <si>
    <t xml:space="preserve">000025883441</t>
  </si>
  <si>
    <t xml:space="preserve">MARYOLY EDITH</t>
  </si>
  <si>
    <t xml:space="preserve">CHAVEZ GAMARRA</t>
  </si>
  <si>
    <t xml:space="preserve">0426-7633355</t>
  </si>
  <si>
    <t xml:space="preserve">000025883519</t>
  </si>
  <si>
    <t xml:space="preserve">ALEIDYS DEL VALLE</t>
  </si>
  <si>
    <t xml:space="preserve">11607800</t>
  </si>
  <si>
    <t xml:space="preserve">000025883654</t>
  </si>
  <si>
    <t xml:space="preserve">ANYIS PATRICIA</t>
  </si>
  <si>
    <t xml:space="preserve">ORTIZ RODRIGUEZ </t>
  </si>
  <si>
    <t xml:space="preserve">S/MARIO URDANETA </t>
  </si>
  <si>
    <t xml:space="preserve">000025883660</t>
  </si>
  <si>
    <t xml:space="preserve">ROBINSON ANTONIO</t>
  </si>
  <si>
    <t xml:space="preserve">FUENMAYOR GIL </t>
  </si>
  <si>
    <t xml:space="preserve">0416-7617089</t>
  </si>
  <si>
    <t xml:space="preserve">13301230</t>
  </si>
  <si>
    <t xml:space="preserve">000025883727</t>
  </si>
  <si>
    <t xml:space="preserve">ELEIDY DEL VALLE</t>
  </si>
  <si>
    <t xml:space="preserve">FUENMAYOR ROMERO</t>
  </si>
  <si>
    <t xml:space="preserve">S/ EL PUEBLO </t>
  </si>
  <si>
    <t xml:space="preserve">0426-8679884</t>
  </si>
  <si>
    <t xml:space="preserve">07799393</t>
  </si>
  <si>
    <t xml:space="preserve">000025883731</t>
  </si>
  <si>
    <t xml:space="preserve">LUIS FARID</t>
  </si>
  <si>
    <t xml:space="preserve">LOZANO PEÑA</t>
  </si>
  <si>
    <t xml:space="preserve">CINCO DE ENERO</t>
  </si>
  <si>
    <t xml:space="preserve">0263-8873179</t>
  </si>
  <si>
    <t xml:space="preserve">000025883742</t>
  </si>
  <si>
    <t xml:space="preserve">ODALYS GRISEL</t>
  </si>
  <si>
    <t xml:space="preserve">VILCHEZ MONTIEL </t>
  </si>
  <si>
    <t xml:space="preserve">0416-2274556</t>
  </si>
  <si>
    <t xml:space="preserve">13000035</t>
  </si>
  <si>
    <t xml:space="preserve">000025883743</t>
  </si>
  <si>
    <t xml:space="preserve">GRISNEILY DEL CARMEN</t>
  </si>
  <si>
    <t xml:space="preserve">BOSCAN VILCHEZ </t>
  </si>
  <si>
    <t xml:space="preserve">S/LA NUEVECITA </t>
  </si>
  <si>
    <t xml:space="preserve">0426-9608599</t>
  </si>
  <si>
    <t xml:space="preserve">13372948</t>
  </si>
  <si>
    <t xml:space="preserve">000025883778</t>
  </si>
  <si>
    <t xml:space="preserve">YORGELIS DEL VALLE </t>
  </si>
  <si>
    <t xml:space="preserve">FUENMAYOR FINOL</t>
  </si>
  <si>
    <t xml:space="preserve">S/ EL BESO</t>
  </si>
  <si>
    <t xml:space="preserve">000025883841</t>
  </si>
  <si>
    <t xml:space="preserve">WILSA YAJAIRA</t>
  </si>
  <si>
    <t xml:space="preserve">AVILA GONZALEZ </t>
  </si>
  <si>
    <t xml:space="preserve">0263-6921689</t>
  </si>
  <si>
    <t xml:space="preserve">09776709</t>
  </si>
  <si>
    <t xml:space="preserve">000025883892</t>
  </si>
  <si>
    <t xml:space="preserve">DANIELY CHIQUINQUIRA</t>
  </si>
  <si>
    <t xml:space="preserve">S/LA MARIAS</t>
  </si>
  <si>
    <t xml:space="preserve">10449591</t>
  </si>
  <si>
    <t xml:space="preserve">000025883893</t>
  </si>
  <si>
    <t xml:space="preserve">YONJAINI CHIQUINQUIRA</t>
  </si>
  <si>
    <t xml:space="preserve">URDANETA CARABALLO </t>
  </si>
  <si>
    <t xml:space="preserve">11607576</t>
  </si>
  <si>
    <t xml:space="preserve">000025883988</t>
  </si>
  <si>
    <t xml:space="preserve">VICTOR MIGUEL</t>
  </si>
  <si>
    <t xml:space="preserve">MATUTE GONZALEZ </t>
  </si>
  <si>
    <t xml:space="preserve">S/ EL HONDITO </t>
  </si>
  <si>
    <t xml:space="preserve">0262-4937788</t>
  </si>
  <si>
    <t xml:space="preserve">000025883989</t>
  </si>
  <si>
    <t xml:space="preserve">000025906039</t>
  </si>
  <si>
    <t xml:space="preserve">DIVEANA MICHESH</t>
  </si>
  <si>
    <t xml:space="preserve">CASERIO SAN RAFAEL </t>
  </si>
  <si>
    <t xml:space="preserve">2637871937</t>
  </si>
  <si>
    <t xml:space="preserve">19075608</t>
  </si>
  <si>
    <t xml:space="preserve">000025979100</t>
  </si>
  <si>
    <t xml:space="preserve">S/ROBERTO FUENMAYO</t>
  </si>
  <si>
    <t xml:space="preserve">0416-8680012</t>
  </si>
  <si>
    <t xml:space="preserve">09744476</t>
  </si>
  <si>
    <t xml:space="preserve">000025979199</t>
  </si>
  <si>
    <t xml:space="preserve">JESUS FRANCISCO</t>
  </si>
  <si>
    <t xml:space="preserve">DIAZ GONZALEZ </t>
  </si>
  <si>
    <t xml:space="preserve">S/ EL PUEBLO NUEVO</t>
  </si>
  <si>
    <t xml:space="preserve">000025979316</t>
  </si>
  <si>
    <t xml:space="preserve">MILANYELI GREGORIS</t>
  </si>
  <si>
    <t xml:space="preserve">AZUAJE  URDANETA </t>
  </si>
  <si>
    <t xml:space="preserve">0416-9688892</t>
  </si>
  <si>
    <t xml:space="preserve">06583831</t>
  </si>
  <si>
    <t xml:space="preserve">000027530769</t>
  </si>
  <si>
    <t xml:space="preserve">ENDER MANUEL</t>
  </si>
  <si>
    <t xml:space="preserve">25297375</t>
  </si>
  <si>
    <t xml:space="preserve">000027633451</t>
  </si>
  <si>
    <t xml:space="preserve">YANETH ANA</t>
  </si>
  <si>
    <t xml:space="preserve">0416-8674591</t>
  </si>
  <si>
    <t xml:space="preserve">000027845430</t>
  </si>
  <si>
    <t xml:space="preserve">ISAMAR DEL CARMEN</t>
  </si>
  <si>
    <t xml:space="preserve">URDANETA RAMIREZ </t>
  </si>
  <si>
    <t xml:space="preserve">0426-8653375</t>
  </si>
  <si>
    <t xml:space="preserve">17098705</t>
  </si>
  <si>
    <t xml:space="preserve">000029787674</t>
  </si>
  <si>
    <t xml:space="preserve">KALEXIS PAOLA</t>
  </si>
  <si>
    <t xml:space="preserve">FONSECA  CUELLAR</t>
  </si>
  <si>
    <t xml:space="preserve">84490907</t>
  </si>
  <si>
    <t xml:space="preserve">000029788631</t>
  </si>
  <si>
    <t xml:space="preserve">ZOREIDY VANESSA</t>
  </si>
  <si>
    <t xml:space="preserve">URDANETA MARTINEZ</t>
  </si>
  <si>
    <t xml:space="preserve">0426-7244789</t>
  </si>
  <si>
    <t xml:space="preserve">84498216</t>
  </si>
  <si>
    <t xml:space="preserve">019616837263</t>
  </si>
  <si>
    <t xml:space="preserve">NARIANA </t>
  </si>
  <si>
    <t xml:space="preserve">DIAZ PEREZ </t>
  </si>
  <si>
    <t xml:space="preserve">COLOMBIA </t>
  </si>
  <si>
    <t xml:space="preserve">0426-4687723</t>
  </si>
  <si>
    <t xml:space="preserve">16837263</t>
  </si>
  <si>
    <t xml:space="preserve">019633817279</t>
  </si>
  <si>
    <t xml:space="preserve">EXTRANJERO</t>
  </si>
  <si>
    <t xml:space="preserve">CIRCACIA</t>
  </si>
  <si>
    <t xml:space="preserve">000019838583</t>
  </si>
  <si>
    <t xml:space="preserve">RENÉ JOSÉ</t>
  </si>
  <si>
    <t xml:space="preserve">AZUAJE URDANETA </t>
  </si>
  <si>
    <t xml:space="preserve">000020274784</t>
  </si>
  <si>
    <t xml:space="preserve">DEREX XAVIER</t>
  </si>
  <si>
    <t xml:space="preserve">PARDO GONZÁLEZ </t>
  </si>
  <si>
    <t xml:space="preserve">4266256656</t>
  </si>
  <si>
    <t xml:space="preserve">07709623</t>
  </si>
  <si>
    <t xml:space="preserve">000020510991</t>
  </si>
  <si>
    <t xml:space="preserve">OMAR ANDRES</t>
  </si>
  <si>
    <t xml:space="preserve">VILLALOBOS CARRASQUERO</t>
  </si>
  <si>
    <t xml:space="preserve">VALENCIA</t>
  </si>
  <si>
    <t xml:space="preserve">07685117</t>
  </si>
  <si>
    <t xml:space="preserve">000020685511</t>
  </si>
  <si>
    <t xml:space="preserve">NEREIDA JOSEFINA</t>
  </si>
  <si>
    <t xml:space="preserve">MONTENEGRO LUZARDO</t>
  </si>
  <si>
    <t xml:space="preserve">SECTOR LAS PAULAS</t>
  </si>
  <si>
    <t xml:space="preserve">4246985000</t>
  </si>
  <si>
    <t xml:space="preserve">19810124</t>
  </si>
  <si>
    <t xml:space="preserve">000020834703</t>
  </si>
  <si>
    <t xml:space="preserve">JOSÉ DANIEL</t>
  </si>
  <si>
    <t xml:space="preserve">4160643568</t>
  </si>
  <si>
    <t xml:space="preserve">000021039267</t>
  </si>
  <si>
    <t xml:space="preserve">CARLOS GABRIEL</t>
  </si>
  <si>
    <t xml:space="preserve">VALLES BLANCO</t>
  </si>
  <si>
    <t xml:space="preserve">4160659269</t>
  </si>
  <si>
    <t xml:space="preserve">11605523</t>
  </si>
  <si>
    <t xml:space="preserve">000021039790</t>
  </si>
  <si>
    <t xml:space="preserve">FABIANA DEL CARMEN</t>
  </si>
  <si>
    <t xml:space="preserve">FARIAS COLINA</t>
  </si>
  <si>
    <t xml:space="preserve">BARRIO CORITO</t>
  </si>
  <si>
    <t xml:space="preserve">13428387</t>
  </si>
  <si>
    <t xml:space="preserve">000021228589</t>
  </si>
  <si>
    <t xml:space="preserve">YUBEIBYS RAQUEL</t>
  </si>
  <si>
    <t xml:space="preserve">CHAVEZ JIMENEZ</t>
  </si>
  <si>
    <t xml:space="preserve">4267006729</t>
  </si>
  <si>
    <t xml:space="preserve">06764526</t>
  </si>
  <si>
    <t xml:space="preserve">000021229768</t>
  </si>
  <si>
    <t xml:space="preserve">MARÍA ANGÉLICA</t>
  </si>
  <si>
    <t xml:space="preserve">FERRER FERRER</t>
  </si>
  <si>
    <t xml:space="preserve">SECTOR LA NUEVECITA</t>
  </si>
  <si>
    <t xml:space="preserve">4168640475</t>
  </si>
  <si>
    <t xml:space="preserve">09749253</t>
  </si>
  <si>
    <t xml:space="preserve">000021229954</t>
  </si>
  <si>
    <t xml:space="preserve">JOEL JESÚS</t>
  </si>
  <si>
    <t xml:space="preserve">NAVARRO GONZÁLEZ</t>
  </si>
  <si>
    <t xml:space="preserve">21510348</t>
  </si>
  <si>
    <t xml:space="preserve">000021354568</t>
  </si>
  <si>
    <t xml:space="preserve">LILIBETH CHIQUINQUIRA</t>
  </si>
  <si>
    <t xml:space="preserve">RAMIREZ ROMERO</t>
  </si>
  <si>
    <t xml:space="preserve">2624933398</t>
  </si>
  <si>
    <t xml:space="preserve">000021509668</t>
  </si>
  <si>
    <t xml:space="preserve">DANNYS JOSÉ</t>
  </si>
  <si>
    <t xml:space="preserve">BERRUETA VARGAS </t>
  </si>
  <si>
    <t xml:space="preserve">2624113564</t>
  </si>
  <si>
    <t xml:space="preserve">06805863</t>
  </si>
  <si>
    <t xml:space="preserve">000023271184</t>
  </si>
  <si>
    <t xml:space="preserve">YASLEIDA DEL CARMEN</t>
  </si>
  <si>
    <t xml:space="preserve">ROMERO AGUIRRE</t>
  </si>
  <si>
    <t xml:space="preserve">23271184</t>
  </si>
  <si>
    <t xml:space="preserve">000023454862</t>
  </si>
  <si>
    <t xml:space="preserve">NELVIS JOSÉ</t>
  </si>
  <si>
    <t xml:space="preserve">4162204714</t>
  </si>
  <si>
    <t xml:space="preserve">10409823</t>
  </si>
  <si>
    <t xml:space="preserve">000023466339</t>
  </si>
  <si>
    <t xml:space="preserve">JOANDRI JOSÉ</t>
  </si>
  <si>
    <t xml:space="preserve">RODRIGUEZ FINOL</t>
  </si>
  <si>
    <t xml:space="preserve">4264671534</t>
  </si>
  <si>
    <t xml:space="preserve">23466339</t>
  </si>
  <si>
    <t xml:space="preserve">000023466350</t>
  </si>
  <si>
    <t xml:space="preserve">JUNIOR JOSÉ</t>
  </si>
  <si>
    <t xml:space="preserve">BARRIO CINCO DE ENERO</t>
  </si>
  <si>
    <t xml:space="preserve">09765327</t>
  </si>
  <si>
    <t xml:space="preserve">000023466410</t>
  </si>
  <si>
    <t xml:space="preserve">CARLOS JOSÉ</t>
  </si>
  <si>
    <t xml:space="preserve">4161678926</t>
  </si>
  <si>
    <t xml:space="preserve">10439804</t>
  </si>
  <si>
    <t xml:space="preserve">000023466412</t>
  </si>
  <si>
    <t xml:space="preserve">RAUL ENRIQUE</t>
  </si>
  <si>
    <t xml:space="preserve">4165674302</t>
  </si>
  <si>
    <t xml:space="preserve">000023466430</t>
  </si>
  <si>
    <t xml:space="preserve">LORIANNIS CAROLINA</t>
  </si>
  <si>
    <t xml:space="preserve">GUANIPA SUAREZ</t>
  </si>
  <si>
    <t xml:space="preserve">4263631413</t>
  </si>
  <si>
    <t xml:space="preserve">09782553</t>
  </si>
  <si>
    <t xml:space="preserve">000023466436</t>
  </si>
  <si>
    <t xml:space="preserve">YULEISI ANAIS</t>
  </si>
  <si>
    <t xml:space="preserve">FINOL FERNÁNDEZ</t>
  </si>
  <si>
    <t xml:space="preserve">BARRIO 5 ENERO</t>
  </si>
  <si>
    <t xml:space="preserve">000023466444</t>
  </si>
  <si>
    <t xml:space="preserve">DELVIS JOSÉ</t>
  </si>
  <si>
    <t xml:space="preserve">4146605710</t>
  </si>
  <si>
    <t xml:space="preserve">13627462</t>
  </si>
  <si>
    <t xml:space="preserve">000023466466</t>
  </si>
  <si>
    <t xml:space="preserve">CLARILYN JOSEFINA</t>
  </si>
  <si>
    <t xml:space="preserve">SECTOR LOS MOROCHOS</t>
  </si>
  <si>
    <t xml:space="preserve">4162214062</t>
  </si>
  <si>
    <t xml:space="preserve">000023466467</t>
  </si>
  <si>
    <t xml:space="preserve">JHONNY ENRIQUE</t>
  </si>
  <si>
    <t xml:space="preserve">VILLALOBOS BERMUDEZ</t>
  </si>
  <si>
    <t xml:space="preserve">4266230443</t>
  </si>
  <si>
    <t xml:space="preserve">11864007</t>
  </si>
  <si>
    <t xml:space="preserve">000023466484</t>
  </si>
  <si>
    <t xml:space="preserve">JORVEIKER ENRIQUE</t>
  </si>
  <si>
    <t xml:space="preserve">2625230056</t>
  </si>
  <si>
    <t xml:space="preserve">000023466515</t>
  </si>
  <si>
    <t xml:space="preserve">JESUS GREGORIO</t>
  </si>
  <si>
    <t xml:space="preserve">SECTOR CIENTO CUATRO</t>
  </si>
  <si>
    <t xml:space="preserve">4262692893</t>
  </si>
  <si>
    <t xml:space="preserve">09716710</t>
  </si>
  <si>
    <t xml:space="preserve">000023466538</t>
  </si>
  <si>
    <t xml:space="preserve">YORGENIS JOSÉ</t>
  </si>
  <si>
    <t xml:space="preserve">CASTRO HERRERA</t>
  </si>
  <si>
    <t xml:space="preserve">CALLEJON LOS MOROCHOS</t>
  </si>
  <si>
    <t xml:space="preserve">4161629239</t>
  </si>
  <si>
    <t xml:space="preserve">11284970</t>
  </si>
  <si>
    <t xml:space="preserve">000023466581</t>
  </si>
  <si>
    <t xml:space="preserve">ALONDRA LUISANA</t>
  </si>
  <si>
    <t xml:space="preserve">ANDRADE FINOL</t>
  </si>
  <si>
    <t xml:space="preserve">4162230159</t>
  </si>
  <si>
    <t xml:space="preserve">18319303</t>
  </si>
  <si>
    <t xml:space="preserve">000023769166</t>
  </si>
  <si>
    <t xml:space="preserve">GENESIS DEL CARMEN</t>
  </si>
  <si>
    <t xml:space="preserve">GONZALEZ BELTRAN</t>
  </si>
  <si>
    <t xml:space="preserve">2637877187</t>
  </si>
  <si>
    <t xml:space="preserve">14737622</t>
  </si>
  <si>
    <t xml:space="preserve">000023769193</t>
  </si>
  <si>
    <t xml:space="preserve">ANDREINA PAOLA</t>
  </si>
  <si>
    <t xml:space="preserve">FUENMAYOR CASTRO</t>
  </si>
  <si>
    <t xml:space="preserve">CALLE PRINCIPAL LA PAZ</t>
  </si>
  <si>
    <t xml:space="preserve">13957472</t>
  </si>
  <si>
    <t xml:space="preserve">000023769194</t>
  </si>
  <si>
    <t xml:space="preserve">ANDREA ISABEL</t>
  </si>
  <si>
    <t xml:space="preserve">AL LADO DEL LICEO</t>
  </si>
  <si>
    <t xml:space="preserve">416681912</t>
  </si>
  <si>
    <t xml:space="preserve">000023769199</t>
  </si>
  <si>
    <t xml:space="preserve">ANYIBELIS JOSEFINA</t>
  </si>
  <si>
    <t xml:space="preserve">NUÑEZ ZAMBRANO</t>
  </si>
  <si>
    <t xml:space="preserve">4269686570</t>
  </si>
  <si>
    <t xml:space="preserve">01329954</t>
  </si>
  <si>
    <t xml:space="preserve">000023769214</t>
  </si>
  <si>
    <t xml:space="preserve">REINALDO JESUS</t>
  </si>
  <si>
    <t xml:space="preserve">4266641333</t>
  </si>
  <si>
    <t xml:space="preserve">23769214</t>
  </si>
  <si>
    <t xml:space="preserve">000023769220</t>
  </si>
  <si>
    <t xml:space="preserve">EDUARDO JOSÉ</t>
  </si>
  <si>
    <t xml:space="preserve">4127728492</t>
  </si>
  <si>
    <t xml:space="preserve">11861973</t>
  </si>
  <si>
    <t xml:space="preserve">000023769229</t>
  </si>
  <si>
    <t xml:space="preserve">DILIBETH CHIQUINQUIRA</t>
  </si>
  <si>
    <t xml:space="preserve">2628089320</t>
  </si>
  <si>
    <t xml:space="preserve">06806795</t>
  </si>
  <si>
    <t xml:space="preserve">000023769844</t>
  </si>
  <si>
    <t xml:space="preserve">JOHALYS PAOLA</t>
  </si>
  <si>
    <t xml:space="preserve">2628088698</t>
  </si>
  <si>
    <t xml:space="preserve">09719811</t>
  </si>
  <si>
    <t xml:space="preserve">000023769851</t>
  </si>
  <si>
    <t xml:space="preserve">NEIDA GREGORIA</t>
  </si>
  <si>
    <t xml:space="preserve">4169645930</t>
  </si>
  <si>
    <t xml:space="preserve">000023769872</t>
  </si>
  <si>
    <t xml:space="preserve">KELLY PATRICIA</t>
  </si>
  <si>
    <t xml:space="preserve">2628088891</t>
  </si>
  <si>
    <t xml:space="preserve">000023769876</t>
  </si>
  <si>
    <t xml:space="preserve">MARIANA DEL CARMEN</t>
  </si>
  <si>
    <t xml:space="preserve">09750119</t>
  </si>
  <si>
    <t xml:space="preserve">000023770190</t>
  </si>
  <si>
    <t xml:space="preserve">JHONNY MIGUEL</t>
  </si>
  <si>
    <t xml:space="preserve">GONZÁLEZ MORALES</t>
  </si>
  <si>
    <t xml:space="preserve">04516067</t>
  </si>
  <si>
    <t xml:space="preserve">000023770224</t>
  </si>
  <si>
    <t xml:space="preserve">RAFAEL ANGEL</t>
  </si>
  <si>
    <t xml:space="preserve">FUENMAYOR LÓPEZ</t>
  </si>
  <si>
    <t xml:space="preserve">4269698012</t>
  </si>
  <si>
    <t xml:space="preserve">23770224</t>
  </si>
  <si>
    <t xml:space="preserve">000023770232</t>
  </si>
  <si>
    <t xml:space="preserve">OMARBYS ENRIQUE</t>
  </si>
  <si>
    <t xml:space="preserve">4269687035</t>
  </si>
  <si>
    <t xml:space="preserve">15193021</t>
  </si>
  <si>
    <t xml:space="preserve">000023770239</t>
  </si>
  <si>
    <t xml:space="preserve">IRIS DEL VALLE</t>
  </si>
  <si>
    <t xml:space="preserve">2624938405</t>
  </si>
  <si>
    <t xml:space="preserve">23770239</t>
  </si>
  <si>
    <t xml:space="preserve">000023856388</t>
  </si>
  <si>
    <t xml:space="preserve">ELIDA JOSEFINA</t>
  </si>
  <si>
    <t xml:space="preserve">000024249404</t>
  </si>
  <si>
    <t xml:space="preserve">4268660569</t>
  </si>
  <si>
    <t xml:space="preserve">000024249412</t>
  </si>
  <si>
    <t xml:space="preserve">MAURO ENRIQUE</t>
  </si>
  <si>
    <t xml:space="preserve">15195931</t>
  </si>
  <si>
    <t xml:space="preserve">000024249807</t>
  </si>
  <si>
    <t xml:space="preserve">LUIS ALFREDO</t>
  </si>
  <si>
    <t xml:space="preserve">MATOS FINOL </t>
  </si>
  <si>
    <t xml:space="preserve">4165618020</t>
  </si>
  <si>
    <t xml:space="preserve">13607985</t>
  </si>
  <si>
    <t xml:space="preserve">000024249811</t>
  </si>
  <si>
    <t xml:space="preserve">MIGUEL EDUARDO</t>
  </si>
  <si>
    <t xml:space="preserve">4167695714</t>
  </si>
  <si>
    <t xml:space="preserve">33272335</t>
  </si>
  <si>
    <t xml:space="preserve">000025979367</t>
  </si>
  <si>
    <t xml:space="preserve">NESCARI PAOLA</t>
  </si>
  <si>
    <t xml:space="preserve">FINOL FERNANDEZ</t>
  </si>
  <si>
    <t xml:space="preserve">0262-4939020</t>
  </si>
  <si>
    <t xml:space="preserve">09733224</t>
  </si>
  <si>
    <t xml:space="preserve">000025979371</t>
  </si>
  <si>
    <t xml:space="preserve">DIEGO ARMANDO </t>
  </si>
  <si>
    <t xml:space="preserve">CAMPÒ COQUIVACOA</t>
  </si>
  <si>
    <t xml:space="preserve">4160541919</t>
  </si>
  <si>
    <t xml:space="preserve">000025979555</t>
  </si>
  <si>
    <t xml:space="preserve">DAVID JOSE</t>
  </si>
  <si>
    <t xml:space="preserve">VASQUEZ JARAMILLO</t>
  </si>
  <si>
    <t xml:space="preserve">22163429</t>
  </si>
  <si>
    <t xml:space="preserve">000025979563</t>
  </si>
  <si>
    <t xml:space="preserve">CESAR ENRIQUE </t>
  </si>
  <si>
    <t xml:space="preserve">HERNANDEZ GOMEZ </t>
  </si>
  <si>
    <t xml:space="preserve">0416-4656542</t>
  </si>
  <si>
    <t xml:space="preserve">16917422</t>
  </si>
  <si>
    <t xml:space="preserve">000025979617</t>
  </si>
  <si>
    <t xml:space="preserve">VILNEILIS GRISSEL</t>
  </si>
  <si>
    <t xml:space="preserve">PARDO URDANETA </t>
  </si>
  <si>
    <t xml:space="preserve">0426-7185517</t>
  </si>
  <si>
    <t xml:space="preserve">17634609</t>
  </si>
  <si>
    <t xml:space="preserve">000026062170</t>
  </si>
  <si>
    <t xml:space="preserve">ANABELL CAROLINA</t>
  </si>
  <si>
    <t xml:space="preserve">AMAYA GONZALEZ</t>
  </si>
  <si>
    <t xml:space="preserve">LAS PARCELAS</t>
  </si>
  <si>
    <t xml:space="preserve">0426-3674122</t>
  </si>
  <si>
    <t xml:space="preserve">14458724</t>
  </si>
  <si>
    <t xml:space="preserve">000026093962</t>
  </si>
  <si>
    <t xml:space="preserve">MAIRETH CAROLINA</t>
  </si>
  <si>
    <t xml:space="preserve">VILLALOBOS ALVARADO</t>
  </si>
  <si>
    <t xml:space="preserve">0262-8085855</t>
  </si>
  <si>
    <t xml:space="preserve">14748285</t>
  </si>
  <si>
    <t xml:space="preserve">000026093964</t>
  </si>
  <si>
    <t xml:space="preserve">ANGELIANIS DEL CARMEN</t>
  </si>
  <si>
    <t xml:space="preserve">0416-5652748</t>
  </si>
  <si>
    <t xml:space="preserve">15968674</t>
  </si>
  <si>
    <t xml:space="preserve">000026169226</t>
  </si>
  <si>
    <t xml:space="preserve">RAFAEL JESUS </t>
  </si>
  <si>
    <t xml:space="preserve">LOPEZ FERNANDEZ </t>
  </si>
  <si>
    <t xml:space="preserve">0416-9638456</t>
  </si>
  <si>
    <t xml:space="preserve">09781371</t>
  </si>
  <si>
    <t xml:space="preserve">000026169239</t>
  </si>
  <si>
    <t xml:space="preserve">YORBELY CHIQUINQUIRA</t>
  </si>
  <si>
    <t xml:space="preserve">0416-6666212</t>
  </si>
  <si>
    <t xml:space="preserve">14863128</t>
  </si>
  <si>
    <t xml:space="preserve">000026169240</t>
  </si>
  <si>
    <t xml:space="preserve">RAILYS ALONSO</t>
  </si>
  <si>
    <t xml:space="preserve">0262-247847</t>
  </si>
  <si>
    <t xml:space="preserve">000026169243</t>
  </si>
  <si>
    <t xml:space="preserve">RICARDO JESUS</t>
  </si>
  <si>
    <t xml:space="preserve">S/ LA ESQUINA</t>
  </si>
  <si>
    <t xml:space="preserve">0426-3251361</t>
  </si>
  <si>
    <t xml:space="preserve">12620119</t>
  </si>
  <si>
    <t xml:space="preserve">000026169579</t>
  </si>
  <si>
    <t xml:space="preserve">DIXON MANUEL</t>
  </si>
  <si>
    <t xml:space="preserve">ZAMBRANO FERNANDEZ </t>
  </si>
  <si>
    <t xml:space="preserve">0426-7679676</t>
  </si>
  <si>
    <t xml:space="preserve">14208212</t>
  </si>
  <si>
    <t xml:space="preserve">000026169580</t>
  </si>
  <si>
    <t xml:space="preserve">ENYERLIS ISABEL</t>
  </si>
  <si>
    <t xml:space="preserve">URDANETA SUAREZ</t>
  </si>
  <si>
    <t xml:space="preserve">0426-8003689</t>
  </si>
  <si>
    <t xml:space="preserve">09778928</t>
  </si>
  <si>
    <t xml:space="preserve">000026169583</t>
  </si>
  <si>
    <t xml:space="preserve">URDANETA URDANEA</t>
  </si>
  <si>
    <t xml:space="preserve">0416-0675173</t>
  </si>
  <si>
    <t xml:space="preserve">09760401</t>
  </si>
  <si>
    <t xml:space="preserve">000026169587</t>
  </si>
  <si>
    <t xml:space="preserve">ALEJANDRA MERCEDES</t>
  </si>
  <si>
    <t xml:space="preserve">MONTERO ROCHA</t>
  </si>
  <si>
    <t xml:space="preserve">B/ MARIO URDANETA 2</t>
  </si>
  <si>
    <t xml:space="preserve">0426-7003738</t>
  </si>
  <si>
    <t xml:space="preserve">22162169</t>
  </si>
  <si>
    <t xml:space="preserve">000026169591</t>
  </si>
  <si>
    <t xml:space="preserve">NEHOMAIRY DEL CARMEN</t>
  </si>
  <si>
    <t xml:space="preserve">TERAN CHAVEZ</t>
  </si>
  <si>
    <t xml:space="preserve">0416-4652642</t>
  </si>
  <si>
    <t xml:space="preserve">07715585</t>
  </si>
  <si>
    <t xml:space="preserve">000026169597</t>
  </si>
  <si>
    <t xml:space="preserve">NEIRIMAR DE LOS ANGELES</t>
  </si>
  <si>
    <t xml:space="preserve">VILLALOBOS PORTILLO</t>
  </si>
  <si>
    <t xml:space="preserve">16428769</t>
  </si>
  <si>
    <t xml:space="preserve">000026169599</t>
  </si>
  <si>
    <t xml:space="preserve">MIGUEL RAMON</t>
  </si>
  <si>
    <t xml:space="preserve">PORTILLO ROMERO</t>
  </si>
  <si>
    <t xml:space="preserve">0416-5681505</t>
  </si>
  <si>
    <t xml:space="preserve">09798447</t>
  </si>
  <si>
    <t xml:space="preserve">000026169601</t>
  </si>
  <si>
    <t xml:space="preserve">YULENIS PAOLA</t>
  </si>
  <si>
    <t xml:space="preserve">ZAMBRANO CASTRO </t>
  </si>
  <si>
    <t xml:space="preserve">0426-8662000</t>
  </si>
  <si>
    <t xml:space="preserve">15261260</t>
  </si>
  <si>
    <t xml:space="preserve">000026169607</t>
  </si>
  <si>
    <t xml:space="preserve">YOMAR JOSUE</t>
  </si>
  <si>
    <t xml:space="preserve">B/ CAUCAGUITA </t>
  </si>
  <si>
    <t xml:space="preserve">0426-9662111</t>
  </si>
  <si>
    <t xml:space="preserve">11393204</t>
  </si>
  <si>
    <t xml:space="preserve">000026169617</t>
  </si>
  <si>
    <t xml:space="preserve">ADRIANA ALEJANDRA</t>
  </si>
  <si>
    <t xml:space="preserve">000026169735</t>
  </si>
  <si>
    <t xml:space="preserve">MARIANA DEL VALLE</t>
  </si>
  <si>
    <t xml:space="preserve">ORTEGA CHAPARRO</t>
  </si>
  <si>
    <t xml:space="preserve">15010001</t>
  </si>
  <si>
    <t xml:space="preserve">000026169777</t>
  </si>
  <si>
    <t xml:space="preserve">YUNIOR JESUS</t>
  </si>
  <si>
    <t xml:space="preserve">CHAMORRO GONZALEZ</t>
  </si>
  <si>
    <t xml:space="preserve">0426-8255862</t>
  </si>
  <si>
    <t xml:space="preserve">14117777</t>
  </si>
  <si>
    <t xml:space="preserve">000026169921</t>
  </si>
  <si>
    <t xml:space="preserve">ROSELIS MILAGROS</t>
  </si>
  <si>
    <t xml:space="preserve">PARRA ROBLES</t>
  </si>
  <si>
    <t xml:space="preserve">07627446</t>
  </si>
  <si>
    <t xml:space="preserve">000026236340</t>
  </si>
  <si>
    <t xml:space="preserve">JORGELIS DEL CARMEN</t>
  </si>
  <si>
    <t xml:space="preserve">CABRERA PEREZ</t>
  </si>
  <si>
    <t xml:space="preserve">0416-3640905</t>
  </si>
  <si>
    <t xml:space="preserve">50402515</t>
  </si>
  <si>
    <t xml:space="preserve">000026236654</t>
  </si>
  <si>
    <t xml:space="preserve">LUIS HEBERTO </t>
  </si>
  <si>
    <t xml:space="preserve">CAÑIZAREZ BARRIOS </t>
  </si>
  <si>
    <t xml:space="preserve">0416-0666611</t>
  </si>
  <si>
    <t xml:space="preserve">000026239501</t>
  </si>
  <si>
    <t xml:space="preserve">0426-7241527</t>
  </si>
  <si>
    <t xml:space="preserve">000026239502</t>
  </si>
  <si>
    <t xml:space="preserve">NAYELIN PAOLA</t>
  </si>
  <si>
    <t xml:space="preserve">SOTURNO VILLALOBOS</t>
  </si>
  <si>
    <t xml:space="preserve">0416-9646307</t>
  </si>
  <si>
    <t xml:space="preserve">16079647</t>
  </si>
  <si>
    <t xml:space="preserve">000026239503</t>
  </si>
  <si>
    <t xml:space="preserve">ARIS JOSE</t>
  </si>
  <si>
    <t xml:space="preserve">0416-1607519</t>
  </si>
  <si>
    <t xml:space="preserve">000026239602</t>
  </si>
  <si>
    <t xml:space="preserve">ALBENIS DE JESUS</t>
  </si>
  <si>
    <t xml:space="preserve">GALUE URDANETA</t>
  </si>
  <si>
    <t xml:space="preserve">SAN RAFAEL DE MARA</t>
  </si>
  <si>
    <t xml:space="preserve">S/ VILLA SALAS</t>
  </si>
  <si>
    <t xml:space="preserve">0262-8080460</t>
  </si>
  <si>
    <t xml:space="preserve">000026239606</t>
  </si>
  <si>
    <t xml:space="preserve">MAILYN PAOLA</t>
  </si>
  <si>
    <t xml:space="preserve">FERRER GONZALEZ</t>
  </si>
  <si>
    <t xml:space="preserve">0416-1652773</t>
  </si>
  <si>
    <t xml:space="preserve">06834717</t>
  </si>
  <si>
    <t xml:space="preserve">000026239607</t>
  </si>
  <si>
    <t xml:space="preserve">ANYELITH COROMOTO</t>
  </si>
  <si>
    <t xml:space="preserve">VALLES PIÑERO </t>
  </si>
  <si>
    <t xml:space="preserve">0416-3670840</t>
  </si>
  <si>
    <t xml:space="preserve">09514367</t>
  </si>
  <si>
    <t xml:space="preserve">000026239612</t>
  </si>
  <si>
    <t xml:space="preserve">CRISTIAN JAVIER</t>
  </si>
  <si>
    <t xml:space="preserve">0262-8087719</t>
  </si>
  <si>
    <t xml:space="preserve">000026239615</t>
  </si>
  <si>
    <t xml:space="preserve">JOHANLY JAVIER</t>
  </si>
  <si>
    <t xml:space="preserve">0426-1679509</t>
  </si>
  <si>
    <t xml:space="preserve">000026239617</t>
  </si>
  <si>
    <t xml:space="preserve">RONALD JOSE</t>
  </si>
  <si>
    <t xml:space="preserve">SANCHEZ  GUANIPA </t>
  </si>
  <si>
    <t xml:space="preserve">S/ VILLA SALAS  CASA 469</t>
  </si>
  <si>
    <t xml:space="preserve">0262-8088469</t>
  </si>
  <si>
    <t xml:space="preserve">12444853</t>
  </si>
  <si>
    <t xml:space="preserve">000026242310</t>
  </si>
  <si>
    <t xml:space="preserve">MADELIN  KATHERIN </t>
  </si>
  <si>
    <t xml:space="preserve">HERNANDEZ HERNANDEZ </t>
  </si>
  <si>
    <t xml:space="preserve">0416-2663493</t>
  </si>
  <si>
    <t xml:space="preserve">10405903</t>
  </si>
  <si>
    <t xml:space="preserve">000026276285</t>
  </si>
  <si>
    <t xml:space="preserve">BELIANYS SINAI</t>
  </si>
  <si>
    <t xml:space="preserve">0416-5675175</t>
  </si>
  <si>
    <t xml:space="preserve">07774806</t>
  </si>
  <si>
    <t xml:space="preserve">000026276367</t>
  </si>
  <si>
    <t xml:space="preserve">YULIANA PAOLA</t>
  </si>
  <si>
    <t xml:space="preserve">RAMIREZ BERRIOS</t>
  </si>
  <si>
    <t xml:space="preserve">0262-5153556</t>
  </si>
  <si>
    <t xml:space="preserve">25189422</t>
  </si>
  <si>
    <t xml:space="preserve">000026276993</t>
  </si>
  <si>
    <t xml:space="preserve">SUAREZ URDANETA </t>
  </si>
  <si>
    <t xml:space="preserve">0416-3641629</t>
  </si>
  <si>
    <t xml:space="preserve">09754386</t>
  </si>
  <si>
    <t xml:space="preserve">000026276994</t>
  </si>
  <si>
    <t xml:space="preserve">YAMILETH CAROLINA</t>
  </si>
  <si>
    <t xml:space="preserve">0426-7695279</t>
  </si>
  <si>
    <t xml:space="preserve">000026276998</t>
  </si>
  <si>
    <t xml:space="preserve">URDANETA PEROZO</t>
  </si>
  <si>
    <t xml:space="preserve">B/ CHINO RAFAEL</t>
  </si>
  <si>
    <t xml:space="preserve">0416-9082296</t>
  </si>
  <si>
    <t xml:space="preserve">09797612</t>
  </si>
  <si>
    <t xml:space="preserve">000026353184</t>
  </si>
  <si>
    <t xml:space="preserve">ELIANYS PAOLA</t>
  </si>
  <si>
    <t xml:space="preserve">SEVILLA MARTINEZ</t>
  </si>
  <si>
    <t xml:space="preserve">25184244</t>
  </si>
  <si>
    <t xml:space="preserve">000026481065</t>
  </si>
  <si>
    <t xml:space="preserve">JONATHAN JOSE</t>
  </si>
  <si>
    <t xml:space="preserve">FUENMAYOR MOLERO</t>
  </si>
  <si>
    <t xml:space="preserve">19450519</t>
  </si>
  <si>
    <t xml:space="preserve">000026481110</t>
  </si>
  <si>
    <t xml:space="preserve">KELVIN ADRIAN</t>
  </si>
  <si>
    <t xml:space="preserve">0416-9669125</t>
  </si>
  <si>
    <t xml:space="preserve">000026481112</t>
  </si>
  <si>
    <t xml:space="preserve">MIGUEL JESUS</t>
  </si>
  <si>
    <t xml:space="preserve">CARRASQUERO URDANETA</t>
  </si>
  <si>
    <t xml:space="preserve">000026481155</t>
  </si>
  <si>
    <t xml:space="preserve">NOHELY DEL CARMEN </t>
  </si>
  <si>
    <t xml:space="preserve">MARIMONDA</t>
  </si>
  <si>
    <t xml:space="preserve">000026481156</t>
  </si>
  <si>
    <t xml:space="preserve">MAIDELY JOSEFINA</t>
  </si>
  <si>
    <t xml:space="preserve">0416-1141522</t>
  </si>
  <si>
    <t xml:space="preserve">07771623</t>
  </si>
  <si>
    <t xml:space="preserve">000026481886</t>
  </si>
  <si>
    <t xml:space="preserve">LUISANA  VANESSA </t>
  </si>
  <si>
    <t xml:space="preserve">BARROSO PULGAR</t>
  </si>
  <si>
    <t xml:space="preserve">0416-5668883</t>
  </si>
  <si>
    <t xml:space="preserve">10432645</t>
  </si>
  <si>
    <t xml:space="preserve">000026481898</t>
  </si>
  <si>
    <t xml:space="preserve">NEURO JOSE </t>
  </si>
  <si>
    <t xml:space="preserve">BERNAL GONZALEZ </t>
  </si>
  <si>
    <t xml:space="preserve">0426-8647459</t>
  </si>
  <si>
    <t xml:space="preserve">13474165</t>
  </si>
  <si>
    <t xml:space="preserve">000026639913</t>
  </si>
  <si>
    <t xml:space="preserve">ZORENMIS MARIA</t>
  </si>
  <si>
    <t xml:space="preserve">0416-5629323</t>
  </si>
  <si>
    <t xml:space="preserve">14737904</t>
  </si>
  <si>
    <t xml:space="preserve">000026743305</t>
  </si>
  <si>
    <t xml:space="preserve">ALBANIS LUISA</t>
  </si>
  <si>
    <t xml:space="preserve">S/ NOTEREY II</t>
  </si>
  <si>
    <t xml:space="preserve">0262-6870879</t>
  </si>
  <si>
    <t xml:space="preserve">000026743400</t>
  </si>
  <si>
    <t xml:space="preserve">MAIDELY KARINA</t>
  </si>
  <si>
    <t xml:space="preserve">0416-2617270</t>
  </si>
  <si>
    <t xml:space="preserve">06834861</t>
  </si>
  <si>
    <t xml:space="preserve">000026743410</t>
  </si>
  <si>
    <t xml:space="preserve">SARA MARIA</t>
  </si>
  <si>
    <t xml:space="preserve">0426-6231797</t>
  </si>
  <si>
    <t xml:space="preserve">09774332</t>
  </si>
  <si>
    <t xml:space="preserve">000026872295</t>
  </si>
  <si>
    <t xml:space="preserve">DEIMARIS CAROLINA</t>
  </si>
  <si>
    <t xml:space="preserve">4165659386</t>
  </si>
  <si>
    <t xml:space="preserve">000027030915</t>
  </si>
  <si>
    <t xml:space="preserve">DILIBETH DEL CARMEN</t>
  </si>
  <si>
    <t xml:space="preserve">SERRANO RODRIQUEZ </t>
  </si>
  <si>
    <t xml:space="preserve">21510380</t>
  </si>
  <si>
    <t xml:space="preserve">000027090498</t>
  </si>
  <si>
    <t xml:space="preserve">TORO ELAGUILA</t>
  </si>
  <si>
    <t xml:space="preserve">LOS CAÑOS</t>
  </si>
  <si>
    <t xml:space="preserve">0426-3668709</t>
  </si>
  <si>
    <t xml:space="preserve">24843535</t>
  </si>
  <si>
    <t xml:space="preserve">000027090503</t>
  </si>
  <si>
    <t xml:space="preserve">ARISBEIDY CHIQUINQUIRA</t>
  </si>
  <si>
    <t xml:space="preserve">0426-3667234</t>
  </si>
  <si>
    <t xml:space="preserve">000027090524</t>
  </si>
  <si>
    <t xml:space="preserve">DELIANIS PAOLA</t>
  </si>
  <si>
    <t xml:space="preserve">QUINTERO FERNANDEZ</t>
  </si>
  <si>
    <t xml:space="preserve">0262-4936604</t>
  </si>
  <si>
    <t xml:space="preserve">000027090533</t>
  </si>
  <si>
    <t xml:space="preserve">BREINER DANIEL</t>
  </si>
  <si>
    <t xml:space="preserve">0426-6239585</t>
  </si>
  <si>
    <t xml:space="preserve">000027090828</t>
  </si>
  <si>
    <t xml:space="preserve">ROGER DAVID</t>
  </si>
  <si>
    <t xml:space="preserve">CAMARGO ELAGUILA</t>
  </si>
  <si>
    <t xml:space="preserve">0416-7629722</t>
  </si>
  <si>
    <t xml:space="preserve">22474313</t>
  </si>
  <si>
    <t xml:space="preserve">000027284564</t>
  </si>
  <si>
    <t xml:space="preserve">ADRIANA CAROLINA</t>
  </si>
  <si>
    <t xml:space="preserve">ATENCIO ATENCIO</t>
  </si>
  <si>
    <t xml:space="preserve">0416-0196907</t>
  </si>
  <si>
    <t xml:space="preserve">000027339210</t>
  </si>
  <si>
    <t xml:space="preserve">ALLISON MICHELLE</t>
  </si>
  <si>
    <t xml:space="preserve">FERNANDEZ BARRIOS</t>
  </si>
  <si>
    <t xml:space="preserve">000027360435</t>
  </si>
  <si>
    <t xml:space="preserve">FERNANDEZ CHACIN </t>
  </si>
  <si>
    <t xml:space="preserve">0426-6681185</t>
  </si>
  <si>
    <t xml:space="preserve">16151292</t>
  </si>
  <si>
    <t xml:space="preserve">000027412695</t>
  </si>
  <si>
    <t xml:space="preserve">ADRIANA DIONILDA</t>
  </si>
  <si>
    <t xml:space="preserve">CEDEÑO VILLALOBOS</t>
  </si>
  <si>
    <t xml:space="preserve">000024249972</t>
  </si>
  <si>
    <t xml:space="preserve">KIMBERLYN ALEJANDRA</t>
  </si>
  <si>
    <t xml:space="preserve">POLANCO URDANETA</t>
  </si>
  <si>
    <t xml:space="preserve">2626874888</t>
  </si>
  <si>
    <t xml:space="preserve">15524158</t>
  </si>
  <si>
    <t xml:space="preserve">000024250012</t>
  </si>
  <si>
    <t xml:space="preserve">YETSIBEL DEL CARMEN</t>
  </si>
  <si>
    <t xml:space="preserve">FUENMAYOR CORREA</t>
  </si>
  <si>
    <t xml:space="preserve">4168606751</t>
  </si>
  <si>
    <t xml:space="preserve">09708875</t>
  </si>
  <si>
    <t xml:space="preserve">000024250017</t>
  </si>
  <si>
    <t xml:space="preserve">RIGOBERTO SEGUNDO</t>
  </si>
  <si>
    <t xml:space="preserve">GONZÁLEZ CASTELLANOS</t>
  </si>
  <si>
    <t xml:space="preserve">000024250409</t>
  </si>
  <si>
    <t xml:space="preserve">SEMARY</t>
  </si>
  <si>
    <t xml:space="preserve">23029404</t>
  </si>
  <si>
    <t xml:space="preserve">000024250416</t>
  </si>
  <si>
    <t xml:space="preserve">YOSEANIS ANGELICA</t>
  </si>
  <si>
    <t xml:space="preserve">PERCHE MOLERO </t>
  </si>
  <si>
    <t xml:space="preserve">4165621678</t>
  </si>
  <si>
    <t xml:space="preserve">000024509595</t>
  </si>
  <si>
    <t xml:space="preserve">RIVERO ROMERO</t>
  </si>
  <si>
    <t xml:space="preserve">SECTOR MARIO URDANETA</t>
  </si>
  <si>
    <t xml:space="preserve">426701797</t>
  </si>
  <si>
    <t xml:space="preserve">15889313</t>
  </si>
  <si>
    <t xml:space="preserve">000024725033</t>
  </si>
  <si>
    <t xml:space="preserve">MIGUEL ALFONSO</t>
  </si>
  <si>
    <t xml:space="preserve">2628089566</t>
  </si>
  <si>
    <t xml:space="preserve">000024725371</t>
  </si>
  <si>
    <t xml:space="preserve">ALONDRA KAINA</t>
  </si>
  <si>
    <t xml:space="preserve">4168654845</t>
  </si>
  <si>
    <t xml:space="preserve">000024725398</t>
  </si>
  <si>
    <t xml:space="preserve">LAURA ANDREINA</t>
  </si>
  <si>
    <t xml:space="preserve">FUENMAYOR PIRELA</t>
  </si>
  <si>
    <t xml:space="preserve">424725398</t>
  </si>
  <si>
    <t xml:space="preserve">12589748</t>
  </si>
  <si>
    <t xml:space="preserve">000024725433</t>
  </si>
  <si>
    <t xml:space="preserve">AYAGLENIS CAROLINA</t>
  </si>
  <si>
    <t xml:space="preserve">VILLALOBOS VILCHEZ</t>
  </si>
  <si>
    <t xml:space="preserve">4160262530</t>
  </si>
  <si>
    <t xml:space="preserve">24725433</t>
  </si>
  <si>
    <t xml:space="preserve">000024725436</t>
  </si>
  <si>
    <t xml:space="preserve">AURA MARINA</t>
  </si>
  <si>
    <t xml:space="preserve">VILCHEZ GONZÁLEZ</t>
  </si>
  <si>
    <t xml:space="preserve">000024725869</t>
  </si>
  <si>
    <t xml:space="preserve">ALEXANDER JOSÉ</t>
  </si>
  <si>
    <t xml:space="preserve">4167632147</t>
  </si>
  <si>
    <t xml:space="preserve">000024725879</t>
  </si>
  <si>
    <t xml:space="preserve">YIMBELIS ANDREINA</t>
  </si>
  <si>
    <t xml:space="preserve">FERNÁNDEZ FUENMAYOR</t>
  </si>
  <si>
    <t xml:space="preserve">4268247608</t>
  </si>
  <si>
    <t xml:space="preserve">14356257</t>
  </si>
  <si>
    <t xml:space="preserve">000024725880</t>
  </si>
  <si>
    <t xml:space="preserve">MARIBI JOSSEP</t>
  </si>
  <si>
    <t xml:space="preserve">CASTILLO PIRELA</t>
  </si>
  <si>
    <t xml:space="preserve">4165653338</t>
  </si>
  <si>
    <t xml:space="preserve">000024725886</t>
  </si>
  <si>
    <t xml:space="preserve">JOSÉ FRANCISCO</t>
  </si>
  <si>
    <t xml:space="preserve">URDANETA BERMUDEZ</t>
  </si>
  <si>
    <t xml:space="preserve">4264252242</t>
  </si>
  <si>
    <t xml:space="preserve">09805729</t>
  </si>
  <si>
    <t xml:space="preserve">000024726361</t>
  </si>
  <si>
    <t xml:space="preserve">DELVIS DE JESÚS</t>
  </si>
  <si>
    <t xml:space="preserve">4160623933</t>
  </si>
  <si>
    <t xml:space="preserve">09775874</t>
  </si>
  <si>
    <t xml:space="preserve">000024752987</t>
  </si>
  <si>
    <t xml:space="preserve">MARIOSCAR CHIQUINQUIRÁ</t>
  </si>
  <si>
    <t xml:space="preserve">FERNÁNDEZ QUINTERO </t>
  </si>
  <si>
    <t xml:space="preserve">14698283</t>
  </si>
  <si>
    <t xml:space="preserve">000024760116</t>
  </si>
  <si>
    <t xml:space="preserve">ERNESTO JOSÉ</t>
  </si>
  <si>
    <t xml:space="preserve">SANCHEZ BAYUELO</t>
  </si>
  <si>
    <t xml:space="preserve">LA PASTORA</t>
  </si>
  <si>
    <t xml:space="preserve">DISTRITO FEDERAL</t>
  </si>
  <si>
    <t xml:space="preserve">4126675654</t>
  </si>
  <si>
    <t xml:space="preserve">12060556</t>
  </si>
  <si>
    <t xml:space="preserve">000024951682</t>
  </si>
  <si>
    <t xml:space="preserve">DAVID SEGUNDO</t>
  </si>
  <si>
    <t xml:space="preserve">RINCON FERNÁNDEZ</t>
  </si>
  <si>
    <t xml:space="preserve">18122573</t>
  </si>
  <si>
    <t xml:space="preserve">000024961526</t>
  </si>
  <si>
    <t xml:space="preserve">ADRIANA PAOLA</t>
  </si>
  <si>
    <t xml:space="preserve">GONZALEZ ATENCIO</t>
  </si>
  <si>
    <t xml:space="preserve">SECTOR LA FRAGUA</t>
  </si>
  <si>
    <t xml:space="preserve">4160691475</t>
  </si>
  <si>
    <t xml:space="preserve">09783263</t>
  </si>
  <si>
    <t xml:space="preserve">000024961798</t>
  </si>
  <si>
    <t xml:space="preserve">ANGELIS KARELIS</t>
  </si>
  <si>
    <t xml:space="preserve">4167619961</t>
  </si>
  <si>
    <t xml:space="preserve">000025039645</t>
  </si>
  <si>
    <t xml:space="preserve">YOSIBEL PAOLA</t>
  </si>
  <si>
    <t xml:space="preserve">DURÁN RODRIGUEZ</t>
  </si>
  <si>
    <t xml:space="preserve">06834822</t>
  </si>
  <si>
    <t xml:space="preserve">000025039650</t>
  </si>
  <si>
    <t xml:space="preserve">EVA OSCARINA</t>
  </si>
  <si>
    <t xml:space="preserve">2626870180</t>
  </si>
  <si>
    <t xml:space="preserve">15193767</t>
  </si>
  <si>
    <t xml:space="preserve">000025039652</t>
  </si>
  <si>
    <t xml:space="preserve">MARIAJOSÉ ANDREINA</t>
  </si>
  <si>
    <t xml:space="preserve">BRAVO RIOS</t>
  </si>
  <si>
    <t xml:space="preserve">4126412243</t>
  </si>
  <si>
    <t xml:space="preserve">19845455</t>
  </si>
  <si>
    <t xml:space="preserve">000025039658</t>
  </si>
  <si>
    <t xml:space="preserve">YULIANIS MASSIEL</t>
  </si>
  <si>
    <t xml:space="preserve">ACOSTA MELEAN</t>
  </si>
  <si>
    <t xml:space="preserve">12442950</t>
  </si>
  <si>
    <t xml:space="preserve">000025039847</t>
  </si>
  <si>
    <t xml:space="preserve">OLGERMELYS ALFONSINA</t>
  </si>
  <si>
    <t xml:space="preserve">MENDOZA VERA</t>
  </si>
  <si>
    <t xml:space="preserve">PARIAGUAN</t>
  </si>
  <si>
    <t xml:space="preserve">ANZOATEGUI</t>
  </si>
  <si>
    <t xml:space="preserve">AN</t>
  </si>
  <si>
    <t xml:space="preserve">2628661290</t>
  </si>
  <si>
    <t xml:space="preserve">14085767</t>
  </si>
  <si>
    <t xml:space="preserve">000025039855</t>
  </si>
  <si>
    <t xml:space="preserve">ALEXANDRA LUCIA</t>
  </si>
  <si>
    <t xml:space="preserve">SANTA BARBARA</t>
  </si>
  <si>
    <t xml:space="preserve">000025039856</t>
  </si>
  <si>
    <t xml:space="preserve">YENIRETH PAOLA</t>
  </si>
  <si>
    <t xml:space="preserve">BRIÑEZ VILLALOBOS</t>
  </si>
  <si>
    <t xml:space="preserve">06785023</t>
  </si>
  <si>
    <t xml:space="preserve">000025039868</t>
  </si>
  <si>
    <t xml:space="preserve">SANDRYLUZ MILAGRO</t>
  </si>
  <si>
    <t xml:space="preserve">BLANCO FINOL</t>
  </si>
  <si>
    <t xml:space="preserve">SECTOR EL COLORADO</t>
  </si>
  <si>
    <t xml:space="preserve">25039868</t>
  </si>
  <si>
    <t xml:space="preserve">000025039869</t>
  </si>
  <si>
    <t xml:space="preserve">ANDREA GABRIELA</t>
  </si>
  <si>
    <t xml:space="preserve">VILLALOBOS CHÁVEZ</t>
  </si>
  <si>
    <t xml:space="preserve">4120767599</t>
  </si>
  <si>
    <t xml:space="preserve">13298501</t>
  </si>
  <si>
    <t xml:space="preserve">000025039871</t>
  </si>
  <si>
    <t xml:space="preserve">GABRIELA ALEJANDRA</t>
  </si>
  <si>
    <t xml:space="preserve">OSORIO CASTILLO</t>
  </si>
  <si>
    <t xml:space="preserve">CAMPO BOYACÁ</t>
  </si>
  <si>
    <t xml:space="preserve">4162741214</t>
  </si>
  <si>
    <t xml:space="preserve">12098828</t>
  </si>
  <si>
    <t xml:space="preserve">000025039883</t>
  </si>
  <si>
    <t xml:space="preserve">OLINEIRIS DEL CARMEN</t>
  </si>
  <si>
    <t xml:space="preserve">RAMIREZ SUAREZ</t>
  </si>
  <si>
    <t xml:space="preserve">4160639895</t>
  </si>
  <si>
    <t xml:space="preserve">10436366</t>
  </si>
  <si>
    <t xml:space="preserve">000025039889</t>
  </si>
  <si>
    <t xml:space="preserve">4160697191</t>
  </si>
  <si>
    <t xml:space="preserve">000025039893</t>
  </si>
  <si>
    <t xml:space="preserve">ALFREIDY ALEJANDRA</t>
  </si>
  <si>
    <t xml:space="preserve">FUENMAYOR VILLASMIL</t>
  </si>
  <si>
    <t xml:space="preserve">4269243608</t>
  </si>
  <si>
    <t xml:space="preserve">07795539</t>
  </si>
  <si>
    <t xml:space="preserve">000025039900</t>
  </si>
  <si>
    <t xml:space="preserve">4266685289</t>
  </si>
  <si>
    <t xml:space="preserve">000025039910</t>
  </si>
  <si>
    <t xml:space="preserve">NORBELIN DEL CARMEN</t>
  </si>
  <si>
    <t xml:space="preserve">SECTOR NOTEREY</t>
  </si>
  <si>
    <t xml:space="preserve">000025039922</t>
  </si>
  <si>
    <t xml:space="preserve">RICHARDY JOSÉ</t>
  </si>
  <si>
    <t xml:space="preserve">LEÓN GUANIPA</t>
  </si>
  <si>
    <t xml:space="preserve">4169630437</t>
  </si>
  <si>
    <t xml:space="preserve">25039922</t>
  </si>
  <si>
    <t xml:space="preserve">000025039923</t>
  </si>
  <si>
    <t xml:space="preserve">YEIDELYN JOSEFINA</t>
  </si>
  <si>
    <t xml:space="preserve">4167679577</t>
  </si>
  <si>
    <t xml:space="preserve">000025039930</t>
  </si>
  <si>
    <t xml:space="preserve">MERYS PAOLA</t>
  </si>
  <si>
    <t xml:space="preserve">FERRER BARRIOS  </t>
  </si>
  <si>
    <t xml:space="preserve">4167615132</t>
  </si>
  <si>
    <t xml:space="preserve">07889880</t>
  </si>
  <si>
    <t xml:space="preserve">000025063340</t>
  </si>
  <si>
    <t xml:space="preserve">EMILIANA COROMOTO</t>
  </si>
  <si>
    <t xml:space="preserve">ARTAHONA VILLALOBOS</t>
  </si>
  <si>
    <t xml:space="preserve">GUASDUALITO </t>
  </si>
  <si>
    <t xml:space="preserve">APURE</t>
  </si>
  <si>
    <t xml:space="preserve">AP</t>
  </si>
  <si>
    <t xml:space="preserve">SECTOR LAS MINAS</t>
  </si>
  <si>
    <t xml:space="preserve">4262000263</t>
  </si>
  <si>
    <t xml:space="preserve">12379173</t>
  </si>
  <si>
    <t xml:space="preserve">000025276157</t>
  </si>
  <si>
    <t xml:space="preserve">YEBETSY DEL CARMEN</t>
  </si>
  <si>
    <t xml:space="preserve">000025276158</t>
  </si>
  <si>
    <t xml:space="preserve">LISKEIDY DEL VALLE</t>
  </si>
  <si>
    <t xml:space="preserve">PÉREZ VILLALOBOS</t>
  </si>
  <si>
    <t xml:space="preserve">4262817730</t>
  </si>
  <si>
    <t xml:space="preserve">000025276161</t>
  </si>
  <si>
    <t xml:space="preserve">DULGENIS CAROLINA</t>
  </si>
  <si>
    <t xml:space="preserve">URDANETA SOLIS</t>
  </si>
  <si>
    <t xml:space="preserve">4168652069</t>
  </si>
  <si>
    <t xml:space="preserve">08631686</t>
  </si>
  <si>
    <t xml:space="preserve">000025276175</t>
  </si>
  <si>
    <t xml:space="preserve">YOJANY ISABEL</t>
  </si>
  <si>
    <t xml:space="preserve">RUIZ GONZÁLEZ</t>
  </si>
  <si>
    <t xml:space="preserve">25189509</t>
  </si>
  <si>
    <t xml:space="preserve">000025276290</t>
  </si>
  <si>
    <t xml:space="preserve">HENRY MANUEL</t>
  </si>
  <si>
    <t xml:space="preserve">ROMERO BRIÑEZ</t>
  </si>
  <si>
    <t xml:space="preserve">4167689236</t>
  </si>
  <si>
    <t xml:space="preserve">12620559</t>
  </si>
  <si>
    <t xml:space="preserve">000025325764</t>
  </si>
  <si>
    <t xml:space="preserve">ALDEANI PAOLA</t>
  </si>
  <si>
    <t xml:space="preserve">ROMERO GONZÁLEZ </t>
  </si>
  <si>
    <t xml:space="preserve">4246896642</t>
  </si>
  <si>
    <t xml:space="preserve">25325764</t>
  </si>
  <si>
    <t xml:space="preserve">000025396384</t>
  </si>
  <si>
    <t xml:space="preserve">07887564</t>
  </si>
  <si>
    <t xml:space="preserve">000025396390</t>
  </si>
  <si>
    <t xml:space="preserve">4164661159</t>
  </si>
  <si>
    <t xml:space="preserve">20370332</t>
  </si>
  <si>
    <t xml:space="preserve">000025396488</t>
  </si>
  <si>
    <t xml:space="preserve">ENYIBEL DE LOS ANGELES</t>
  </si>
  <si>
    <t xml:space="preserve">4267242234</t>
  </si>
  <si>
    <t xml:space="preserve">14207960</t>
  </si>
  <si>
    <t xml:space="preserve">000025396489</t>
  </si>
  <si>
    <t xml:space="preserve">LISMAIRY PAOLA</t>
  </si>
  <si>
    <t xml:space="preserve">GONZÁLEZ FERRER</t>
  </si>
  <si>
    <t xml:space="preserve">11662973</t>
  </si>
  <si>
    <t xml:space="preserve">000025396629</t>
  </si>
  <si>
    <t xml:space="preserve">EDWUAR JOSE</t>
  </si>
  <si>
    <t xml:space="preserve">MARRUGO VILLAMIZAR</t>
  </si>
  <si>
    <t xml:space="preserve">25396629</t>
  </si>
  <si>
    <t xml:space="preserve">000025404362</t>
  </si>
  <si>
    <t xml:space="preserve">YENNIBER DEL VALLE</t>
  </si>
  <si>
    <t xml:space="preserve">000025406619</t>
  </si>
  <si>
    <t xml:space="preserve">ARMANDO JOSE</t>
  </si>
  <si>
    <t xml:space="preserve">CHAVEZ LEON</t>
  </si>
  <si>
    <t xml:space="preserve">4162269691</t>
  </si>
  <si>
    <t xml:space="preserve">13081076</t>
  </si>
  <si>
    <t xml:space="preserve">000025406625</t>
  </si>
  <si>
    <t xml:space="preserve">YAIRYD ELIANA</t>
  </si>
  <si>
    <t xml:space="preserve">4267633355</t>
  </si>
  <si>
    <t xml:space="preserve">000025407666</t>
  </si>
  <si>
    <t xml:space="preserve">KIMBERLYN ALBANIS</t>
  </si>
  <si>
    <t xml:space="preserve">CASTRO LOBATO</t>
  </si>
  <si>
    <t xml:space="preserve">4168695965</t>
  </si>
  <si>
    <t xml:space="preserve">14369384</t>
  </si>
  <si>
    <t xml:space="preserve">000025439214</t>
  </si>
  <si>
    <t xml:space="preserve">ESTEFANIA CHIQUINQUIRA</t>
  </si>
  <si>
    <t xml:space="preserve">15280159</t>
  </si>
  <si>
    <t xml:space="preserve">000025439220</t>
  </si>
  <si>
    <t xml:space="preserve">ARRIETA CHAVEZ</t>
  </si>
  <si>
    <t xml:space="preserve">15194297</t>
  </si>
  <si>
    <t xml:space="preserve">000025439221</t>
  </si>
  <si>
    <t xml:space="preserve">GLADISMAR BRICELIA</t>
  </si>
  <si>
    <t xml:space="preserve">4168611375</t>
  </si>
  <si>
    <t xml:space="preserve">25439221</t>
  </si>
  <si>
    <t xml:space="preserve">000025439224</t>
  </si>
  <si>
    <t xml:space="preserve">MARIA LAURA</t>
  </si>
  <si>
    <t xml:space="preserve">PULGAR CASTILLO</t>
  </si>
  <si>
    <t xml:space="preserve">4266255079</t>
  </si>
  <si>
    <t xml:space="preserve">09756699</t>
  </si>
  <si>
    <t xml:space="preserve">000025439236</t>
  </si>
  <si>
    <t xml:space="preserve">ALEJANDRO JOSÉ</t>
  </si>
  <si>
    <t xml:space="preserve">RODRIGUEZ CASTILLO</t>
  </si>
  <si>
    <t xml:space="preserve">4162741007</t>
  </si>
  <si>
    <t xml:space="preserve">14117482</t>
  </si>
  <si>
    <t xml:space="preserve">000025439246</t>
  </si>
  <si>
    <t xml:space="preserve">YENIFER COROMOTO</t>
  </si>
  <si>
    <t xml:space="preserve">SALAS VILLALOBOS</t>
  </si>
  <si>
    <t xml:space="preserve">4162663493</t>
  </si>
  <si>
    <t xml:space="preserve">000025439251</t>
  </si>
  <si>
    <t xml:space="preserve">GABRIELA PATRICIA</t>
  </si>
  <si>
    <t xml:space="preserve">MONTIEL MELEAN</t>
  </si>
  <si>
    <t xml:space="preserve">10406709</t>
  </si>
  <si>
    <t xml:space="preserve">000025439257</t>
  </si>
  <si>
    <t xml:space="preserve">YOHANKELLY MILAGRO</t>
  </si>
  <si>
    <t xml:space="preserve">VICUÑA BRACHO</t>
  </si>
  <si>
    <t xml:space="preserve">05069517</t>
  </si>
  <si>
    <t xml:space="preserve">000025458677</t>
  </si>
  <si>
    <t xml:space="preserve">ROSIBELL CAROLINA</t>
  </si>
  <si>
    <t xml:space="preserve">4160860548</t>
  </si>
  <si>
    <t xml:space="preserve">14208493</t>
  </si>
  <si>
    <t xml:space="preserve">000025484803</t>
  </si>
  <si>
    <t xml:space="preserve">YORGELIS DEL VALLE</t>
  </si>
  <si>
    <t xml:space="preserve">14135491</t>
  </si>
  <si>
    <t xml:space="preserve">000025540347</t>
  </si>
  <si>
    <t xml:space="preserve">EDIXÓN MANUEL </t>
  </si>
  <si>
    <t xml:space="preserve">BRACHO VALBUENA </t>
  </si>
  <si>
    <t xml:space="preserve">4165630858</t>
  </si>
  <si>
    <t xml:space="preserve">11662961</t>
  </si>
  <si>
    <t xml:space="preserve">000025540349</t>
  </si>
  <si>
    <t xml:space="preserve">ANGILIN DEL CARMEN</t>
  </si>
  <si>
    <t xml:space="preserve">4161615813</t>
  </si>
  <si>
    <t xml:space="preserve">000025540426</t>
  </si>
  <si>
    <t xml:space="preserve">ROSELY ARIANDA </t>
  </si>
  <si>
    <t xml:space="preserve">FINOL BUSTILLO</t>
  </si>
  <si>
    <t xml:space="preserve">4165630857</t>
  </si>
  <si>
    <t xml:space="preserve">11662960</t>
  </si>
  <si>
    <t xml:space="preserve">000025596478</t>
  </si>
  <si>
    <t xml:space="preserve">URBENIS RAMÓN</t>
  </si>
  <si>
    <t xml:space="preserve">URDANETA NÚÑEZ</t>
  </si>
  <si>
    <t xml:space="preserve">11866635</t>
  </si>
  <si>
    <t xml:space="preserve">000025596313</t>
  </si>
  <si>
    <t xml:space="preserve">FABIANA RAQUEL</t>
  </si>
  <si>
    <t xml:space="preserve">FERNÁNDEZ GAMEZ</t>
  </si>
  <si>
    <t xml:space="preserve">AV. PPAL. DE LA PAZ</t>
  </si>
  <si>
    <t xml:space="preserve">4167663994</t>
  </si>
  <si>
    <t xml:space="preserve">10445076</t>
  </si>
  <si>
    <t xml:space="preserve">000025596489</t>
  </si>
  <si>
    <t xml:space="preserve">ENRIQUE EDELIS</t>
  </si>
  <si>
    <t xml:space="preserve">GARCIA YGUARAN</t>
  </si>
  <si>
    <t xml:space="preserve">SECTOR LAS JABILLA</t>
  </si>
  <si>
    <t xml:space="preserve">2628672367</t>
  </si>
  <si>
    <t xml:space="preserve">09721593</t>
  </si>
  <si>
    <t xml:space="preserve">000025596492</t>
  </si>
  <si>
    <t xml:space="preserve">ONEXIBEL DEL VALLE</t>
  </si>
  <si>
    <t xml:space="preserve">URDANETA OROZCO</t>
  </si>
  <si>
    <t xml:space="preserve">4269636955</t>
  </si>
  <si>
    <t xml:space="preserve">000025596494</t>
  </si>
  <si>
    <t xml:space="preserve">NAIRIMAR ANGELICA</t>
  </si>
  <si>
    <t xml:space="preserve">NAVARRO MOLERO</t>
  </si>
  <si>
    <t xml:space="preserve">4264670128</t>
  </si>
  <si>
    <t xml:space="preserve">12445136</t>
  </si>
  <si>
    <t xml:space="preserve">000025596504</t>
  </si>
  <si>
    <t xml:space="preserve">ANTHONY ANDRES</t>
  </si>
  <si>
    <t xml:space="preserve">4268647459</t>
  </si>
  <si>
    <t xml:space="preserve">25596504</t>
  </si>
  <si>
    <t xml:space="preserve">000025680312</t>
  </si>
  <si>
    <t xml:space="preserve">MAGENRY JOSUE</t>
  </si>
  <si>
    <t xml:space="preserve">PULGAR PORTILLO</t>
  </si>
  <si>
    <t xml:space="preserve">4263693761</t>
  </si>
  <si>
    <t xml:space="preserve">13628718</t>
  </si>
  <si>
    <t xml:space="preserve">000025680327</t>
  </si>
  <si>
    <t xml:space="preserve">YOANI JESUS</t>
  </si>
  <si>
    <t xml:space="preserve">VILLALOBOS PULGAR</t>
  </si>
  <si>
    <t xml:space="preserve">14525291</t>
  </si>
  <si>
    <t xml:space="preserve">000025680331</t>
  </si>
  <si>
    <t xml:space="preserve">FRANYER JOSÉ</t>
  </si>
  <si>
    <t xml:space="preserve">CARDOZO URDANETA</t>
  </si>
  <si>
    <t xml:space="preserve">4162265935</t>
  </si>
  <si>
    <t xml:space="preserve">12696146</t>
  </si>
  <si>
    <t xml:space="preserve">000025680336</t>
  </si>
  <si>
    <t xml:space="preserve">4165668883</t>
  </si>
  <si>
    <t xml:space="preserve">000025680355</t>
  </si>
  <si>
    <t xml:space="preserve">BRAVO VALLES</t>
  </si>
  <si>
    <t xml:space="preserve">4163671300</t>
  </si>
  <si>
    <t xml:space="preserve">09926463</t>
  </si>
  <si>
    <t xml:space="preserve">000025680376</t>
  </si>
  <si>
    <t xml:space="preserve">GENESIS SARAY</t>
  </si>
  <si>
    <t xml:space="preserve">4266640860</t>
  </si>
  <si>
    <t xml:space="preserve">000025680386</t>
  </si>
  <si>
    <t xml:space="preserve">FERRER CHOURIO</t>
  </si>
  <si>
    <t xml:space="preserve">16729361</t>
  </si>
  <si>
    <t xml:space="preserve">000025680388</t>
  </si>
  <si>
    <t xml:space="preserve">DARIANA RITA</t>
  </si>
  <si>
    <t xml:space="preserve">CASTELLANO GONZALEZ</t>
  </si>
  <si>
    <t xml:space="preserve">4165617583</t>
  </si>
  <si>
    <t xml:space="preserve">14233502</t>
  </si>
  <si>
    <t xml:space="preserve">000025680389</t>
  </si>
  <si>
    <t xml:space="preserve">ADRIAINA CAROLAIS</t>
  </si>
  <si>
    <t xml:space="preserve">RIVERO CASTILLO</t>
  </si>
  <si>
    <t xml:space="preserve">000025680408</t>
  </si>
  <si>
    <t xml:space="preserve">NAILIBETH FABIANA</t>
  </si>
  <si>
    <t xml:space="preserve">CASTRO FUENMAYOR </t>
  </si>
  <si>
    <t xml:space="preserve">000025763504</t>
  </si>
  <si>
    <t xml:space="preserve">ANGEL DE JESUS</t>
  </si>
  <si>
    <t xml:space="preserve">QUINTERO RIVERA</t>
  </si>
  <si>
    <t xml:space="preserve">LA PAZ CALLE LAS FLORES</t>
  </si>
  <si>
    <t xml:space="preserve">4263101855</t>
  </si>
  <si>
    <t xml:space="preserve">10434509</t>
  </si>
  <si>
    <t xml:space="preserve">000025855300</t>
  </si>
  <si>
    <t xml:space="preserve">CARLEOVER RENEE</t>
  </si>
  <si>
    <t xml:space="preserve">FERNANDEZ RAMIREZ</t>
  </si>
  <si>
    <t xml:space="preserve">13005224</t>
  </si>
  <si>
    <t xml:space="preserve">000025883044</t>
  </si>
  <si>
    <t xml:space="preserve">DARIANIS PAOLA</t>
  </si>
  <si>
    <t xml:space="preserve">15280408</t>
  </si>
  <si>
    <t xml:space="preserve">000025883199</t>
  </si>
  <si>
    <t xml:space="preserve">4269256742</t>
  </si>
  <si>
    <t xml:space="preserve">000025883302</t>
  </si>
  <si>
    <t xml:space="preserve">HAYDEMAILIS DUINIX</t>
  </si>
  <si>
    <t xml:space="preserve">ATENCIO BRIÑEZ</t>
  </si>
  <si>
    <t xml:space="preserve">LA PAZ  </t>
  </si>
  <si>
    <t xml:space="preserve">4161666419</t>
  </si>
  <si>
    <t xml:space="preserve">13005233</t>
  </si>
  <si>
    <t xml:space="preserve">000025883372</t>
  </si>
  <si>
    <t xml:space="preserve">LEIDISMAR DEL VALLE</t>
  </si>
  <si>
    <t xml:space="preserve">4169615043</t>
  </si>
  <si>
    <t xml:space="preserve">15764439</t>
  </si>
  <si>
    <t xml:space="preserve">000025883473</t>
  </si>
  <si>
    <t xml:space="preserve">DAVID RAFAEL</t>
  </si>
  <si>
    <t xml:space="preserve">4268233514</t>
  </si>
  <si>
    <t xml:space="preserve">000025883741</t>
  </si>
  <si>
    <t xml:space="preserve">MIDEILIS DEL VALLE</t>
  </si>
  <si>
    <t xml:space="preserve">VILCHEZ MONTIEL</t>
  </si>
  <si>
    <t xml:space="preserve">4266242635</t>
  </si>
  <si>
    <t xml:space="preserve">000025883781</t>
  </si>
  <si>
    <t xml:space="preserve">KEVIN DAVID</t>
  </si>
  <si>
    <t xml:space="preserve">PEREZ RODRIGUEZ</t>
  </si>
  <si>
    <t xml:space="preserve">4268623264</t>
  </si>
  <si>
    <t xml:space="preserve">57304841</t>
  </si>
  <si>
    <t xml:space="preserve">000025883824</t>
  </si>
  <si>
    <t xml:space="preserve">ANDRYS EDUARDO</t>
  </si>
  <si>
    <t xml:space="preserve">URDANETA JIMENEZ</t>
  </si>
  <si>
    <t xml:space="preserve">4261639064</t>
  </si>
  <si>
    <t xml:space="preserve">13628462</t>
  </si>
  <si>
    <t xml:space="preserve">000025883984</t>
  </si>
  <si>
    <t xml:space="preserve">ANA MARIA</t>
  </si>
  <si>
    <t xml:space="preserve">URDANETA VARELA</t>
  </si>
  <si>
    <t xml:space="preserve">4266609849</t>
  </si>
  <si>
    <t xml:space="preserve">000025902125</t>
  </si>
  <si>
    <t xml:space="preserve">DARLYN YUBELIS</t>
  </si>
  <si>
    <t xml:space="preserve">AVENDAÑO FUENMAYOR </t>
  </si>
  <si>
    <t xml:space="preserve">AV. PRINCIPAL DE LA PAZ</t>
  </si>
  <si>
    <t xml:space="preserve">4126635936</t>
  </si>
  <si>
    <t xml:space="preserve">06805769</t>
  </si>
  <si>
    <t xml:space="preserve">000026093955</t>
  </si>
  <si>
    <t xml:space="preserve">YORGENIS GABRIEL</t>
  </si>
  <si>
    <t xml:space="preserve">SUAREZ CHACIN</t>
  </si>
  <si>
    <t xml:space="preserve">4269619008</t>
  </si>
  <si>
    <t xml:space="preserve">13242717</t>
  </si>
  <si>
    <t xml:space="preserve">000026169724</t>
  </si>
  <si>
    <t xml:space="preserve">JULIAN ANTONIO</t>
  </si>
  <si>
    <t xml:space="preserve">4160269589</t>
  </si>
  <si>
    <t xml:space="preserve">000026169730</t>
  </si>
  <si>
    <t xml:space="preserve">FUENMAYOR ANAYA</t>
  </si>
  <si>
    <t xml:space="preserve">4164677518</t>
  </si>
  <si>
    <t xml:space="preserve">01420818</t>
  </si>
  <si>
    <t xml:space="preserve">000026236653</t>
  </si>
  <si>
    <t xml:space="preserve">LEYSIRETH SARAY</t>
  </si>
  <si>
    <t xml:space="preserve">426334935</t>
  </si>
  <si>
    <t xml:space="preserve">000026353183</t>
  </si>
  <si>
    <t xml:space="preserve">YERIMAR KARINA</t>
  </si>
  <si>
    <t xml:space="preserve">LEON BRIÑEZ</t>
  </si>
  <si>
    <t xml:space="preserve">4162649272</t>
  </si>
  <si>
    <t xml:space="preserve">13005166</t>
  </si>
  <si>
    <t xml:space="preserve">000026353188</t>
  </si>
  <si>
    <t xml:space="preserve">MARIELSY KARINA</t>
  </si>
  <si>
    <t xml:space="preserve">4169624995</t>
  </si>
  <si>
    <t xml:space="preserve">14026587</t>
  </si>
  <si>
    <t xml:space="preserve">000026481016</t>
  </si>
  <si>
    <t xml:space="preserve">NERIO JUNIOR</t>
  </si>
  <si>
    <t xml:space="preserve">SIBIRA VILLALOBOS</t>
  </si>
  <si>
    <t xml:space="preserve">4169631706</t>
  </si>
  <si>
    <t xml:space="preserve">07889389</t>
  </si>
  <si>
    <t xml:space="preserve">000026657209</t>
  </si>
  <si>
    <t xml:space="preserve">4127878706</t>
  </si>
  <si>
    <t xml:space="preserve">13242599</t>
  </si>
  <si>
    <t xml:space="preserve">000027931896</t>
  </si>
  <si>
    <t xml:space="preserve">ESTEFANNY YOHANA</t>
  </si>
  <si>
    <t xml:space="preserve">4269690125</t>
  </si>
  <si>
    <t xml:space="preserve">001061742935</t>
  </si>
  <si>
    <t xml:space="preserve">YEFERSON</t>
  </si>
  <si>
    <t xml:space="preserve">DAZA NOREÑA</t>
  </si>
  <si>
    <t xml:space="preserve">LA MONTAÑITA-CAQUETA</t>
  </si>
  <si>
    <t xml:space="preserve">4266360453</t>
  </si>
  <si>
    <t xml:space="preserve">30507881</t>
  </si>
  <si>
    <t xml:space="preserve">000025979464</t>
  </si>
  <si>
    <t xml:space="preserve">DADILUZ</t>
  </si>
  <si>
    <t xml:space="preserve">DONADO PALACIO</t>
  </si>
  <si>
    <t xml:space="preserve">EL MECOCAL</t>
  </si>
  <si>
    <t xml:space="preserve">VIA CUATRO BOCAS. SECTOR EL BATACAZO</t>
  </si>
  <si>
    <t xml:space="preserve">0426-8631502</t>
  </si>
  <si>
    <t xml:space="preserve">10411734</t>
  </si>
  <si>
    <t xml:space="preserve">000025763778</t>
  </si>
  <si>
    <t xml:space="preserve">WUINDEL JOSE</t>
  </si>
  <si>
    <t xml:space="preserve">MORENO BERMUDEZ</t>
  </si>
  <si>
    <t xml:space="preserve">SECTOR LA NUEVACITA. CARRETERA LA PAZ</t>
  </si>
  <si>
    <t xml:space="preserve">0426-3699009</t>
  </si>
  <si>
    <t xml:space="preserve">12099447</t>
  </si>
  <si>
    <t xml:space="preserve">000026872773</t>
  </si>
  <si>
    <t xml:space="preserve">CLAUDIO JESUS</t>
  </si>
  <si>
    <t xml:space="preserve">SECTOR LOS COQUITOS VIA PRINCIPAL LA PAZ LA FRAGUA</t>
  </si>
  <si>
    <t xml:space="preserve">04261662064</t>
  </si>
  <si>
    <t xml:space="preserve">11068705</t>
  </si>
  <si>
    <t xml:space="preserve">000027090530</t>
  </si>
  <si>
    <t xml:space="preserve">BEATRIZ ELENA</t>
  </si>
  <si>
    <t xml:space="preserve">MEDINA PEREZ</t>
  </si>
  <si>
    <t xml:space="preserve">LA PAZ SECTOR ROBERTO FUENMAYOR</t>
  </si>
  <si>
    <t xml:space="preserve">0424-6518449</t>
  </si>
  <si>
    <t xml:space="preserve">24249829</t>
  </si>
  <si>
    <t xml:space="preserve">000025276165</t>
  </si>
  <si>
    <t xml:space="preserve">RICHARD DANIEL</t>
  </si>
  <si>
    <t xml:space="preserve">QUINTANA LOPEZ</t>
  </si>
  <si>
    <t xml:space="preserve">CABIMAS</t>
  </si>
  <si>
    <t xml:space="preserve">0416-2274046</t>
  </si>
  <si>
    <t xml:space="preserve">83146460</t>
  </si>
  <si>
    <t xml:space="preserve">000025680324</t>
  </si>
  <si>
    <t xml:space="preserve">CARLOS MARIO</t>
  </si>
  <si>
    <t xml:space="preserve">CHAVEZ ALVAREZ</t>
  </si>
  <si>
    <t xml:space="preserve">LA PAZ, SECTOR LA CONQUISTA CASA 48</t>
  </si>
  <si>
    <t xml:space="preserve">0426-5653357</t>
  </si>
  <si>
    <t xml:space="preserve">000027846964</t>
  </si>
  <si>
    <t xml:space="preserve">EMILIANIS VANESSA</t>
  </si>
  <si>
    <t xml:space="preserve">YANCE BARRAZA</t>
  </si>
  <si>
    <t xml:space="preserve">3</t>
  </si>
  <si>
    <t xml:space="preserve">25295246</t>
  </si>
  <si>
    <t xml:space="preserve">000026694639</t>
  </si>
  <si>
    <t xml:space="preserve">ELENIN JOSE</t>
  </si>
  <si>
    <t xml:space="preserve">VILLALOBOS</t>
  </si>
  <si>
    <t xml:space="preserve">LA PAZ VIA EL HONDITO SECTOR LA M</t>
  </si>
  <si>
    <t xml:space="preserve">0416-0198774</t>
  </si>
  <si>
    <t xml:space="preserve">09043373</t>
  </si>
  <si>
    <t xml:space="preserve">019725039321</t>
  </si>
  <si>
    <t xml:space="preserve">POTES TORDESILLA</t>
  </si>
  <si>
    <t xml:space="preserve">LA PAZ SECTOR LA M</t>
  </si>
  <si>
    <t xml:space="preserve">25309321</t>
  </si>
  <si>
    <t xml:space="preserve">000025404364</t>
  </si>
  <si>
    <t xml:space="preserve">0426-7220545</t>
  </si>
  <si>
    <t xml:space="preserve">000026617378</t>
  </si>
  <si>
    <t xml:space="preserve">BERLIMAR</t>
  </si>
  <si>
    <t xml:space="preserve">COLMENARES CASTELLAR</t>
  </si>
  <si>
    <t xml:space="preserve">CIUDAD COMUNAL. SECTOR EL LABERINTO</t>
  </si>
  <si>
    <t xml:space="preserve">0416-8650830</t>
  </si>
  <si>
    <t xml:space="preserve">20441351</t>
  </si>
  <si>
    <t xml:space="preserve">000026872554</t>
  </si>
  <si>
    <t xml:space="preserve">LISVANY PAOLA</t>
  </si>
  <si>
    <t xml:space="preserve">0412-7886764</t>
  </si>
  <si>
    <t xml:space="preserve">10445111</t>
  </si>
  <si>
    <t xml:space="preserve">000025596501</t>
  </si>
  <si>
    <t xml:space="preserve">JOHENDEL JOSE</t>
  </si>
  <si>
    <t xml:space="preserve">0416-5622781</t>
  </si>
  <si>
    <t xml:space="preserve">15888762</t>
  </si>
  <si>
    <t xml:space="preserve">000027090638</t>
  </si>
  <si>
    <t xml:space="preserve">JHONATAN ENRIQUE</t>
  </si>
  <si>
    <t xml:space="preserve">CHAMORRO TARRA</t>
  </si>
  <si>
    <t xml:space="preserve">0426-3622486</t>
  </si>
  <si>
    <t xml:space="preserve">30879668</t>
  </si>
  <si>
    <t xml:space="preserve">000026276324</t>
  </si>
  <si>
    <t xml:space="preserve">LAUDIMAR CAROLINA</t>
  </si>
  <si>
    <t xml:space="preserve">ATENCIO VILLALOBOS</t>
  </si>
  <si>
    <t xml:space="preserve">LA PAZ, BARRIO LAS ANTENAS DE CANTV</t>
  </si>
  <si>
    <t xml:space="preserve">0426-3333284</t>
  </si>
  <si>
    <t xml:space="preserve">14116396</t>
  </si>
  <si>
    <t xml:space="preserve">000023770240</t>
  </si>
  <si>
    <t xml:space="preserve">ELIAS ENRIQUE</t>
  </si>
  <si>
    <t xml:space="preserve">CASERIO LOS HATICOS CALLE PRINCIPAL</t>
  </si>
  <si>
    <t xml:space="preserve">000026872290</t>
  </si>
  <si>
    <t xml:space="preserve">KELBIN LEONER</t>
  </si>
  <si>
    <t xml:space="preserve">0426-7145277</t>
  </si>
  <si>
    <t xml:space="preserve">000027090523</t>
  </si>
  <si>
    <t xml:space="preserve">RAFAEL RICARDO</t>
  </si>
  <si>
    <t xml:space="preserve">0262-4112530</t>
  </si>
  <si>
    <t xml:space="preserve">64868641</t>
  </si>
  <si>
    <t xml:space="preserve">000030106422</t>
  </si>
  <si>
    <t xml:space="preserve">JAIRO DAVID</t>
  </si>
  <si>
    <t xml:space="preserve">FLOREZ MIRANDA</t>
  </si>
  <si>
    <t xml:space="preserve">0426-1637588</t>
  </si>
  <si>
    <t xml:space="preserve">32878558</t>
  </si>
  <si>
    <t xml:space="preserve">000025466622</t>
  </si>
  <si>
    <t xml:space="preserve">DILINYER JAVIER</t>
  </si>
  <si>
    <t xml:space="preserve">NAVARRO JIMENEZ</t>
  </si>
  <si>
    <t xml:space="preserve">LA PAZ BARRIO 5 ENERO</t>
  </si>
  <si>
    <t xml:space="preserve">17565191</t>
  </si>
  <si>
    <t xml:space="preserve">000023466404</t>
  </si>
  <si>
    <t xml:space="preserve">LEONEL ALBERTO</t>
  </si>
  <si>
    <t xml:space="preserve">PEREZ ROMERO</t>
  </si>
  <si>
    <t xml:space="preserve">0262-8670305</t>
  </si>
  <si>
    <t xml:space="preserve">13624963</t>
  </si>
  <si>
    <t xml:space="preserve">000022164416</t>
  </si>
  <si>
    <t xml:space="preserve">000023769865</t>
  </si>
  <si>
    <t xml:space="preserve">GENESIS DAYANA</t>
  </si>
  <si>
    <t xml:space="preserve">0426-6686351</t>
  </si>
  <si>
    <t xml:space="preserve">000021352672</t>
  </si>
  <si>
    <t xml:space="preserve">JOSE BLADIMIR</t>
  </si>
  <si>
    <t xml:space="preserve">CARVAJAL CARVAJAL</t>
  </si>
  <si>
    <t xml:space="preserve">0262-4118375Ç</t>
  </si>
  <si>
    <t xml:space="preserve">05847611</t>
  </si>
  <si>
    <t xml:space="preserve">000024413249</t>
  </si>
  <si>
    <t xml:space="preserve">YOELIMAR YULIETH</t>
  </si>
  <si>
    <t xml:space="preserve">ROMERO QUINTERO</t>
  </si>
  <si>
    <t xml:space="preserve">0416-2264563</t>
  </si>
  <si>
    <t xml:space="preserve">05810943</t>
  </si>
  <si>
    <t xml:space="preserve">000023466585</t>
  </si>
  <si>
    <t xml:space="preserve">NEURO JESUS</t>
  </si>
  <si>
    <t xml:space="preserve">SUAREZ BELTRAN</t>
  </si>
  <si>
    <t xml:space="preserve">SECTOR CALLE LA ENVIDIA</t>
  </si>
  <si>
    <t xml:space="preserve">0416-7627680</t>
  </si>
  <si>
    <t xml:space="preserve">11608213</t>
  </si>
  <si>
    <t xml:space="preserve">000025596512</t>
  </si>
  <si>
    <t xml:space="preserve">YACKELINE</t>
  </si>
  <si>
    <t xml:space="preserve">GONZALEZ BARRIOS</t>
  </si>
  <si>
    <t xml:space="preserve">SECTOR EL MATADERO</t>
  </si>
  <si>
    <t xml:space="preserve">0416-0610013</t>
  </si>
  <si>
    <t xml:space="preserve">25907176</t>
  </si>
  <si>
    <t xml:space="preserve">000023466569</t>
  </si>
  <si>
    <t xml:space="preserve">ANDERSON ENRIQUE</t>
  </si>
  <si>
    <t xml:space="preserve">LASCARRO RAMOS</t>
  </si>
  <si>
    <t xml:space="preserve">0416-0169592</t>
  </si>
  <si>
    <t xml:space="preserve">25188081</t>
  </si>
  <si>
    <t xml:space="preserve">000025883039</t>
  </si>
  <si>
    <t xml:space="preserve">BARRIO MARIO URDANETA II</t>
  </si>
  <si>
    <t xml:space="preserve">000027090532</t>
  </si>
  <si>
    <t xml:space="preserve">000024403745</t>
  </si>
  <si>
    <t xml:space="preserve">YASNEIDY CAROLINA</t>
  </si>
  <si>
    <t xml:space="preserve">SOTURNO GOMEZ</t>
  </si>
  <si>
    <t xml:space="preserve">SECTOR CARDONCITO</t>
  </si>
  <si>
    <t xml:space="preserve">0261-8152568</t>
  </si>
  <si>
    <t xml:space="preserve">16457754</t>
  </si>
  <si>
    <t xml:space="preserve">000027633574</t>
  </si>
  <si>
    <t xml:space="preserve">YAJAIRA LUCIA</t>
  </si>
  <si>
    <t xml:space="preserve">ZARRAGA ROCHA</t>
  </si>
  <si>
    <t xml:space="preserve">BARRIO SIMON BOLIVAR CALLE 78</t>
  </si>
  <si>
    <t xml:space="preserve">0416-3115788</t>
  </si>
  <si>
    <t xml:space="preserve">20508880</t>
  </si>
  <si>
    <t xml:space="preserve">000027090282</t>
  </si>
  <si>
    <t xml:space="preserve">ANGEL RENIEL</t>
  </si>
  <si>
    <t xml:space="preserve">000025596486</t>
  </si>
  <si>
    <t xml:space="preserve">JAIRO LUIS</t>
  </si>
  <si>
    <t xml:space="preserve">MARURI CHACIN</t>
  </si>
  <si>
    <t xml:space="preserve">SAN VALENTIN</t>
  </si>
  <si>
    <t xml:space="preserve">SECTOR LA CONQUISTA CALLE 199</t>
  </si>
  <si>
    <t xml:space="preserve">0416-2680462</t>
  </si>
  <si>
    <t xml:space="preserve">25039831</t>
  </si>
  <si>
    <t xml:space="preserve">000028470058</t>
  </si>
  <si>
    <t xml:space="preserve">ODALIS DEL VALLE</t>
  </si>
  <si>
    <t xml:space="preserve">ROMERO SEVILLA</t>
  </si>
  <si>
    <t xml:space="preserve">SECTOR SALINETA</t>
  </si>
  <si>
    <t xml:space="preserve">19306988</t>
  </si>
  <si>
    <t xml:space="preserve">000027090829</t>
  </si>
  <si>
    <t xml:space="preserve">0426-7687186</t>
  </si>
  <si>
    <t xml:space="preserve">000027998237</t>
  </si>
  <si>
    <t xml:space="preserve">ENMANUEL ALFAYED</t>
  </si>
  <si>
    <t xml:space="preserve">BARRIO MARIO URDANETA CASA 1</t>
  </si>
  <si>
    <t xml:space="preserve">0426-6002093</t>
  </si>
  <si>
    <t xml:space="preserve">06830427</t>
  </si>
  <si>
    <t xml:space="preserve">000026710108</t>
  </si>
  <si>
    <t xml:space="preserve">MAURO SEGUNDO</t>
  </si>
  <si>
    <t xml:space="preserve">RINCON URDANETA</t>
  </si>
  <si>
    <t xml:space="preserve">VIA EL LABERINTO</t>
  </si>
  <si>
    <t xml:space="preserve">0416-3625382</t>
  </si>
  <si>
    <t xml:space="preserve">010129987884</t>
  </si>
  <si>
    <t xml:space="preserve">JHOSUAN ENRIQUE</t>
  </si>
  <si>
    <t xml:space="preserve">OROZCO MENDOZA</t>
  </si>
  <si>
    <t xml:space="preserve">SECTOR CAMPO YOCOIMA. LA PAZ</t>
  </si>
  <si>
    <t xml:space="preserve">11294913</t>
  </si>
  <si>
    <t xml:space="preserve">000027998234</t>
  </si>
  <si>
    <t xml:space="preserve">BRAILER JESUS</t>
  </si>
  <si>
    <t xml:space="preserve">ALDANA MARIN</t>
  </si>
  <si>
    <t xml:space="preserve">LA PAZ AVENIDA PRINCIPAL</t>
  </si>
  <si>
    <t xml:space="preserve">0416-2649772</t>
  </si>
  <si>
    <t xml:space="preserve">16783651</t>
  </si>
  <si>
    <t xml:space="preserve">019629980519</t>
  </si>
  <si>
    <t xml:space="preserve">BAYRO YAIR</t>
  </si>
  <si>
    <t xml:space="preserve">CAMPO MOLINA</t>
  </si>
  <si>
    <t xml:space="preserve">0412-6868960</t>
  </si>
  <si>
    <t xml:space="preserve">29980519</t>
  </si>
  <si>
    <t xml:space="preserve">000027845412</t>
  </si>
  <si>
    <t xml:space="preserve">LEONALDO SEGUNDO</t>
  </si>
  <si>
    <t xml:space="preserve">LA PAZ. SECTOR LAS MARIAS</t>
  </si>
  <si>
    <t xml:space="preserve">0416-5660574</t>
  </si>
  <si>
    <t xml:space="preserve">000027744431</t>
  </si>
  <si>
    <t xml:space="preserve">RENNY JOSE</t>
  </si>
  <si>
    <t xml:space="preserve">GONZALEZ PIRELA</t>
  </si>
  <si>
    <t xml:space="preserve">CIUDAD COMUNAL. EL LABERINTO</t>
  </si>
  <si>
    <t xml:space="preserve">0416-1650412</t>
  </si>
  <si>
    <t xml:space="preserve">11722966</t>
  </si>
  <si>
    <t xml:space="preserve">019914545079</t>
  </si>
  <si>
    <t xml:space="preserve">DEINIBELL RAMONA</t>
  </si>
  <si>
    <t xml:space="preserve">SOTURNO SOTURNO</t>
  </si>
  <si>
    <t xml:space="preserve">0426-4256732</t>
  </si>
  <si>
    <t xml:space="preserve">14545079</t>
  </si>
  <si>
    <t xml:space="preserve">000023466469</t>
  </si>
  <si>
    <t xml:space="preserve">FREDDY ENRIQUE</t>
  </si>
  <si>
    <t xml:space="preserve">SECTOR LAS FLORES CASA 256</t>
  </si>
  <si>
    <t xml:space="preserve">0416-0160630</t>
  </si>
  <si>
    <t xml:space="preserve">000026250160</t>
  </si>
  <si>
    <t xml:space="preserve">000026694655</t>
  </si>
  <si>
    <t xml:space="preserve">EDUARDO ANDRES</t>
  </si>
  <si>
    <t xml:space="preserve">LA PAZ SECTOR LA PARADA</t>
  </si>
  <si>
    <t xml:space="preserve">0426-7624831</t>
  </si>
  <si>
    <t xml:space="preserve">000027998239</t>
  </si>
  <si>
    <t xml:space="preserve">DARWIN JOSE</t>
  </si>
  <si>
    <t xml:space="preserve">NUÑEZ NUÑEZ</t>
  </si>
  <si>
    <t xml:space="preserve">000027633417</t>
  </si>
  <si>
    <t xml:space="preserve">DEGLIMAR VANESSA</t>
  </si>
  <si>
    <t xml:space="preserve">CHAVEZ GUANIPA</t>
  </si>
  <si>
    <t xml:space="preserve">17565312</t>
  </si>
  <si>
    <t xml:space="preserve">019677165092</t>
  </si>
  <si>
    <t xml:space="preserve">BLEIDIS LEONOR</t>
  </si>
  <si>
    <t xml:space="preserve">MENDOZA SILGADO</t>
  </si>
  <si>
    <t xml:space="preserve">64525230</t>
  </si>
  <si>
    <t xml:space="preserve">000029955271</t>
  </si>
  <si>
    <t xml:space="preserve">VANESSA KAROLINA</t>
  </si>
  <si>
    <t xml:space="preserve">RODRIGUEZ OLIVERA</t>
  </si>
  <si>
    <t xml:space="preserve">PETARE</t>
  </si>
  <si>
    <t xml:space="preserve">MIRANDA</t>
  </si>
  <si>
    <t xml:space="preserve">MI</t>
  </si>
  <si>
    <t xml:space="preserve">BARRIO EL COLORAO CASA 94</t>
  </si>
  <si>
    <t xml:space="preserve">0412-1717201</t>
  </si>
  <si>
    <t xml:space="preserve">23554533</t>
  </si>
  <si>
    <t xml:space="preserve">000026276995</t>
  </si>
  <si>
    <t xml:space="preserve">EDUIN JOSE</t>
  </si>
  <si>
    <t xml:space="preserve">SECTOR MARIMONDA II</t>
  </si>
  <si>
    <t xml:space="preserve">000030069975</t>
  </si>
  <si>
    <t xml:space="preserve">DUILAN PAOLA</t>
  </si>
  <si>
    <t xml:space="preserve">BARRIOS COGOLLO</t>
  </si>
  <si>
    <t xml:space="preserve">22162921</t>
  </si>
  <si>
    <t xml:space="preserve">000029836353</t>
  </si>
  <si>
    <t xml:space="preserve">GEINDIVEL OSWALDO</t>
  </si>
  <si>
    <t xml:space="preserve">0416-5642155</t>
  </si>
  <si>
    <t xml:space="preserve">16017193</t>
  </si>
  <si>
    <t xml:space="preserve">000028491761</t>
  </si>
  <si>
    <t xml:space="preserve">JAIME JOSE</t>
  </si>
  <si>
    <t xml:space="preserve">GUERRERO OBESO</t>
  </si>
  <si>
    <t xml:space="preserve">0263-9623601</t>
  </si>
  <si>
    <t xml:space="preserve">16968481</t>
  </si>
  <si>
    <t xml:space="preserve">000023466506</t>
  </si>
  <si>
    <t xml:space="preserve">EVELYN ESTHER</t>
  </si>
  <si>
    <t xml:space="preserve">RINCON CASTILLO</t>
  </si>
  <si>
    <t xml:space="preserve">10580005</t>
  </si>
  <si>
    <t xml:space="preserve">000022163293</t>
  </si>
  <si>
    <t xml:space="preserve">INES MARIA</t>
  </si>
  <si>
    <t xml:space="preserve">VARGAS CATALAN</t>
  </si>
  <si>
    <t xml:space="preserve">0416-8608724</t>
  </si>
  <si>
    <t xml:space="preserve">36621112</t>
  </si>
  <si>
    <t xml:space="preserve">000026239508</t>
  </si>
  <si>
    <t xml:space="preserve">DOUGLAS JOSE</t>
  </si>
  <si>
    <t xml:space="preserve">BRACHO CHAVEZ</t>
  </si>
  <si>
    <t xml:space="preserve">CAMPO BOYACA CALLE 7, CASA 74B</t>
  </si>
  <si>
    <t xml:space="preserve">0416-9690288</t>
  </si>
  <si>
    <t xml:space="preserve">12514223</t>
  </si>
  <si>
    <t xml:space="preserve">000027822061</t>
  </si>
  <si>
    <t xml:space="preserve">EUKARIS DEL CARMEN</t>
  </si>
  <si>
    <t xml:space="preserve">MENDEZ ESPINOZA</t>
  </si>
  <si>
    <t xml:space="preserve">TUCANI</t>
  </si>
  <si>
    <t xml:space="preserve">MERIDA</t>
  </si>
  <si>
    <t xml:space="preserve">ME</t>
  </si>
  <si>
    <t xml:space="preserve">0426-8227373</t>
  </si>
  <si>
    <t xml:space="preserve">15939676</t>
  </si>
  <si>
    <t xml:space="preserve">000025439222</t>
  </si>
  <si>
    <t xml:space="preserve">MAIRILIN CHIQUINQUIRA</t>
  </si>
  <si>
    <t xml:space="preserve">GUANIPA LABARCA</t>
  </si>
  <si>
    <t xml:space="preserve">0416-9694852</t>
  </si>
  <si>
    <t xml:space="preserve">09743069</t>
  </si>
  <si>
    <t xml:space="preserve">000025439258</t>
  </si>
  <si>
    <t xml:space="preserve">000021039789</t>
  </si>
  <si>
    <t xml:space="preserve">FABIOLA DEL VALLE</t>
  </si>
  <si>
    <t xml:space="preserve">000024725792</t>
  </si>
  <si>
    <t xml:space="preserve">ANAIS MILAGROS</t>
  </si>
  <si>
    <t xml:space="preserve">0412-3333284</t>
  </si>
  <si>
    <t xml:space="preserve">000023466343</t>
  </si>
  <si>
    <t xml:space="preserve">GABRIEL DE JESUS</t>
  </si>
  <si>
    <t xml:space="preserve">BENITEZ NUÑEZ</t>
  </si>
  <si>
    <t xml:space="preserve">SECTOR ROBETO FUENMAYOR</t>
  </si>
  <si>
    <t xml:space="preserve">000026169713</t>
  </si>
  <si>
    <t xml:space="preserve">DANGELO JESUS</t>
  </si>
  <si>
    <t xml:space="preserve">BARRIOS BERMUDEZ</t>
  </si>
  <si>
    <t xml:space="preserve">0426-7638045</t>
  </si>
  <si>
    <t xml:space="preserve">12218164</t>
  </si>
  <si>
    <t xml:space="preserve">000021509561</t>
  </si>
  <si>
    <t xml:space="preserve">DEIBELYN BERENICE</t>
  </si>
  <si>
    <t xml:space="preserve">BARRIOS SIBIDA</t>
  </si>
  <si>
    <t xml:space="preserve">04165693573</t>
  </si>
  <si>
    <t xml:space="preserve">17566994</t>
  </si>
  <si>
    <t xml:space="preserve">000023769202</t>
  </si>
  <si>
    <t xml:space="preserve">ANGELMIS JUNIOR</t>
  </si>
  <si>
    <t xml:space="preserve">VILLALOBOS GARCIA</t>
  </si>
  <si>
    <t xml:space="preserve">09736493</t>
  </si>
  <si>
    <t xml:space="preserve">000025883373</t>
  </si>
  <si>
    <t xml:space="preserve">YORGELYS DE LOS ANGELES</t>
  </si>
  <si>
    <t xml:space="preserve">OVIEDO FINOL</t>
  </si>
  <si>
    <t xml:space="preserve">CAMPO BOYACA CASA 16A</t>
  </si>
  <si>
    <t xml:space="preserve">0426-960112</t>
  </si>
  <si>
    <t xml:space="preserve">13080103</t>
  </si>
  <si>
    <t xml:space="preserve">000023856383</t>
  </si>
  <si>
    <t xml:space="preserve">LEIDY BEATRIZ</t>
  </si>
  <si>
    <t xml:space="preserve">LA CONCEPCION CASA 185. SECTOR LA MARINA</t>
  </si>
  <si>
    <t xml:space="preserve">0416-0693463</t>
  </si>
  <si>
    <t xml:space="preserve">000025763736</t>
  </si>
  <si>
    <t xml:space="preserve">SECTOR LA MARINA CASA 185. LA CONCEPCION</t>
  </si>
  <si>
    <t xml:space="preserve">0416-0693436</t>
  </si>
  <si>
    <t xml:space="preserve">000026093957</t>
  </si>
  <si>
    <t xml:space="preserve">NEIROBY PAOLA</t>
  </si>
  <si>
    <t xml:space="preserve">REYES FERNANDEZ</t>
  </si>
  <si>
    <t xml:space="preserve">SECTOR SAN JOSE</t>
  </si>
  <si>
    <t xml:space="preserve">0426-7255302</t>
  </si>
  <si>
    <t xml:space="preserve">16561744</t>
  </si>
  <si>
    <t xml:space="preserve">000026169780</t>
  </si>
  <si>
    <t xml:space="preserve">YULEXI PAOLA</t>
  </si>
  <si>
    <t xml:space="preserve">SECTOR CALLE LAS FLORES</t>
  </si>
  <si>
    <t xml:space="preserve">10414944</t>
  </si>
  <si>
    <t xml:space="preserve">000021509669</t>
  </si>
  <si>
    <t xml:space="preserve">DERVIS JESUS</t>
  </si>
  <si>
    <t xml:space="preserve">BERRUETA VARGAS</t>
  </si>
  <si>
    <t xml:space="preserve">SECTOR CACAGUITA CASA 21B</t>
  </si>
  <si>
    <t xml:space="preserve">0262-687243</t>
  </si>
  <si>
    <t xml:space="preserve">000026189736</t>
  </si>
  <si>
    <t xml:space="preserve">EVELYN PAOLA</t>
  </si>
  <si>
    <t xml:space="preserve">MOLERO VILLALOBOS</t>
  </si>
  <si>
    <t xml:space="preserve">BARRIO LAS CASITAS</t>
  </si>
  <si>
    <t xml:space="preserve">0262-8088175</t>
  </si>
  <si>
    <t xml:space="preserve">15720607</t>
  </si>
  <si>
    <t xml:space="preserve">000026514391</t>
  </si>
  <si>
    <t xml:space="preserve">JHONATAN DAVID</t>
  </si>
  <si>
    <t xml:space="preserve">ARTETA BUELVAS</t>
  </si>
  <si>
    <t xml:space="preserve">BARRIO ROBERTO FUENMAYOR</t>
  </si>
  <si>
    <t xml:space="preserve">83140300</t>
  </si>
  <si>
    <t xml:space="preserve">000029951328</t>
  </si>
  <si>
    <t xml:space="preserve">YAMILETH EUFEMIA</t>
  </si>
  <si>
    <t xml:space="preserve">SOCORRO JUNCO</t>
  </si>
  <si>
    <t xml:space="preserve">0262-4933642</t>
  </si>
  <si>
    <t xml:space="preserve">25339642</t>
  </si>
  <si>
    <t xml:space="preserve">000028536669</t>
  </si>
  <si>
    <t xml:space="preserve">JANDER JOSE</t>
  </si>
  <si>
    <t xml:space="preserve">MARZALEX CHACON</t>
  </si>
  <si>
    <t xml:space="preserve">ANTÍMANO</t>
  </si>
  <si>
    <t xml:space="preserve">DF</t>
  </si>
  <si>
    <t xml:space="preserve">0426-9635855</t>
  </si>
  <si>
    <t xml:space="preserve">06447383</t>
  </si>
  <si>
    <t xml:space="preserve">000025883471</t>
  </si>
  <si>
    <t xml:space="preserve">YOHANNY ANDRES</t>
  </si>
  <si>
    <t xml:space="preserve">SECTOR LAS VEGAS CASA nº 12</t>
  </si>
  <si>
    <t xml:space="preserve">0426-1607726</t>
  </si>
  <si>
    <t xml:space="preserve">07889392</t>
  </si>
  <si>
    <t xml:space="preserve">000023769870</t>
  </si>
  <si>
    <t xml:space="preserve">SECTOR LA CONQUISTA CASA S/N</t>
  </si>
  <si>
    <t xml:space="preserve">0414-3671631</t>
  </si>
  <si>
    <t xml:space="preserve">000026169691</t>
  </si>
  <si>
    <t xml:space="preserve">JOSE ALEJANDRO</t>
  </si>
  <si>
    <t xml:space="preserve">VILLALOBOS FUENMAYOR</t>
  </si>
  <si>
    <t xml:space="preserve">0426-1692808</t>
  </si>
  <si>
    <t xml:space="preserve">16561755</t>
  </si>
  <si>
    <t xml:space="preserve">000027633845</t>
  </si>
  <si>
    <t xml:space="preserve">YANIELSY DE JESUS</t>
  </si>
  <si>
    <t xml:space="preserve">SECTOR LA GRAN FAMILIA CASA nº 120</t>
  </si>
  <si>
    <t xml:space="preserve">0416-8632432</t>
  </si>
  <si>
    <t xml:space="preserve">11284969</t>
  </si>
  <si>
    <t xml:space="preserve">000028436164</t>
  </si>
  <si>
    <t xml:space="preserve">ILSY GRACIELA</t>
  </si>
  <si>
    <t xml:space="preserve">VILORIA VARELA</t>
  </si>
  <si>
    <t xml:space="preserve">SAN BENITO</t>
  </si>
  <si>
    <t xml:space="preserve">SECTOR ROBERTO FUENMAYOR CASA nº 62</t>
  </si>
  <si>
    <t xml:space="preserve">0426-9669480</t>
  </si>
  <si>
    <t xml:space="preserve">25404484</t>
  </si>
  <si>
    <t xml:space="preserve">000025184205</t>
  </si>
  <si>
    <t xml:space="preserve">ROBERTH RICARDO</t>
  </si>
  <si>
    <t xml:space="preserve">000026093968</t>
  </si>
  <si>
    <t xml:space="preserve">14907992</t>
  </si>
  <si>
    <t xml:space="preserve">000026872215</t>
  </si>
  <si>
    <t xml:space="preserve">ERICK JAVIER</t>
  </si>
  <si>
    <t xml:space="preserve">SECTOR CORITO. LA GRAN FAMILIA CASA  Nº 17</t>
  </si>
  <si>
    <t xml:space="preserve">000027090280</t>
  </si>
  <si>
    <t xml:space="preserve">EDWIN ANTONIO</t>
  </si>
  <si>
    <t xml:space="preserve">CASTILLO BRAVO</t>
  </si>
  <si>
    <t xml:space="preserve">VIA EL LABERINTO, SECTOR LOS JAGÜEYES CASA Nª 107</t>
  </si>
  <si>
    <t xml:space="preserve">000026335448</t>
  </si>
  <si>
    <t xml:space="preserve">ANTONIHELYS SOLHLEIBYS</t>
  </si>
  <si>
    <t xml:space="preserve">RONDON GARCIA</t>
  </si>
  <si>
    <t xml:space="preserve">AVENIDA PRINCIPAL LA PAZ. SECTOR LA JAVILLITA</t>
  </si>
  <si>
    <t xml:space="preserve">0426-9649790</t>
  </si>
  <si>
    <t xml:space="preserve">17460779</t>
  </si>
  <si>
    <t xml:space="preserve">019826139641</t>
  </si>
  <si>
    <t xml:space="preserve">DOIVER</t>
  </si>
  <si>
    <t xml:space="preserve">LUGO RIOS</t>
  </si>
  <si>
    <t xml:space="preserve">PUERTO ESCONDIDO</t>
  </si>
  <si>
    <t xml:space="preserve">26139641</t>
  </si>
  <si>
    <t xml:space="preserve">000027983185</t>
  </si>
  <si>
    <t xml:space="preserve">NILEIDA ANDREINA</t>
  </si>
  <si>
    <t xml:space="preserve">DURAN  ROLON</t>
  </si>
  <si>
    <t xml:space="preserve">EL CHIVO</t>
  </si>
  <si>
    <t xml:space="preserve">000025297512</t>
  </si>
  <si>
    <t xml:space="preserve">NAIVELYS CAROLINA</t>
  </si>
  <si>
    <t xml:space="preserve">LIPEDA LIPEDA</t>
  </si>
  <si>
    <t xml:space="preserve">CIUDAD COMUNAL CASA Nº 74</t>
  </si>
  <si>
    <t xml:space="preserve">0263-3103301</t>
  </si>
  <si>
    <t xml:space="preserve">25030905</t>
  </si>
  <si>
    <t xml:space="preserve">000027090501</t>
  </si>
  <si>
    <t xml:space="preserve">MAYERLIS YINETH</t>
  </si>
  <si>
    <t xml:space="preserve">GARCIA PACHECO</t>
  </si>
  <si>
    <t xml:space="preserve">0416-2290576</t>
  </si>
  <si>
    <t xml:space="preserve">32794413</t>
  </si>
  <si>
    <t xml:space="preserve">000024413245</t>
  </si>
  <si>
    <t xml:space="preserve">JOSE ALBERTO</t>
  </si>
  <si>
    <t xml:space="preserve">PARRA PARRA</t>
  </si>
  <si>
    <t xml:space="preserve">0412-7939522</t>
  </si>
  <si>
    <t xml:space="preserve">000026694653</t>
  </si>
  <si>
    <t xml:space="preserve">EMILY MARGARITA</t>
  </si>
  <si>
    <t xml:space="preserve">SANCHEZ GONZALEZ</t>
  </si>
  <si>
    <t xml:space="preserve">SECTOR CHINO RAFAEL CASA Nº 63</t>
  </si>
  <si>
    <t xml:space="preserve">0426-3663456</t>
  </si>
  <si>
    <t xml:space="preserve">13930083</t>
  </si>
  <si>
    <t xml:space="preserve">000026710102</t>
  </si>
  <si>
    <t xml:space="preserve">PALMAR IGUARAN</t>
  </si>
  <si>
    <t xml:space="preserve">SECTOR LKOS JAGÜEYES CASA Nº 38</t>
  </si>
  <si>
    <t xml:space="preserve">0412-7757985</t>
  </si>
  <si>
    <t xml:space="preserve">000026860090</t>
  </si>
  <si>
    <t xml:space="preserve">ANAIS MARIA</t>
  </si>
  <si>
    <t xml:space="preserve">0426-7182875</t>
  </si>
  <si>
    <t xml:space="preserve">18318186</t>
  </si>
  <si>
    <t xml:space="preserve">000026276997</t>
  </si>
  <si>
    <t xml:space="preserve">NESTOR LUIS</t>
  </si>
  <si>
    <t xml:space="preserve">PARADA DE LOS BUSES SECTOR LOS MARANOS CASA Nº 41</t>
  </si>
  <si>
    <t xml:space="preserve">000026694638</t>
  </si>
  <si>
    <t xml:space="preserve">YOHANDRI JOSE</t>
  </si>
  <si>
    <t xml:space="preserve">FERNANDEZ CHACIN</t>
  </si>
  <si>
    <t xml:space="preserve">0262-6877267</t>
  </si>
  <si>
    <t xml:space="preserve">000026872877</t>
  </si>
  <si>
    <t xml:space="preserve">JOHANELY CHIQUINQUIRA</t>
  </si>
  <si>
    <t xml:space="preserve">LUZARDO SULBARAN</t>
  </si>
  <si>
    <t xml:space="preserve">SECTOR ROBERTO FUENMAYOR CASA Nº 82</t>
  </si>
  <si>
    <t xml:space="preserve">0262-6876121</t>
  </si>
  <si>
    <t xml:space="preserve">15719164</t>
  </si>
  <si>
    <t xml:space="preserve">000027633460</t>
  </si>
  <si>
    <t xml:space="preserve">YORBENIS DE JESUS</t>
  </si>
  <si>
    <t xml:space="preserve">ESPINOZA GONZALEZ</t>
  </si>
  <si>
    <t xml:space="preserve">0426-9665258</t>
  </si>
  <si>
    <t xml:space="preserve">81763192</t>
  </si>
  <si>
    <t xml:space="preserve">000023466418</t>
  </si>
  <si>
    <t xml:space="preserve">RIVERA URDANETA</t>
  </si>
  <si>
    <t xml:space="preserve">AVENIDA PRINCIPAL LA PAZ. SECTOR CHINO RAFAEL</t>
  </si>
  <si>
    <t xml:space="preserve">13174071</t>
  </si>
  <si>
    <t xml:space="preserve">000027090474</t>
  </si>
  <si>
    <t xml:space="preserve">MICHELL CHIQUINQUIRA</t>
  </si>
  <si>
    <t xml:space="preserve">CAMPO BOYACA CASA Nº 89</t>
  </si>
  <si>
    <t xml:space="preserve">0416-8628239</t>
  </si>
  <si>
    <t xml:space="preserve">21635465</t>
  </si>
  <si>
    <t xml:space="preserve">000027090507</t>
  </si>
  <si>
    <t xml:space="preserve">HEIDY KARINA</t>
  </si>
  <si>
    <t xml:space="preserve">14137050</t>
  </si>
  <si>
    <t xml:space="preserve">000027090504</t>
  </si>
  <si>
    <t xml:space="preserve">MARIANA ISABEL</t>
  </si>
  <si>
    <t xml:space="preserve">MENDOZA PIEDRAHITA</t>
  </si>
  <si>
    <t xml:space="preserve">SECTOR ROBERTO FUENMAYOR CASA Nº 33</t>
  </si>
  <si>
    <t xml:space="preserve">0261-3265148</t>
  </si>
  <si>
    <t xml:space="preserve">25194454</t>
  </si>
  <si>
    <t xml:space="preserve">000027090515</t>
  </si>
  <si>
    <t xml:space="preserve">JOEMIS PAOLA</t>
  </si>
  <si>
    <t xml:space="preserve">MORILLO CONTRERAS</t>
  </si>
  <si>
    <t xml:space="preserve">000027090485</t>
  </si>
  <si>
    <t xml:space="preserve">ANYELIT PAOLA</t>
  </si>
  <si>
    <t xml:space="preserve">0416-0691357</t>
  </si>
  <si>
    <t xml:space="preserve">000027633852</t>
  </si>
  <si>
    <t xml:space="preserve">ISAIS JOSUE</t>
  </si>
  <si>
    <t xml:space="preserve">0416-9087713</t>
  </si>
  <si>
    <t xml:space="preserve">000028400148</t>
  </si>
  <si>
    <t xml:space="preserve">LISMAR MARIAN</t>
  </si>
  <si>
    <t xml:space="preserve">GARCIA NUÑEZ</t>
  </si>
  <si>
    <t xml:space="preserve">CIUDAD COMUNAL, SECTOR 1, MANZANA 7 CASA 33</t>
  </si>
  <si>
    <t xml:space="preserve">0416-3632550</t>
  </si>
  <si>
    <t xml:space="preserve">12868685</t>
  </si>
  <si>
    <t xml:space="preserve">000030262576</t>
  </si>
  <si>
    <t xml:space="preserve">ELIAN DE JESUS</t>
  </si>
  <si>
    <t xml:space="preserve">TELLO TELLO</t>
  </si>
  <si>
    <t xml:space="preserve">000025680351</t>
  </si>
  <si>
    <t xml:space="preserve">JIM JOSE</t>
  </si>
  <si>
    <t xml:space="preserve">0426-7236998</t>
  </si>
  <si>
    <t xml:space="preserve">13005174</t>
  </si>
  <si>
    <t xml:space="preserve">000029573947</t>
  </si>
  <si>
    <t xml:space="preserve">YODENKA DELCARMEN</t>
  </si>
  <si>
    <t xml:space="preserve">010030825927</t>
  </si>
  <si>
    <t xml:space="preserve">JAIRO ENRIQUE</t>
  </si>
  <si>
    <t xml:space="preserve">SANCHEZ CACERES</t>
  </si>
  <si>
    <t xml:space="preserve">BARRIO 5 DE ENERO CASA Nº 25</t>
  </si>
  <si>
    <t xml:space="preserve">0426-1000755</t>
  </si>
  <si>
    <t xml:space="preserve">30825927</t>
  </si>
  <si>
    <t xml:space="preserve">000030455836</t>
  </si>
  <si>
    <t xml:space="preserve">ANGEL ADELSO</t>
  </si>
  <si>
    <t xml:space="preserve">CUADRADO FLORES</t>
  </si>
  <si>
    <t xml:space="preserve">0412-7115012</t>
  </si>
  <si>
    <t xml:space="preserve">13428523</t>
  </si>
  <si>
    <t xml:space="preserve">000029902969</t>
  </si>
  <si>
    <t xml:space="preserve">WILMER ALEXANDER</t>
  </si>
  <si>
    <t xml:space="preserve">AVENIDA PRINCIPAL LA PAZ SECTOR LA CONQUISTA</t>
  </si>
  <si>
    <t xml:space="preserve">000029842626</t>
  </si>
  <si>
    <t xml:space="preserve">DAIMAR ANDREA</t>
  </si>
  <si>
    <t xml:space="preserve">SECTOR LAS VEGAS CASA Nº 9</t>
  </si>
  <si>
    <t xml:space="preserve">0416-2670415</t>
  </si>
  <si>
    <t xml:space="preserve">15530093</t>
  </si>
  <si>
    <t xml:space="preserve">000028470673</t>
  </si>
  <si>
    <t xml:space="preserve">WUILVER ANDRES</t>
  </si>
  <si>
    <t xml:space="preserve">CHAVEZ MARTINEZ</t>
  </si>
  <si>
    <t xml:space="preserve">SECTOR MI FORTUNA LA CONCEPCION</t>
  </si>
  <si>
    <t xml:space="preserve">0416-0612041</t>
  </si>
  <si>
    <t xml:space="preserve">11868401</t>
  </si>
  <si>
    <t xml:space="preserve">000027633594</t>
  </si>
  <si>
    <t xml:space="preserve">ASDRUBAL ALEJANDRO</t>
  </si>
  <si>
    <t xml:space="preserve">0416-4664012</t>
  </si>
  <si>
    <t xml:space="preserve">17292742</t>
  </si>
  <si>
    <t xml:space="preserve">000026169608</t>
  </si>
  <si>
    <t xml:space="preserve">ERNESTO JOSE</t>
  </si>
  <si>
    <t xml:space="preserve">000031543391</t>
  </si>
  <si>
    <t xml:space="preserve">MARIA EUGENIA</t>
  </si>
  <si>
    <t xml:space="preserve">0416-1634540</t>
  </si>
  <si>
    <t xml:space="preserve">21422336</t>
  </si>
  <si>
    <t xml:space="preserve">000025396373</t>
  </si>
  <si>
    <t xml:space="preserve">JOSE RANGEL</t>
  </si>
  <si>
    <t xml:space="preserve">NOTEREY I</t>
  </si>
  <si>
    <t xml:space="preserve">001103122714</t>
  </si>
  <si>
    <t xml:space="preserve">JOSE DE JESUS</t>
  </si>
  <si>
    <t xml:space="preserve">MEDINA PEÑA</t>
  </si>
  <si>
    <t xml:space="preserve">COROZAL</t>
  </si>
  <si>
    <t xml:space="preserve">SUCRE</t>
  </si>
  <si>
    <t xml:space="preserve">SU</t>
  </si>
  <si>
    <t xml:space="preserve">SECTOR ROBERTO FUENMAYOR, DETRAS DE LA GUARDIA</t>
  </si>
  <si>
    <t xml:space="preserve">0426-7189747</t>
  </si>
  <si>
    <t xml:space="preserve">11215376</t>
  </si>
  <si>
    <t xml:space="preserve">000025439230</t>
  </si>
  <si>
    <t xml:space="preserve">BARRIOS HERRERA</t>
  </si>
  <si>
    <t xml:space="preserve">000027633849</t>
  </si>
  <si>
    <t xml:space="preserve">MANUEL GREGORIO</t>
  </si>
  <si>
    <t xml:space="preserve">REYES GONZALEZ</t>
  </si>
  <si>
    <t xml:space="preserve">INVASIÓN MARIO URDANETA II</t>
  </si>
  <si>
    <t xml:space="preserve">04262671666</t>
  </si>
  <si>
    <t xml:space="preserve">14630152</t>
  </si>
  <si>
    <t xml:space="preserve">000025276166</t>
  </si>
  <si>
    <t xml:space="preserve">FELIANYIR CAROLINA</t>
  </si>
  <si>
    <t xml:space="preserve">15559425</t>
  </si>
  <si>
    <t xml:space="preserve">000017565101</t>
  </si>
  <si>
    <t xml:space="preserve">JOHENDRY RICHARD</t>
  </si>
  <si>
    <t xml:space="preserve">LEON LEON</t>
  </si>
  <si>
    <t xml:space="preserve">000027722660</t>
  </si>
  <si>
    <t xml:space="preserve">KEILY VIRGINIA</t>
  </si>
  <si>
    <t xml:space="preserve">PAZ AVILA</t>
  </si>
  <si>
    <t xml:space="preserve">BARRIO CAUCAGUITA, DETRAS DEL HONGO</t>
  </si>
  <si>
    <t xml:space="preserve">0416-9688447</t>
  </si>
  <si>
    <t xml:space="preserve">10423347</t>
  </si>
  <si>
    <t xml:space="preserve">000025039659</t>
  </si>
  <si>
    <t xml:space="preserve">MARYELIN MARGARITA</t>
  </si>
  <si>
    <t xml:space="preserve">URDANETA FARIA</t>
  </si>
  <si>
    <t xml:space="preserve">LA PAZ SECTOR LA JAVILLA</t>
  </si>
  <si>
    <t xml:space="preserve">15524145</t>
  </si>
  <si>
    <t xml:space="preserve">000019072629</t>
  </si>
  <si>
    <t xml:space="preserve">LINARES MARTINEZ</t>
  </si>
  <si>
    <t xml:space="preserve">LA CONCEPCION CAMPO PARAISO</t>
  </si>
  <si>
    <t xml:space="preserve">09709336</t>
  </si>
  <si>
    <t xml:space="preserve">000015194289</t>
  </si>
  <si>
    <t xml:space="preserve">JEHAN JOSE</t>
  </si>
  <si>
    <t xml:space="preserve">PARDO ZAMBRANO</t>
  </si>
  <si>
    <t xml:space="preserve">LA PAZ CAMPO BOYACA CASA 48</t>
  </si>
  <si>
    <t xml:space="preserve">04120753367</t>
  </si>
  <si>
    <t xml:space="preserve">000016689287</t>
  </si>
  <si>
    <t xml:space="preserve">DONY JOSE</t>
  </si>
  <si>
    <t xml:space="preserve">LA PAZ CAMPO BOYACA CASA Nº 47</t>
  </si>
  <si>
    <t xml:space="preserve">04162245091</t>
  </si>
  <si>
    <t xml:space="preserve">000018283606</t>
  </si>
  <si>
    <t xml:space="preserve">KENIA DEL VALLE</t>
  </si>
  <si>
    <t xml:space="preserve">MOLINA VILLALOBOS</t>
  </si>
  <si>
    <t xml:space="preserve">PARCELAS DE LA PAZ</t>
  </si>
  <si>
    <t xml:space="preserve">000017938143</t>
  </si>
  <si>
    <t xml:space="preserve">NIXO JOSE</t>
  </si>
  <si>
    <t xml:space="preserve">LA PAZ SECTOR EL HONDITO</t>
  </si>
  <si>
    <t xml:space="preserve">000017736151</t>
  </si>
  <si>
    <t xml:space="preserve">URDANETA MELENDEZ</t>
  </si>
  <si>
    <t xml:space="preserve">LA PAZ SECTOR LA CONQUISTA</t>
  </si>
  <si>
    <t xml:space="preserve">000025883234</t>
  </si>
  <si>
    <t xml:space="preserve">YOSELIN BEATRIZ</t>
  </si>
  <si>
    <t xml:space="preserve">SECTOR EL BESO VIA SAN ANTONIO</t>
  </si>
  <si>
    <t xml:space="preserve">04266342912</t>
  </si>
  <si>
    <t xml:space="preserve">000025883381</t>
  </si>
  <si>
    <t xml:space="preserve">URDANETA TRASMONTE</t>
  </si>
  <si>
    <t xml:space="preserve">SECTOR LAS MARIAS CASA 190</t>
  </si>
  <si>
    <t xml:space="preserve">04163645499</t>
  </si>
  <si>
    <t xml:space="preserve">20778381</t>
  </si>
  <si>
    <t xml:space="preserve">000025972435</t>
  </si>
  <si>
    <t xml:space="preserve">MEIVIN JESUS</t>
  </si>
  <si>
    <t xml:space="preserve">04167630365</t>
  </si>
  <si>
    <t xml:space="preserve">10686633</t>
  </si>
  <si>
    <t xml:space="preserve">000026169585</t>
  </si>
  <si>
    <t xml:space="preserve">WILFREDDY SEGUNDO</t>
  </si>
  <si>
    <t xml:space="preserve">GONZALEZ SUAREZ</t>
  </si>
  <si>
    <t xml:space="preserve">04268693675</t>
  </si>
  <si>
    <t xml:space="preserve">15559424</t>
  </si>
  <si>
    <t xml:space="preserve">000026169615</t>
  </si>
  <si>
    <t xml:space="preserve">BRAYAN STEVEN</t>
  </si>
  <si>
    <t xml:space="preserve">SUAREZ  GARCIA</t>
  </si>
  <si>
    <t xml:space="preserve">SECTOR LAS JAVILLITAS</t>
  </si>
  <si>
    <t xml:space="preserve">04164447835</t>
  </si>
  <si>
    <t xml:space="preserve">14458699</t>
  </si>
  <si>
    <t xml:space="preserve">000026490518</t>
  </si>
  <si>
    <t xml:space="preserve">04165620956</t>
  </si>
  <si>
    <t xml:space="preserve">07709353</t>
  </si>
  <si>
    <t xml:space="preserve">000026618571</t>
  </si>
  <si>
    <t xml:space="preserve">NESBY JOSE</t>
  </si>
  <si>
    <t xml:space="preserve">FUENMAYOR BARBOZA</t>
  </si>
  <si>
    <t xml:space="preserve">04264059307</t>
  </si>
  <si>
    <t xml:space="preserve">000026639923</t>
  </si>
  <si>
    <t xml:space="preserve">CINDY JOHANA</t>
  </si>
  <si>
    <t xml:space="preserve">NIETO OSPINO</t>
  </si>
  <si>
    <t xml:space="preserve">83140194</t>
  </si>
  <si>
    <t xml:space="preserve">000026639989</t>
  </si>
  <si>
    <t xml:space="preserve">EUDIMAR ENRIQUE</t>
  </si>
  <si>
    <t xml:space="preserve">VILCHEZ VILCHEZ</t>
  </si>
  <si>
    <t xml:space="preserve">04164656498</t>
  </si>
  <si>
    <t xml:space="preserve">17280949</t>
  </si>
  <si>
    <t xml:space="preserve">000026694661</t>
  </si>
  <si>
    <t xml:space="preserve">DAVID ALEJANDRO</t>
  </si>
  <si>
    <t xml:space="preserve">04162201586</t>
  </si>
  <si>
    <t xml:space="preserve">000026710111</t>
  </si>
  <si>
    <t xml:space="preserve">LUZARDO FERRER</t>
  </si>
  <si>
    <t xml:space="preserve">04266638446</t>
  </si>
  <si>
    <t xml:space="preserve">11292001</t>
  </si>
  <si>
    <t xml:space="preserve">000026872291</t>
  </si>
  <si>
    <t xml:space="preserve">YOSMARY JOSEFINA</t>
  </si>
  <si>
    <t xml:space="preserve">MORALES FERNANDEZ</t>
  </si>
  <si>
    <t xml:space="preserve">CARRASQUERO</t>
  </si>
  <si>
    <t xml:space="preserve">04162365292</t>
  </si>
  <si>
    <t xml:space="preserve">22152266</t>
  </si>
  <si>
    <t xml:space="preserve">000026872549</t>
  </si>
  <si>
    <t xml:space="preserve">RUBEN JOSE</t>
  </si>
  <si>
    <t xml:space="preserve">04263235773</t>
  </si>
  <si>
    <t xml:space="preserve">000026872556</t>
  </si>
  <si>
    <t xml:space="preserve">ANGELO RENI</t>
  </si>
  <si>
    <t xml:space="preserve">04262676356</t>
  </si>
  <si>
    <t xml:space="preserve">000027633487</t>
  </si>
  <si>
    <t xml:space="preserve">GREISMAR ANYELIS</t>
  </si>
  <si>
    <t xml:space="preserve">04160636051</t>
  </si>
  <si>
    <t xml:space="preserve">000027633490</t>
  </si>
  <si>
    <t xml:space="preserve">YELITZA CAROLINA</t>
  </si>
  <si>
    <t xml:space="preserve">YANEZ PINTO</t>
  </si>
  <si>
    <t xml:space="preserve">04160639766</t>
  </si>
  <si>
    <t xml:space="preserve">17481092</t>
  </si>
  <si>
    <t xml:space="preserve">000027633502</t>
  </si>
  <si>
    <t xml:space="preserve">EVER SEGUNDO</t>
  </si>
  <si>
    <t xml:space="preserve">LAS JAVILLAS</t>
  </si>
  <si>
    <t xml:space="preserve">04162672202</t>
  </si>
  <si>
    <t xml:space="preserve">03951698</t>
  </si>
  <si>
    <t xml:space="preserve">000027633562</t>
  </si>
  <si>
    <t xml:space="preserve">NEUMAR RAMON</t>
  </si>
  <si>
    <t xml:space="preserve">04163674007</t>
  </si>
  <si>
    <t xml:space="preserve">000027633573</t>
  </si>
  <si>
    <t xml:space="preserve">YHONATAN ENRIQUE</t>
  </si>
  <si>
    <t xml:space="preserve">SUAREZ ZARRAGA</t>
  </si>
  <si>
    <t xml:space="preserve">04168676977</t>
  </si>
  <si>
    <t xml:space="preserve">25640116</t>
  </si>
  <si>
    <t xml:space="preserve">000027633697</t>
  </si>
  <si>
    <t xml:space="preserve">04269249615</t>
  </si>
  <si>
    <t xml:space="preserve">11718307</t>
  </si>
  <si>
    <t xml:space="preserve">000027633699</t>
  </si>
  <si>
    <t xml:space="preserve">GLEIDOMAR JOSE</t>
  </si>
  <si>
    <t xml:space="preserve">OLIVERO OLIVERO</t>
  </si>
  <si>
    <t xml:space="preserve">04160855424</t>
  </si>
  <si>
    <t xml:space="preserve">11718308</t>
  </si>
  <si>
    <t xml:space="preserve">000027722189</t>
  </si>
  <si>
    <t xml:space="preserve">SECTOR EL LABERINTO CIUDAD COMUNAL</t>
  </si>
  <si>
    <t xml:space="preserve">04262604084</t>
  </si>
  <si>
    <t xml:space="preserve">000027744060</t>
  </si>
  <si>
    <t xml:space="preserve">ANDRIMAR</t>
  </si>
  <si>
    <t xml:space="preserve">VERGARA FERRER</t>
  </si>
  <si>
    <t xml:space="preserve">05163760</t>
  </si>
  <si>
    <t xml:space="preserve">000027744061</t>
  </si>
  <si>
    <t xml:space="preserve">VILLALOBOS NAVAS</t>
  </si>
  <si>
    <t xml:space="preserve">000027744344</t>
  </si>
  <si>
    <t xml:space="preserve">KENDER DANIEL</t>
  </si>
  <si>
    <t xml:space="preserve">02628080795</t>
  </si>
  <si>
    <t xml:space="preserve">000027744351</t>
  </si>
  <si>
    <t xml:space="preserve">EDISLLELIS ARIANI</t>
  </si>
  <si>
    <t xml:space="preserve">BRACHO VALBUENA</t>
  </si>
  <si>
    <t xml:space="preserve">04165630857</t>
  </si>
  <si>
    <t xml:space="preserve">000027744426</t>
  </si>
  <si>
    <t xml:space="preserve">YOSIBEL ELENA</t>
  </si>
  <si>
    <t xml:space="preserve">04168653713</t>
  </si>
  <si>
    <t xml:space="preserve">18382021</t>
  </si>
  <si>
    <t xml:space="preserve">000027744454</t>
  </si>
  <si>
    <t xml:space="preserve">ODALIS CHIQUINQUIRA</t>
  </si>
  <si>
    <t xml:space="preserve">FERRER ESPINOZA</t>
  </si>
  <si>
    <t xml:space="preserve">04268227373</t>
  </si>
  <si>
    <t xml:space="preserve">000027744469</t>
  </si>
  <si>
    <t xml:space="preserve">JUAN DIEGO</t>
  </si>
  <si>
    <t xml:space="preserve">11392221</t>
  </si>
  <si>
    <t xml:space="preserve">000027744536</t>
  </si>
  <si>
    <t xml:space="preserve">JEAN CARLO</t>
  </si>
  <si>
    <t xml:space="preserve">AMAYA PUCHE</t>
  </si>
  <si>
    <t xml:space="preserve">04163605890</t>
  </si>
  <si>
    <t xml:space="preserve">05827079</t>
  </si>
  <si>
    <t xml:space="preserve">000027750596</t>
  </si>
  <si>
    <t xml:space="preserve">SANDY SANDRIC</t>
  </si>
  <si>
    <t xml:space="preserve">000027972999</t>
  </si>
  <si>
    <t xml:space="preserve">MAIKELIS ELIMAR</t>
  </si>
  <si>
    <t xml:space="preserve">LOA JAGUEYES</t>
  </si>
  <si>
    <t xml:space="preserve">16727271</t>
  </si>
  <si>
    <t xml:space="preserve">000027998232</t>
  </si>
  <si>
    <t xml:space="preserve">DAYAIVIS DEL CARMEN</t>
  </si>
  <si>
    <t xml:space="preserve">04269230397</t>
  </si>
  <si>
    <t xml:space="preserve">000026907242</t>
  </si>
  <si>
    <t xml:space="preserve">NOLBERTO ENRIQUE</t>
  </si>
  <si>
    <t xml:space="preserve">CUIDAD COMUNAL EL LABERINTO</t>
  </si>
  <si>
    <t xml:space="preserve">04120685438</t>
  </si>
  <si>
    <t xml:space="preserve">19681105</t>
  </si>
  <si>
    <t xml:space="preserve">000027090262</t>
  </si>
  <si>
    <t xml:space="preserve">INCIARTE CAYAMA</t>
  </si>
  <si>
    <t xml:space="preserve">EL LABERINTO NOTEREY II</t>
  </si>
  <si>
    <t xml:space="preserve">02622056396</t>
  </si>
  <si>
    <t xml:space="preserve">10430158</t>
  </si>
  <si>
    <t xml:space="preserve">000027090529</t>
  </si>
  <si>
    <t xml:space="preserve">SERRANO RODRIGUEZ</t>
  </si>
  <si>
    <t xml:space="preserve">000027090531</t>
  </si>
  <si>
    <t xml:space="preserve">04162201563</t>
  </si>
  <si>
    <t xml:space="preserve">000027090647</t>
  </si>
  <si>
    <t xml:space="preserve">LA VEGA</t>
  </si>
  <si>
    <t xml:space="preserve">04268805121</t>
  </si>
  <si>
    <t xml:space="preserve">13439696</t>
  </si>
  <si>
    <t xml:space="preserve">000027090652</t>
  </si>
  <si>
    <t xml:space="preserve">DIEGO LUIS</t>
  </si>
  <si>
    <t xml:space="preserve">VILCHEZ PORTILLO</t>
  </si>
  <si>
    <t xml:space="preserve">21711067</t>
  </si>
  <si>
    <t xml:space="preserve">000027090792</t>
  </si>
  <si>
    <t xml:space="preserve">IPUANA GONZALEZ</t>
  </si>
  <si>
    <t xml:space="preserve">04169084860</t>
  </si>
  <si>
    <t xml:space="preserve">24413169</t>
  </si>
  <si>
    <t xml:space="preserve">000027412134</t>
  </si>
  <si>
    <t xml:space="preserve">IVAN VICENTE</t>
  </si>
  <si>
    <t xml:space="preserve">000027440576</t>
  </si>
  <si>
    <t xml:space="preserve">VENANCIO LOSANTO</t>
  </si>
  <si>
    <t xml:space="preserve">RAMIREZ URIANA</t>
  </si>
  <si>
    <t xml:space="preserve">BARRIO SAN SEBASTIAN</t>
  </si>
  <si>
    <t xml:space="preserve">22258096</t>
  </si>
  <si>
    <t xml:space="preserve">000027603377</t>
  </si>
  <si>
    <t xml:space="preserve">VILLASMIL GUERRA</t>
  </si>
  <si>
    <t xml:space="preserve">04162654162</t>
  </si>
  <si>
    <t xml:space="preserve">22078005</t>
  </si>
  <si>
    <t xml:space="preserve">000027610532</t>
  </si>
  <si>
    <t xml:space="preserve">ELVIS SEGUNDO</t>
  </si>
  <si>
    <t xml:space="preserve">04536401</t>
  </si>
  <si>
    <t xml:space="preserve">000027633164</t>
  </si>
  <si>
    <t xml:space="preserve">ANYELO GABRIEL</t>
  </si>
  <si>
    <t xml:space="preserve">MORENO BOLAÑOS</t>
  </si>
  <si>
    <t xml:space="preserve">04266222533</t>
  </si>
  <si>
    <t xml:space="preserve">17088288</t>
  </si>
  <si>
    <t xml:space="preserve">000027633183</t>
  </si>
  <si>
    <t xml:space="preserve">ENMANUEL GERMAN</t>
  </si>
  <si>
    <t xml:space="preserve">BOZO PALMAR</t>
  </si>
  <si>
    <t xml:space="preserve">LA JAVILLA EL LABERINTO</t>
  </si>
  <si>
    <t xml:space="preserve">04266230919</t>
  </si>
  <si>
    <t xml:space="preserve">05843742</t>
  </si>
  <si>
    <t xml:space="preserve">000027633335</t>
  </si>
  <si>
    <t xml:space="preserve">ZABALA URDANETA</t>
  </si>
  <si>
    <t xml:space="preserve">LA BOMBA AMALIA</t>
  </si>
  <si>
    <t xml:space="preserve">04121287947</t>
  </si>
  <si>
    <t xml:space="preserve">15261739</t>
  </si>
  <si>
    <t xml:space="preserve">000027633410</t>
  </si>
  <si>
    <t xml:space="preserve">CASTEJON VILLALOBOS</t>
  </si>
  <si>
    <t xml:space="preserve">02624936813</t>
  </si>
  <si>
    <t xml:space="preserve">12621007</t>
  </si>
  <si>
    <t xml:space="preserve">000027663413</t>
  </si>
  <si>
    <t xml:space="preserve">04268231463</t>
  </si>
  <si>
    <t xml:space="preserve">000027633416</t>
  </si>
  <si>
    <t xml:space="preserve">GENESÍS SARAY</t>
  </si>
  <si>
    <t xml:space="preserve">MORALES AÑEZ</t>
  </si>
  <si>
    <t xml:space="preserve">13461028</t>
  </si>
  <si>
    <t xml:space="preserve">000027633419</t>
  </si>
  <si>
    <t xml:space="preserve">MELENDEZ MENDEZ</t>
  </si>
  <si>
    <t xml:space="preserve">04163661575</t>
  </si>
  <si>
    <t xml:space="preserve">10408734</t>
  </si>
  <si>
    <t xml:space="preserve">000027633484</t>
  </si>
  <si>
    <t xml:space="preserve">KELLYS CAROLINA</t>
  </si>
  <si>
    <t xml:space="preserve">GONZALEZ ABRIL</t>
  </si>
  <si>
    <t xml:space="preserve">04167624354</t>
  </si>
  <si>
    <t xml:space="preserve">24978113</t>
  </si>
  <si>
    <t xml:space="preserve">000027998240</t>
  </si>
  <si>
    <t xml:space="preserve">NELLYBEL DEL CARMEN</t>
  </si>
  <si>
    <t xml:space="preserve">URDANETA CASTRO</t>
  </si>
  <si>
    <t xml:space="preserve">04268637403</t>
  </si>
  <si>
    <t xml:space="preserve">11858630</t>
  </si>
  <si>
    <t xml:space="preserve">000027998245</t>
  </si>
  <si>
    <t xml:space="preserve">DIANA CAROLINA</t>
  </si>
  <si>
    <t xml:space="preserve">FINOL MARIN</t>
  </si>
  <si>
    <t xml:space="preserve">04161698251</t>
  </si>
  <si>
    <t xml:space="preserve">000027998246</t>
  </si>
  <si>
    <t xml:space="preserve">MOLERO QUINTERO</t>
  </si>
  <si>
    <t xml:space="preserve">04269679988</t>
  </si>
  <si>
    <t xml:space="preserve">14458545</t>
  </si>
  <si>
    <t xml:space="preserve">000027998254</t>
  </si>
  <si>
    <t xml:space="preserve">YUNEXI CHIQUIQUIRA</t>
  </si>
  <si>
    <t xml:space="preserve">04262156298</t>
  </si>
  <si>
    <t xml:space="preserve">000027998260</t>
  </si>
  <si>
    <t xml:space="preserve">MELEAN MELEAN</t>
  </si>
  <si>
    <t xml:space="preserve">04164600254</t>
  </si>
  <si>
    <t xml:space="preserve">18518951</t>
  </si>
  <si>
    <t xml:space="preserve">000027998264</t>
  </si>
  <si>
    <t xml:space="preserve">ABRANYER ENRIQUE</t>
  </si>
  <si>
    <t xml:space="preserve">WITZGALI VICUÑA</t>
  </si>
  <si>
    <t xml:space="preserve">04162290839</t>
  </si>
  <si>
    <t xml:space="preserve">15405107</t>
  </si>
  <si>
    <t xml:space="preserve">000027998268</t>
  </si>
  <si>
    <t xml:space="preserve">04168625962</t>
  </si>
  <si>
    <t xml:space="preserve">000027999750</t>
  </si>
  <si>
    <t xml:space="preserve">MERKIS LEVI</t>
  </si>
  <si>
    <t xml:space="preserve">04164602782</t>
  </si>
  <si>
    <t xml:space="preserve">23441281</t>
  </si>
  <si>
    <t xml:space="preserve">000028088817</t>
  </si>
  <si>
    <t xml:space="preserve">GLEIMAR ADRIAN</t>
  </si>
  <si>
    <t xml:space="preserve">04268394309</t>
  </si>
  <si>
    <t xml:space="preserve">14208880</t>
  </si>
  <si>
    <t xml:space="preserve">000028088825</t>
  </si>
  <si>
    <t xml:space="preserve">ROSLAY YULIETH</t>
  </si>
  <si>
    <t xml:space="preserve">VILLASMIL OCAMPO</t>
  </si>
  <si>
    <t xml:space="preserve">04268696575</t>
  </si>
  <si>
    <t xml:space="preserve">15197925</t>
  </si>
  <si>
    <t xml:space="preserve">000028091467</t>
  </si>
  <si>
    <t xml:space="preserve">ALVARO ARGENIS</t>
  </si>
  <si>
    <t xml:space="preserve">BALETA CHIRINO</t>
  </si>
  <si>
    <t xml:space="preserve">16606596</t>
  </si>
  <si>
    <t xml:space="preserve">000028103781</t>
  </si>
  <si>
    <t xml:space="preserve">ELIANA MARIA</t>
  </si>
  <si>
    <t xml:space="preserve">04167600526</t>
  </si>
  <si>
    <t xml:space="preserve">000028123234</t>
  </si>
  <si>
    <t xml:space="preserve">RONALDO JOSE</t>
  </si>
  <si>
    <t xml:space="preserve">RUIZ RUIZ</t>
  </si>
  <si>
    <t xml:space="preserve">BARRIO JOSE RAMON YEPEZ</t>
  </si>
  <si>
    <t xml:space="preserve">04261234718</t>
  </si>
  <si>
    <t xml:space="preserve">09769038</t>
  </si>
  <si>
    <t xml:space="preserve">000028133751</t>
  </si>
  <si>
    <t xml:space="preserve">13174155</t>
  </si>
  <si>
    <t xml:space="preserve">000028146587</t>
  </si>
  <si>
    <t xml:space="preserve">ANAIS DEL VALLE</t>
  </si>
  <si>
    <t xml:space="preserve">04166649404</t>
  </si>
  <si>
    <t xml:space="preserve">000028168437</t>
  </si>
  <si>
    <t xml:space="preserve">KELVIN JOSUE</t>
  </si>
  <si>
    <t xml:space="preserve">CHAVEZ LOZANO</t>
  </si>
  <si>
    <t xml:space="preserve">CIUDAD COMUNAL LABERINTO</t>
  </si>
  <si>
    <t xml:space="preserve">04168694044</t>
  </si>
  <si>
    <t xml:space="preserve">15839430</t>
  </si>
  <si>
    <t xml:space="preserve">000028197175</t>
  </si>
  <si>
    <t xml:space="preserve">BRANDON JOSE</t>
  </si>
  <si>
    <t xml:space="preserve">GUTIERREZ VASQUEZ</t>
  </si>
  <si>
    <t xml:space="preserve">BARRIO CHINI RAFAEL</t>
  </si>
  <si>
    <t xml:space="preserve">04121566810</t>
  </si>
  <si>
    <t xml:space="preserve">000028497733</t>
  </si>
  <si>
    <t xml:space="preserve">DEIDIMAR ROSA</t>
  </si>
  <si>
    <t xml:space="preserve">URDANETA PARRA</t>
  </si>
  <si>
    <t xml:space="preserve">04167631103</t>
  </si>
  <si>
    <t xml:space="preserve">15938221</t>
  </si>
  <si>
    <t xml:space="preserve">000028497734</t>
  </si>
  <si>
    <t xml:space="preserve">UNALDO JOSE</t>
  </si>
  <si>
    <t xml:space="preserve">000021510666</t>
  </si>
  <si>
    <t xml:space="preserve">MARY FABIOLA</t>
  </si>
  <si>
    <t xml:space="preserve">BARRIO CAUCAGUITA Nº 399</t>
  </si>
  <si>
    <t xml:space="preserve">04269618181</t>
  </si>
  <si>
    <t xml:space="preserve">000030101701</t>
  </si>
  <si>
    <t xml:space="preserve">YAIR JUNIOR</t>
  </si>
  <si>
    <t xml:space="preserve">BLANCO CANTILLO</t>
  </si>
  <si>
    <t xml:space="preserve">BARRIO MARIO URDANETA 2</t>
  </si>
  <si>
    <t xml:space="preserve">000027071852</t>
  </si>
  <si>
    <t xml:space="preserve">NERVIN JOSE</t>
  </si>
  <si>
    <t xml:space="preserve">REVILLA COLINA</t>
  </si>
  <si>
    <t xml:space="preserve">04261697087</t>
  </si>
  <si>
    <t xml:space="preserve">22074263</t>
  </si>
  <si>
    <t xml:space="preserve">000025883878</t>
  </si>
  <si>
    <t xml:space="preserve">ALBER EMILIO ANTONIO</t>
  </si>
  <si>
    <t xml:space="preserve">LA JABILLA. DILUVIO PALMAR. SECTOR 1. MANZANA 4. SECTOR 8</t>
  </si>
  <si>
    <t xml:space="preserve">000025186272</t>
  </si>
  <si>
    <t xml:space="preserve">EDIMAR DEL VALLE</t>
  </si>
  <si>
    <t xml:space="preserve">AÑEZ AÑEZ</t>
  </si>
  <si>
    <t xml:space="preserve">000029980201</t>
  </si>
  <si>
    <t xml:space="preserve">NELSON JOSE</t>
  </si>
  <si>
    <t xml:space="preserve">VILCHEZ OLIVERO</t>
  </si>
  <si>
    <t xml:space="preserve">04160628427</t>
  </si>
  <si>
    <t xml:space="preserve">07883423</t>
  </si>
  <si>
    <t xml:space="preserve">000029984469</t>
  </si>
  <si>
    <t xml:space="preserve">STEFANY PAOLA</t>
  </si>
  <si>
    <t xml:space="preserve">FINOL MEDINA</t>
  </si>
  <si>
    <t xml:space="preserve">04126607863</t>
  </si>
  <si>
    <t xml:space="preserve">16918067</t>
  </si>
  <si>
    <t xml:space="preserve">000029986377</t>
  </si>
  <si>
    <t xml:space="preserve">MARIA ALEJANDRA</t>
  </si>
  <si>
    <t xml:space="preserve">VERGARA HERNANDEZ</t>
  </si>
  <si>
    <t xml:space="preserve">04121281204</t>
  </si>
  <si>
    <t xml:space="preserve">83140349</t>
  </si>
  <si>
    <t xml:space="preserve">000029986386</t>
  </si>
  <si>
    <t xml:space="preserve">JOSUE ANTONIO</t>
  </si>
  <si>
    <t xml:space="preserve">QUERO ORTEGA</t>
  </si>
  <si>
    <t xml:space="preserve">CIDAD COMUNAL EL LABERINTO</t>
  </si>
  <si>
    <t xml:space="preserve">04267650185</t>
  </si>
  <si>
    <t xml:space="preserve">000029996010</t>
  </si>
  <si>
    <t xml:space="preserve">DAINER ALEXANDER</t>
  </si>
  <si>
    <t xml:space="preserve">000030010370</t>
  </si>
  <si>
    <t xml:space="preserve">GONZALEZ ROA</t>
  </si>
  <si>
    <t xml:space="preserve">04161141576</t>
  </si>
  <si>
    <t xml:space="preserve">14306535</t>
  </si>
  <si>
    <t xml:space="preserve">000030036979</t>
  </si>
  <si>
    <t xml:space="preserve">NILIO JOSE</t>
  </si>
  <si>
    <t xml:space="preserve">04169601565</t>
  </si>
  <si>
    <t xml:space="preserve">000030049204</t>
  </si>
  <si>
    <t xml:space="preserve">NELSON LUIS</t>
  </si>
  <si>
    <t xml:space="preserve">GONALEZ ORTIZ</t>
  </si>
  <si>
    <t xml:space="preserve">NOTERY I</t>
  </si>
  <si>
    <t xml:space="preserve">04161473806</t>
  </si>
  <si>
    <t xml:space="preserve">18428138</t>
  </si>
  <si>
    <t xml:space="preserve">000030049205</t>
  </si>
  <si>
    <t xml:space="preserve">04164656394</t>
  </si>
  <si>
    <t xml:space="preserve">07797351</t>
  </si>
  <si>
    <t xml:space="preserve">000030058007</t>
  </si>
  <si>
    <t xml:space="preserve">JOSE ALFREDO</t>
  </si>
  <si>
    <t xml:space="preserve">CALDERON PEREZ</t>
  </si>
  <si>
    <t xml:space="preserve">17634594</t>
  </si>
  <si>
    <t xml:space="preserve">000030058763</t>
  </si>
  <si>
    <t xml:space="preserve">CLAUDIMAR KARINA</t>
  </si>
  <si>
    <t xml:space="preserve">02624112555</t>
  </si>
  <si>
    <t xml:space="preserve">15260607</t>
  </si>
  <si>
    <t xml:space="preserve">000030064144</t>
  </si>
  <si>
    <t xml:space="preserve">RAY JUAN</t>
  </si>
  <si>
    <t xml:space="preserve">04261236619</t>
  </si>
  <si>
    <t xml:space="preserve">12344083</t>
  </si>
  <si>
    <t xml:space="preserve">000030069602</t>
  </si>
  <si>
    <t xml:space="preserve">RICHAIRI RACHEL</t>
  </si>
  <si>
    <t xml:space="preserve">04163601295</t>
  </si>
  <si>
    <t xml:space="preserve">000030069894</t>
  </si>
  <si>
    <t xml:space="preserve">ANGELY DEL CARMEN</t>
  </si>
  <si>
    <t xml:space="preserve">04263012839</t>
  </si>
  <si>
    <t xml:space="preserve">18624093</t>
  </si>
  <si>
    <t xml:space="preserve">000028497735</t>
  </si>
  <si>
    <t xml:space="preserve">KEIBELYN MARIA</t>
  </si>
  <si>
    <t xml:space="preserve">URDANETA CARABALLO</t>
  </si>
  <si>
    <t xml:space="preserve">04164636329</t>
  </si>
  <si>
    <t xml:space="preserve">000028509690</t>
  </si>
  <si>
    <t xml:space="preserve">EUMARYS LUCIA</t>
  </si>
  <si>
    <t xml:space="preserve">CIUDAD COMUNAL EL LABERIINTO</t>
  </si>
  <si>
    <t xml:space="preserve">04121512952</t>
  </si>
  <si>
    <t xml:space="preserve">000028515830</t>
  </si>
  <si>
    <t xml:space="preserve">JOHAN GREGORIO</t>
  </si>
  <si>
    <t xml:space="preserve">HERRERA MALDONADO</t>
  </si>
  <si>
    <t xml:space="preserve">02628085953</t>
  </si>
  <si>
    <t xml:space="preserve">25139910</t>
  </si>
  <si>
    <t xml:space="preserve">000028520854</t>
  </si>
  <si>
    <t xml:space="preserve">DANIEL DAVID</t>
  </si>
  <si>
    <t xml:space="preserve">RUDAS SILGADO</t>
  </si>
  <si>
    <t xml:space="preserve">04167740639</t>
  </si>
  <si>
    <t xml:space="preserve">25408665</t>
  </si>
  <si>
    <t xml:space="preserve">000029202865</t>
  </si>
  <si>
    <t xml:space="preserve">CARDENAS GONZALEZ</t>
  </si>
  <si>
    <t xml:space="preserve">04267672917</t>
  </si>
  <si>
    <t xml:space="preserve">13414430</t>
  </si>
  <si>
    <t xml:space="preserve">000029523673</t>
  </si>
  <si>
    <t xml:space="preserve">DANYINLUZ PAOLA</t>
  </si>
  <si>
    <t xml:space="preserve">MERCADO VILCHEZ</t>
  </si>
  <si>
    <t xml:space="preserve">CIUDADA COMUNAL EL LABERINTO</t>
  </si>
  <si>
    <t xml:space="preserve">04164639004</t>
  </si>
  <si>
    <t xml:space="preserve">15195321</t>
  </si>
  <si>
    <t xml:space="preserve">000029523678</t>
  </si>
  <si>
    <t xml:space="preserve">CARLOS LUIS</t>
  </si>
  <si>
    <t xml:space="preserve">PERALTA GONZALEZ</t>
  </si>
  <si>
    <t xml:space="preserve">12945493</t>
  </si>
  <si>
    <t xml:space="preserve">000029523685</t>
  </si>
  <si>
    <t xml:space="preserve">MARVIN DEL CARMEN</t>
  </si>
  <si>
    <t xml:space="preserve">EL LABERINTO LAS PARCELA</t>
  </si>
  <si>
    <t xml:space="preserve">000029607869</t>
  </si>
  <si>
    <t xml:space="preserve">MILAGROS MARIA</t>
  </si>
  <si>
    <t xml:space="preserve">SECTOR PARADA DE LOS BUSES</t>
  </si>
  <si>
    <t xml:space="preserve">04161689544</t>
  </si>
  <si>
    <t xml:space="preserve">000029607974</t>
  </si>
  <si>
    <t xml:space="preserve">JOEL DAVID</t>
  </si>
  <si>
    <t xml:space="preserve">0426813205</t>
  </si>
  <si>
    <t xml:space="preserve">14523185</t>
  </si>
  <si>
    <t xml:space="preserve">000029607975</t>
  </si>
  <si>
    <t xml:space="preserve">04268013205</t>
  </si>
  <si>
    <t xml:space="preserve">000029646906</t>
  </si>
  <si>
    <t xml:space="preserve">GONZALEZ HERNANDEZ</t>
  </si>
  <si>
    <t xml:space="preserve">04262395969</t>
  </si>
  <si>
    <t xml:space="preserve">22146024</t>
  </si>
  <si>
    <t xml:space="preserve">000029680266</t>
  </si>
  <si>
    <t xml:space="preserve">YOENIS PAOLA</t>
  </si>
  <si>
    <t xml:space="preserve">04147774066</t>
  </si>
  <si>
    <t xml:space="preserve">000029695240</t>
  </si>
  <si>
    <t xml:space="preserve">CASTRO SUAREZ</t>
  </si>
  <si>
    <t xml:space="preserve">04264239693</t>
  </si>
  <si>
    <t xml:space="preserve">11660637</t>
  </si>
  <si>
    <t xml:space="preserve">000029740396</t>
  </si>
  <si>
    <t xml:space="preserve">RUENDRY JOSE</t>
  </si>
  <si>
    <t xml:space="preserve">04269224784</t>
  </si>
  <si>
    <t xml:space="preserve">17565190</t>
  </si>
  <si>
    <t xml:space="preserve">000029749154</t>
  </si>
  <si>
    <t xml:space="preserve">FRANYELIS MARIA</t>
  </si>
  <si>
    <t xml:space="preserve">02628086275</t>
  </si>
  <si>
    <t xml:space="preserve">000029757398</t>
  </si>
  <si>
    <t xml:space="preserve">YURAINY</t>
  </si>
  <si>
    <t xml:space="preserve">REVEROL PAZ</t>
  </si>
  <si>
    <t xml:space="preserve">13427763</t>
  </si>
  <si>
    <t xml:space="preserve">000029788345</t>
  </si>
  <si>
    <t xml:space="preserve">DARIESKA DANIELA</t>
  </si>
  <si>
    <t xml:space="preserve">AVENDAÑO VALBUENA</t>
  </si>
  <si>
    <t xml:space="preserve">04162680050</t>
  </si>
  <si>
    <t xml:space="preserve">13609544</t>
  </si>
  <si>
    <t xml:space="preserve">000029788349</t>
  </si>
  <si>
    <t xml:space="preserve">BRIÑEZ ATENCIO</t>
  </si>
  <si>
    <t xml:space="preserve">SECTOR VILLA LA PAZ</t>
  </si>
  <si>
    <t xml:space="preserve">04267187278</t>
  </si>
  <si>
    <t xml:space="preserve">09742842</t>
  </si>
  <si>
    <t xml:space="preserve">000030084044</t>
  </si>
  <si>
    <t xml:space="preserve">ADRIAN RAMON</t>
  </si>
  <si>
    <t xml:space="preserve">SECTOR LAS JABILLITAS</t>
  </si>
  <si>
    <t xml:space="preserve">04263667234</t>
  </si>
  <si>
    <t xml:space="preserve">000030093340</t>
  </si>
  <si>
    <t xml:space="preserve">EMIDERYI PAOLA</t>
  </si>
  <si>
    <t xml:space="preserve">NEGRETTE ROJAS</t>
  </si>
  <si>
    <t xml:space="preserve">BARRIIO SIMON BOLIVAR</t>
  </si>
  <si>
    <t xml:space="preserve">04269220234</t>
  </si>
  <si>
    <t xml:space="preserve">15559030</t>
  </si>
  <si>
    <t xml:space="preserve">000030093866</t>
  </si>
  <si>
    <t xml:space="preserve">EMILY ARACELY</t>
  </si>
  <si>
    <t xml:space="preserve">VISLLAMIL FERNANDEZ</t>
  </si>
  <si>
    <t xml:space="preserve">000030122582</t>
  </si>
  <si>
    <t xml:space="preserve">ALBER JOSE</t>
  </si>
  <si>
    <t xml:space="preserve">04160187815</t>
  </si>
  <si>
    <t xml:space="preserve">000030122586</t>
  </si>
  <si>
    <t xml:space="preserve">MELANY SARAHY</t>
  </si>
  <si>
    <t xml:space="preserve">URDANETA FINOL</t>
  </si>
  <si>
    <t xml:space="preserve">04167629239</t>
  </si>
  <si>
    <t xml:space="preserve">000030122587</t>
  </si>
  <si>
    <t xml:space="preserve">OMAIRI MARIA</t>
  </si>
  <si>
    <t xml:space="preserve">04269687035</t>
  </si>
  <si>
    <t xml:space="preserve">000030122588</t>
  </si>
  <si>
    <t xml:space="preserve">MARIAN DEL VALLE</t>
  </si>
  <si>
    <t xml:space="preserve">FERNANDEZ MEDINA</t>
  </si>
  <si>
    <t xml:space="preserve">04263339152</t>
  </si>
  <si>
    <t xml:space="preserve">000030149657</t>
  </si>
  <si>
    <t xml:space="preserve">MARIA DEL CARMEN</t>
  </si>
  <si>
    <t xml:space="preserve">VARGAS GUZMAN</t>
  </si>
  <si>
    <t xml:space="preserve">0262808057</t>
  </si>
  <si>
    <t xml:space="preserve">08429865</t>
  </si>
  <si>
    <t xml:space="preserve">000030185113</t>
  </si>
  <si>
    <t xml:space="preserve">ALEJANDRA MARIA</t>
  </si>
  <si>
    <t xml:space="preserve">QUINTERO BRAVO</t>
  </si>
  <si>
    <t xml:space="preserve">04264609299</t>
  </si>
  <si>
    <t xml:space="preserve">09754418</t>
  </si>
  <si>
    <t xml:space="preserve">000030200409</t>
  </si>
  <si>
    <t xml:space="preserve">MAYOR DE LA ROSA</t>
  </si>
  <si>
    <t xml:space="preserve">04269192121</t>
  </si>
  <si>
    <t xml:space="preserve">17566854</t>
  </si>
  <si>
    <t xml:space="preserve">000030185119</t>
  </si>
  <si>
    <t xml:space="preserve">GONZALEZ BARRADAS</t>
  </si>
  <si>
    <t xml:space="preserve">04160659492</t>
  </si>
  <si>
    <t xml:space="preserve">12404659</t>
  </si>
  <si>
    <t xml:space="preserve">000030200733</t>
  </si>
  <si>
    <t xml:space="preserve">YORGELIS VANESSA</t>
  </si>
  <si>
    <t xml:space="preserve">LOBATO NEGRETTE</t>
  </si>
  <si>
    <t xml:space="preserve">04262632385</t>
  </si>
  <si>
    <t xml:space="preserve">17183894</t>
  </si>
  <si>
    <t xml:space="preserve">000030215122</t>
  </si>
  <si>
    <t xml:space="preserve">JHONKENEDI JOSE</t>
  </si>
  <si>
    <t xml:space="preserve">04164661894</t>
  </si>
  <si>
    <t xml:space="preserve">000030231131</t>
  </si>
  <si>
    <t xml:space="preserve">NAIRELYN ANGELICA</t>
  </si>
  <si>
    <t xml:space="preserve">04262228189</t>
  </si>
  <si>
    <t xml:space="preserve">000030232303</t>
  </si>
  <si>
    <t xml:space="preserve">LISBELY DEL CARMEN</t>
  </si>
  <si>
    <t xml:space="preserve">URDANETA ARROYO</t>
  </si>
  <si>
    <t xml:space="preserve">04162202394</t>
  </si>
  <si>
    <t xml:space="preserve">18317369</t>
  </si>
  <si>
    <t xml:space="preserve">000030232479</t>
  </si>
  <si>
    <t xml:space="preserve">JULIESKA FIORELA</t>
  </si>
  <si>
    <t xml:space="preserve">MARCANO MORALES</t>
  </si>
  <si>
    <t xml:space="preserve">04261606067</t>
  </si>
  <si>
    <t xml:space="preserve">11068680</t>
  </si>
  <si>
    <t xml:space="preserve">000030232796</t>
  </si>
  <si>
    <t xml:space="preserve">YULIMAR DEL CARMEN</t>
  </si>
  <si>
    <t xml:space="preserve">SOTURNO GONZALEZ</t>
  </si>
  <si>
    <t xml:space="preserve">04164664381</t>
  </si>
  <si>
    <t xml:space="preserve">14134952</t>
  </si>
  <si>
    <t xml:space="preserve">000030238518</t>
  </si>
  <si>
    <t xml:space="preserve">MICHEL ALEXANDRA</t>
  </si>
  <si>
    <t xml:space="preserve">MACHADO PANA</t>
  </si>
  <si>
    <t xml:space="preserve">04169692312</t>
  </si>
  <si>
    <t xml:space="preserve">000030239077</t>
  </si>
  <si>
    <t xml:space="preserve">DIOVID JOSE</t>
  </si>
  <si>
    <t xml:space="preserve">EL COLORAO INVACION</t>
  </si>
  <si>
    <t xml:space="preserve">04168685100</t>
  </si>
  <si>
    <t xml:space="preserve">000030519093</t>
  </si>
  <si>
    <t xml:space="preserve">YORKENIS JOSE</t>
  </si>
  <si>
    <t xml:space="preserve">ESPINOSO GONZALEZ</t>
  </si>
  <si>
    <t xml:space="preserve">CUIDAD COMUNAL</t>
  </si>
  <si>
    <t xml:space="preserve">04269665258</t>
  </si>
  <si>
    <t xml:space="preserve">000031295319</t>
  </si>
  <si>
    <t xml:space="preserve">SANDRA PAOLA</t>
  </si>
  <si>
    <t xml:space="preserve">SECTOR LAS JAVILLAS</t>
  </si>
  <si>
    <t xml:space="preserve">000031526587</t>
  </si>
  <si>
    <t xml:space="preserve">FERNANDEZ GAMEZ</t>
  </si>
  <si>
    <t xml:space="preserve">BARRIO ROBERTO FUENMAYOR CASA 104</t>
  </si>
  <si>
    <t xml:space="preserve">04269676125</t>
  </si>
  <si>
    <t xml:space="preserve">22078882</t>
  </si>
  <si>
    <t xml:space="preserve">000031024547</t>
  </si>
  <si>
    <t xml:space="preserve">MELVIN ENRIQUE</t>
  </si>
  <si>
    <t xml:space="preserve">02622054132</t>
  </si>
  <si>
    <t xml:space="preserve">000030548984</t>
  </si>
  <si>
    <t xml:space="preserve">KEIBERT XAVIER</t>
  </si>
  <si>
    <t xml:space="preserve">FUENMAYOR SOTURNO</t>
  </si>
  <si>
    <t xml:space="preserve">CAMPO BOYACA CASA 46-A</t>
  </si>
  <si>
    <t xml:space="preserve">04160158198</t>
  </si>
  <si>
    <t xml:space="preserve">09799334</t>
  </si>
  <si>
    <t xml:space="preserve">010113781504</t>
  </si>
  <si>
    <t xml:space="preserve">MARYORIS GABRIELA</t>
  </si>
  <si>
    <t xml:space="preserve">FONSECA GONZALEZ</t>
  </si>
  <si>
    <t xml:space="preserve">VIA LA CONCEPCION VIA EL EDEN</t>
  </si>
  <si>
    <t xml:space="preserve">04163665965</t>
  </si>
  <si>
    <t xml:space="preserve">13781504</t>
  </si>
  <si>
    <t xml:space="preserve">000031537738</t>
  </si>
  <si>
    <t xml:space="preserve">YHOANA PAOLA</t>
  </si>
  <si>
    <t xml:space="preserve">SECTOR LAS VEGAS CASA-34</t>
  </si>
  <si>
    <t xml:space="preserve">04261009319</t>
  </si>
  <si>
    <t xml:space="preserve">09749979</t>
  </si>
  <si>
    <t xml:space="preserve">001009749979</t>
  </si>
  <si>
    <t xml:space="preserve">RENZO ANTONIO</t>
  </si>
  <si>
    <t xml:space="preserve">000027712938</t>
  </si>
  <si>
    <t xml:space="preserve">YORMAN RAFAEL</t>
  </si>
  <si>
    <t xml:space="preserve">04262654955</t>
  </si>
  <si>
    <t xml:space="preserve">20355894</t>
  </si>
  <si>
    <t xml:space="preserve">000030418882</t>
  </si>
  <si>
    <t xml:space="preserve">YENDER RAMON</t>
  </si>
  <si>
    <t xml:space="preserve">HERNANDEZ LOZANO</t>
  </si>
  <si>
    <t xml:space="preserve">CIUDADA COMUNAL</t>
  </si>
  <si>
    <t xml:space="preserve">15839431</t>
  </si>
  <si>
    <t xml:space="preserve">000032035827</t>
  </si>
  <si>
    <t xml:space="preserve">FREDDY JAVIER</t>
  </si>
  <si>
    <t xml:space="preserve">SECTOR LA GRAN FAMILIA CASA 11-B</t>
  </si>
  <si>
    <t xml:space="preserve">04266222108</t>
  </si>
  <si>
    <t xml:space="preserve">11289969</t>
  </si>
  <si>
    <t xml:space="preserve">019914822729</t>
  </si>
  <si>
    <t xml:space="preserve">DAYRA ELIZABETH</t>
  </si>
  <si>
    <t xml:space="preserve">MARTINEZ ESPINOZA</t>
  </si>
  <si>
    <t xml:space="preserve">CIUDAD COMUNAL EL LABERINTO CASA-78</t>
  </si>
  <si>
    <t xml:space="preserve">14822729</t>
  </si>
  <si>
    <t xml:space="preserve">010114822729</t>
  </si>
  <si>
    <t xml:space="preserve">DORIAN SAMUEL</t>
  </si>
  <si>
    <t xml:space="preserve">010183064284</t>
  </si>
  <si>
    <t xml:space="preserve">BRITNEY JHOANA</t>
  </si>
  <si>
    <t xml:space="preserve">MOLINA MOLINA</t>
  </si>
  <si>
    <t xml:space="preserve">04168699956</t>
  </si>
  <si>
    <t xml:space="preserve">83064284</t>
  </si>
  <si>
    <t xml:space="preserve">000031097181</t>
  </si>
  <si>
    <t xml:space="preserve">DANIELA PAOLA</t>
  </si>
  <si>
    <t xml:space="preserve">MORALES MELEAN</t>
  </si>
  <si>
    <t xml:space="preserve">04161673328</t>
  </si>
  <si>
    <t xml:space="preserve">11860420</t>
  </si>
  <si>
    <t xml:space="preserve">000031070080</t>
  </si>
  <si>
    <t xml:space="preserve">ISMAEL ANTONIO</t>
  </si>
  <si>
    <t xml:space="preserve">LAS MARIA</t>
  </si>
  <si>
    <t xml:space="preserve">04168615800</t>
  </si>
  <si>
    <t xml:space="preserve">000029812004</t>
  </si>
  <si>
    <t xml:space="preserve">MORAN URDANETA</t>
  </si>
  <si>
    <t xml:space="preserve">04268640291</t>
  </si>
  <si>
    <t xml:space="preserve">18312149</t>
  </si>
  <si>
    <t xml:space="preserve">000031354646</t>
  </si>
  <si>
    <t xml:space="preserve">LESLYE</t>
  </si>
  <si>
    <t xml:space="preserve">MORELO ROCHA</t>
  </si>
  <si>
    <t xml:space="preserve">20508879</t>
  </si>
  <si>
    <t xml:space="preserve">000031896669</t>
  </si>
  <si>
    <t xml:space="preserve">AMERICO ENRIQUE</t>
  </si>
  <si>
    <t xml:space="preserve">NAVARRO FONSECA</t>
  </si>
  <si>
    <t xml:space="preserve">04267180351</t>
  </si>
  <si>
    <t xml:space="preserve">05057777</t>
  </si>
  <si>
    <t xml:space="preserve">000024250422</t>
  </si>
  <si>
    <t xml:space="preserve">NERVELIN EUCARIS</t>
  </si>
  <si>
    <t xml:space="preserve">VILLALOBOS MORALES</t>
  </si>
  <si>
    <t xml:space="preserve">04266622052</t>
  </si>
  <si>
    <t xml:space="preserve">21078097</t>
  </si>
  <si>
    <t xml:space="preserve">000026872281</t>
  </si>
  <si>
    <t xml:space="preserve">GABRIEL ALEJANDRO</t>
  </si>
  <si>
    <t xml:space="preserve">VIA LA CONCEPCION BARRIO EL EDEN II</t>
  </si>
  <si>
    <t xml:space="preserve">04163665956</t>
  </si>
  <si>
    <t xml:space="preserve">000027847924</t>
  </si>
  <si>
    <t xml:space="preserve">RAFAEL EDUARDO</t>
  </si>
  <si>
    <t xml:space="preserve">04264638047</t>
  </si>
  <si>
    <t xml:space="preserve">15750849</t>
  </si>
  <si>
    <t xml:space="preserve">000029645300</t>
  </si>
  <si>
    <t xml:space="preserve">ADELAIDA DEL CARMEN</t>
  </si>
  <si>
    <t xml:space="preserve">PEREZ ALTAMAR</t>
  </si>
  <si>
    <t xml:space="preserve">04163608367</t>
  </si>
  <si>
    <t xml:space="preserve">000023769119</t>
  </si>
  <si>
    <t xml:space="preserve">JOVANY MAURICIO</t>
  </si>
  <si>
    <t xml:space="preserve">JIMENEZ TORRES</t>
  </si>
  <si>
    <t xml:space="preserve">04162257642</t>
  </si>
  <si>
    <t xml:space="preserve">13371906</t>
  </si>
  <si>
    <t xml:space="preserve">000027744062</t>
  </si>
  <si>
    <t xml:space="preserve">LEUDIS SEGUNDO</t>
  </si>
  <si>
    <t xml:space="preserve">02638872612</t>
  </si>
  <si>
    <t xml:space="preserve">17566896</t>
  </si>
  <si>
    <t xml:space="preserve">019713427954</t>
  </si>
  <si>
    <t xml:space="preserve">LILIBETH ANDREINA</t>
  </si>
  <si>
    <t xml:space="preserve">MATA GRANDE</t>
  </si>
  <si>
    <t xml:space="preserve">SECTOR LAS MARIAS INVACION EL PARAISO</t>
  </si>
  <si>
    <t xml:space="preserve">13427954</t>
  </si>
  <si>
    <t xml:space="preserve">019810518202</t>
  </si>
  <si>
    <t xml:space="preserve">SINDY PAOLA</t>
  </si>
  <si>
    <t xml:space="preserve">TAPIA GAMARRA</t>
  </si>
  <si>
    <t xml:space="preserve">BOLIVAR SAN JUAN NEPOMUCENO</t>
  </si>
  <si>
    <t xml:space="preserve">LA PAZ MARIO URDANETA</t>
  </si>
  <si>
    <t xml:space="preserve">10518202</t>
  </si>
  <si>
    <t xml:space="preserve">000030567646</t>
  </si>
  <si>
    <t xml:space="preserve">VALERIA</t>
  </si>
  <si>
    <t xml:space="preserve">04263668709</t>
  </si>
  <si>
    <t xml:space="preserve">64564310</t>
  </si>
  <si>
    <t xml:space="preserve">010215195854</t>
  </si>
  <si>
    <t xml:space="preserve">EDDY ANDRES</t>
  </si>
  <si>
    <t xml:space="preserve">15195854</t>
  </si>
  <si>
    <t xml:space="preserve">000030748693</t>
  </si>
  <si>
    <t xml:space="preserve">EUDI ENRIQUE</t>
  </si>
  <si>
    <t xml:space="preserve">04264610102</t>
  </si>
  <si>
    <t xml:space="preserve">000029902957</t>
  </si>
  <si>
    <t xml:space="preserve">AUDIMAR CHIQUINQUIRA</t>
  </si>
  <si>
    <t xml:space="preserve">BARRIO CHINO RAFAEL</t>
  </si>
  <si>
    <t xml:space="preserve">04168671511</t>
  </si>
  <si>
    <t xml:space="preserve">010114736567</t>
  </si>
  <si>
    <t xml:space="preserve">AVP. LA PAZ</t>
  </si>
  <si>
    <t xml:space="preserve">04162260655</t>
  </si>
  <si>
    <t xml:space="preserve">000031931632</t>
  </si>
  <si>
    <t xml:space="preserve">ANDREINA KARINA</t>
  </si>
  <si>
    <t xml:space="preserve">VERGARA FERNANDEZ</t>
  </si>
  <si>
    <t xml:space="preserve">08505573</t>
  </si>
  <si>
    <t xml:space="preserve">000030355167</t>
  </si>
  <si>
    <t xml:space="preserve">MALCO ANTONIO</t>
  </si>
  <si>
    <t xml:space="preserve">CAMPO YOCOIMA</t>
  </si>
  <si>
    <t xml:space="preserve">04127999597</t>
  </si>
  <si>
    <t xml:space="preserve">000030474529</t>
  </si>
  <si>
    <t xml:space="preserve">YOERLY MILENA</t>
  </si>
  <si>
    <t xml:space="preserve">04269663199</t>
  </si>
  <si>
    <t xml:space="preserve">000031016232</t>
  </si>
  <si>
    <t xml:space="preserve">BETSAIDA THALY</t>
  </si>
  <si>
    <t xml:space="preserve">SECTOR EL DIQUE</t>
  </si>
  <si>
    <t xml:space="preserve">010110434390</t>
  </si>
  <si>
    <t xml:space="preserve">VIA SAN ANTONIO</t>
  </si>
  <si>
    <t xml:space="preserve">04160635960</t>
  </si>
  <si>
    <t xml:space="preserve">010115888514</t>
  </si>
  <si>
    <t xml:space="preserve">ZABALETA MOLERO</t>
  </si>
  <si>
    <t xml:space="preserve">04165633530</t>
  </si>
  <si>
    <t xml:space="preserve">15888514</t>
  </si>
  <si>
    <t xml:space="preserve">000029790965</t>
  </si>
  <si>
    <t xml:space="preserve">MARIAN YELIS PAOLA</t>
  </si>
  <si>
    <t xml:space="preserve">04160692317</t>
  </si>
  <si>
    <t xml:space="preserve">11292542</t>
  </si>
  <si>
    <t xml:space="preserve">000029790967</t>
  </si>
  <si>
    <t xml:space="preserve">ALEXANDRA PAOLA</t>
  </si>
  <si>
    <t xml:space="preserve">FERNANDEZ VILLLALOBOS</t>
  </si>
  <si>
    <t xml:space="preserve">04260623980</t>
  </si>
  <si>
    <t xml:space="preserve">14736566</t>
  </si>
  <si>
    <t xml:space="preserve">000029790971</t>
  </si>
  <si>
    <t xml:space="preserve">ROXAINY</t>
  </si>
  <si>
    <t xml:space="preserve">VILLALOBOS CASTILLA</t>
  </si>
  <si>
    <t xml:space="preserve">04167679577</t>
  </si>
  <si>
    <t xml:space="preserve">000029790973</t>
  </si>
  <si>
    <t xml:space="preserve">HERNANDEZ SOTO</t>
  </si>
  <si>
    <t xml:space="preserve">04169699578</t>
  </si>
  <si>
    <t xml:space="preserve">17566996</t>
  </si>
  <si>
    <t xml:space="preserve">000029790992</t>
  </si>
  <si>
    <t xml:space="preserve">NORBELIS BEATRIZ</t>
  </si>
  <si>
    <t xml:space="preserve">04268233710</t>
  </si>
  <si>
    <t xml:space="preserve">13151676</t>
  </si>
  <si>
    <t xml:space="preserve">000029790996</t>
  </si>
  <si>
    <t xml:space="preserve">ADELEIBEL DEL VALLE</t>
  </si>
  <si>
    <t xml:space="preserve">BRIÑEZ PARRA</t>
  </si>
  <si>
    <t xml:space="preserve">04269664970</t>
  </si>
  <si>
    <t xml:space="preserve">15938222</t>
  </si>
  <si>
    <t xml:space="preserve">000029812012</t>
  </si>
  <si>
    <t xml:space="preserve">NERGLEY MARIA</t>
  </si>
  <si>
    <t xml:space="preserve">SULBARAN FERNANDEZ</t>
  </si>
  <si>
    <t xml:space="preserve">04267660292</t>
  </si>
  <si>
    <t xml:space="preserve">06805869</t>
  </si>
  <si>
    <t xml:space="preserve">000029812019</t>
  </si>
  <si>
    <t xml:space="preserve">GENESIS DANIELA</t>
  </si>
  <si>
    <t xml:space="preserve">SECTOR ROBERTO FUENMAYOR CASA 112</t>
  </si>
  <si>
    <t xml:space="preserve">04263238128</t>
  </si>
  <si>
    <t xml:space="preserve">000029812668</t>
  </si>
  <si>
    <t xml:space="preserve">SUAREZ  SANCHEZ</t>
  </si>
  <si>
    <t xml:space="preserve">SECTOR 5 DE JULIO</t>
  </si>
  <si>
    <t xml:space="preserve">04126514249</t>
  </si>
  <si>
    <t xml:space="preserve">18394513</t>
  </si>
  <si>
    <t xml:space="preserve">000029812670</t>
  </si>
  <si>
    <t xml:space="preserve">ALDANA SUAREZ</t>
  </si>
  <si>
    <t xml:space="preserve">CAMPO COQUIVACOA CASA 21B</t>
  </si>
  <si>
    <t xml:space="preserve">0*</t>
  </si>
  <si>
    <t xml:space="preserve">000029816911</t>
  </si>
  <si>
    <t xml:space="preserve">JEREMY GREGORIO</t>
  </si>
  <si>
    <t xml:space="preserve">04267006851</t>
  </si>
  <si>
    <t xml:space="preserve">20509417</t>
  </si>
  <si>
    <t xml:space="preserve">000029836217</t>
  </si>
  <si>
    <t xml:space="preserve">LORIANA EUNICE</t>
  </si>
  <si>
    <t xml:space="preserve">LA JAVILLA</t>
  </si>
  <si>
    <t xml:space="preserve">04266663480</t>
  </si>
  <si>
    <t xml:space="preserve">000029836325</t>
  </si>
  <si>
    <t xml:space="preserve">GUSMAIRY MARIA</t>
  </si>
  <si>
    <t xml:space="preserve">PEROZO FUENMAYOR</t>
  </si>
  <si>
    <t xml:space="preserve">BARRIO MARIO URDANETA II ( LAS CASITAS)</t>
  </si>
  <si>
    <t xml:space="preserve">14370049</t>
  </si>
  <si>
    <t xml:space="preserve">000029836329</t>
  </si>
  <si>
    <t xml:space="preserve">04160169408</t>
  </si>
  <si>
    <t xml:space="preserve">17565285</t>
  </si>
  <si>
    <t xml:space="preserve">000029836332</t>
  </si>
  <si>
    <t xml:space="preserve">JOHN ERICK</t>
  </si>
  <si>
    <t xml:space="preserve">DE LA HOZ RODRIGUEZ</t>
  </si>
  <si>
    <t xml:space="preserve">04267627729</t>
  </si>
  <si>
    <t xml:space="preserve">16188688</t>
  </si>
  <si>
    <t xml:space="preserve">000029836348</t>
  </si>
  <si>
    <t xml:space="preserve">DANNIBETH  SARAY</t>
  </si>
  <si>
    <t xml:space="preserve">FINOL PULGAR</t>
  </si>
  <si>
    <t xml:space="preserve">BARRIO MARIO URDANETA CASA 13</t>
  </si>
  <si>
    <t xml:space="preserve">04162219860</t>
  </si>
  <si>
    <t xml:space="preserve">000029836356</t>
  </si>
  <si>
    <t xml:space="preserve">WILSON VICENTE</t>
  </si>
  <si>
    <t xml:space="preserve">0416161962</t>
  </si>
  <si>
    <t xml:space="preserve">000029844591</t>
  </si>
  <si>
    <t xml:space="preserve">YORGELIS GISEL</t>
  </si>
  <si>
    <t xml:space="preserve">FERNANDEZ CARRASQUERO</t>
  </si>
  <si>
    <t xml:space="preserve">PARADA DE LOS BUSES CASA 207</t>
  </si>
  <si>
    <t xml:space="preserve">04124731445</t>
  </si>
  <si>
    <t xml:space="preserve">17564343</t>
  </si>
  <si>
    <t xml:space="preserve">000029902859</t>
  </si>
  <si>
    <t xml:space="preserve">RICHARD JAVIER</t>
  </si>
  <si>
    <t xml:space="preserve">FERNANDEZ PORTILLO</t>
  </si>
  <si>
    <t xml:space="preserve">04269673415</t>
  </si>
  <si>
    <t xml:space="preserve">11069450</t>
  </si>
  <si>
    <t xml:space="preserve">000030249958</t>
  </si>
  <si>
    <t xml:space="preserve">KELVIS JOSE</t>
  </si>
  <si>
    <t xml:space="preserve">NOTERY LOS JAGUEYES</t>
  </si>
  <si>
    <t xml:space="preserve">04261669878</t>
  </si>
  <si>
    <t xml:space="preserve">18120369</t>
  </si>
  <si>
    <t xml:space="preserve">000030249959</t>
  </si>
  <si>
    <t xml:space="preserve">KELY  SHOJANA</t>
  </si>
  <si>
    <t xml:space="preserve">PALMAR MACHADO</t>
  </si>
  <si>
    <t xml:space="preserve">LOS JAGUEYES EL LABERINTO</t>
  </si>
  <si>
    <t xml:space="preserve">09724522</t>
  </si>
  <si>
    <t xml:space="preserve">000030274446</t>
  </si>
  <si>
    <t xml:space="preserve">ISABELLA JOSE</t>
  </si>
  <si>
    <t xml:space="preserve">RIOS PIRELA</t>
  </si>
  <si>
    <t xml:space="preserve">02624935725</t>
  </si>
  <si>
    <t xml:space="preserve">16729336</t>
  </si>
  <si>
    <t xml:space="preserve">000030284207</t>
  </si>
  <si>
    <t xml:space="preserve">MEDY SILENDA</t>
  </si>
  <si>
    <t xml:space="preserve">04167663423</t>
  </si>
  <si>
    <t xml:space="preserve">000030284598</t>
  </si>
  <si>
    <t xml:space="preserve">DASNELY LUCIA</t>
  </si>
  <si>
    <t xml:space="preserve">BARRIO CACAGUITA</t>
  </si>
  <si>
    <t xml:space="preserve">02628661244</t>
  </si>
  <si>
    <t xml:space="preserve">000030284836</t>
  </si>
  <si>
    <t xml:space="preserve">FELIX HEBERTO</t>
  </si>
  <si>
    <t xml:space="preserve">URDANETA CARDENAS</t>
  </si>
  <si>
    <t xml:space="preserve">04162225984</t>
  </si>
  <si>
    <t xml:space="preserve">17938295</t>
  </si>
  <si>
    <t xml:space="preserve">000030299126</t>
  </si>
  <si>
    <t xml:space="preserve">PEREZ URDANETA</t>
  </si>
  <si>
    <t xml:space="preserve">04263683103</t>
  </si>
  <si>
    <t xml:space="preserve">17461801</t>
  </si>
  <si>
    <t xml:space="preserve">000027090321</t>
  </si>
  <si>
    <t xml:space="preserve">DIANETH KATIUSKA</t>
  </si>
  <si>
    <t xml:space="preserve">NASSER RIVERO</t>
  </si>
  <si>
    <t xml:space="preserve">04262615104</t>
  </si>
  <si>
    <t xml:space="preserve">000023466456</t>
  </si>
  <si>
    <t xml:space="preserve">DAYERLIN KARINA</t>
  </si>
  <si>
    <t xml:space="preserve">09745226</t>
  </si>
  <si>
    <t xml:space="preserve">000030299130</t>
  </si>
  <si>
    <t xml:space="preserve">ELIANDRYS DEL VALLE</t>
  </si>
  <si>
    <t xml:space="preserve">BOZO RAMIREZ</t>
  </si>
  <si>
    <t xml:space="preserve">04162234512</t>
  </si>
  <si>
    <t xml:space="preserve">20206685</t>
  </si>
  <si>
    <t xml:space="preserve">000030299134</t>
  </si>
  <si>
    <t xml:space="preserve">YENDRY JESUS</t>
  </si>
  <si>
    <t xml:space="preserve">BOSCAN ARIAS</t>
  </si>
  <si>
    <t xml:space="preserve">LA NUEVECITA VIA 4 BOCA</t>
  </si>
  <si>
    <t xml:space="preserve">04266606091</t>
  </si>
  <si>
    <t xml:space="preserve">17565400</t>
  </si>
  <si>
    <t xml:space="preserve">000030299136</t>
  </si>
  <si>
    <t xml:space="preserve">YOANGEL JESUS</t>
  </si>
  <si>
    <t xml:space="preserve">AZUAJE FUENMAYOR</t>
  </si>
  <si>
    <t xml:space="preserve">04124732564</t>
  </si>
  <si>
    <t xml:space="preserve">17566953</t>
  </si>
  <si>
    <t xml:space="preserve">000030299146</t>
  </si>
  <si>
    <t xml:space="preserve">NELIANIS DEL CARMEN</t>
  </si>
  <si>
    <t xml:space="preserve">GARCIA OLIVEROS</t>
  </si>
  <si>
    <t xml:space="preserve">04162647646</t>
  </si>
  <si>
    <t xml:space="preserve">15987937</t>
  </si>
  <si>
    <t xml:space="preserve">000030299206</t>
  </si>
  <si>
    <t xml:space="preserve">LESBIA DEL VALLE</t>
  </si>
  <si>
    <t xml:space="preserve">04269222149</t>
  </si>
  <si>
    <t xml:space="preserve">000030299283</t>
  </si>
  <si>
    <t xml:space="preserve">YENIFER VANESSA</t>
  </si>
  <si>
    <t xml:space="preserve">COGOLLO URDANETA</t>
  </si>
  <si>
    <t xml:space="preserve">04266633826</t>
  </si>
  <si>
    <t xml:space="preserve">13877657</t>
  </si>
  <si>
    <t xml:space="preserve">000025039661</t>
  </si>
  <si>
    <t xml:space="preserve">ENDY JOSE</t>
  </si>
  <si>
    <t xml:space="preserve">04165643828</t>
  </si>
  <si>
    <t xml:space="preserve">000030299284</t>
  </si>
  <si>
    <t xml:space="preserve">ADELNEY KAROLAY</t>
  </si>
  <si>
    <t xml:space="preserve">ZAMBRANO ORTEGA</t>
  </si>
  <si>
    <t xml:space="preserve">04267626704</t>
  </si>
  <si>
    <t xml:space="preserve">15260759</t>
  </si>
  <si>
    <t xml:space="preserve">000030299285</t>
  </si>
  <si>
    <t xml:space="preserve">MARIA CLAUDIA</t>
  </si>
  <si>
    <t xml:space="preserve">FUENMAYOR HERNANDEZ</t>
  </si>
  <si>
    <t xml:space="preserve">BARRIIO MARIO URDANETA</t>
  </si>
  <si>
    <t xml:space="preserve">04266635930</t>
  </si>
  <si>
    <t xml:space="preserve">21422141</t>
  </si>
  <si>
    <t xml:space="preserve">000030299287</t>
  </si>
  <si>
    <t xml:space="preserve">DARVELIS JOHANA</t>
  </si>
  <si>
    <t xml:space="preserve">LAS CASITAS</t>
  </si>
  <si>
    <t xml:space="preserve">04268015090</t>
  </si>
  <si>
    <t xml:space="preserve">16729630</t>
  </si>
  <si>
    <t xml:space="preserve">000028652023</t>
  </si>
  <si>
    <t xml:space="preserve">MOLINA PIRELA</t>
  </si>
  <si>
    <t xml:space="preserve">SECTOR ELTAPARO</t>
  </si>
  <si>
    <t xml:space="preserve">04264671902</t>
  </si>
  <si>
    <t xml:space="preserve">000026872218</t>
  </si>
  <si>
    <t xml:space="preserve">DALVENIS RAMON</t>
  </si>
  <si>
    <t xml:space="preserve">BARRIO CHINO RAFAEL CASA 128</t>
  </si>
  <si>
    <t xml:space="preserve">04167689590</t>
  </si>
  <si>
    <t xml:space="preserve">14208546</t>
  </si>
  <si>
    <t xml:space="preserve">000030299290</t>
  </si>
  <si>
    <t xml:space="preserve">VIRGINIA DEL CARMEN</t>
  </si>
  <si>
    <t xml:space="preserve">OLIVEROS NUÑEZ</t>
  </si>
  <si>
    <t xml:space="preserve">BARRIO SIMON BOLIVAR CASA 46</t>
  </si>
  <si>
    <t xml:space="preserve">13428005</t>
  </si>
  <si>
    <t xml:space="preserve">019914458073</t>
  </si>
  <si>
    <t xml:space="preserve">MARY FER</t>
  </si>
  <si>
    <t xml:space="preserve">DETRAS DE CANTV</t>
  </si>
  <si>
    <t xml:space="preserve">04160855999</t>
  </si>
  <si>
    <t xml:space="preserve">14458073</t>
  </si>
  <si>
    <t xml:space="preserve">000029986382</t>
  </si>
  <si>
    <t xml:space="preserve">LEONARDO FARITH</t>
  </si>
  <si>
    <t xml:space="preserve">04121609960</t>
  </si>
  <si>
    <t xml:space="preserve">20508653</t>
  </si>
  <si>
    <t xml:space="preserve">000030285008</t>
  </si>
  <si>
    <t xml:space="preserve">IRIANGEL JOANA</t>
  </si>
  <si>
    <t xml:space="preserve">OQUENDO LARA</t>
  </si>
  <si>
    <t xml:space="preserve">LA PAZ VIA EL HONDITO</t>
  </si>
  <si>
    <t xml:space="preserve">04269242031</t>
  </si>
  <si>
    <t xml:space="preserve">22485034</t>
  </si>
  <si>
    <t xml:space="preserve">000030833739</t>
  </si>
  <si>
    <t xml:space="preserve">DAILIS YAJAIRA</t>
  </si>
  <si>
    <t xml:space="preserve">PARRA MARTINEZ</t>
  </si>
  <si>
    <t xml:space="preserve">25041005</t>
  </si>
  <si>
    <t xml:space="preserve">000030299306</t>
  </si>
  <si>
    <t xml:space="preserve">ALY DANIEL</t>
  </si>
  <si>
    <t xml:space="preserve">04168645564</t>
  </si>
  <si>
    <t xml:space="preserve">010177165092</t>
  </si>
  <si>
    <t xml:space="preserve">PERTUZ</t>
  </si>
  <si>
    <t xml:space="preserve">77165092</t>
  </si>
  <si>
    <t xml:space="preserve">000031526464</t>
  </si>
  <si>
    <t xml:space="preserve">PEROZO ATENCIO</t>
  </si>
  <si>
    <t xml:space="preserve">04262618718</t>
  </si>
  <si>
    <t xml:space="preserve">15839275</t>
  </si>
  <si>
    <t xml:space="preserve">019922665441</t>
  </si>
  <si>
    <t xml:space="preserve">KEREN ESTHER</t>
  </si>
  <si>
    <t xml:space="preserve">POLO PEÑALOZA</t>
  </si>
  <si>
    <t xml:space="preserve">04261671584</t>
  </si>
  <si>
    <t xml:space="preserve">22665441</t>
  </si>
  <si>
    <t xml:space="preserve">019713427763</t>
  </si>
  <si>
    <t xml:space="preserve">JEAN CARLOS</t>
  </si>
  <si>
    <t xml:space="preserve">0416697763</t>
  </si>
  <si>
    <t xml:space="preserve">000030985485</t>
  </si>
  <si>
    <t xml:space="preserve">DARIANGELIS PAOLA</t>
  </si>
  <si>
    <t xml:space="preserve">RINCON COLINA</t>
  </si>
  <si>
    <t xml:space="preserve">CAMPO CALIZA CASA RURAL 34-132</t>
  </si>
  <si>
    <t xml:space="preserve">04266627729</t>
  </si>
  <si>
    <t xml:space="preserve">000031527250</t>
  </si>
  <si>
    <t xml:space="preserve">RAFAEL ALBERTO</t>
  </si>
  <si>
    <t xml:space="preserve">SANCHEZ ROMERO</t>
  </si>
  <si>
    <t xml:space="preserve">CAMPO CALIZA CASA -4</t>
  </si>
  <si>
    <t xml:space="preserve">02626876625</t>
  </si>
  <si>
    <t xml:space="preserve">14208278</t>
  </si>
  <si>
    <t xml:space="preserve">000031070138</t>
  </si>
  <si>
    <t xml:space="preserve">FERLIMAR PAOLA</t>
  </si>
  <si>
    <t xml:space="preserve">SEVILLA OLIVEROS</t>
  </si>
  <si>
    <t xml:space="preserve">000031009858</t>
  </si>
  <si>
    <t xml:space="preserve">GENESIS DEL VALLE</t>
  </si>
  <si>
    <t xml:space="preserve">SILIET BARRETO</t>
  </si>
  <si>
    <t xml:space="preserve">04169666617</t>
  </si>
  <si>
    <t xml:space="preserve">09754394</t>
  </si>
  <si>
    <t xml:space="preserve">000031097041</t>
  </si>
  <si>
    <t xml:space="preserve">YANEIRI DEL MILAGRO</t>
  </si>
  <si>
    <t xml:space="preserve">SOTO LOVERA</t>
  </si>
  <si>
    <t xml:space="preserve">04126675007</t>
  </si>
  <si>
    <t xml:space="preserve">000031097173</t>
  </si>
  <si>
    <t xml:space="preserve">DEINIS JOSE</t>
  </si>
  <si>
    <t xml:space="preserve">04121287306</t>
  </si>
  <si>
    <t xml:space="preserve">000026169578</t>
  </si>
  <si>
    <t xml:space="preserve">JOSE MOISES</t>
  </si>
  <si>
    <t xml:space="preserve">ROBLES NAVARRO</t>
  </si>
  <si>
    <t xml:space="preserve">04126681165</t>
  </si>
  <si>
    <t xml:space="preserve">13830923</t>
  </si>
  <si>
    <t xml:space="preserve">000021510246</t>
  </si>
  <si>
    <t xml:space="preserve">ELI JESUS</t>
  </si>
  <si>
    <t xml:space="preserve">010115888513</t>
  </si>
  <si>
    <t xml:space="preserve">010111291557</t>
  </si>
  <si>
    <t xml:space="preserve">NERKEIBER NAZARIO</t>
  </si>
  <si>
    <t xml:space="preserve">ACOSTA  SULBARAN</t>
  </si>
  <si>
    <t xml:space="preserve">11291557</t>
  </si>
  <si>
    <t xml:space="preserve">010116606960</t>
  </si>
  <si>
    <t xml:space="preserve">MARYURIS MARIA</t>
  </si>
  <si>
    <t xml:space="preserve">SARMIENTO FERNANDEZ</t>
  </si>
  <si>
    <t xml:space="preserve">16606960</t>
  </si>
  <si>
    <t xml:space="preserve">010184476546</t>
  </si>
  <si>
    <t xml:space="preserve">JHON JAIRO</t>
  </si>
  <si>
    <t xml:space="preserve">PEREZ CACERES</t>
  </si>
  <si>
    <t xml:space="preserve">02622057662</t>
  </si>
  <si>
    <t xml:space="preserve">84476545</t>
  </si>
  <si>
    <t xml:space="preserve">019864523004</t>
  </si>
  <si>
    <t xml:space="preserve">JOSE LUIS</t>
  </si>
  <si>
    <t xml:space="preserve">SAN ONOFRE</t>
  </si>
  <si>
    <t xml:space="preserve">BARRIO 5 DE JULIO</t>
  </si>
  <si>
    <t xml:space="preserve">64523004</t>
  </si>
  <si>
    <t xml:space="preserve">000025920945</t>
  </si>
  <si>
    <t xml:space="preserve">KERVYN JOSE</t>
  </si>
  <si>
    <t xml:space="preserve">BRICEÑO PEREIRA</t>
  </si>
  <si>
    <t xml:space="preserve">CAGUA</t>
  </si>
  <si>
    <t xml:space="preserve">000029902951</t>
  </si>
  <si>
    <t xml:space="preserve">MAIKOL DE JESUS</t>
  </si>
  <si>
    <t xml:space="preserve">09078789</t>
  </si>
  <si>
    <t xml:space="preserve">000026169715</t>
  </si>
  <si>
    <t xml:space="preserve">YASMELY DEL VALLE</t>
  </si>
  <si>
    <t xml:space="preserve">05111641</t>
  </si>
  <si>
    <t xml:space="preserve">000027633886</t>
  </si>
  <si>
    <t xml:space="preserve">ANGEL ALEJANDRO</t>
  </si>
  <si>
    <t xml:space="preserve">MORALES FUENMAYOR</t>
  </si>
  <si>
    <t xml:space="preserve">SECTOR LAS MARIA</t>
  </si>
  <si>
    <t xml:space="preserve">15559005</t>
  </si>
  <si>
    <t xml:space="preserve">000027633497</t>
  </si>
  <si>
    <t xml:space="preserve">FRANYELIS JULIANA</t>
  </si>
  <si>
    <t xml:space="preserve">CASTILLO URDANETA</t>
  </si>
  <si>
    <t xml:space="preserve">18394486</t>
  </si>
  <si>
    <t xml:space="preserve">000027633838</t>
  </si>
  <si>
    <t xml:space="preserve">LUCIA DEL CARMEN</t>
  </si>
  <si>
    <t xml:space="preserve">LA PAZ BARRIO SIMON BOLIVAR CALLE 3 CASA 45</t>
  </si>
  <si>
    <t xml:space="preserve">019849697255</t>
  </si>
  <si>
    <t xml:space="preserve">LUCEDIS</t>
  </si>
  <si>
    <t xml:space="preserve">RAPALINO DAZA</t>
  </si>
  <si>
    <t xml:space="preserve">HACIENDA EL NAZARENA Nº 1. EL DINERO</t>
  </si>
  <si>
    <t xml:space="preserve">49697255</t>
  </si>
  <si>
    <t xml:space="preserve">000028506426</t>
  </si>
  <si>
    <t xml:space="preserve">LUIS DANIEL</t>
  </si>
  <si>
    <t xml:space="preserve">VALBUENA URDANETA</t>
  </si>
  <si>
    <t xml:space="preserve">LA CONCEPCION SECTOR LAS AMALIAS</t>
  </si>
  <si>
    <t xml:space="preserve">04168612955</t>
  </si>
  <si>
    <t xml:space="preserve">16689295</t>
  </si>
  <si>
    <t xml:space="preserve">000027197246</t>
  </si>
  <si>
    <t xml:space="preserve">ANTEQUERA OLIVERA</t>
  </si>
  <si>
    <t xml:space="preserve">04267657108</t>
  </si>
  <si>
    <t xml:space="preserve">14028246</t>
  </si>
  <si>
    <t xml:space="preserve">019957307295</t>
  </si>
  <si>
    <t xml:space="preserve">JAIDER FRAN</t>
  </si>
  <si>
    <t xml:space="preserve">BARRIO MARIO URDANETA NRO. DE CASA 3</t>
  </si>
  <si>
    <t xml:space="preserve">000025596664</t>
  </si>
  <si>
    <t xml:space="preserve">DIANA BELIS</t>
  </si>
  <si>
    <t xml:space="preserve">TORRES SALAS</t>
  </si>
  <si>
    <t xml:space="preserve">CIUDAD COMUNAL SECTOR 3 MANZANA 1 CASA 91</t>
  </si>
  <si>
    <t xml:space="preserve">04267623303</t>
  </si>
  <si>
    <t xml:space="preserve">25407872</t>
  </si>
  <si>
    <t xml:space="preserve">000029790995</t>
  </si>
  <si>
    <t xml:space="preserve">04161632899</t>
  </si>
  <si>
    <t xml:space="preserve">000026710049</t>
  </si>
  <si>
    <t xml:space="preserve">ELIANIS PAOLA</t>
  </si>
  <si>
    <t xml:space="preserve">04168690776</t>
  </si>
  <si>
    <t xml:space="preserve">12445408</t>
  </si>
  <si>
    <t xml:space="preserve">000027090633</t>
  </si>
  <si>
    <t xml:space="preserve">SALAS TORRES</t>
  </si>
  <si>
    <t xml:space="preserve">CIUDAD COMUNAL SECTOR 3 MANZANA 1 CASA 91 EL LABERINTO</t>
  </si>
  <si>
    <t xml:space="preserve">04267622303</t>
  </si>
  <si>
    <t xml:space="preserve">019725407872</t>
  </si>
  <si>
    <t xml:space="preserve">KENDRI GREGORIO</t>
  </si>
  <si>
    <t xml:space="preserve">000028483275</t>
  </si>
  <si>
    <t xml:space="preserve">PEÑA VILLALOBOS</t>
  </si>
  <si>
    <t xml:space="preserve">SECTOR LAS FLORES CASA 217</t>
  </si>
  <si>
    <t xml:space="preserve">04168712054</t>
  </si>
  <si>
    <t xml:space="preserve">15889279</t>
  </si>
  <si>
    <t xml:space="preserve">019912445408</t>
  </si>
  <si>
    <t xml:space="preserve">ALBINO JOSE</t>
  </si>
  <si>
    <t xml:space="preserve">000027633485</t>
  </si>
  <si>
    <t xml:space="preserve">DARIANA GUILLERMINA</t>
  </si>
  <si>
    <t xml:space="preserve">PIRELA DIAZ</t>
  </si>
  <si>
    <t xml:space="preserve">CIUDAD COMUNAL EL LABERINTO SECTOR 3 MANZANA 3 CASA 20</t>
  </si>
  <si>
    <t xml:space="preserve">11294983</t>
  </si>
  <si>
    <t xml:space="preserve">000025241460</t>
  </si>
  <si>
    <t xml:space="preserve">ANDRYS GABRIEL</t>
  </si>
  <si>
    <t xml:space="preserve">VALENCIA SOTURNO</t>
  </si>
  <si>
    <t xml:space="preserve">04266669463</t>
  </si>
  <si>
    <t xml:space="preserve">000020835923</t>
  </si>
  <si>
    <t xml:space="preserve">04168665898</t>
  </si>
  <si>
    <t xml:space="preserve">21685569</t>
  </si>
  <si>
    <t xml:space="preserve">000023856495</t>
  </si>
  <si>
    <t xml:space="preserve">EDUAR JESUS</t>
  </si>
  <si>
    <t xml:space="preserve">RAMON ESPINOZA</t>
  </si>
  <si>
    <t xml:space="preserve">000030122138</t>
  </si>
  <si>
    <t xml:space="preserve">04266697442</t>
  </si>
  <si>
    <t xml:space="preserve">000027633468</t>
  </si>
  <si>
    <t xml:space="preserve">ROXNY YOHEL</t>
  </si>
  <si>
    <t xml:space="preserve">RODRIGUEZ BALZAN</t>
  </si>
  <si>
    <t xml:space="preserve">04126717390</t>
  </si>
  <si>
    <t xml:space="preserve">13607698</t>
  </si>
  <si>
    <t xml:space="preserve">000024463703</t>
  </si>
  <si>
    <t xml:space="preserve">EDUARDO ANTONIO</t>
  </si>
  <si>
    <t xml:space="preserve">GONZALEZ SATURNO</t>
  </si>
  <si>
    <t xml:space="preserve">21039458</t>
  </si>
  <si>
    <t xml:space="preserve">010034456789</t>
  </si>
  <si>
    <t xml:space="preserve">RAMON</t>
  </si>
  <si>
    <t xml:space="preserve">000026640769</t>
  </si>
  <si>
    <t xml:space="preserve">ORIANA VALENTINA</t>
  </si>
  <si>
    <t xml:space="preserve">GOMEZ FUENTES</t>
  </si>
  <si>
    <t xml:space="preserve">A.V PRINCIPAL CALLE LA ENVIDIA</t>
  </si>
  <si>
    <t xml:space="preserve">041622235357</t>
  </si>
  <si>
    <t xml:space="preserve">13176394</t>
  </si>
  <si>
    <t xml:space="preserve">000027998236</t>
  </si>
  <si>
    <t xml:space="preserve">PULGAR FERNANDEZ</t>
  </si>
  <si>
    <t xml:space="preserve">LA VALEROSA</t>
  </si>
  <si>
    <t xml:space="preserve">02628089752</t>
  </si>
  <si>
    <t xml:space="preserve">09758568</t>
  </si>
  <si>
    <t xml:space="preserve">195112401199</t>
  </si>
  <si>
    <t xml:space="preserve">OVIDIO ENRIQUE</t>
  </si>
  <si>
    <t xml:space="preserve">POLO BARBOZA</t>
  </si>
  <si>
    <t xml:space="preserve">11240119</t>
  </si>
  <si>
    <t xml:space="preserve">000020686518</t>
  </si>
  <si>
    <t xml:space="preserve">GILBERTO ENRIQUE</t>
  </si>
  <si>
    <t xml:space="preserve">ORTIZ MARTINEZ</t>
  </si>
  <si>
    <t xml:space="preserve">000017566671</t>
  </si>
  <si>
    <t xml:space="preserve">HERNANDEZ LABARCA</t>
  </si>
  <si>
    <t xml:space="preserve">000016621370</t>
  </si>
  <si>
    <t xml:space="preserve">MAIKELLY DEL VALLE</t>
  </si>
  <si>
    <t xml:space="preserve">000020059472</t>
  </si>
  <si>
    <t xml:space="preserve">YESLINDA JOSEFINA</t>
  </si>
  <si>
    <t xml:space="preserve">000015748007</t>
  </si>
  <si>
    <t xml:space="preserve">DEIVYS ENRIQUE</t>
  </si>
  <si>
    <t xml:space="preserve">SERMEÑO ROMERO</t>
  </si>
  <si>
    <t xml:space="preserve">000027090519</t>
  </si>
  <si>
    <t xml:space="preserve">AMARILIS CHIQUINQUIRA</t>
  </si>
  <si>
    <t xml:space="preserve">VIA EL HONDITO, CASA Nº 131</t>
  </si>
  <si>
    <t xml:space="preserve">04169600340</t>
  </si>
  <si>
    <t xml:space="preserve">000023466454</t>
  </si>
  <si>
    <t xml:space="preserve">NEURO RAMON</t>
  </si>
  <si>
    <t xml:space="preserve">CASTILLO BERRUETA</t>
  </si>
  <si>
    <t xml:space="preserve">LA PAZ CALLE LA ANVIDIA</t>
  </si>
  <si>
    <t xml:space="preserve">000017088821</t>
  </si>
  <si>
    <t xml:space="preserve">YOHANDER JOSE</t>
  </si>
  <si>
    <t xml:space="preserve">000027972192</t>
  </si>
  <si>
    <t xml:space="preserve">BORIS MELL</t>
  </si>
  <si>
    <t xml:space="preserve">JARDINES DEL LAGO</t>
  </si>
  <si>
    <t xml:space="preserve">04264635430</t>
  </si>
  <si>
    <t xml:space="preserve">11609679</t>
  </si>
  <si>
    <t xml:space="preserve">000017479668</t>
  </si>
  <si>
    <t xml:space="preserve">YOSELIN MARIA</t>
  </si>
  <si>
    <t xml:space="preserve">ROBLES NEGRETTE</t>
  </si>
  <si>
    <t xml:space="preserve">000021423313</t>
  </si>
  <si>
    <t xml:space="preserve">RENZO LUIS</t>
  </si>
  <si>
    <t xml:space="preserve">DE LA CRUZ NAVARRO</t>
  </si>
  <si>
    <t xml:space="preserve">000020147990</t>
  </si>
  <si>
    <t xml:space="preserve">EMILY DEL VALLE</t>
  </si>
  <si>
    <t xml:space="preserve">000019810698</t>
  </si>
  <si>
    <t xml:space="preserve">URDANETA DE GOUVEIA</t>
  </si>
  <si>
    <t xml:space="preserve">000016081386</t>
  </si>
  <si>
    <t xml:space="preserve">NARQUIN DEIVIS</t>
  </si>
  <si>
    <t xml:space="preserve">000023769856</t>
  </si>
  <si>
    <t xml:space="preserve">ARTURO JOSE</t>
  </si>
  <si>
    <t xml:space="preserve">GUTIERREZ RAMIREZ</t>
  </si>
  <si>
    <t xml:space="preserve">000019906274</t>
  </si>
  <si>
    <t xml:space="preserve">VICTOR RAFAEL</t>
  </si>
  <si>
    <t xml:space="preserve">PORTILLO MORALES</t>
  </si>
  <si>
    <t xml:space="preserve">000023466532</t>
  </si>
  <si>
    <t xml:space="preserve">GEREMY DAVID</t>
  </si>
  <si>
    <t xml:space="preserve">000006805798</t>
  </si>
  <si>
    <t xml:space="preserve">YARITZA DEL CARMEN</t>
  </si>
  <si>
    <t xml:space="preserve">CASTILLO BERMUDEZ</t>
  </si>
  <si>
    <t xml:space="preserve">000020834713</t>
  </si>
  <si>
    <t xml:space="preserve">LUIS ALBINO</t>
  </si>
  <si>
    <t xml:space="preserve">000021229170</t>
  </si>
  <si>
    <t xml:space="preserve">MARIA CHIQUINQUIRA</t>
  </si>
  <si>
    <t xml:space="preserve">FERNANDEZ URDANETA</t>
  </si>
  <si>
    <t xml:space="preserve">000027292905</t>
  </si>
  <si>
    <t xml:space="preserve">JESSICA D´WHINTER</t>
  </si>
  <si>
    <t xml:space="preserve">SILVA IGUARAN</t>
  </si>
  <si>
    <t xml:space="preserve">04268134874</t>
  </si>
  <si>
    <t xml:space="preserve">11859790</t>
  </si>
  <si>
    <t xml:space="preserve">000024725885</t>
  </si>
  <si>
    <t xml:space="preserve">NEDIMO JOSE</t>
  </si>
  <si>
    <t xml:space="preserve">000023466528</t>
  </si>
  <si>
    <t xml:space="preserve">ANGEL RAUL</t>
  </si>
  <si>
    <t xml:space="preserve">000023466370</t>
  </si>
  <si>
    <t xml:space="preserve">CARLOS ALEJANDRO</t>
  </si>
  <si>
    <t xml:space="preserve">000030412299</t>
  </si>
  <si>
    <t xml:space="preserve">YELIMAR GREGORIA</t>
  </si>
  <si>
    <t xml:space="preserve">PARRA BELLOSO</t>
  </si>
  <si>
    <t xml:space="preserve">04127504486</t>
  </si>
  <si>
    <t xml:space="preserve">000026481240</t>
  </si>
  <si>
    <t xml:space="preserve">ANYIBELIS COROMOTO</t>
  </si>
  <si>
    <t xml:space="preserve">FERRER ALVARADO</t>
  </si>
  <si>
    <t xml:space="preserve">04261645169</t>
  </si>
  <si>
    <t xml:space="preserve">000026618577</t>
  </si>
  <si>
    <t xml:space="preserve">YEILIN STHEFANI</t>
  </si>
  <si>
    <t xml:space="preserve">BRAVO FERRER</t>
  </si>
  <si>
    <t xml:space="preserve">LA PAZ CAMPO COQUIVACOA CASA Nº 08-E</t>
  </si>
  <si>
    <t xml:space="preserve">16728199</t>
  </si>
  <si>
    <t xml:space="preserve">000028426812</t>
  </si>
  <si>
    <t xml:space="preserve">ESTARVIN JOSE</t>
  </si>
  <si>
    <t xml:space="preserve">VELAZQUEZ GARCIA</t>
  </si>
  <si>
    <t xml:space="preserve">ciudad comunal</t>
  </si>
  <si>
    <t xml:space="preserve">04249679351</t>
  </si>
  <si>
    <t xml:space="preserve">000027090721</t>
  </si>
  <si>
    <t xml:space="preserve">NEIDERMAR ALEJANDRA</t>
  </si>
  <si>
    <t xml:space="preserve">RINCON FUENMAYOR</t>
  </si>
  <si>
    <t xml:space="preserve">04267610315</t>
  </si>
  <si>
    <t xml:space="preserve">15559008</t>
  </si>
  <si>
    <t xml:space="preserve">000029996366</t>
  </si>
  <si>
    <t xml:space="preserve">LENDY LESVI</t>
  </si>
  <si>
    <t xml:space="preserve">SANCHEZ URDANETA</t>
  </si>
  <si>
    <t xml:space="preserve">000026169875</t>
  </si>
  <si>
    <t xml:space="preserve">VILLALOBOS BERRUETA</t>
  </si>
  <si>
    <t xml:space="preserve">20777866</t>
  </si>
  <si>
    <t xml:space="preserve">019951816551</t>
  </si>
  <si>
    <t xml:space="preserve">ANGIE PAOLA</t>
  </si>
  <si>
    <t xml:space="preserve">MERCADO ROMERO</t>
  </si>
  <si>
    <t xml:space="preserve">10518165</t>
  </si>
  <si>
    <t xml:space="preserve">000029902898</t>
  </si>
  <si>
    <t xml:space="preserve">YORKIS ALEJANDRO</t>
  </si>
  <si>
    <t xml:space="preserve">URDANETA QUINTANA</t>
  </si>
  <si>
    <t xml:space="preserve">BARRIO SAN VALENTIN</t>
  </si>
  <si>
    <t xml:space="preserve">000029902904</t>
  </si>
  <si>
    <t xml:space="preserve">JOSE ANGEL</t>
  </si>
  <si>
    <t xml:space="preserve">BRAVO OLIVERO</t>
  </si>
  <si>
    <t xml:space="preserve">SECTOR SAN VALETIN</t>
  </si>
  <si>
    <t xml:space="preserve">04162679168</t>
  </si>
  <si>
    <t xml:space="preserve">19811513</t>
  </si>
  <si>
    <t xml:space="preserve">000029902905</t>
  </si>
  <si>
    <t xml:space="preserve">LISLIBETH COROMOTO</t>
  </si>
  <si>
    <t xml:space="preserve">04163689819</t>
  </si>
  <si>
    <t xml:space="preserve">15464447</t>
  </si>
  <si>
    <t xml:space="preserve">000029902907</t>
  </si>
  <si>
    <t xml:space="preserve">KLEIDIMAR DEL CARMEN</t>
  </si>
  <si>
    <t xml:space="preserve">GUTIERREZ FONSECA</t>
  </si>
  <si>
    <t xml:space="preserve">04161697331</t>
  </si>
  <si>
    <t xml:space="preserve">16687667</t>
  </si>
  <si>
    <t xml:space="preserve">000029902941</t>
  </si>
  <si>
    <t xml:space="preserve">MORENO SIBIRA</t>
  </si>
  <si>
    <t xml:space="preserve">AV.PRINCIPAL LA CONQUISTA</t>
  </si>
  <si>
    <t xml:space="preserve">04162278281</t>
  </si>
  <si>
    <t xml:space="preserve">16836836</t>
  </si>
  <si>
    <t xml:space="preserve">000029902955</t>
  </si>
  <si>
    <t xml:space="preserve">MARCELO SEGUNDO</t>
  </si>
  <si>
    <t xml:space="preserve">04164629600</t>
  </si>
  <si>
    <t xml:space="preserve">000029902991</t>
  </si>
  <si>
    <t xml:space="preserve">YAJAINI LUZ</t>
  </si>
  <si>
    <t xml:space="preserve">ARRIETA FONSECA</t>
  </si>
  <si>
    <t xml:space="preserve">04266008182</t>
  </si>
  <si>
    <t xml:space="preserve">15464295</t>
  </si>
  <si>
    <t xml:space="preserve">000029902998</t>
  </si>
  <si>
    <t xml:space="preserve">CARLOS EDUARDO</t>
  </si>
  <si>
    <t xml:space="preserve">16689300</t>
  </si>
  <si>
    <t xml:space="preserve">000029950848</t>
  </si>
  <si>
    <t xml:space="preserve">ENYERLING VANESA</t>
  </si>
  <si>
    <t xml:space="preserve">VSECTOR NOTEREY</t>
  </si>
  <si>
    <t xml:space="preserve">02622057752</t>
  </si>
  <si>
    <t xml:space="preserve">000029950850</t>
  </si>
  <si>
    <t xml:space="preserve">DOUGLEIDIS BENITA</t>
  </si>
  <si>
    <t xml:space="preserve">04267624873</t>
  </si>
  <si>
    <t xml:space="preserve">09784183</t>
  </si>
  <si>
    <t xml:space="preserve">000029963343</t>
  </si>
  <si>
    <t xml:space="preserve">04262246549</t>
  </si>
  <si>
    <t xml:space="preserve">14698195</t>
  </si>
  <si>
    <t xml:space="preserve">000029963357</t>
  </si>
  <si>
    <t xml:space="preserve">000029963359</t>
  </si>
  <si>
    <t xml:space="preserve">MARIA GABRIELA</t>
  </si>
  <si>
    <t xml:space="preserve">04160681016</t>
  </si>
  <si>
    <t xml:space="preserve">000029963362</t>
  </si>
  <si>
    <t xml:space="preserve">JOSE</t>
  </si>
  <si>
    <t xml:space="preserve">04166687179</t>
  </si>
  <si>
    <t xml:space="preserve">18823569</t>
  </si>
  <si>
    <t xml:space="preserve">000030299377</t>
  </si>
  <si>
    <t xml:space="preserve">CARELIS SARAI</t>
  </si>
  <si>
    <t xml:space="preserve">04268336509</t>
  </si>
  <si>
    <t xml:space="preserve">25188481</t>
  </si>
  <si>
    <t xml:space="preserve">000027998252</t>
  </si>
  <si>
    <t xml:space="preserve">LILIANETH DEL VALLE</t>
  </si>
  <si>
    <t xml:space="preserve">VIA CACHIRI</t>
  </si>
  <si>
    <t xml:space="preserve">09712116</t>
  </si>
  <si>
    <t xml:space="preserve">000023466817</t>
  </si>
  <si>
    <t xml:space="preserve">JOHANDRY JOSE</t>
  </si>
  <si>
    <t xml:space="preserve">04262257642</t>
  </si>
  <si>
    <t xml:space="preserve">000026560086</t>
  </si>
  <si>
    <t xml:space="preserve">JOEL DANIEL</t>
  </si>
  <si>
    <t xml:space="preserve">CIUDAD COMUNAL, MANZANA 7 CASA 9</t>
  </si>
  <si>
    <t xml:space="preserve">04268336529</t>
  </si>
  <si>
    <t xml:space="preserve">000023856212</t>
  </si>
  <si>
    <t xml:space="preserve">GUSMARY DEL CARMEN</t>
  </si>
  <si>
    <t xml:space="preserve">SECTOR CUATRO BOCAS</t>
  </si>
  <si>
    <t xml:space="preserve">04165355784</t>
  </si>
  <si>
    <t xml:space="preserve">000030299289</t>
  </si>
  <si>
    <t xml:space="preserve">DESIREE DEL CARMEN</t>
  </si>
  <si>
    <t xml:space="preserve">000030299294</t>
  </si>
  <si>
    <t xml:space="preserve">04261604891</t>
  </si>
  <si>
    <t xml:space="preserve">14629765</t>
  </si>
  <si>
    <t xml:space="preserve">000030299301</t>
  </si>
  <si>
    <t xml:space="preserve">TULIO ENRIQUE</t>
  </si>
  <si>
    <t xml:space="preserve">04164682496</t>
  </si>
  <si>
    <t xml:space="preserve">000030299303</t>
  </si>
  <si>
    <t xml:space="preserve">GENESIS PAOLA</t>
  </si>
  <si>
    <t xml:space="preserve">FERNANDEZ GUTIERREZ</t>
  </si>
  <si>
    <t xml:space="preserve">04162254792</t>
  </si>
  <si>
    <t xml:space="preserve">17565392</t>
  </si>
  <si>
    <t xml:space="preserve">000030299305</t>
  </si>
  <si>
    <t xml:space="preserve">YALEXANDRA CHIQUINQUIRA</t>
  </si>
  <si>
    <t xml:space="preserve">17096513</t>
  </si>
  <si>
    <t xml:space="preserve">000030299308</t>
  </si>
  <si>
    <t xml:space="preserve">NATAVID DARIELIS</t>
  </si>
  <si>
    <t xml:space="preserve">LAS PARCELA DE LA PAZ</t>
  </si>
  <si>
    <t xml:space="preserve">04167686862</t>
  </si>
  <si>
    <t xml:space="preserve">18285211</t>
  </si>
  <si>
    <t xml:space="preserve">000030299309</t>
  </si>
  <si>
    <t xml:space="preserve">SECTOR NASARENO</t>
  </si>
  <si>
    <t xml:space="preserve">04268619534</t>
  </si>
  <si>
    <t xml:space="preserve">000030299310</t>
  </si>
  <si>
    <t xml:space="preserve">YESSIKA DEL CARMEN</t>
  </si>
  <si>
    <t xml:space="preserve">04267252838</t>
  </si>
  <si>
    <t xml:space="preserve">000030299311</t>
  </si>
  <si>
    <t xml:space="preserve">KAREN PAOLA</t>
  </si>
  <si>
    <t xml:space="preserve">MACHADO GONZALEZ</t>
  </si>
  <si>
    <t xml:space="preserve">04164605697</t>
  </si>
  <si>
    <t xml:space="preserve">000030299313</t>
  </si>
  <si>
    <t xml:space="preserve">04168671100</t>
  </si>
  <si>
    <t xml:space="preserve">07797978</t>
  </si>
  <si>
    <t xml:space="preserve">000030299314</t>
  </si>
  <si>
    <t xml:space="preserve">ROMAIKER ALFONZO</t>
  </si>
  <si>
    <t xml:space="preserve">SANCHEZ GUANIPA</t>
  </si>
  <si>
    <t xml:space="preserve">02628088469</t>
  </si>
  <si>
    <t xml:space="preserve">000030299315</t>
  </si>
  <si>
    <t xml:space="preserve">ADNY YALIMAR</t>
  </si>
  <si>
    <t xml:space="preserve">NAVARRO PEÑA</t>
  </si>
  <si>
    <t xml:space="preserve">04121684193</t>
  </si>
  <si>
    <t xml:space="preserve">16121919</t>
  </si>
  <si>
    <t xml:space="preserve">000030299384</t>
  </si>
  <si>
    <t xml:space="preserve">PEREZ CASERES</t>
  </si>
  <si>
    <t xml:space="preserve">BARRIO COLORAO</t>
  </si>
  <si>
    <t xml:space="preserve">000030299916</t>
  </si>
  <si>
    <t xml:space="preserve">FARIA COLINA</t>
  </si>
  <si>
    <t xml:space="preserve">BARRIO LA GRAN FAMILIA</t>
  </si>
  <si>
    <t xml:space="preserve">04163683096</t>
  </si>
  <si>
    <t xml:space="preserve">000030315962</t>
  </si>
  <si>
    <t xml:space="preserve">NOEMI JEHOVANA</t>
  </si>
  <si>
    <t xml:space="preserve">MACHADO FUENMAYOR</t>
  </si>
  <si>
    <t xml:space="preserve">SECTOR LAS PARCELA DEL LABERINTO</t>
  </si>
  <si>
    <t xml:space="preserve">04268622910</t>
  </si>
  <si>
    <t xml:space="preserve">15719279</t>
  </si>
  <si>
    <t xml:space="preserve">000030319637</t>
  </si>
  <si>
    <t xml:space="preserve">RAFAEL DE JESUS</t>
  </si>
  <si>
    <t xml:space="preserve">CASTRO GUTIERREZ</t>
  </si>
  <si>
    <t xml:space="preserve">04162072978</t>
  </si>
  <si>
    <t xml:space="preserve">09703883</t>
  </si>
  <si>
    <t xml:space="preserve">000030337960</t>
  </si>
  <si>
    <t xml:space="preserve">ANDREA MISHELL</t>
  </si>
  <si>
    <t xml:space="preserve">FERNANDEZ ALVAREZ</t>
  </si>
  <si>
    <t xml:space="preserve">04162654355</t>
  </si>
  <si>
    <t xml:space="preserve">24722930</t>
  </si>
  <si>
    <t xml:space="preserve">000030355749</t>
  </si>
  <si>
    <t xml:space="preserve">DAYELIS GABRIELA</t>
  </si>
  <si>
    <t xml:space="preserve">04264666430</t>
  </si>
  <si>
    <t xml:space="preserve">000030377740</t>
  </si>
  <si>
    <t xml:space="preserve">MOISES DAVID</t>
  </si>
  <si>
    <t xml:space="preserve">000030412421</t>
  </si>
  <si>
    <t xml:space="preserve">MAURICIO JOSE</t>
  </si>
  <si>
    <t xml:space="preserve">AV.PP.CALLEJON LOS MOROCHOS</t>
  </si>
  <si>
    <t xml:space="preserve">04121052222</t>
  </si>
  <si>
    <t xml:space="preserve">000030419133</t>
  </si>
  <si>
    <t xml:space="preserve">ANGELIS CAROLINA</t>
  </si>
  <si>
    <t xml:space="preserve">URDANETA OLIVEROS</t>
  </si>
  <si>
    <t xml:space="preserve">04264240538</t>
  </si>
  <si>
    <t xml:space="preserve">14137459</t>
  </si>
  <si>
    <t xml:space="preserve">000030070185</t>
  </si>
  <si>
    <t xml:space="preserve">ISMAILA REBECA</t>
  </si>
  <si>
    <t xml:space="preserve">042696761225</t>
  </si>
  <si>
    <t xml:space="preserve">25555582</t>
  </si>
  <si>
    <t xml:space="preserve">000030251278</t>
  </si>
  <si>
    <t xml:space="preserve">VALENTINA</t>
  </si>
  <si>
    <t xml:space="preserve">ARRIETA TIRADO</t>
  </si>
  <si>
    <t xml:space="preserve">PARROQUIA ALTAGRACIA</t>
  </si>
  <si>
    <t xml:space="preserve">02619960670</t>
  </si>
  <si>
    <t xml:space="preserve">22697828</t>
  </si>
  <si>
    <t xml:space="preserve">000031289045</t>
  </si>
  <si>
    <t xml:space="preserve">JEHOLIANYS SARAY</t>
  </si>
  <si>
    <t xml:space="preserve">04263602886</t>
  </si>
  <si>
    <t xml:space="preserve">000031289022</t>
  </si>
  <si>
    <t xml:space="preserve">SECTOR LA PARADA DE LOS BUSES</t>
  </si>
  <si>
    <t xml:space="preserve">04262636151</t>
  </si>
  <si>
    <t xml:space="preserve">21354553</t>
  </si>
  <si>
    <t xml:space="preserve">000028506086</t>
  </si>
  <si>
    <t xml:space="preserve">OSDELIS DEL CARMEN</t>
  </si>
  <si>
    <t xml:space="preserve">CHINO RAFAEL</t>
  </si>
  <si>
    <t xml:space="preserve">04162695646</t>
  </si>
  <si>
    <t xml:space="preserve">010021510348</t>
  </si>
  <si>
    <t xml:space="preserve">MARIELA ABIGAIL</t>
  </si>
  <si>
    <t xml:space="preserve">BRIÑEZ TERNERA</t>
  </si>
  <si>
    <t xml:space="preserve">SECTOR LOS PANTALLA</t>
  </si>
  <si>
    <t xml:space="preserve">02624110102</t>
  </si>
  <si>
    <t xml:space="preserve">000030419130</t>
  </si>
  <si>
    <t xml:space="preserve">RUSBELY KARINA</t>
  </si>
  <si>
    <t xml:space="preserve">010012257429</t>
  </si>
  <si>
    <t xml:space="preserve">KATERIN PAOLA</t>
  </si>
  <si>
    <t xml:space="preserve">COLINA DE ZAMORA</t>
  </si>
  <si>
    <t xml:space="preserve">EL DILUVIO</t>
  </si>
  <si>
    <t xml:space="preserve">04168617887</t>
  </si>
  <si>
    <t xml:space="preserve">019910424215</t>
  </si>
  <si>
    <t xml:space="preserve">ANTONY RAFAEL</t>
  </si>
  <si>
    <t xml:space="preserve">CASTRO HEREDIA</t>
  </si>
  <si>
    <t xml:space="preserve">04261226150</t>
  </si>
  <si>
    <t xml:space="preserve">10424215</t>
  </si>
  <si>
    <t xml:space="preserve">010114356751</t>
  </si>
  <si>
    <t xml:space="preserve">TALIA HORTENCIA</t>
  </si>
  <si>
    <t xml:space="preserve">CARMONA MERCADO</t>
  </si>
  <si>
    <t xml:space="preserve">EL NAZARENO</t>
  </si>
  <si>
    <t xml:space="preserve">04269632041</t>
  </si>
  <si>
    <t xml:space="preserve">14356751</t>
  </si>
  <si>
    <t xml:space="preserve">000030903192</t>
  </si>
  <si>
    <t xml:space="preserve">NORIANNI COROMOTO</t>
  </si>
  <si>
    <t xml:space="preserve">04267622475</t>
  </si>
  <si>
    <t xml:space="preserve">000031252911</t>
  </si>
  <si>
    <t xml:space="preserve">04161136541</t>
  </si>
  <si>
    <t xml:space="preserve">15625020</t>
  </si>
  <si>
    <t xml:space="preserve">000030442065</t>
  </si>
  <si>
    <t xml:space="preserve">EDIXON ALBERTO</t>
  </si>
  <si>
    <t xml:space="preserve">010112441564</t>
  </si>
  <si>
    <t xml:space="preserve">ALVARO JOSE</t>
  </si>
  <si>
    <t xml:space="preserve">COLINA VILLALOBOS</t>
  </si>
  <si>
    <t xml:space="preserve">04169080437</t>
  </si>
  <si>
    <t xml:space="preserve">12441564</t>
  </si>
  <si>
    <t xml:space="preserve">000030843904</t>
  </si>
  <si>
    <t xml:space="preserve">MARIANGELA DEL VALLE</t>
  </si>
  <si>
    <t xml:space="preserve">CAMPO BOYACA CASA 9</t>
  </si>
  <si>
    <t xml:space="preserve">04120766036</t>
  </si>
  <si>
    <t xml:space="preserve">16365212</t>
  </si>
  <si>
    <t xml:space="preserve">000031339480</t>
  </si>
  <si>
    <t xml:space="preserve">WILFREDY</t>
  </si>
  <si>
    <t xml:space="preserve">BALLESTERO SILVA</t>
  </si>
  <si>
    <t xml:space="preserve">CAMPO BOYACA CASA 69-B</t>
  </si>
  <si>
    <t xml:space="preserve">04264615424</t>
  </si>
  <si>
    <t xml:space="preserve">000031339470</t>
  </si>
  <si>
    <t xml:space="preserve">WILGELER</t>
  </si>
  <si>
    <t xml:space="preserve">CAMPO BOYACA CASA 69</t>
  </si>
  <si>
    <t xml:space="preserve">000028103752</t>
  </si>
  <si>
    <t xml:space="preserve">KHATHIANNY KALETH</t>
  </si>
  <si>
    <t xml:space="preserve">PEREIRA GOMEZ</t>
  </si>
  <si>
    <t xml:space="preserve">15287756</t>
  </si>
  <si>
    <t xml:space="preserve">000025801087</t>
  </si>
  <si>
    <t xml:space="preserve">ELEANY ANGELA</t>
  </si>
  <si>
    <t xml:space="preserve">JASPI BARROSO</t>
  </si>
  <si>
    <t xml:space="preserve">barrio 5 de enero primera calle</t>
  </si>
  <si>
    <t xml:space="preserve">04146801762</t>
  </si>
  <si>
    <t xml:space="preserve">000023466353</t>
  </si>
  <si>
    <t xml:space="preserve">ANDRES ALBERTO</t>
  </si>
  <si>
    <t xml:space="preserve">GONZALEZ MELEAN</t>
  </si>
  <si>
    <t xml:space="preserve">000023770218</t>
  </si>
  <si>
    <t xml:space="preserve">LUIS RICARDO</t>
  </si>
  <si>
    <t xml:space="preserve">VILLALOBOS MEDINA</t>
  </si>
  <si>
    <t xml:space="preserve">000023466298</t>
  </si>
  <si>
    <t xml:space="preserve">FRANCISCO DEL CARMEN</t>
  </si>
  <si>
    <t xml:space="preserve">BENITEZ MARTINEZ</t>
  </si>
  <si>
    <t xml:space="preserve">000025039888</t>
  </si>
  <si>
    <t xml:space="preserve">EVER LEANDRO</t>
  </si>
  <si>
    <t xml:space="preserve">LEIVA HERRERA</t>
  </si>
  <si>
    <t xml:space="preserve">010216837263</t>
  </si>
  <si>
    <t xml:space="preserve">MARIAN ISABEL</t>
  </si>
  <si>
    <t xml:space="preserve">DIAZ PEREZ</t>
  </si>
  <si>
    <t xml:space="preserve">BUENA VISTA</t>
  </si>
  <si>
    <t xml:space="preserve">041656447109</t>
  </si>
  <si>
    <t xml:space="preserve">000023466304</t>
  </si>
  <si>
    <t xml:space="preserve">NAVARRO MAYOR</t>
  </si>
  <si>
    <t xml:space="preserve">000027633694</t>
  </si>
  <si>
    <t xml:space="preserve">ANGELI CAROLINA</t>
  </si>
  <si>
    <t xml:space="preserve">LOS JAGUEYES. CASA nº 67</t>
  </si>
  <si>
    <t xml:space="preserve">000026541046</t>
  </si>
  <si>
    <t xml:space="preserve">EDUAR JOSE</t>
  </si>
  <si>
    <t xml:space="preserve">SENCIAL PAZ</t>
  </si>
  <si>
    <t xml:space="preserve">04169682987</t>
  </si>
  <si>
    <t xml:space="preserve">000026481013</t>
  </si>
  <si>
    <t xml:space="preserve">MARYORIS CHIQUINQUIRA</t>
  </si>
  <si>
    <t xml:space="preserve">GONZALEZ IGUARAN</t>
  </si>
  <si>
    <t xml:space="preserve">000030299292</t>
  </si>
  <si>
    <t xml:space="preserve">JHON MAICKOL</t>
  </si>
  <si>
    <t xml:space="preserve">LAPAZ CALLEJON LOS MOROCHOS</t>
  </si>
  <si>
    <t xml:space="preserve">04162215573</t>
  </si>
  <si>
    <t xml:space="preserve">000024249963</t>
  </si>
  <si>
    <t xml:space="preserve">MARIA INES</t>
  </si>
  <si>
    <t xml:space="preserve">FERRER BARRIOS</t>
  </si>
  <si>
    <t xml:space="preserve">000015260613</t>
  </si>
  <si>
    <t xml:space="preserve">000023466420</t>
  </si>
  <si>
    <t xml:space="preserve">BRANDO JESUS</t>
  </si>
  <si>
    <t xml:space="preserve">RODRIGUEZ GIRALDO</t>
  </si>
  <si>
    <t xml:space="preserve">010222540829</t>
  </si>
  <si>
    <t xml:space="preserve">YULEIDY CHIQUINQUIRA</t>
  </si>
  <si>
    <t xml:space="preserve">VILLADIEGO TAPIA</t>
  </si>
  <si>
    <t xml:space="preserve">INVACION MARIO URDANETA DIAGONAL A LA HACIENDA LOS REYES</t>
  </si>
  <si>
    <t xml:space="preserve">04269022363</t>
  </si>
  <si>
    <t xml:space="preserve">000024725443</t>
  </si>
  <si>
    <t xml:space="preserve">MAIRELIS ROSA</t>
  </si>
  <si>
    <t xml:space="preserve">000020204600</t>
  </si>
  <si>
    <t xml:space="preserve">LUIS ALFONSO</t>
  </si>
  <si>
    <t xml:space="preserve">FUENMAYOR FERRER</t>
  </si>
  <si>
    <t xml:space="preserve">+</t>
  </si>
  <si>
    <t xml:space="preserve">000018873174</t>
  </si>
  <si>
    <t xml:space="preserve">ADRIANA CRISTINA</t>
  </si>
  <si>
    <t xml:space="preserve">HERNANDEZ AÑEZ</t>
  </si>
  <si>
    <t xml:space="preserve">LOS COQUITOS</t>
  </si>
  <si>
    <t xml:space="preserve">000018201449</t>
  </si>
  <si>
    <t xml:space="preserve">RAIZA DEL CARMEN</t>
  </si>
  <si>
    <t xml:space="preserve">ROMERO ECHEVERRIA</t>
  </si>
  <si>
    <t xml:space="preserve">000020058309</t>
  </si>
  <si>
    <t xml:space="preserve">ANGIBEL DEL CARMEN</t>
  </si>
  <si>
    <t xml:space="preserve">000027633686</t>
  </si>
  <si>
    <t xml:space="preserve">KELY JOHANA</t>
  </si>
  <si>
    <t xml:space="preserve">MARIMONDA 1</t>
  </si>
  <si>
    <t xml:space="preserve">04267929438</t>
  </si>
  <si>
    <t xml:space="preserve">07810862</t>
  </si>
  <si>
    <t xml:space="preserve">000027998225</t>
  </si>
  <si>
    <t xml:space="preserve">BOSCAN FINOL</t>
  </si>
  <si>
    <t xml:space="preserve">04267626633</t>
  </si>
  <si>
    <t xml:space="preserve">13624064</t>
  </si>
  <si>
    <t xml:space="preserve">000027633427</t>
  </si>
  <si>
    <t xml:space="preserve">BARRIO COLORADO CASA 65</t>
  </si>
  <si>
    <t xml:space="preserve">04262004488</t>
  </si>
  <si>
    <t xml:space="preserve">000028400699</t>
  </si>
  <si>
    <t xml:space="preserve">MANUEL ANGEL</t>
  </si>
  <si>
    <t xml:space="preserve">04121270525</t>
  </si>
  <si>
    <t xml:space="preserve">15260760</t>
  </si>
  <si>
    <t xml:space="preserve">000028506356</t>
  </si>
  <si>
    <t xml:space="preserve">NERLIS PAOLA</t>
  </si>
  <si>
    <t xml:space="preserve">URDANETA VERA</t>
  </si>
  <si>
    <t xml:space="preserve">SECTOR LAS PARCELAS CASA 30-A</t>
  </si>
  <si>
    <t xml:space="preserve">04127647726</t>
  </si>
  <si>
    <t xml:space="preserve">000028506358</t>
  </si>
  <si>
    <t xml:space="preserve">YORHANDY JOSE</t>
  </si>
  <si>
    <t xml:space="preserve">URDANETA PEREZ</t>
  </si>
  <si>
    <t xml:space="preserve">LAS PARCELAS DE LA PAZ CASA 29</t>
  </si>
  <si>
    <t xml:space="preserve">04264670403</t>
  </si>
  <si>
    <t xml:space="preserve">14522274</t>
  </si>
  <si>
    <t xml:space="preserve">000029646899</t>
  </si>
  <si>
    <t xml:space="preserve">MARIELIS ANGELICA</t>
  </si>
  <si>
    <t xml:space="preserve">000029672123</t>
  </si>
  <si>
    <t xml:space="preserve">ENYERVER GABRIEL</t>
  </si>
  <si>
    <t xml:space="preserve">TORRES SAPORITO</t>
  </si>
  <si>
    <t xml:space="preserve">LAGUNILLAS</t>
  </si>
  <si>
    <t xml:space="preserve">SECTOR LA CONQUUISTA AVP CASA 144</t>
  </si>
  <si>
    <t xml:space="preserve">04161669434</t>
  </si>
  <si>
    <t xml:space="preserve">17826565</t>
  </si>
  <si>
    <t xml:space="preserve">000029790975</t>
  </si>
  <si>
    <t xml:space="preserve">NAYELI DEL VALLE</t>
  </si>
  <si>
    <t xml:space="preserve">ARRIETA SUAREZ</t>
  </si>
  <si>
    <t xml:space="preserve">BARRIO ROBERTO FUENMAYOR  CASA S/</t>
  </si>
  <si>
    <t xml:space="preserve">04164687810</t>
  </si>
  <si>
    <t xml:space="preserve">000029790968</t>
  </si>
  <si>
    <t xml:space="preserve">FABIAN SMITH</t>
  </si>
  <si>
    <t xml:space="preserve">QUIVA SOTURNO</t>
  </si>
  <si>
    <t xml:space="preserve">BARRIO ROBERTO FUENMAYOR DE TRES DE LA GUARDIA</t>
  </si>
  <si>
    <t xml:space="preserve">042616874</t>
  </si>
  <si>
    <t xml:space="preserve">09799355</t>
  </si>
  <si>
    <t xml:space="preserve">000029790977</t>
  </si>
  <si>
    <t xml:space="preserve">JUNIOR JOSE</t>
  </si>
  <si>
    <t xml:space="preserve">BARRIO ROBERTO FUENMAYOR AL FONDO DEL COMANDO DE LA GUARDIA CASA 42</t>
  </si>
  <si>
    <t xml:space="preserve">04266246882</t>
  </si>
  <si>
    <t xml:space="preserve">000029790983</t>
  </si>
  <si>
    <t xml:space="preserve">TELNORVER ENRIQUE</t>
  </si>
  <si>
    <t xml:space="preserve">VARELA VILLALOBOS</t>
  </si>
  <si>
    <t xml:space="preserve">BARRIO ROBERTO FUENMAYOR CASA 57</t>
  </si>
  <si>
    <t xml:space="preserve">04262015557</t>
  </si>
  <si>
    <t xml:space="preserve">13628576</t>
  </si>
  <si>
    <t xml:space="preserve">000029790986</t>
  </si>
  <si>
    <t xml:space="preserve">BARRIO MARIO URDANETA CASA 61</t>
  </si>
  <si>
    <t xml:space="preserve">04160861371</t>
  </si>
  <si>
    <t xml:space="preserve">000029790997</t>
  </si>
  <si>
    <t xml:space="preserve">DEIVER JESUS</t>
  </si>
  <si>
    <t xml:space="preserve">ANDRADE MARQUEZ</t>
  </si>
  <si>
    <t xml:space="preserve">BARRIO ROBERTO FUENMAYOR AL FONDO DE LA PEÑA</t>
  </si>
  <si>
    <t xml:space="preserve">04169030072</t>
  </si>
  <si>
    <t xml:space="preserve">16623760</t>
  </si>
  <si>
    <t xml:space="preserve">000029790988</t>
  </si>
  <si>
    <t xml:space="preserve">GABRIELA ESTHER</t>
  </si>
  <si>
    <t xml:space="preserve">BARRIO ROBERTO FUENMAYOR 3erCALLEPTOREFPIZERIA TIO CHES</t>
  </si>
  <si>
    <t xml:space="preserve">04169693722</t>
  </si>
  <si>
    <t xml:space="preserve">000029790998</t>
  </si>
  <si>
    <t xml:space="preserve">GUTIERREZ NUÑEZ</t>
  </si>
  <si>
    <t xml:space="preserve">EL NAZARENO DE TRAS DE LA GUARDIA PTO REF.DIAGONAL AL TALADRO</t>
  </si>
  <si>
    <t xml:space="preserve">04267258171</t>
  </si>
  <si>
    <t xml:space="preserve">25423245</t>
  </si>
  <si>
    <t xml:space="preserve">000029790970</t>
  </si>
  <si>
    <t xml:space="preserve">MISLEIDY ALEXANDRA</t>
  </si>
  <si>
    <t xml:space="preserve">VILLASMIL URDANETA</t>
  </si>
  <si>
    <t xml:space="preserve">BARRIO ROBERTO FUENMAYOR DETRAS DE LA PEÑA</t>
  </si>
  <si>
    <t xml:space="preserve">04267173090</t>
  </si>
  <si>
    <t xml:space="preserve">22078884</t>
  </si>
  <si>
    <t xml:space="preserve">000029902934</t>
  </si>
  <si>
    <t xml:space="preserve">YOANGEL JOSE</t>
  </si>
  <si>
    <t xml:space="preserve">VILLALOBOS SUAREZ</t>
  </si>
  <si>
    <t xml:space="preserve">SECTOR  SAN VALENTIN CASA185</t>
  </si>
  <si>
    <t xml:space="preserve">04160697608</t>
  </si>
  <si>
    <t xml:space="preserve">07624868</t>
  </si>
  <si>
    <t xml:space="preserve">000029812000</t>
  </si>
  <si>
    <t xml:space="preserve">EILIN DANIELA</t>
  </si>
  <si>
    <t xml:space="preserve">BARRIO ROBERTO FUENMAYOR AL FONDO DE AMBULATORIO</t>
  </si>
  <si>
    <t xml:space="preserve">000029876384</t>
  </si>
  <si>
    <t xml:space="preserve">JECKSON JOSE</t>
  </si>
  <si>
    <t xml:space="preserve">04262222617</t>
  </si>
  <si>
    <t xml:space="preserve">000029836340</t>
  </si>
  <si>
    <t xml:space="preserve">YOSELI DEL CARMEN</t>
  </si>
  <si>
    <t xml:space="preserve">SECTOR LA PANTALLA</t>
  </si>
  <si>
    <t xml:space="preserve">04268607794</t>
  </si>
  <si>
    <t xml:space="preserve">17184613</t>
  </si>
  <si>
    <t xml:space="preserve">000029836323</t>
  </si>
  <si>
    <t xml:space="preserve">INCIARTE RINCON</t>
  </si>
  <si>
    <t xml:space="preserve">CAUCAGUITA CASA N-43</t>
  </si>
  <si>
    <t xml:space="preserve">000029836331</t>
  </si>
  <si>
    <t xml:space="preserve">CHAVEZ CASTILLO</t>
  </si>
  <si>
    <t xml:space="preserve">04160627138</t>
  </si>
  <si>
    <t xml:space="preserve">17566476</t>
  </si>
  <si>
    <t xml:space="preserve">000030807172</t>
  </si>
  <si>
    <t xml:space="preserve">PIRELA BRIÑEZ</t>
  </si>
  <si>
    <t xml:space="preserve">04126595021</t>
  </si>
  <si>
    <t xml:space="preserve">09741349</t>
  </si>
  <si>
    <t xml:space="preserve">000030567423</t>
  </si>
  <si>
    <t xml:space="preserve">FREIKER JOHAN</t>
  </si>
  <si>
    <t xml:space="preserve">URDANETA MOLERO</t>
  </si>
  <si>
    <t xml:space="preserve">AVP SECTOR SAN BENITO</t>
  </si>
  <si>
    <t xml:space="preserve">04166644469</t>
  </si>
  <si>
    <t xml:space="preserve">000029836344</t>
  </si>
  <si>
    <t xml:space="preserve">LISABETH CHIQUINQUIRA</t>
  </si>
  <si>
    <t xml:space="preserve">MENDOZA BERRUETA</t>
  </si>
  <si>
    <t xml:space="preserve">04266641339</t>
  </si>
  <si>
    <t xml:space="preserve">83162278</t>
  </si>
  <si>
    <t xml:space="preserve">000029836349</t>
  </si>
  <si>
    <t xml:space="preserve">ANYELI MILAGROS</t>
  </si>
  <si>
    <t xml:space="preserve">AVP LAS JAVILLA CERCA DEL PRIVADO</t>
  </si>
  <si>
    <t xml:space="preserve">04268600529</t>
  </si>
  <si>
    <t xml:space="preserve">000029836351</t>
  </si>
  <si>
    <t xml:space="preserve">ANYULI MILAGROS</t>
  </si>
  <si>
    <t xml:space="preserve">AVP LAS JAVILLITAS</t>
  </si>
  <si>
    <t xml:space="preserve">000029902867</t>
  </si>
  <si>
    <t xml:space="preserve">RICZABETH ANDREA</t>
  </si>
  <si>
    <t xml:space="preserve">04268006401</t>
  </si>
  <si>
    <t xml:space="preserve">000029902901</t>
  </si>
  <si>
    <t xml:space="preserve">UGLENYS VANESA</t>
  </si>
  <si>
    <t xml:space="preserve">URDANETA NUÑEZ</t>
  </si>
  <si>
    <t xml:space="preserve">AVP EL PUEBLO</t>
  </si>
  <si>
    <t xml:space="preserve">0426725760</t>
  </si>
  <si>
    <t xml:space="preserve">000013005168</t>
  </si>
  <si>
    <t xml:space="preserve">NEIDA MARGARITA</t>
  </si>
  <si>
    <t xml:space="preserve">DURAN ROJAS</t>
  </si>
  <si>
    <t xml:space="preserve">000029963342</t>
  </si>
  <si>
    <t xml:space="preserve">MILANGELA DEL CARMEN</t>
  </si>
  <si>
    <t xml:space="preserve">CAMPO BOYACA CASA 8</t>
  </si>
  <si>
    <t xml:space="preserve">04125143628</t>
  </si>
  <si>
    <t xml:space="preserve">14738215</t>
  </si>
  <si>
    <t xml:space="preserve">000029963346</t>
  </si>
  <si>
    <t xml:space="preserve">KEILY CAROLITH</t>
  </si>
  <si>
    <t xml:space="preserve">RINCON ROMERO</t>
  </si>
  <si>
    <t xml:space="preserve">04246787860</t>
  </si>
  <si>
    <t xml:space="preserve">14921963</t>
  </si>
  <si>
    <t xml:space="preserve">000029963348</t>
  </si>
  <si>
    <t xml:space="preserve">RENNIER JOSE</t>
  </si>
  <si>
    <t xml:space="preserve">AZUAJE SANCHEZ</t>
  </si>
  <si>
    <t xml:space="preserve">CAMPO BOYACA ULTIMA CALLE CASA N 7</t>
  </si>
  <si>
    <t xml:space="preserve">0416 9906815</t>
  </si>
  <si>
    <t xml:space="preserve">12867340</t>
  </si>
  <si>
    <t xml:space="preserve">000029963349</t>
  </si>
  <si>
    <t xml:space="preserve">ELIECER DE JESUS</t>
  </si>
  <si>
    <t xml:space="preserve">04160621229</t>
  </si>
  <si>
    <t xml:space="preserve">14737903</t>
  </si>
  <si>
    <t xml:space="preserve">000029963355</t>
  </si>
  <si>
    <t xml:space="preserve">YONERWIN ANTONIO</t>
  </si>
  <si>
    <t xml:space="preserve">ROMERO CORONADO</t>
  </si>
  <si>
    <t xml:space="preserve">0426226213</t>
  </si>
  <si>
    <t xml:space="preserve">16621631</t>
  </si>
  <si>
    <t xml:space="preserve">000030064055</t>
  </si>
  <si>
    <t xml:space="preserve">MARVIN JOSE</t>
  </si>
  <si>
    <t xml:space="preserve">GONZALEZ FARIA</t>
  </si>
  <si>
    <t xml:space="preserve">04269385934</t>
  </si>
  <si>
    <t xml:space="preserve">13930914</t>
  </si>
  <si>
    <t xml:space="preserve">000030069593</t>
  </si>
  <si>
    <t xml:space="preserve">RICZABETH PAOLA</t>
  </si>
  <si>
    <t xml:space="preserve">CAMPO CALIPSA N- 35</t>
  </si>
  <si>
    <t xml:space="preserve">000030069859</t>
  </si>
  <si>
    <t xml:space="preserve">NAUDIS ANDRES</t>
  </si>
  <si>
    <t xml:space="preserve">SECTOR LAS PANTALLAS DETRAS DE LA PARADA DE LOS BUSES</t>
  </si>
  <si>
    <t xml:space="preserve">04163648481</t>
  </si>
  <si>
    <t xml:space="preserve">11873421</t>
  </si>
  <si>
    <t xml:space="preserve">000030101870</t>
  </si>
  <si>
    <t xml:space="preserve">04126926710</t>
  </si>
  <si>
    <t xml:space="preserve">000030101873</t>
  </si>
  <si>
    <t xml:space="preserve">LEIDIMARY ISABEL</t>
  </si>
  <si>
    <t xml:space="preserve">CAMPO COQUIVACOA CASA 19B</t>
  </si>
  <si>
    <t xml:space="preserve">04264228811</t>
  </si>
  <si>
    <t xml:space="preserve">000030122584</t>
  </si>
  <si>
    <t xml:space="preserve">ABELYELY VANESA</t>
  </si>
  <si>
    <t xml:space="preserve">AMAYA NAVARRO</t>
  </si>
  <si>
    <t xml:space="preserve">BARRIO COLORADO CALLE 3 CASA 83</t>
  </si>
  <si>
    <t xml:space="preserve">04264242454</t>
  </si>
  <si>
    <t xml:space="preserve">15193596</t>
  </si>
  <si>
    <t xml:space="preserve">000030185115</t>
  </si>
  <si>
    <t xml:space="preserve">WUILMARI DE LOS ANGELES</t>
  </si>
  <si>
    <t xml:space="preserve">SECTOR VILLA SALA CALLE PRINCIPAL DIAGONAL AL PULILAVADO</t>
  </si>
  <si>
    <t xml:space="preserve">04161654450</t>
  </si>
  <si>
    <t xml:space="preserve">07823808</t>
  </si>
  <si>
    <t xml:space="preserve">000030489322</t>
  </si>
  <si>
    <t xml:space="preserve">JUAN MIGUEL</t>
  </si>
  <si>
    <t xml:space="preserve">BARRIO SIMON BOLIVAR ABASTO LA TIENDITA CALLE 3 CASA32</t>
  </si>
  <si>
    <t xml:space="preserve">04263006081</t>
  </si>
  <si>
    <t xml:space="preserve">000030833016</t>
  </si>
  <si>
    <t xml:space="preserve">MARI ESTHER</t>
  </si>
  <si>
    <t xml:space="preserve">MAS Y RUBI URDANETA</t>
  </si>
  <si>
    <t xml:space="preserve">04266229977</t>
  </si>
  <si>
    <t xml:space="preserve">09760871</t>
  </si>
  <si>
    <t xml:space="preserve">000030200448</t>
  </si>
  <si>
    <t xml:space="preserve">EL COLORADO</t>
  </si>
  <si>
    <t xml:space="preserve">04267618581</t>
  </si>
  <si>
    <t xml:space="preserve">000030284582</t>
  </si>
  <si>
    <t xml:space="preserve">JAVIER DE JESUS</t>
  </si>
  <si>
    <t xml:space="preserve">DE LA ROSA VALDERRAMA</t>
  </si>
  <si>
    <t xml:space="preserve">BOCONO</t>
  </si>
  <si>
    <t xml:space="preserve">BARRIO CACAGUITA CASA 10</t>
  </si>
  <si>
    <t xml:space="preserve">02622057797</t>
  </si>
  <si>
    <t xml:space="preserve">06583609</t>
  </si>
  <si>
    <t xml:space="preserve">000030285027</t>
  </si>
  <si>
    <t xml:space="preserve">KEUDIS JUNIOR</t>
  </si>
  <si>
    <t xml:space="preserve">FINOL MERCADO</t>
  </si>
  <si>
    <t xml:space="preserve">04168162678</t>
  </si>
  <si>
    <t xml:space="preserve">15282961</t>
  </si>
  <si>
    <t xml:space="preserve">000030299140</t>
  </si>
  <si>
    <t xml:space="preserve">JOSE ALEXIS</t>
  </si>
  <si>
    <t xml:space="preserve">OLIVEROS URDANETA</t>
  </si>
  <si>
    <t xml:space="preserve">09735045</t>
  </si>
  <si>
    <t xml:space="preserve">000030029425</t>
  </si>
  <si>
    <t xml:space="preserve">ANAISBEL SOFIA</t>
  </si>
  <si>
    <t xml:space="preserve">PIRELA LIZARAZO</t>
  </si>
  <si>
    <t xml:space="preserve">CAMPO BOYACA CASA9B FRENTE A LA FARMACIA LA PAZ</t>
  </si>
  <si>
    <t xml:space="preserve">04266623395</t>
  </si>
  <si>
    <t xml:space="preserve">18662067</t>
  </si>
  <si>
    <t xml:space="preserve">000030299147</t>
  </si>
  <si>
    <t xml:space="preserve">REYNIEL JOSUE</t>
  </si>
  <si>
    <t xml:space="preserve">LEON GUANIPA</t>
  </si>
  <si>
    <t xml:space="preserve">04269618237</t>
  </si>
  <si>
    <t xml:space="preserve">11288644</t>
  </si>
  <si>
    <t xml:space="preserve">000029876115</t>
  </si>
  <si>
    <t xml:space="preserve">KILVER ALBERTO</t>
  </si>
  <si>
    <t xml:space="preserve">SECTOR LAS VEGAS DIAGONAL AL ABASTO LA FRONTERA VIA CACHIRI</t>
  </si>
  <si>
    <t xml:space="preserve">04167631036</t>
  </si>
  <si>
    <t xml:space="preserve">000030299141</t>
  </si>
  <si>
    <t xml:space="preserve">ALEXIS JOSE</t>
  </si>
  <si>
    <t xml:space="preserve">OLIVERO URDANETA</t>
  </si>
  <si>
    <t xml:space="preserve">BARRIO 5 DE ENERO ULTIMA CALLE Nª 14</t>
  </si>
  <si>
    <t xml:space="preserve">000030299304</t>
  </si>
  <si>
    <t xml:space="preserve">CARLA VALENTINA</t>
  </si>
  <si>
    <t xml:space="preserve">BARRIO MARIO URDANETA CASA Nª7</t>
  </si>
  <si>
    <t xml:space="preserve">04126482930</t>
  </si>
  <si>
    <t xml:space="preserve">13005763</t>
  </si>
  <si>
    <t xml:space="preserve">000030299316</t>
  </si>
  <si>
    <t xml:space="preserve">YURBENYS JESUS</t>
  </si>
  <si>
    <t xml:space="preserve">BARRIO MARIO URDANETA 3er CALLE CASA Nª30</t>
  </si>
  <si>
    <t xml:space="preserve">04261631222</t>
  </si>
  <si>
    <t xml:space="preserve">000030319894</t>
  </si>
  <si>
    <t xml:space="preserve">RAFAEL ANTONIIO</t>
  </si>
  <si>
    <t xml:space="preserve">VASQUEZ DE LA ROSA</t>
  </si>
  <si>
    <t xml:space="preserve">BARRIO CAUCAGUITA ULTIMA CALLE</t>
  </si>
  <si>
    <t xml:space="preserve">02622057798</t>
  </si>
  <si>
    <t xml:space="preserve">000030364049</t>
  </si>
  <si>
    <t xml:space="preserve">ADRIANGEL JOSE</t>
  </si>
  <si>
    <t xml:space="preserve">BARRIO 5 DE ENERO ULTIMA CALLE CASANª9</t>
  </si>
  <si>
    <t xml:space="preserve">04264877912</t>
  </si>
  <si>
    <t xml:space="preserve">000030442501</t>
  </si>
  <si>
    <t xml:space="preserve">SECTOR CALLE LA ENVIDIA AL FINAL DE LA CALLE</t>
  </si>
  <si>
    <t xml:space="preserve">0265236091</t>
  </si>
  <si>
    <t xml:space="preserve">22152671</t>
  </si>
  <si>
    <t xml:space="preserve">000030474246</t>
  </si>
  <si>
    <t xml:space="preserve">CLARIMAR</t>
  </si>
  <si>
    <t xml:space="preserve">AHUMADA  QUINTERO</t>
  </si>
  <si>
    <t xml:space="preserve">BARRIO 5 DE ENRO CALLE Nª3 CASA82 CHARCUTERIA EL GALLITO</t>
  </si>
  <si>
    <t xml:space="preserve">04261668871</t>
  </si>
  <si>
    <t xml:space="preserve">09773931</t>
  </si>
  <si>
    <t xml:space="preserve">000030567682</t>
  </si>
  <si>
    <t xml:space="preserve">MARIA ADELAIDA</t>
  </si>
  <si>
    <t xml:space="preserve">04125348347</t>
  </si>
  <si>
    <t xml:space="preserve">000030611000</t>
  </si>
  <si>
    <t xml:space="preserve">JONATHAN SAVIER</t>
  </si>
  <si>
    <t xml:space="preserve">GONZALEZ HERRERA</t>
  </si>
  <si>
    <t xml:space="preserve">AV. PRINCIPAL LAS JAVILLITAS, FRENTE AL RELOJ  DE LOS BUSES</t>
  </si>
  <si>
    <t xml:space="preserve">04269696130</t>
  </si>
  <si>
    <t xml:space="preserve">13000038</t>
  </si>
  <si>
    <t xml:space="preserve">000030634172</t>
  </si>
  <si>
    <t xml:space="preserve">YULITZA DEL CARMEN</t>
  </si>
  <si>
    <t xml:space="preserve">ZARRAGA INCIARTE</t>
  </si>
  <si>
    <t xml:space="preserve">BARRIO MARIO URDANETA CALLE 3 CASA 63 DIAGONAL AL DEPOSITO</t>
  </si>
  <si>
    <t xml:space="preserve">04160348817</t>
  </si>
  <si>
    <t xml:space="preserve">19225470</t>
  </si>
  <si>
    <t xml:space="preserve">000030748695</t>
  </si>
  <si>
    <t xml:space="preserve">SECTOR LOS MARANOS AV PRINCIPAL CASA N 40 PARADA DE LOS BUSES</t>
  </si>
  <si>
    <t xml:space="preserve">04264610502</t>
  </si>
  <si>
    <t xml:space="preserve">000030807242</t>
  </si>
  <si>
    <t xml:space="preserve">GENESIS SARAI</t>
  </si>
  <si>
    <t xml:space="preserve">AV.PRINCIPAL LA PAZ .SECTOR LA GRAN PARADA CASA 71 -A</t>
  </si>
  <si>
    <t xml:space="preserve">04169030617</t>
  </si>
  <si>
    <t xml:space="preserve">15260741</t>
  </si>
  <si>
    <t xml:space="preserve">000030807398</t>
  </si>
  <si>
    <t xml:space="preserve">YELIANNY PAOLA</t>
  </si>
  <si>
    <t xml:space="preserve">SECTOR CHINO RAFAEL ABASTO MISLENY AVP.</t>
  </si>
  <si>
    <t xml:space="preserve">04121081906</t>
  </si>
  <si>
    <t xml:space="preserve">17564958</t>
  </si>
  <si>
    <t xml:space="preserve">000030682892</t>
  </si>
  <si>
    <t xml:space="preserve">MARIBEL DEL VALLE</t>
  </si>
  <si>
    <t xml:space="preserve">SIBIRA LABARCA</t>
  </si>
  <si>
    <t xml:space="preserve">EL HONDITO FINCA LA GRAN PARADA</t>
  </si>
  <si>
    <t xml:space="preserve">04269245862</t>
  </si>
  <si>
    <t xml:space="preserve">17883704</t>
  </si>
  <si>
    <t xml:space="preserve">000029902909</t>
  </si>
  <si>
    <t xml:space="preserve">KERWIN ENRIQUE</t>
  </si>
  <si>
    <t xml:space="preserve">SECTOR  LA CONQUISTA CASA 160 AL LADO DE TEXTILERA</t>
  </si>
  <si>
    <t xml:space="preserve">04165668101</t>
  </si>
  <si>
    <t xml:space="preserve">000030807250</t>
  </si>
  <si>
    <t xml:space="preserve">WILDER JOSE</t>
  </si>
  <si>
    <t xml:space="preserve">PIRELA VILLALOBOS</t>
  </si>
  <si>
    <t xml:space="preserve">04162220608</t>
  </si>
  <si>
    <t xml:space="preserve">15260609</t>
  </si>
  <si>
    <t xml:space="preserve">000029695241</t>
  </si>
  <si>
    <t xml:space="preserve">SECTOR EL PUEBLO CERCA DEL LICEO ADRIAN FERNANDEZ MORAN</t>
  </si>
  <si>
    <t xml:space="preserve">04167674854</t>
  </si>
  <si>
    <t xml:space="preserve">000027633412</t>
  </si>
  <si>
    <t xml:space="preserve">DANNY JUNIOR</t>
  </si>
  <si>
    <t xml:space="preserve">BARRIO MARIO URDANETA  CASA 3</t>
  </si>
  <si>
    <t xml:space="preserve">000029790979</t>
  </si>
  <si>
    <t xml:space="preserve">AÑEZ AVILA</t>
  </si>
  <si>
    <t xml:space="preserve">SBARRIO ROBERT FUENMAYOR CASA Nª 85</t>
  </si>
  <si>
    <t xml:space="preserve">04126446517</t>
  </si>
  <si>
    <t xml:space="preserve">000029902864</t>
  </si>
  <si>
    <t xml:space="preserve">DANISKEL RUTH</t>
  </si>
  <si>
    <t xml:space="preserve">CALLE LA CONQUISTA</t>
  </si>
  <si>
    <t xml:space="preserve">04120793586</t>
  </si>
  <si>
    <t xml:space="preserve">000030010372</t>
  </si>
  <si>
    <t xml:space="preserve">ADRIANYELI MARIA</t>
  </si>
  <si>
    <t xml:space="preserve">PALMAR RODRIGUEZ.</t>
  </si>
  <si>
    <t xml:space="preserve">AV PRINCIPÀL LA PAZ S/ LAS JAVILLAS</t>
  </si>
  <si>
    <t xml:space="preserve">17564965</t>
  </si>
  <si>
    <t xml:space="preserve">000029836350</t>
  </si>
  <si>
    <t xml:space="preserve">VICLEIDY DEL VALLE</t>
  </si>
  <si>
    <t xml:space="preserve">GONZALEZ VILLASMIL</t>
  </si>
  <si>
    <t xml:space="preserve">SECTOR EL HONDITO CASA 122</t>
  </si>
  <si>
    <t xml:space="preserve">11876371</t>
  </si>
  <si>
    <t xml:space="preserve">019914458699</t>
  </si>
  <si>
    <t xml:space="preserve">CRISTOFER JOSE</t>
  </si>
  <si>
    <t xml:space="preserve">SUAREZ GARCIA</t>
  </si>
  <si>
    <t xml:space="preserve">SECTOR LAS JAVILLA</t>
  </si>
  <si>
    <t xml:space="preserve">000030951556</t>
  </si>
  <si>
    <t xml:space="preserve">LUISANA DEL CARMEN</t>
  </si>
  <si>
    <t xml:space="preserve">BARRIO ROBERTO FUENMAYOR AV. LA GUARDIA</t>
  </si>
  <si>
    <t xml:space="preserve">04162192524</t>
  </si>
  <si>
    <t xml:space="preserve">000031009873</t>
  </si>
  <si>
    <t xml:space="preserve">DEIKER JAVIER</t>
  </si>
  <si>
    <t xml:space="preserve">AVENDAÑO LINARES</t>
  </si>
  <si>
    <t xml:space="preserve">SECTOR EL PUEBLO CASA 209</t>
  </si>
  <si>
    <t xml:space="preserve">04126755853</t>
  </si>
  <si>
    <t xml:space="preserve">15553505</t>
  </si>
  <si>
    <t xml:space="preserve">000031252659</t>
  </si>
  <si>
    <t xml:space="preserve">DAIRON JAVIER</t>
  </si>
  <si>
    <t xml:space="preserve">NEGRETE GAMEZ</t>
  </si>
  <si>
    <t xml:space="preserve">06805960</t>
  </si>
  <si>
    <t xml:space="preserve">000031363056</t>
  </si>
  <si>
    <t xml:space="preserve">JOELIBETH DEL CARMEN</t>
  </si>
  <si>
    <t xml:space="preserve">VERA VILLALOBOS</t>
  </si>
  <si>
    <t xml:space="preserve">BARRIO SIMON BOLIVAR CASA 21</t>
  </si>
  <si>
    <t xml:space="preserve">04262005220</t>
  </si>
  <si>
    <t xml:space="preserve">10421455</t>
  </si>
  <si>
    <t xml:space="preserve">000031009834</t>
  </si>
  <si>
    <t xml:space="preserve">MARIO JOSE</t>
  </si>
  <si>
    <t xml:space="preserve">VARGAS URDANETA</t>
  </si>
  <si>
    <t xml:space="preserve">04264652438</t>
  </si>
  <si>
    <t xml:space="preserve">000031548665</t>
  </si>
  <si>
    <t xml:space="preserve">ADRIAN ANGEL</t>
  </si>
  <si>
    <t xml:space="preserve">VILLALOBOS MOLERO</t>
  </si>
  <si>
    <t xml:space="preserve">LA PAZ AVENIDA PRINCIPAL SECTOR LA JAVILLA</t>
  </si>
  <si>
    <t xml:space="preserve">04164983228</t>
  </si>
  <si>
    <t xml:space="preserve">06806101</t>
  </si>
  <si>
    <t xml:space="preserve">000030058764</t>
  </si>
  <si>
    <t xml:space="preserve">ELEICIDA ALEJANDRA</t>
  </si>
  <si>
    <t xml:space="preserve">VILLALOBOS CHOURIO</t>
  </si>
  <si>
    <t xml:space="preserve">04121289332</t>
  </si>
  <si>
    <t xml:space="preserve">000031070105</t>
  </si>
  <si>
    <t xml:space="preserve">DENIS DANIEL</t>
  </si>
  <si>
    <t xml:space="preserve">URDANETA SOTURNO</t>
  </si>
  <si>
    <t xml:space="preserve">VIA EL HONDITO CASA 183</t>
  </si>
  <si>
    <t xml:space="preserve">16835822</t>
  </si>
  <si>
    <t xml:space="preserve">000030036168</t>
  </si>
  <si>
    <t xml:space="preserve">EVENCIO ANTONIO</t>
  </si>
  <si>
    <t xml:space="preserve">BARRIO MARIO URDANETA CASA 04</t>
  </si>
  <si>
    <t xml:space="preserve">04263625096</t>
  </si>
  <si>
    <t xml:space="preserve">000030863209</t>
  </si>
  <si>
    <t xml:space="preserve">DULCE MARIA</t>
  </si>
  <si>
    <t xml:space="preserve">CAMPO BOYACA Nº 72</t>
  </si>
  <si>
    <t xml:space="preserve">04168652069</t>
  </si>
  <si>
    <t xml:space="preserve">000031009867</t>
  </si>
  <si>
    <t xml:space="preserve">MACHADO VARGAS</t>
  </si>
  <si>
    <t xml:space="preserve">04165621026</t>
  </si>
  <si>
    <t xml:space="preserve">09740770</t>
  </si>
  <si>
    <t xml:space="preserve">000031093859</t>
  </si>
  <si>
    <t xml:space="preserve">ROMERO FINOL</t>
  </si>
  <si>
    <t xml:space="preserve">BARRIO EL COLORADO CALLE 3 CASA 76</t>
  </si>
  <si>
    <t xml:space="preserve">04264654681</t>
  </si>
  <si>
    <t xml:space="preserve">06805756</t>
  </si>
  <si>
    <t xml:space="preserve">000031825498</t>
  </si>
  <si>
    <t xml:space="preserve">JHONATHAN JESUS</t>
  </si>
  <si>
    <t xml:space="preserve">CALLE CORITO ENTRANDO POR LA FERRETERIA FRENTE LA BOMBA</t>
  </si>
  <si>
    <t xml:space="preserve">04160673127</t>
  </si>
  <si>
    <t xml:space="preserve">000030311005</t>
  </si>
  <si>
    <t xml:space="preserve">ODEILIS MARIA</t>
  </si>
  <si>
    <t xml:space="preserve">QUIBA MAESTRE</t>
  </si>
  <si>
    <t xml:space="preserve">SECTOR LAS MARIAS Nº 07</t>
  </si>
  <si>
    <t xml:space="preserve">04261616816</t>
  </si>
  <si>
    <t xml:space="preserve">07788900</t>
  </si>
  <si>
    <t xml:space="preserve">000031024542</t>
  </si>
  <si>
    <t xml:space="preserve">YOENDRI JESUS</t>
  </si>
  <si>
    <t xml:space="preserve">BARRIO MARIO URDANETA CASA 53</t>
  </si>
  <si>
    <t xml:space="preserve">04164608919</t>
  </si>
  <si>
    <t xml:space="preserve">17089707</t>
  </si>
  <si>
    <t xml:space="preserve">019983256214</t>
  </si>
  <si>
    <t xml:space="preserve">WENDY PAOLA</t>
  </si>
  <si>
    <t xml:space="preserve">PEREZ PAREJO</t>
  </si>
  <si>
    <t xml:space="preserve">SECTOR LAS MARIAS, HACIENDA LAS ROCAS</t>
  </si>
  <si>
    <t xml:space="preserve">10473433</t>
  </si>
  <si>
    <t xml:space="preserve">010210473433</t>
  </si>
  <si>
    <t xml:space="preserve">NAYELIS MARIA</t>
  </si>
  <si>
    <t xml:space="preserve">000031442177</t>
  </si>
  <si>
    <t xml:space="preserve">ANDRIX JOSE</t>
  </si>
  <si>
    <t xml:space="preserve">ADARME RODRIGUEZ</t>
  </si>
  <si>
    <t xml:space="preserve">LA PAZ AVENIDA PRINCIPAL Nº 46</t>
  </si>
  <si>
    <t xml:space="preserve">04267224782</t>
  </si>
  <si>
    <t xml:space="preserve">06764501</t>
  </si>
  <si>
    <t xml:space="preserve">000031051185</t>
  </si>
  <si>
    <t xml:space="preserve">MARIA CLARA</t>
  </si>
  <si>
    <t xml:space="preserve">BARRIO MARIO URDANETA CASA 78</t>
  </si>
  <si>
    <t xml:space="preserve">04266242296</t>
  </si>
  <si>
    <t xml:space="preserve">000031009826</t>
  </si>
  <si>
    <t xml:space="preserve">MARIA VICTORIA</t>
  </si>
  <si>
    <t xml:space="preserve">PARDO URDANETA</t>
  </si>
  <si>
    <t xml:space="preserve">LA PAZ DIAGONAL AL LICEO LA PAZ</t>
  </si>
  <si>
    <t xml:space="preserve">04126752135</t>
  </si>
  <si>
    <t xml:space="preserve">000031009838</t>
  </si>
  <si>
    <t xml:space="preserve">PEBBLES CECILIA</t>
  </si>
  <si>
    <t xml:space="preserve">PADRON DURAN</t>
  </si>
  <si>
    <t xml:space="preserve">SECTOR ROBERTO FUENMAYOR CASA 129</t>
  </si>
  <si>
    <t xml:space="preserve">04162679285</t>
  </si>
  <si>
    <t xml:space="preserve">13005168</t>
  </si>
  <si>
    <t xml:space="preserve">000031097257</t>
  </si>
  <si>
    <t xml:space="preserve">ANA GABRIELA</t>
  </si>
  <si>
    <t xml:space="preserve">BARRIO 5 DE ENERO CERCA DE LA CANTV</t>
  </si>
  <si>
    <t xml:space="preserve">04268674749</t>
  </si>
  <si>
    <t xml:space="preserve">000030083765</t>
  </si>
  <si>
    <t xml:space="preserve">LEANDRA YULIETH</t>
  </si>
  <si>
    <t xml:space="preserve">ORTIZ MORA</t>
  </si>
  <si>
    <t xml:space="preserve">CAMPO BOYACA CALLE 7 CASA 78A</t>
  </si>
  <si>
    <t xml:space="preserve">02622059575</t>
  </si>
  <si>
    <t xml:space="preserve">25295225</t>
  </si>
  <si>
    <t xml:space="preserve">000030863208</t>
  </si>
  <si>
    <t xml:space="preserve">GONZALEZ MOLINA</t>
  </si>
  <si>
    <t xml:space="preserve">LA PAZ SECTOR PARADA DE BUSES</t>
  </si>
  <si>
    <t xml:space="preserve">04266227049</t>
  </si>
  <si>
    <t xml:space="preserve">16836838</t>
  </si>
  <si>
    <t xml:space="preserve">010225668325</t>
  </si>
  <si>
    <t xml:space="preserve">MARIANGEL CHIQUINQUIRA</t>
  </si>
  <si>
    <t xml:space="preserve">BARRIO 5 DE ENERO CASA 23</t>
  </si>
  <si>
    <t xml:space="preserve">25668325</t>
  </si>
  <si>
    <t xml:space="preserve">000031252669</t>
  </si>
  <si>
    <t xml:space="preserve">02626871591</t>
  </si>
  <si>
    <t xml:space="preserve">000031009853</t>
  </si>
  <si>
    <t xml:space="preserve">YORBELIS ROSA</t>
  </si>
  <si>
    <t xml:space="preserve">LA PAZ SECTOR CORITO FRENTE A LA BOMBA</t>
  </si>
  <si>
    <t xml:space="preserve">04266662860</t>
  </si>
  <si>
    <t xml:space="preserve">000029963344</t>
  </si>
  <si>
    <t xml:space="preserve">BARRIO LAS CASITAS CALLE 5 CASA 57</t>
  </si>
  <si>
    <t xml:space="preserve">04163203893</t>
  </si>
  <si>
    <t xml:space="preserve">000030945903</t>
  </si>
  <si>
    <t xml:space="preserve">KAROLAYS</t>
  </si>
  <si>
    <t xml:space="preserve">ROBERTO FUENMAYOR DETRAS DE LA GUARDIA</t>
  </si>
  <si>
    <t xml:space="preserve">0416936048</t>
  </si>
  <si>
    <t xml:space="preserve">000031009844</t>
  </si>
  <si>
    <t xml:space="preserve">AUDIMAR PAOLA</t>
  </si>
  <si>
    <t xml:space="preserve">BRIÑEZ RIVERA</t>
  </si>
  <si>
    <t xml:space="preserve">14862719</t>
  </si>
  <si>
    <t xml:space="preserve">000031172328</t>
  </si>
  <si>
    <t xml:space="preserve">YONELVI JOSE</t>
  </si>
  <si>
    <t xml:space="preserve">04164658152</t>
  </si>
  <si>
    <t xml:space="preserve">000030945568</t>
  </si>
  <si>
    <t xml:space="preserve">YORDIS ENRIQUE</t>
  </si>
  <si>
    <t xml:space="preserve">BARRIO CAUCAGÜITA CASA 26</t>
  </si>
  <si>
    <t xml:space="preserve">04268645275</t>
  </si>
  <si>
    <t xml:space="preserve">000030101881</t>
  </si>
  <si>
    <t xml:space="preserve">MILAGROS CHIQUINQUIRA</t>
  </si>
  <si>
    <t xml:space="preserve">ANTUNEZ FERNANDEZ</t>
  </si>
  <si>
    <t xml:space="preserve">SECTOR CAUCAGÜITA CASA 43</t>
  </si>
  <si>
    <t xml:space="preserve">13428036</t>
  </si>
  <si>
    <t xml:space="preserve">000029816219</t>
  </si>
  <si>
    <t xml:space="preserve">PEDRO ANTONIO</t>
  </si>
  <si>
    <t xml:space="preserve">SECTOR LAS VEGAS CASA 32</t>
  </si>
  <si>
    <t xml:space="preserve">04267189392</t>
  </si>
  <si>
    <t xml:space="preserve">000030299208</t>
  </si>
  <si>
    <t xml:space="preserve">FIDELINA DEL VALLE</t>
  </si>
  <si>
    <t xml:space="preserve">SECTOR LOS JAGUEYES CASA 32</t>
  </si>
  <si>
    <t xml:space="preserve">04262675825</t>
  </si>
  <si>
    <t xml:space="preserve">000029811844</t>
  </si>
  <si>
    <t xml:space="preserve">AUDIVER ELENA</t>
  </si>
  <si>
    <t xml:space="preserve">LA PAZ SECTOR LA JAVILLITA</t>
  </si>
  <si>
    <t xml:space="preserve">02624931084</t>
  </si>
  <si>
    <t xml:space="preserve">000030182183</t>
  </si>
  <si>
    <t xml:space="preserve">JAVIER JOSUE</t>
  </si>
  <si>
    <t xml:space="preserve">PEÑATES BRAVO</t>
  </si>
  <si>
    <t xml:space="preserve">04263201109</t>
  </si>
  <si>
    <t xml:space="preserve">000030319699</t>
  </si>
  <si>
    <t xml:space="preserve">KELDRYN JAVIER</t>
  </si>
  <si>
    <t xml:space="preserve">MARIMONDA CASA 09</t>
  </si>
  <si>
    <t xml:space="preserve">04269680974</t>
  </si>
  <si>
    <t xml:space="preserve">000031024552</t>
  </si>
  <si>
    <t xml:space="preserve">RAFAEL ANTONIO</t>
  </si>
  <si>
    <t xml:space="preserve">FONSECA</t>
  </si>
  <si>
    <t xml:space="preserve">SECTOR ROBERTO FUENMAYOR CASA 8A</t>
  </si>
  <si>
    <t xml:space="preserve">04162667676</t>
  </si>
  <si>
    <t xml:space="preserve">000030985833</t>
  </si>
  <si>
    <t xml:space="preserve">EMILENNY CHIQUINQUIRA</t>
  </si>
  <si>
    <t xml:space="preserve">CAMPO BOYACA CASA 11A</t>
  </si>
  <si>
    <t xml:space="preserve">09748805</t>
  </si>
  <si>
    <t xml:space="preserve">000030089498</t>
  </si>
  <si>
    <t xml:space="preserve">JOSE RICARDO</t>
  </si>
  <si>
    <t xml:space="preserve">NEGRETTE GUTIERREZ</t>
  </si>
  <si>
    <t xml:space="preserve">SECTOR LAS MARIAS CASA 99</t>
  </si>
  <si>
    <t xml:space="preserve">04160196428</t>
  </si>
  <si>
    <t xml:space="preserve">11256257</t>
  </si>
  <si>
    <t xml:space="preserve">000030770865</t>
  </si>
  <si>
    <t xml:space="preserve">JOHANNA PAOLA</t>
  </si>
  <si>
    <t xml:space="preserve">PAZ ARROYO</t>
  </si>
  <si>
    <t xml:space="preserve">EL LABERINTO SECTOR LOS JAGUEYES</t>
  </si>
  <si>
    <t xml:space="preserve">18317370</t>
  </si>
  <si>
    <t xml:space="preserve">000025883586</t>
  </si>
  <si>
    <t xml:space="preserve">SOTURNO FUENMAYOR</t>
  </si>
  <si>
    <t xml:space="preserve">SECTOR LA CONQUISTA CASA 58</t>
  </si>
  <si>
    <t xml:space="preserve">04267668300</t>
  </si>
  <si>
    <t xml:space="preserve">000030200563</t>
  </si>
  <si>
    <t xml:space="preserve">ELIBER PAOLA</t>
  </si>
  <si>
    <t xml:space="preserve">NAVARRO PARRA</t>
  </si>
  <si>
    <t xml:space="preserve">CAMPO COQUIVACOA AL LADO DE LA IGLESIA EVANGELICA</t>
  </si>
  <si>
    <t xml:space="preserve">04262561673</t>
  </si>
  <si>
    <t xml:space="preserve">07899136</t>
  </si>
  <si>
    <t xml:space="preserve">010384502001</t>
  </si>
  <si>
    <t xml:space="preserve">GARCIA MORENO</t>
  </si>
  <si>
    <t xml:space="preserve">02628085694</t>
  </si>
  <si>
    <t xml:space="preserve">84502001</t>
  </si>
  <si>
    <t xml:space="preserve">000030181970</t>
  </si>
  <si>
    <t xml:space="preserve">REANNYS DEL CARMEN</t>
  </si>
  <si>
    <t xml:space="preserve">VILLALOBOS CHACON</t>
  </si>
  <si>
    <t xml:space="preserve">CAMPO COQUIVACOA CASA 29</t>
  </si>
  <si>
    <t xml:space="preserve">15727279</t>
  </si>
  <si>
    <t xml:space="preserve">000030683200</t>
  </si>
  <si>
    <t xml:space="preserve">JESUS GUILLERMO</t>
  </si>
  <si>
    <t xml:space="preserve">PIRELA DELGADO</t>
  </si>
  <si>
    <t xml:space="preserve">SECTOIR LA CONQUISTA</t>
  </si>
  <si>
    <t xml:space="preserve">04161652717</t>
  </si>
  <si>
    <t xml:space="preserve">15888216</t>
  </si>
  <si>
    <t xml:space="preserve">000030848063</t>
  </si>
  <si>
    <t xml:space="preserve">ADRIANNY KARINA</t>
  </si>
  <si>
    <t xml:space="preserve">SECTOR EL TRAMARAN</t>
  </si>
  <si>
    <t xml:space="preserve">04167626208</t>
  </si>
  <si>
    <t xml:space="preserve">17670569</t>
  </si>
  <si>
    <t xml:space="preserve">000030567606</t>
  </si>
  <si>
    <t xml:space="preserve">SOTURNO MAS Y RUBI</t>
  </si>
  <si>
    <t xml:space="preserve">MARIMONDA 3 CASA 01</t>
  </si>
  <si>
    <t xml:space="preserve">09758850</t>
  </si>
  <si>
    <t xml:space="preserve">000030910508</t>
  </si>
  <si>
    <t xml:space="preserve">SALAS ROMERO</t>
  </si>
  <si>
    <t xml:space="preserve">000030185112</t>
  </si>
  <si>
    <t xml:space="preserve">ELEUDOMAR GREGORIO</t>
  </si>
  <si>
    <t xml:space="preserve">LA PAZ SECTOR EL PUEBLO</t>
  </si>
  <si>
    <t xml:space="preserve">17565202</t>
  </si>
  <si>
    <t xml:space="preserve">000029902541</t>
  </si>
  <si>
    <t xml:space="preserve">JOEL JOSE</t>
  </si>
  <si>
    <t xml:space="preserve">04164933761</t>
  </si>
  <si>
    <t xml:space="preserve">000029645832</t>
  </si>
  <si>
    <t xml:space="preserve">JUNIOR BENITO</t>
  </si>
  <si>
    <t xml:space="preserve">ROMERO CATARI</t>
  </si>
  <si>
    <t xml:space="preserve">SECTOR EL PUEBLO CALLE LAS FLORES</t>
  </si>
  <si>
    <t xml:space="preserve">17565179</t>
  </si>
  <si>
    <t xml:space="preserve">000029790984</t>
  </si>
  <si>
    <t xml:space="preserve">MARIN SUAREZ</t>
  </si>
  <si>
    <t xml:space="preserve">BARRIO ROBERTO FUENMAYOR CASA 26</t>
  </si>
  <si>
    <t xml:space="preserve">04261699432</t>
  </si>
  <si>
    <t xml:space="preserve">11867376</t>
  </si>
  <si>
    <t xml:space="preserve">000031997712</t>
  </si>
  <si>
    <t xml:space="preserve">BRAYAN ANTONIO</t>
  </si>
  <si>
    <t xml:space="preserve">FERNANDEZ BUSTILLO</t>
  </si>
  <si>
    <t xml:space="preserve">17940543</t>
  </si>
  <si>
    <t xml:space="preserve">000031350214</t>
  </si>
  <si>
    <t xml:space="preserve">JESUS ALEXANDER</t>
  </si>
  <si>
    <t xml:space="preserve">LA CONQUISTA CALLA SANTA ANA</t>
  </si>
  <si>
    <t xml:space="preserve">04125349968</t>
  </si>
  <si>
    <t xml:space="preserve">17565153</t>
  </si>
  <si>
    <t xml:space="preserve">000030284537</t>
  </si>
  <si>
    <t xml:space="preserve">ANELIS DARIAN</t>
  </si>
  <si>
    <t xml:space="preserve">CAMPO CALIZA CASA 5</t>
  </si>
  <si>
    <t xml:space="preserve">04120648974</t>
  </si>
  <si>
    <t xml:space="preserve">000020987929</t>
  </si>
  <si>
    <t xml:space="preserve">SANDRA MISLEY</t>
  </si>
  <si>
    <t xml:space="preserve">000021509284</t>
  </si>
  <si>
    <t xml:space="preserve">ALVARO JESUS</t>
  </si>
  <si>
    <t xml:space="preserve">000029902900</t>
  </si>
  <si>
    <t xml:space="preserve">ANGEL JOSE</t>
  </si>
  <si>
    <t xml:space="preserve">FUENMAYOR CATARI</t>
  </si>
  <si>
    <t xml:space="preserve">sector el pueblo case las flores casa 236</t>
  </si>
  <si>
    <t xml:space="preserve">04261005561</t>
  </si>
  <si>
    <t xml:space="preserve">14305962</t>
  </si>
  <si>
    <t xml:space="preserve">000029902862</t>
  </si>
  <si>
    <t xml:space="preserve">ESTEFANNY PAOLA</t>
  </si>
  <si>
    <t xml:space="preserve">LUZARDO HERNANDEZ</t>
  </si>
  <si>
    <t xml:space="preserve">la paz sector la conquista casa 157</t>
  </si>
  <si>
    <t xml:space="preserve">04264953981</t>
  </si>
  <si>
    <t xml:space="preserve">06834802</t>
  </si>
  <si>
    <t xml:space="preserve">000029812013</t>
  </si>
  <si>
    <t xml:space="preserve">WILMER JESUS</t>
  </si>
  <si>
    <t xml:space="preserve">GONZALEZ NOVOA</t>
  </si>
  <si>
    <t xml:space="preserve">la paz sector roberto fuenmayor, al fondo de ugalab</t>
  </si>
  <si>
    <t xml:space="preserve">04160866201</t>
  </si>
  <si>
    <t xml:space="preserve">15700231</t>
  </si>
  <si>
    <t xml:space="preserve">000030200736</t>
  </si>
  <si>
    <t xml:space="preserve">JUNIOR ALBERTO</t>
  </si>
  <si>
    <t xml:space="preserve">JIMENEZ BARRIOS</t>
  </si>
  <si>
    <t xml:space="preserve">barrio caucagüita frente al hongo</t>
  </si>
  <si>
    <t xml:space="preserve">04121290840</t>
  </si>
  <si>
    <t xml:space="preserve">17566603</t>
  </si>
  <si>
    <t xml:space="preserve">000029902960</t>
  </si>
  <si>
    <t xml:space="preserve">DANNY JOSE</t>
  </si>
  <si>
    <t xml:space="preserve">la paz sector roberto fuenmayor</t>
  </si>
  <si>
    <t xml:space="preserve">000031097022</t>
  </si>
  <si>
    <t xml:space="preserve">DAILENY CAROLINA</t>
  </si>
  <si>
    <t xml:space="preserve">URDANETA CUBILLAN</t>
  </si>
  <si>
    <t xml:space="preserve">marimonda iii casa 23</t>
  </si>
  <si>
    <t xml:space="preserve">04268693382</t>
  </si>
  <si>
    <t xml:space="preserve">12589936</t>
  </si>
  <si>
    <t xml:space="preserve">000027090459</t>
  </si>
  <si>
    <t xml:space="preserve">NORELIS EZEQUIELA</t>
  </si>
  <si>
    <t xml:space="preserve">sector las vegas</t>
  </si>
  <si>
    <t xml:space="preserve">04162609491</t>
  </si>
  <si>
    <t xml:space="preserve">000030419626</t>
  </si>
  <si>
    <t xml:space="preserve">OLIVERO MORALES</t>
  </si>
  <si>
    <t xml:space="preserve">la paz campo coquivacoa casa 18A</t>
  </si>
  <si>
    <t xml:space="preserve">019783140185</t>
  </si>
  <si>
    <t xml:space="preserve">ESTEFANIA DOLORES</t>
  </si>
  <si>
    <t xml:space="preserve">BRIÑEZ BERMUDEZ</t>
  </si>
  <si>
    <t xml:space="preserve">sector mario urdaneta</t>
  </si>
  <si>
    <t xml:space="preserve">000031070133</t>
  </si>
  <si>
    <t xml:space="preserve">ARIELYS ALEJANDRA</t>
  </si>
  <si>
    <t xml:space="preserve">la paz sector las marias casa 38</t>
  </si>
  <si>
    <t xml:space="preserve">04126407649</t>
  </si>
  <si>
    <t xml:space="preserve">09742152</t>
  </si>
  <si>
    <t xml:space="preserve">000029836330</t>
  </si>
  <si>
    <t xml:space="preserve">HENRY JOSE</t>
  </si>
  <si>
    <t xml:space="preserve">sector el colorado depósito 4 esquinas</t>
  </si>
  <si>
    <t xml:space="preserve">04261007038</t>
  </si>
  <si>
    <t xml:space="preserve">000030567427</t>
  </si>
  <si>
    <t xml:space="preserve">YOHANYELIS MASSIEL</t>
  </si>
  <si>
    <t xml:space="preserve">MOLERO CHAVEZ</t>
  </si>
  <si>
    <t xml:space="preserve">barrio mario urdaneta</t>
  </si>
  <si>
    <t xml:space="preserve">04126446649</t>
  </si>
  <si>
    <t xml:space="preserve">16687933</t>
  </si>
  <si>
    <t xml:space="preserve">000030634566</t>
  </si>
  <si>
    <t xml:space="preserve">RICARDO ANDRES</t>
  </si>
  <si>
    <t xml:space="preserve">sector la vega hacienda el calvario</t>
  </si>
  <si>
    <t xml:space="preserve">04246447854</t>
  </si>
  <si>
    <t xml:space="preserve">10408175</t>
  </si>
  <si>
    <t xml:space="preserve">000029695370</t>
  </si>
  <si>
    <t xml:space="preserve">YERAMI VICTORIA</t>
  </si>
  <si>
    <t xml:space="preserve">ROMERO VALLENILLA</t>
  </si>
  <si>
    <t xml:space="preserve">los robles barrio 10 de enero 115-102 calle 2</t>
  </si>
  <si>
    <t xml:space="preserve">04246103269</t>
  </si>
  <si>
    <t xml:space="preserve">16900399</t>
  </si>
  <si>
    <t xml:space="preserve">000029790993</t>
  </si>
  <si>
    <t xml:space="preserve">JAISON JAVIER</t>
  </si>
  <si>
    <t xml:space="preserve">04268683481</t>
  </si>
  <si>
    <t xml:space="preserve">20580551</t>
  </si>
  <si>
    <t xml:space="preserve">000030940045</t>
  </si>
  <si>
    <t xml:space="preserve">CARO URDANETA</t>
  </si>
  <si>
    <t xml:space="preserve">sector marimonda III</t>
  </si>
  <si>
    <t xml:space="preserve">04168654006</t>
  </si>
  <si>
    <t xml:space="preserve">14305811</t>
  </si>
  <si>
    <t xml:space="preserve">000031968313</t>
  </si>
  <si>
    <t xml:space="preserve">DAIRELYS MARIA</t>
  </si>
  <si>
    <t xml:space="preserve">URDANETA LOYO</t>
  </si>
  <si>
    <t xml:space="preserve">sector 115 casa 210, via cuatro bocas</t>
  </si>
  <si>
    <t xml:space="preserve">04121007990</t>
  </si>
  <si>
    <t xml:space="preserve">16459143</t>
  </si>
  <si>
    <t xml:space="preserve">000029836336</t>
  </si>
  <si>
    <t xml:space="preserve">sector los jagüeyes casa 75</t>
  </si>
  <si>
    <t xml:space="preserve">04266613416</t>
  </si>
  <si>
    <t xml:space="preserve">17566037</t>
  </si>
  <si>
    <t xml:space="preserve">000030284840</t>
  </si>
  <si>
    <t xml:space="preserve">KENDRY JESUS</t>
  </si>
  <si>
    <t xml:space="preserve">sector noterey los jagüeyes, al lado de la vquera</t>
  </si>
  <si>
    <t xml:space="preserve">02622052171</t>
  </si>
  <si>
    <t xml:space="preserve">000032600613</t>
  </si>
  <si>
    <t xml:space="preserve">ANYELINA JULIET</t>
  </si>
  <si>
    <t xml:space="preserve">04262228318</t>
  </si>
  <si>
    <t xml:space="preserve">000031338607</t>
  </si>
  <si>
    <t xml:space="preserve">DAIRON JOSE</t>
  </si>
  <si>
    <t xml:space="preserve">OROZCO GONZALEZ</t>
  </si>
  <si>
    <t xml:space="preserve">sector las vegas casa 31</t>
  </si>
  <si>
    <t xml:space="preserve">04266108981</t>
  </si>
  <si>
    <t xml:space="preserve">000029876118</t>
  </si>
  <si>
    <t xml:space="preserve">EDGAR ALEJANDRO</t>
  </si>
  <si>
    <t xml:space="preserve">04166686699</t>
  </si>
  <si>
    <t xml:space="preserve">15625018</t>
  </si>
  <si>
    <t xml:space="preserve">010250945962</t>
  </si>
  <si>
    <t xml:space="preserve">ELENA ISABEL</t>
  </si>
  <si>
    <t xml:space="preserve">SEISA DIAZ</t>
  </si>
  <si>
    <t xml:space="preserve">sector las marias</t>
  </si>
  <si>
    <t xml:space="preserve">04162616730</t>
  </si>
  <si>
    <t xml:space="preserve">50945962</t>
  </si>
  <si>
    <t xml:space="preserve">000030232798</t>
  </si>
  <si>
    <t xml:space="preserve">NERWIN JOSE</t>
  </si>
  <si>
    <t xml:space="preserve">BERNAL GONZALEZ</t>
  </si>
  <si>
    <t xml:space="preserve">04268647459</t>
  </si>
  <si>
    <t xml:space="preserve">000030320053</t>
  </si>
  <si>
    <t xml:space="preserve">FRANSHESKA LUSIA</t>
  </si>
  <si>
    <t xml:space="preserve">BRACHO FERNANDEZ</t>
  </si>
  <si>
    <t xml:space="preserve">la paz campo coquivacoa casa 4B</t>
  </si>
  <si>
    <t xml:space="preserve">04124737864</t>
  </si>
  <si>
    <t xml:space="preserve">15163002</t>
  </si>
  <si>
    <t xml:space="preserve">000031499370</t>
  </si>
  <si>
    <t xml:space="preserve">SARAIS DEL VALLE</t>
  </si>
  <si>
    <t xml:space="preserve">sector las javillas casa 25, manzana I, el laberinto</t>
  </si>
  <si>
    <t xml:space="preserve">000031024535</t>
  </si>
  <si>
    <t xml:space="preserve">YERALDIN DAYANA</t>
  </si>
  <si>
    <t xml:space="preserve">OLIVEROS GONZALEZ</t>
  </si>
  <si>
    <t xml:space="preserve">barrio 5 de enero casa 65-A, la paz</t>
  </si>
  <si>
    <t xml:space="preserve">04263684903</t>
  </si>
  <si>
    <t xml:space="preserve">16298584</t>
  </si>
  <si>
    <t xml:space="preserve">019909790085</t>
  </si>
  <si>
    <t xml:space="preserve">ROMERO RINCON</t>
  </si>
  <si>
    <t xml:space="preserve">la paz sector las marias casa 99</t>
  </si>
  <si>
    <t xml:space="preserve">11256252</t>
  </si>
  <si>
    <t xml:space="preserve">000029842154</t>
  </si>
  <si>
    <t xml:space="preserve">la paz barrio simon bolivar casa 24</t>
  </si>
  <si>
    <t xml:space="preserve">04266620164</t>
  </si>
  <si>
    <t xml:space="preserve">000031009860</t>
  </si>
  <si>
    <t xml:space="preserve">YEIKELI KAILU</t>
  </si>
  <si>
    <t xml:space="preserve">RIVERO MOLERO</t>
  </si>
  <si>
    <t xml:space="preserve">sector chinito rafael casa 48</t>
  </si>
  <si>
    <t xml:space="preserve">04267697710</t>
  </si>
  <si>
    <t xml:space="preserve">15747404</t>
  </si>
  <si>
    <t xml:space="preserve">000030862472</t>
  </si>
  <si>
    <t xml:space="preserve">NEIXON JOSE</t>
  </si>
  <si>
    <t xml:space="preserve">SULBARAN ARAUJO</t>
  </si>
  <si>
    <t xml:space="preserve">sector chino rafael la paz</t>
  </si>
  <si>
    <t xml:space="preserve">04266610984</t>
  </si>
  <si>
    <t xml:space="preserve">19075076</t>
  </si>
  <si>
    <t xml:space="preserve">010012647056</t>
  </si>
  <si>
    <t xml:space="preserve">ANDREA MARIA</t>
  </si>
  <si>
    <t xml:space="preserve">PACHECO MENDOZA</t>
  </si>
  <si>
    <t xml:space="preserve">sector las marias, la curva de la china</t>
  </si>
  <si>
    <t xml:space="preserve">02625155085</t>
  </si>
  <si>
    <t xml:space="preserve">10655726</t>
  </si>
  <si>
    <t xml:space="preserve">000029812003</t>
  </si>
  <si>
    <t xml:space="preserve">GREGORY JOSUE</t>
  </si>
  <si>
    <t xml:space="preserve">RAMIREZ DUARTE</t>
  </si>
  <si>
    <t xml:space="preserve">sector roberto fuenmayor</t>
  </si>
  <si>
    <t xml:space="preserve">04262270018</t>
  </si>
  <si>
    <t xml:space="preserve">16781991</t>
  </si>
  <si>
    <t xml:space="preserve">000031016530</t>
  </si>
  <si>
    <t xml:space="preserve">YONERKIS JOSE</t>
  </si>
  <si>
    <t xml:space="preserve">barrio el colorao casa 90</t>
  </si>
  <si>
    <t xml:space="preserve">04165909639</t>
  </si>
  <si>
    <t xml:space="preserve">000031009851</t>
  </si>
  <si>
    <t xml:space="preserve">YUNEIDYS VANESSA</t>
  </si>
  <si>
    <t xml:space="preserve">04246273031</t>
  </si>
  <si>
    <t xml:space="preserve">000027090500</t>
  </si>
  <si>
    <t xml:space="preserve">GERARDO JOSE</t>
  </si>
  <si>
    <t xml:space="preserve">sector el hondito casa 18</t>
  </si>
  <si>
    <t xml:space="preserve">04266657063</t>
  </si>
  <si>
    <t xml:space="preserve">000028436697</t>
  </si>
  <si>
    <t xml:space="preserve">el laberinto sector las javillas manzana II casa 6</t>
  </si>
  <si>
    <t xml:space="preserve">04165523613</t>
  </si>
  <si>
    <t xml:space="preserve">000031548677</t>
  </si>
  <si>
    <t xml:space="preserve">sector el pueblo casa 264</t>
  </si>
  <si>
    <t xml:space="preserve">04162271068</t>
  </si>
  <si>
    <t xml:space="preserve">000030682895</t>
  </si>
  <si>
    <t xml:space="preserve">campo boyaca 5ta calle casa 53A</t>
  </si>
  <si>
    <t xml:space="preserve">04262013367</t>
  </si>
  <si>
    <t xml:space="preserve">10423419</t>
  </si>
  <si>
    <t xml:space="preserve">000023770186</t>
  </si>
  <si>
    <t xml:space="preserve">FUENMAYOR MURILLO</t>
  </si>
  <si>
    <t xml:space="preserve">000025883038</t>
  </si>
  <si>
    <t xml:space="preserve">KEIVIS JESUS</t>
  </si>
  <si>
    <t xml:space="preserve">000028123203</t>
  </si>
  <si>
    <t xml:space="preserve">RICHARD ANGEL</t>
  </si>
  <si>
    <t xml:space="preserve">GONZALEZ CARVAJAL</t>
  </si>
  <si>
    <t xml:space="preserve">LA SIERRITA</t>
  </si>
  <si>
    <t xml:space="preserve">16295059</t>
  </si>
  <si>
    <t xml:space="preserve">000027090351</t>
  </si>
  <si>
    <t xml:space="preserve">ILVERTH MANUEL</t>
  </si>
  <si>
    <t xml:space="preserve">OCANDO MORALES</t>
  </si>
  <si>
    <t xml:space="preserve">SECTOR LOS ROSALES CASA 480. LA CONCEPCION</t>
  </si>
  <si>
    <t xml:space="preserve">04261686772</t>
  </si>
  <si>
    <t xml:space="preserve">11806105</t>
  </si>
  <si>
    <t xml:space="preserve">000026426447</t>
  </si>
  <si>
    <t xml:space="preserve">KELLY YOHANA</t>
  </si>
  <si>
    <t xml:space="preserve">VIVAS URDANETA</t>
  </si>
  <si>
    <t xml:space="preserve">EL CAFETAL PARROQUIA LA SIERRITA. MUNICIPIO MARA</t>
  </si>
  <si>
    <t xml:space="preserve">04121718179</t>
  </si>
  <si>
    <t xml:space="preserve">15719415</t>
  </si>
  <si>
    <t xml:space="preserve">000026872923</t>
  </si>
  <si>
    <t xml:space="preserve">KATIUSKA DEL VALLE</t>
  </si>
  <si>
    <t xml:space="preserve">SECTOR LAS GRACIELAS</t>
  </si>
  <si>
    <t xml:space="preserve">04261084595</t>
  </si>
  <si>
    <t xml:space="preserve">17568120</t>
  </si>
  <si>
    <t xml:space="preserve">000026276336</t>
  </si>
  <si>
    <t xml:space="preserve">ANABEL KARINA</t>
  </si>
  <si>
    <t xml:space="preserve">SECTOR SAN MIGUEL, VIA LA CONCEPCION</t>
  </si>
  <si>
    <t xml:space="preserve">04264125860</t>
  </si>
  <si>
    <t xml:space="preserve">11860474</t>
  </si>
  <si>
    <t xml:space="preserve">000026169593</t>
  </si>
  <si>
    <t xml:space="preserve">ROJAS RIVERO</t>
  </si>
  <si>
    <t xml:space="preserve">000029695348</t>
  </si>
  <si>
    <t xml:space="preserve">YENIRETH VICTORIA</t>
  </si>
  <si>
    <t xml:space="preserve">LEON VALLENILLA</t>
  </si>
  <si>
    <t xml:space="preserve">000027633437</t>
  </si>
  <si>
    <t xml:space="preserve">LEAL ROMERO</t>
  </si>
  <si>
    <t xml:space="preserve">SECTOR ROBERTO FUNMAYOR CASA 23. LA PZ</t>
  </si>
  <si>
    <t xml:space="preserve">04162054646</t>
  </si>
  <si>
    <t xml:space="preserve">16561030</t>
  </si>
  <si>
    <t xml:space="preserve">000026481866</t>
  </si>
  <si>
    <t xml:space="preserve">BRIGNEY ENILSA</t>
  </si>
  <si>
    <t xml:space="preserve">LAS PARCELAS DIAGONAL A LA PLANTA DE GAS</t>
  </si>
  <si>
    <t xml:space="preserve">04268614691</t>
  </si>
  <si>
    <t xml:space="preserve">21229624</t>
  </si>
  <si>
    <t xml:space="preserve">000028336114</t>
  </si>
  <si>
    <t xml:space="preserve">NAYBELIS DEL CARMEN</t>
  </si>
  <si>
    <t xml:space="preserve">SECTOR NOTIVARA VIA LA PAZ</t>
  </si>
  <si>
    <t xml:space="preserve">04260189667</t>
  </si>
  <si>
    <t xml:space="preserve">11863996</t>
  </si>
  <si>
    <t xml:space="preserve">000025979574</t>
  </si>
  <si>
    <t xml:space="preserve">DATICA OLIVAR</t>
  </si>
  <si>
    <t xml:space="preserve">04246837966</t>
  </si>
  <si>
    <t xml:space="preserve">07886554</t>
  </si>
  <si>
    <t xml:space="preserve">000020834720</t>
  </si>
  <si>
    <t xml:space="preserve">GABRIELA MARGARITA</t>
  </si>
  <si>
    <t xml:space="preserve">000034567890</t>
  </si>
  <si>
    <t xml:space="preserve">MILDRED KATIUSCA</t>
  </si>
  <si>
    <t xml:space="preserve">campo boyacà</t>
  </si>
  <si>
    <t xml:space="preserve">000034556789</t>
  </si>
  <si>
    <t xml:space="preserve">JANIBEL MILAGROS</t>
  </si>
  <si>
    <t xml:space="preserve">madre</t>
  </si>
  <si>
    <t xml:space="preserve">000021228270</t>
  </si>
  <si>
    <t xml:space="preserve">campo coquivacoa</t>
  </si>
  <si>
    <t xml:space="preserve">04261461179</t>
  </si>
  <si>
    <t xml:space="preserve">10411928</t>
  </si>
  <si>
    <t xml:space="preserve">000024250412</t>
  </si>
  <si>
    <t xml:space="preserve">000026743398</t>
  </si>
  <si>
    <t xml:space="preserve">MARYOLIN DEL CARMEN</t>
  </si>
  <si>
    <t xml:space="preserve">HERNANDEZ HERNANDEZ</t>
  </si>
  <si>
    <t xml:space="preserve">LA FRAGUA</t>
  </si>
  <si>
    <t xml:space="preserve">000027440558</t>
  </si>
  <si>
    <t xml:space="preserve">ARAUJO FARIA</t>
  </si>
  <si>
    <t xml:space="preserve">LA JAVILLA CASA NRO. 53</t>
  </si>
  <si>
    <t xml:space="preserve">000026335076</t>
  </si>
  <si>
    <t xml:space="preserve">DANIELA</t>
  </si>
  <si>
    <t xml:space="preserve">GAMEZ BRACHO</t>
  </si>
  <si>
    <t xml:space="preserve">LAS AMALIAS</t>
  </si>
  <si>
    <t xml:space="preserve">000027090207</t>
  </si>
  <si>
    <t xml:space="preserve">DARIANA</t>
  </si>
  <si>
    <t xml:space="preserve">las amalias</t>
  </si>
  <si>
    <t xml:space="preserve">000027633394</t>
  </si>
  <si>
    <t xml:space="preserve">DANIEL ALEXANDER</t>
  </si>
  <si>
    <t xml:space="preserve">CHAVEZ PERCHE</t>
  </si>
  <si>
    <t xml:space="preserve">000026481880</t>
  </si>
  <si>
    <t xml:space="preserve">VICTOR JOSUE</t>
  </si>
  <si>
    <t xml:space="preserve">09762687</t>
  </si>
  <si>
    <t xml:space="preserve">000026743393</t>
  </si>
  <si>
    <t xml:space="preserve">TAMARA GONZALEZ</t>
  </si>
  <si>
    <t xml:space="preserve">07790978</t>
  </si>
  <si>
    <t xml:space="preserve">000030184930</t>
  </si>
  <si>
    <t xml:space="preserve">VICTOR AGUSTIN</t>
  </si>
  <si>
    <t xml:space="preserve">URRUTIA</t>
  </si>
  <si>
    <t xml:space="preserve">EL LABERINTO CUIDAD COMUNAL</t>
  </si>
  <si>
    <t xml:space="preserve">04169646581</t>
  </si>
  <si>
    <t xml:space="preserve">000028497250</t>
  </si>
  <si>
    <t xml:space="preserve">DEIVER ALBERTO</t>
  </si>
  <si>
    <t xml:space="preserve">PEROZO PEREZ</t>
  </si>
  <si>
    <t xml:space="preserve">04168604253</t>
  </si>
  <si>
    <t xml:space="preserve">010218624144</t>
  </si>
  <si>
    <t xml:space="preserve">DAIRIS CAROLINA</t>
  </si>
  <si>
    <t xml:space="preserve">VALBUENA GONZALEZ</t>
  </si>
  <si>
    <t xml:space="preserve">EL LABERINTO CIUDAD COMUNAL SECTOR 3 MANAZANA º1</t>
  </si>
  <si>
    <t xml:space="preserve">02638875279</t>
  </si>
  <si>
    <t xml:space="preserve">000031097189</t>
  </si>
  <si>
    <t xml:space="preserve">NEIDILUZ NAYELIS</t>
  </si>
  <si>
    <t xml:space="preserve">04269614400</t>
  </si>
  <si>
    <t xml:space="preserve">000031070108</t>
  </si>
  <si>
    <t xml:space="preserve">DUGLENIS GABRIELA</t>
  </si>
  <si>
    <t xml:space="preserve">SEVILLA RAMIREZ</t>
  </si>
  <si>
    <t xml:space="preserve">EL SUR SAN ANTONIO</t>
  </si>
  <si>
    <t xml:space="preserve">04121008154</t>
  </si>
  <si>
    <t xml:space="preserve">19695085</t>
  </si>
  <si>
    <t xml:space="preserve">010483140326</t>
  </si>
  <si>
    <t xml:space="preserve">MATHEO</t>
  </si>
  <si>
    <t xml:space="preserve">EL LABERINTO  CIUDAD COMUNAL</t>
  </si>
  <si>
    <t xml:space="preserve">04127166340</t>
  </si>
  <si>
    <t xml:space="preserve">000031070134</t>
  </si>
  <si>
    <t xml:space="preserve">04168660743</t>
  </si>
  <si>
    <t xml:space="preserve">000031864984</t>
  </si>
  <si>
    <t xml:space="preserve">FERRER PATIÑO</t>
  </si>
  <si>
    <t xml:space="preserve">04120602212</t>
  </si>
  <si>
    <t xml:space="preserve">20276561</t>
  </si>
  <si>
    <t xml:space="preserve">010125610931</t>
  </si>
  <si>
    <t xml:space="preserve">ANA YAJAIRA</t>
  </si>
  <si>
    <t xml:space="preserve">TORRES GUEVARA</t>
  </si>
  <si>
    <t xml:space="preserve">02625234626</t>
  </si>
  <si>
    <t xml:space="preserve">25610931</t>
  </si>
  <si>
    <t xml:space="preserve">000031526385</t>
  </si>
  <si>
    <t xml:space="preserve">DERYBER ANGELLYS</t>
  </si>
  <si>
    <t xml:space="preserve">ROBLES BRAVO</t>
  </si>
  <si>
    <t xml:space="preserve">04165677820</t>
  </si>
  <si>
    <t xml:space="preserve">07627445</t>
  </si>
  <si>
    <t xml:space="preserve">000031443099</t>
  </si>
  <si>
    <t xml:space="preserve">YUSELIN DEL CARMEN</t>
  </si>
  <si>
    <t xml:space="preserve">ROBLES VALENCIA</t>
  </si>
  <si>
    <t xml:space="preserve">000032220430</t>
  </si>
  <si>
    <t xml:space="preserve">DAIDER DAVID</t>
  </si>
  <si>
    <t xml:space="preserve">04162169761</t>
  </si>
  <si>
    <t xml:space="preserve">010236729208</t>
  </si>
  <si>
    <t xml:space="preserve">SENELI PAOLA</t>
  </si>
  <si>
    <t xml:space="preserve">LOBATO PERTUZ</t>
  </si>
  <si>
    <t xml:space="preserve">02625238048</t>
  </si>
  <si>
    <t xml:space="preserve">83162268</t>
  </si>
  <si>
    <t xml:space="preserve">000031724936</t>
  </si>
  <si>
    <t xml:space="preserve">DAYAN BANESSA</t>
  </si>
  <si>
    <t xml:space="preserve">CUADRADO GONZALEZ</t>
  </si>
  <si>
    <t xml:space="preserve">16622447</t>
  </si>
  <si>
    <t xml:space="preserve">010220440706</t>
  </si>
  <si>
    <t xml:space="preserve">YELIANNIS CAROLINA</t>
  </si>
  <si>
    <t xml:space="preserve">BRAVO DIAZ</t>
  </si>
  <si>
    <t xml:space="preserve">04261684430</t>
  </si>
  <si>
    <t xml:space="preserve">20440706</t>
  </si>
  <si>
    <t xml:space="preserve">000031070119</t>
  </si>
  <si>
    <t xml:space="preserve">NERVIS JOSE</t>
  </si>
  <si>
    <t xml:space="preserve">MONTIEL FERNANDEZ</t>
  </si>
  <si>
    <t xml:space="preserve">04162627237</t>
  </si>
  <si>
    <t xml:space="preserve">06805246</t>
  </si>
  <si>
    <t xml:space="preserve">000030683525</t>
  </si>
  <si>
    <t xml:space="preserve">NAIROBIS ALEJANDRA</t>
  </si>
  <si>
    <t xml:space="preserve">LIPIDA GONZALEZ</t>
  </si>
  <si>
    <t xml:space="preserve">04164664017</t>
  </si>
  <si>
    <t xml:space="preserve">000027633477</t>
  </si>
  <si>
    <t xml:space="preserve">WALBERTO JOSE</t>
  </si>
  <si>
    <t xml:space="preserve">EL LABERINTO CUIDAD COMUNAL S/3 MANANMZA 5 CASAº11</t>
  </si>
  <si>
    <t xml:space="preserve">04164694377</t>
  </si>
  <si>
    <t xml:space="preserve">000028391228</t>
  </si>
  <si>
    <t xml:space="preserve">VICTOR JOEL</t>
  </si>
  <si>
    <t xml:space="preserve">URDANETA ESCASIS</t>
  </si>
  <si>
    <t xml:space="preserve">04164674869</t>
  </si>
  <si>
    <t xml:space="preserve">000032600626</t>
  </si>
  <si>
    <t xml:space="preserve">DIOLIANNYS DEL CARMEN</t>
  </si>
  <si>
    <t xml:space="preserve">0414674869</t>
  </si>
  <si>
    <t xml:space="preserve">000030974541</t>
  </si>
  <si>
    <t xml:space="preserve">MADIXON JOSE</t>
  </si>
  <si>
    <t xml:space="preserve">PARRA SIBIRA</t>
  </si>
  <si>
    <t xml:space="preserve">0417607075</t>
  </si>
  <si>
    <t xml:space="preserve">06808582</t>
  </si>
  <si>
    <t xml:space="preserve">000032062337</t>
  </si>
  <si>
    <t xml:space="preserve">IRIAN JOSE</t>
  </si>
  <si>
    <t xml:space="preserve">PIRELA AMAYA</t>
  </si>
  <si>
    <t xml:space="preserve">04264663670</t>
  </si>
  <si>
    <t xml:space="preserve">11606530</t>
  </si>
  <si>
    <t xml:space="preserve">000030064982</t>
  </si>
  <si>
    <t xml:space="preserve">JIMENEZ CAMARGO</t>
  </si>
  <si>
    <t xml:space="preserve">SANTA ALICIA (LA PAZ)</t>
  </si>
  <si>
    <t xml:space="preserve">LAS CASITAS BARRIIO MARIO URDANETA</t>
  </si>
  <si>
    <t xml:space="preserve">04262552244</t>
  </si>
  <si>
    <t xml:space="preserve">36452021</t>
  </si>
  <si>
    <t xml:space="preserve">000027744427</t>
  </si>
  <si>
    <t xml:space="preserve">ABRAHAN JOSE</t>
  </si>
  <si>
    <t xml:space="preserve">ISEA ATENCIO</t>
  </si>
  <si>
    <t xml:space="preserve">04169644693</t>
  </si>
  <si>
    <t xml:space="preserve">000030985865</t>
  </si>
  <si>
    <t xml:space="preserve">SCARLET DAILET</t>
  </si>
  <si>
    <t xml:space="preserve">04125295241</t>
  </si>
  <si>
    <t xml:space="preserve">12695226</t>
  </si>
  <si>
    <t xml:space="preserve">000030058998</t>
  </si>
  <si>
    <t xml:space="preserve">ANGEL RAMON</t>
  </si>
  <si>
    <t xml:space="preserve">AZUAJE CASTILLO</t>
  </si>
  <si>
    <t xml:space="preserve">04126755686</t>
  </si>
  <si>
    <t xml:space="preserve">15411775</t>
  </si>
  <si>
    <t xml:space="preserve">000029902919</t>
  </si>
  <si>
    <t xml:space="preserve">ANDRIMAR JOSEFINA</t>
  </si>
  <si>
    <t xml:space="preserve">000027998226</t>
  </si>
  <si>
    <t xml:space="preserve">REINIEL JESUS</t>
  </si>
  <si>
    <t xml:space="preserve">URDANETA BOSCAN</t>
  </si>
  <si>
    <t xml:space="preserve">04261958405</t>
  </si>
  <si>
    <t xml:space="preserve">000030393322</t>
  </si>
  <si>
    <t xml:space="preserve">BEANGGY MARINA</t>
  </si>
  <si>
    <t xml:space="preserve">ROMERO ROMERO</t>
  </si>
  <si>
    <t xml:space="preserve">04121007547</t>
  </si>
  <si>
    <t xml:space="preserve">000029790987</t>
  </si>
  <si>
    <t xml:space="preserve">JINDERLY CHIQUINQUIRA</t>
  </si>
  <si>
    <t xml:space="preserve">04161803555</t>
  </si>
  <si>
    <t xml:space="preserve">000029790969</t>
  </si>
  <si>
    <t xml:space="preserve">LIYIRAIBI DEL VALLE</t>
  </si>
  <si>
    <t xml:space="preserve">000032983552</t>
  </si>
  <si>
    <t xml:space="preserve">RAMON JESUS</t>
  </si>
  <si>
    <t xml:space="preserve">MORENO VARGAS</t>
  </si>
  <si>
    <t xml:space="preserve">AVP SECTOR LA CONQUISTA</t>
  </si>
  <si>
    <t xml:space="preserve">04120786520</t>
  </si>
  <si>
    <t xml:space="preserve">13174100</t>
  </si>
  <si>
    <t xml:space="preserve">000032983557</t>
  </si>
  <si>
    <t xml:space="preserve">MARIBI DEL CARMEN</t>
  </si>
  <si>
    <t xml:space="preserve">000029790966</t>
  </si>
  <si>
    <t xml:space="preserve">SANDRA CAROLINA</t>
  </si>
  <si>
    <t xml:space="preserve">MACHADO SUAREZ</t>
  </si>
  <si>
    <t xml:space="preserve">04267954989</t>
  </si>
  <si>
    <t xml:space="preserve">17940653</t>
  </si>
  <si>
    <t xml:space="preserve">000029986380</t>
  </si>
  <si>
    <t xml:space="preserve">DIEGO ARMANDO</t>
  </si>
  <si>
    <t xml:space="preserve">04162621472</t>
  </si>
  <si>
    <t xml:space="preserve">000017736153</t>
  </si>
  <si>
    <t xml:space="preserve">YOHENDRY JESÙS</t>
  </si>
  <si>
    <t xml:space="preserve">campo caliza</t>
  </si>
  <si>
    <t xml:space="preserve">000029788346</t>
  </si>
  <si>
    <t xml:space="preserve">KAREN YARÈ</t>
  </si>
  <si>
    <t xml:space="preserve">GONZÀLEZ FUENMAYOR</t>
  </si>
  <si>
    <t xml:space="preserve">04120753382</t>
  </si>
  <si>
    <t xml:space="preserve">000028133604</t>
  </si>
  <si>
    <t xml:space="preserve">ANGELO DANIEL</t>
  </si>
  <si>
    <t xml:space="preserve">BAPTISTA GONZÀLEZ</t>
  </si>
  <si>
    <t xml:space="preserve">ciudad comunal el laberinto</t>
  </si>
  <si>
    <t xml:space="preserve">04169010860</t>
  </si>
  <si>
    <t xml:space="preserve">14928678</t>
  </si>
  <si>
    <t xml:space="preserve">000031252226</t>
  </si>
  <si>
    <t xml:space="preserve">VINICIO ANTONIO</t>
  </si>
  <si>
    <t xml:space="preserve">04146139350</t>
  </si>
  <si>
    <t xml:space="preserve">000030185116</t>
  </si>
  <si>
    <t xml:space="preserve">NEIDY DEL CARMEN</t>
  </si>
  <si>
    <t xml:space="preserve">CASTRO BRAVO</t>
  </si>
  <si>
    <t xml:space="preserve">BARRIO SAN BENITO CALLE 2 CASA 26</t>
  </si>
  <si>
    <t xml:space="preserve">04160640318</t>
  </si>
  <si>
    <t xml:space="preserve">000030599689</t>
  </si>
  <si>
    <t xml:space="preserve">MORA ANAYA</t>
  </si>
  <si>
    <t xml:space="preserve">14208918</t>
  </si>
  <si>
    <t xml:space="preserve">000030807353</t>
  </si>
  <si>
    <t xml:space="preserve">ENGLY ANTONIO</t>
  </si>
  <si>
    <t xml:space="preserve">LAS PARCELAS CASA º30</t>
  </si>
  <si>
    <t xml:space="preserve">04160985681</t>
  </si>
  <si>
    <t xml:space="preserve">000029963347</t>
  </si>
  <si>
    <t xml:space="preserve">RICTZABETH PAOLA</t>
  </si>
  <si>
    <t xml:space="preserve">CAMPO BOYACA CALLE 8 CASA 101-A</t>
  </si>
  <si>
    <t xml:space="preserve">000031024487</t>
  </si>
  <si>
    <t xml:space="preserve">RAFAELIS PAOLA</t>
  </si>
  <si>
    <t xml:space="preserve">ROMERO CHAPARRO</t>
  </si>
  <si>
    <t xml:space="preserve">CAMPO CALIPZA</t>
  </si>
  <si>
    <t xml:space="preserve">04125290174</t>
  </si>
  <si>
    <t xml:space="preserve">000000694676</t>
  </si>
  <si>
    <t xml:space="preserve">RAFAEL ANDRES</t>
  </si>
  <si>
    <t xml:space="preserve">MORA ARANGO</t>
  </si>
  <si>
    <t xml:space="preserve">BARRANQUILLA</t>
  </si>
  <si>
    <t xml:space="preserve">++++++++</t>
  </si>
  <si>
    <t xml:space="preserve">++++++</t>
  </si>
  <si>
    <t xml:space="preserve">32795144</t>
  </si>
  <si>
    <t xml:space="preserve">000029836684</t>
  </si>
  <si>
    <t xml:space="preserve">HERLINDA PAOLA</t>
  </si>
  <si>
    <t xml:space="preserve">AÑEZ CASTRO</t>
  </si>
  <si>
    <t xml:space="preserve">LA PAZ DETRAS DE LA IGLESIA VIRGEN DEL VALLE</t>
  </si>
  <si>
    <t xml:space="preserve">04126489723</t>
  </si>
  <si>
    <t xml:space="preserve">000027339740</t>
  </si>
  <si>
    <t xml:space="preserve">MARIU DEL CARMEN</t>
  </si>
  <si>
    <t xml:space="preserve">04267649726</t>
  </si>
  <si>
    <t xml:space="preserve">000017252289</t>
  </si>
  <si>
    <t xml:space="preserve">ANAIS SOCORRO</t>
  </si>
  <si>
    <t xml:space="preserve">OCAMPO GUERRERO</t>
  </si>
  <si>
    <t xml:space="preserve">000031525295</t>
  </si>
  <si>
    <t xml:space="preserve">EDUARDO DE JESUS</t>
  </si>
  <si>
    <t xml:space="preserve">PALMAR BRACHO</t>
  </si>
  <si>
    <t xml:space="preserve">EL MOTILON</t>
  </si>
  <si>
    <t xml:space="preserve">04146682697</t>
  </si>
  <si>
    <t xml:space="preserve">08508062</t>
  </si>
  <si>
    <t xml:space="preserve">000030481368</t>
  </si>
  <si>
    <t xml:space="preserve">FRANCHESCA DEL VALLE</t>
  </si>
  <si>
    <t xml:space="preserve">ACOSTA MAVARES</t>
  </si>
  <si>
    <t xml:space="preserve">CAMPO BOYACA AL LADO DE PAPI</t>
  </si>
  <si>
    <t xml:space="preserve">04169694121</t>
  </si>
  <si>
    <t xml:space="preserve">18311976</t>
  </si>
  <si>
    <t xml:space="preserve">000030946202</t>
  </si>
  <si>
    <t xml:space="preserve">GIRELA DAIKELY</t>
  </si>
  <si>
    <t xml:space="preserve">FUENMAYOR SILVA</t>
  </si>
  <si>
    <t xml:space="preserve">04127911150</t>
  </si>
  <si>
    <t xml:space="preserve">14137113</t>
  </si>
  <si>
    <t xml:space="preserve">000027680555</t>
  </si>
  <si>
    <t xml:space="preserve">FRANKLIN ANTONIO</t>
  </si>
  <si>
    <t xml:space="preserve">000027046691</t>
  </si>
  <si>
    <t xml:space="preserve">YOHARVIS ENRIQUE</t>
  </si>
  <si>
    <t xml:space="preserve">MARQUEZ LLANOS</t>
  </si>
  <si>
    <t xml:space="preserve">SECOTR LA JABILLAS VIA PRINCIPAL</t>
  </si>
  <si>
    <t xml:space="preserve">04266657716</t>
  </si>
  <si>
    <t xml:space="preserve">7817417</t>
  </si>
  <si>
    <t xml:space="preserve">000027710096</t>
  </si>
  <si>
    <t xml:space="preserve">HIRBELIN DE LOS ANGELES</t>
  </si>
  <si>
    <t xml:space="preserve">GONZALEZ PARRA</t>
  </si>
  <si>
    <t xml:space="preserve">SECTOR LAS MARIAS EL LABERINTO</t>
  </si>
  <si>
    <t xml:space="preserve">04122674849</t>
  </si>
  <si>
    <t xml:space="preserve">06764680</t>
  </si>
  <si>
    <t xml:space="preserve">010006764688</t>
  </si>
  <si>
    <t xml:space="preserve">CEIDELIN ROSARIIO</t>
  </si>
  <si>
    <t xml:space="preserve">04162674849</t>
  </si>
  <si>
    <t xml:space="preserve">06764688</t>
  </si>
  <si>
    <t xml:space="preserve">000031299358</t>
  </si>
  <si>
    <t xml:space="preserve">EXDIL ISABEL</t>
  </si>
  <si>
    <t xml:space="preserve">MOTILON AL LADO DEL CUARTEL</t>
  </si>
  <si>
    <t xml:space="preserve">010225407872</t>
  </si>
  <si>
    <t xml:space="preserve">ANYIS PAOLA</t>
  </si>
  <si>
    <t xml:space="preserve">PEDROZO SALAS</t>
  </si>
  <si>
    <t xml:space="preserve">04266236015</t>
  </si>
  <si>
    <t xml:space="preserve">019613757930</t>
  </si>
  <si>
    <t xml:space="preserve">NIETO ALVEAR</t>
  </si>
  <si>
    <t xml:space="preserve">LA PARADA DE LOS BUSES DE LA PAZ</t>
  </si>
  <si>
    <t xml:space="preserve">04169171601</t>
  </si>
  <si>
    <t xml:space="preserve">13757930</t>
  </si>
  <si>
    <t xml:space="preserve">000030131007</t>
  </si>
  <si>
    <t xml:space="preserve">KEVIN JOSE</t>
  </si>
  <si>
    <t xml:space="preserve">000026106226</t>
  </si>
  <si>
    <t xml:space="preserve">GUERRERO ROO</t>
  </si>
  <si>
    <t xml:space="preserve">04121281972</t>
  </si>
  <si>
    <t xml:space="preserve">15750924</t>
  </si>
  <si>
    <t xml:space="preserve">000021039263</t>
  </si>
  <si>
    <t xml:space="preserve">JOEL ENRIQUE</t>
  </si>
  <si>
    <t xml:space="preserve">ESTRADA BARRANCOS</t>
  </si>
  <si>
    <t xml:space="preserve">000013974823</t>
  </si>
  <si>
    <t xml:space="preserve">YELITZA COROMOTO</t>
  </si>
  <si>
    <t xml:space="preserve">NEGRETTE NEGRETTE</t>
  </si>
  <si>
    <t xml:space="preserve">000009754396</t>
  </si>
  <si>
    <t xml:space="preserve">LEONEL ANTONIO</t>
  </si>
  <si>
    <t xml:space="preserve">OJEDA ROMERO</t>
  </si>
  <si>
    <t xml:space="preserve">000023817503</t>
  </si>
  <si>
    <t xml:space="preserve">JULIAN JOSE</t>
  </si>
  <si>
    <t xml:space="preserve">NAVA ESTABA</t>
  </si>
  <si>
    <t xml:space="preserve">PUNTA DE MATA</t>
  </si>
  <si>
    <t xml:space="preserve">000026780534</t>
  </si>
  <si>
    <t xml:space="preserve">FERRER CHIRINOS</t>
  </si>
  <si>
    <t xml:space="preserve">000027750067</t>
  </si>
  <si>
    <t xml:space="preserve">ROJAS AYARES</t>
  </si>
  <si>
    <t xml:space="preserve">04140615989</t>
  </si>
  <si>
    <t xml:space="preserve">08505336</t>
  </si>
  <si>
    <t xml:space="preserve">000021039791</t>
  </si>
  <si>
    <t xml:space="preserve">MABELIS GREGORIA</t>
  </si>
  <si>
    <t xml:space="preserve">010283162248</t>
  </si>
  <si>
    <t xml:space="preserve">YULIANA YUNETH</t>
  </si>
  <si>
    <t xml:space="preserve">04246982562</t>
  </si>
  <si>
    <t xml:space="preserve">010124729728</t>
  </si>
  <si>
    <t xml:space="preserve">GALVIZ ATENCIO</t>
  </si>
  <si>
    <t xml:space="preserve">04124738305</t>
  </si>
  <si>
    <t xml:space="preserve">24726700</t>
  </si>
  <si>
    <t xml:space="preserve">000014208545</t>
  </si>
  <si>
    <t xml:space="preserve">JENNY GABRIELA</t>
  </si>
  <si>
    <t xml:space="preserve">QUINTERO BRIÑEZ</t>
  </si>
  <si>
    <t xml:space="preserve">000022141204</t>
  </si>
  <si>
    <t xml:space="preserve">MIGDALY DEL CARMEN</t>
  </si>
  <si>
    <t xml:space="preserve">MÁS Y RUBI URDANETA</t>
  </si>
  <si>
    <t xml:space="preserve">000021039803</t>
  </si>
  <si>
    <t xml:space="preserve">FERNAILIS MILAGROS</t>
  </si>
  <si>
    <t xml:space="preserve">000020508040</t>
  </si>
  <si>
    <t xml:space="preserve">BETULIVEN DEL VALLE</t>
  </si>
  <si>
    <t xml:space="preserve">LUZARDO GONZÁLEZ</t>
  </si>
  <si>
    <t xml:space="preserve">000020834700</t>
  </si>
  <si>
    <t xml:space="preserve">JOSÉ MIGUEL</t>
  </si>
  <si>
    <t xml:space="preserve">RINCÓN PIRELA</t>
  </si>
  <si>
    <t xml:space="preserve">Campo Boyacá</t>
  </si>
  <si>
    <t xml:space="preserve">04121213123</t>
  </si>
  <si>
    <t xml:space="preserve">000019906258</t>
  </si>
  <si>
    <t xml:space="preserve">LUIGGI JESUS</t>
  </si>
  <si>
    <t xml:space="preserve">SANCHEZ MOLERO</t>
  </si>
  <si>
    <t xml:space="preserve">000020686041</t>
  </si>
  <si>
    <t xml:space="preserve">YONGER ALEXANDER</t>
  </si>
  <si>
    <t xml:space="preserve">VARGAS GAMEZ</t>
  </si>
  <si>
    <t xml:space="preserve">000018662063</t>
  </si>
  <si>
    <t xml:space="preserve">KELVI JOHANDRY</t>
  </si>
  <si>
    <t xml:space="preserve">CASTILLO PINEDA</t>
  </si>
  <si>
    <t xml:space="preserve">000020508177</t>
  </si>
  <si>
    <t xml:space="preserve">MARIBEL</t>
  </si>
  <si>
    <t xml:space="preserve">URDANETA GONZÁLEZ</t>
  </si>
  <si>
    <t xml:space="preserve">000023466326</t>
  </si>
  <si>
    <t xml:space="preserve">URDANETA LABARCA</t>
  </si>
  <si>
    <t xml:space="preserve">000030499095</t>
  </si>
  <si>
    <t xml:space="preserve">NASSWIR LEIRU</t>
  </si>
  <si>
    <t xml:space="preserve">RAFFEZCA DIAZ</t>
  </si>
  <si>
    <t xml:space="preserve">VILLA DE CURA</t>
  </si>
  <si>
    <t xml:space="preserve">04126839697</t>
  </si>
  <si>
    <t xml:space="preserve">14860107</t>
  </si>
  <si>
    <t xml:space="preserve">000028510200</t>
  </si>
  <si>
    <t xml:space="preserve">JORGELIS ISABEL</t>
  </si>
  <si>
    <t xml:space="preserve">LA CONCEPCION SECTOR LAS NEGRITAS</t>
  </si>
  <si>
    <t xml:space="preserve">04163224025</t>
  </si>
  <si>
    <t xml:space="preserve">10422506</t>
  </si>
  <si>
    <t xml:space="preserve">010008505336</t>
  </si>
  <si>
    <t xml:space="preserve">DAIRELYS DEL CARMEN</t>
  </si>
  <si>
    <t xml:space="preserve">000027339367</t>
  </si>
  <si>
    <t xml:space="preserve">EL BATACAZO</t>
  </si>
  <si>
    <t xml:space="preserve">16354077</t>
  </si>
  <si>
    <t xml:space="preserve">000019546444</t>
  </si>
  <si>
    <t xml:space="preserve">JOSÉ ALBERTO</t>
  </si>
  <si>
    <t xml:space="preserve">FERNÁNDEZ PEÑATE</t>
  </si>
  <si>
    <t xml:space="preserve">000022259716</t>
  </si>
  <si>
    <t xml:space="preserve">MORALES LARREAL</t>
  </si>
  <si>
    <t xml:space="preserve">000020834479</t>
  </si>
  <si>
    <t xml:space="preserve">YUDENIS DEL CARMEN</t>
  </si>
  <si>
    <t xml:space="preserve">000020834719</t>
  </si>
  <si>
    <t xml:space="preserve">GREGORÍA DEL CARMEN</t>
  </si>
  <si>
    <t xml:space="preserve">FERNÁNDEZ QUINTERO</t>
  </si>
  <si>
    <t xml:space="preserve">000015748851</t>
  </si>
  <si>
    <t xml:space="preserve">000020986603</t>
  </si>
  <si>
    <t xml:space="preserve">RUDI GUILLERMINA</t>
  </si>
  <si>
    <t xml:space="preserve">000019225013</t>
  </si>
  <si>
    <t xml:space="preserve">DAIRYS DEL CARMEN</t>
  </si>
  <si>
    <t xml:space="preserve">URDANETA VILLADIEGO</t>
  </si>
  <si>
    <t xml:space="preserve">000020381322</t>
  </si>
  <si>
    <t xml:space="preserve">ANTONIO JOSE</t>
  </si>
  <si>
    <t xml:space="preserve">010114630152</t>
  </si>
  <si>
    <t xml:space="preserve">JOSE JAVIER</t>
  </si>
  <si>
    <t xml:space="preserve">RINCON CAÑAS</t>
  </si>
  <si>
    <t xml:space="preserve">04162284373</t>
  </si>
  <si>
    <t xml:space="preserve">000020833690</t>
  </si>
  <si>
    <t xml:space="preserve">QUIROZ DIAZ</t>
  </si>
  <si>
    <t xml:space="preserve">la paz</t>
  </si>
  <si>
    <t xml:space="preserve">000020987934</t>
  </si>
  <si>
    <t xml:space="preserve">EMILY ROSA</t>
  </si>
  <si>
    <t xml:space="preserve">SOTURNO ORTIZ</t>
  </si>
  <si>
    <t xml:space="preserve">000021511035</t>
  </si>
  <si>
    <t xml:space="preserve">ELI JOSE</t>
  </si>
  <si>
    <t xml:space="preserve">FINOL CASTILLO</t>
  </si>
  <si>
    <t xml:space="preserve">000014278888</t>
  </si>
  <si>
    <t xml:space="preserve">NOREIDA JOSEFINA</t>
  </si>
  <si>
    <t xml:space="preserve">PERCHE</t>
  </si>
  <si>
    <t xml:space="preserve">000025855295</t>
  </si>
  <si>
    <t xml:space="preserve">MACHADO MOLINA</t>
  </si>
  <si>
    <t xml:space="preserve">000030036233</t>
  </si>
  <si>
    <t xml:space="preserve">JEDUIR JAVIER</t>
  </si>
  <si>
    <t xml:space="preserve">salineta</t>
  </si>
  <si>
    <t xml:space="preserve">25325075</t>
  </si>
  <si>
    <t xml:space="preserve">000030200584</t>
  </si>
  <si>
    <t xml:space="preserve">EMELYS MICHER</t>
  </si>
  <si>
    <t xml:space="preserve">04241633615</t>
  </si>
  <si>
    <t xml:space="preserve">000025345365</t>
  </si>
  <si>
    <t xml:space="preserve">ANDRELIS MIRIAN</t>
  </si>
  <si>
    <t xml:space="preserve">PERTUZ PAZ</t>
  </si>
  <si>
    <t xml:space="preserve">04267257938</t>
  </si>
  <si>
    <t xml:space="preserve">09725204</t>
  </si>
  <si>
    <t xml:space="preserve">000027091395</t>
  </si>
  <si>
    <t xml:space="preserve">EDGAR ENRIQUE</t>
  </si>
  <si>
    <t xml:space="preserve">VIERAS PAZ</t>
  </si>
  <si>
    <t xml:space="preserve">000026239616</t>
  </si>
  <si>
    <t xml:space="preserve">000020508678</t>
  </si>
  <si>
    <t xml:space="preserve">BERRUETA MELENDREZ</t>
  </si>
  <si>
    <t xml:space="preserve">000020834413</t>
  </si>
  <si>
    <t xml:space="preserve">CLAUDIA MANUELA</t>
  </si>
  <si>
    <t xml:space="preserve">RODRIGUEZ FANDIÑO</t>
  </si>
  <si>
    <t xml:space="preserve">000020071989</t>
  </si>
  <si>
    <t xml:space="preserve">RIGOBERTO JOSE</t>
  </si>
  <si>
    <t xml:space="preserve">000020778505</t>
  </si>
  <si>
    <t xml:space="preserve">ROMERO CHAVEZ</t>
  </si>
  <si>
    <t xml:space="preserve">000027090687</t>
  </si>
  <si>
    <t xml:space="preserve">AIDA BEATRIZ</t>
  </si>
  <si>
    <t xml:space="preserve">CIUDAD COMUNAL SECTOR 1, CASA 2, MANZAQNA 5</t>
  </si>
  <si>
    <t xml:space="preserve">04269617454</t>
  </si>
  <si>
    <t xml:space="preserve">000025039926</t>
  </si>
  <si>
    <t xml:space="preserve">MARIA CELSA</t>
  </si>
  <si>
    <t xml:space="preserve">ALVRADO SUAREZ</t>
  </si>
  <si>
    <t xml:space="preserve">000020508737</t>
  </si>
  <si>
    <t xml:space="preserve">JHOANNY CAROLINA</t>
  </si>
  <si>
    <t xml:space="preserve">000020508352</t>
  </si>
  <si>
    <t xml:space="preserve">MAURIBEL COROMOTO</t>
  </si>
  <si>
    <t xml:space="preserve">000018384547</t>
  </si>
  <si>
    <t xml:space="preserve">JOHANNA CAROLINA</t>
  </si>
  <si>
    <t xml:space="preserve">000013628986</t>
  </si>
  <si>
    <t xml:space="preserve">CIRA DEL CARMEN</t>
  </si>
  <si>
    <t xml:space="preserve">000022079124</t>
  </si>
  <si>
    <t xml:space="preserve">YARILUZ PATRICIA</t>
  </si>
  <si>
    <t xml:space="preserve">000020835056</t>
  </si>
  <si>
    <t xml:space="preserve">KATHERINE PAOLA</t>
  </si>
  <si>
    <t xml:space="preserve">000017293827</t>
  </si>
  <si>
    <t xml:space="preserve">JOSE ERICK</t>
  </si>
  <si>
    <t xml:space="preserve">PEROZO FERNANDEZ</t>
  </si>
  <si>
    <t xml:space="preserve">000018202092</t>
  </si>
  <si>
    <t xml:space="preserve">WUILLIN GREGORIO</t>
  </si>
  <si>
    <t xml:space="preserve">000020059484</t>
  </si>
  <si>
    <t xml:space="preserve">RINCON BRACHO</t>
  </si>
  <si>
    <t xml:space="preserve">000017565220</t>
  </si>
  <si>
    <t xml:space="preserve">000017565027</t>
  </si>
  <si>
    <t xml:space="preserve">NANGLY CHIQUINQUIRA</t>
  </si>
  <si>
    <t xml:space="preserve">OLIVEROS CHOURIO</t>
  </si>
  <si>
    <t xml:space="preserve">000019844132</t>
  </si>
  <si>
    <t xml:space="preserve">JORMAN JOSÈ</t>
  </si>
  <si>
    <t xml:space="preserve">OLIVEROS INCIARTE</t>
  </si>
  <si>
    <t xml:space="preserve">000021510679</t>
  </si>
  <si>
    <t xml:space="preserve">NARBELIS DEL CARMEN</t>
  </si>
  <si>
    <t xml:space="preserve">URDANETA FLORIAN</t>
  </si>
  <si>
    <t xml:space="preserve">000021510966</t>
  </si>
  <si>
    <t xml:space="preserve">019533272768</t>
  </si>
  <si>
    <t xml:space="preserve">DAYANA PATRICIA</t>
  </si>
  <si>
    <t xml:space="preserve">CAMPO ARIAS</t>
  </si>
  <si>
    <t xml:space="preserve">BOLÍVAR</t>
  </si>
  <si>
    <t xml:space="preserve">000014769413</t>
  </si>
  <si>
    <t xml:space="preserve">YARIS YOHANA</t>
  </si>
  <si>
    <t xml:space="preserve">000014522354</t>
  </si>
  <si>
    <t xml:space="preserve">YANIRETH DEL CARMEN</t>
  </si>
  <si>
    <t xml:space="preserve">FERRER VALBUENA</t>
  </si>
  <si>
    <t xml:space="preserve">000029543435</t>
  </si>
  <si>
    <t xml:space="preserve">YUMAR JOSE</t>
  </si>
  <si>
    <t xml:space="preserve">MEDERO CHAVEZ</t>
  </si>
  <si>
    <t xml:space="preserve">11860869</t>
  </si>
  <si>
    <t xml:space="preserve">000020682026</t>
  </si>
  <si>
    <t xml:space="preserve">EDWARD DAVID</t>
  </si>
  <si>
    <t xml:space="preserve">ISSA SÀNCHEZ</t>
  </si>
  <si>
    <t xml:space="preserve">000020685026</t>
  </si>
  <si>
    <t xml:space="preserve">000017565224</t>
  </si>
  <si>
    <t xml:space="preserve">LENINGERTH JOSÈ</t>
  </si>
  <si>
    <t xml:space="preserve">FINOL BERRUETA</t>
  </si>
  <si>
    <t xml:space="preserve">000025039665</t>
  </si>
  <si>
    <t xml:space="preserve">NOHELY</t>
  </si>
  <si>
    <t xml:space="preserve">ROMERO FERNÀNDEZ</t>
  </si>
  <si>
    <t xml:space="preserve">000013757422</t>
  </si>
  <si>
    <t xml:space="preserve">NEIDY JUDITH</t>
  </si>
  <si>
    <t xml:space="preserve">TERÀN</t>
  </si>
  <si>
    <t xml:space="preserve">000018874422</t>
  </si>
  <si>
    <t xml:space="preserve">FABIOLA ANDREINA</t>
  </si>
  <si>
    <t xml:space="preserve">000017736094</t>
  </si>
  <si>
    <t xml:space="preserve">JEIDELIN ELISA</t>
  </si>
  <si>
    <t xml:space="preserve">000021354520</t>
  </si>
  <si>
    <t xml:space="preserve">ASTRID KARINA</t>
  </si>
  <si>
    <t xml:space="preserve">CHÀVEZ BOSCAN</t>
  </si>
  <si>
    <t xml:space="preserve">000017566762</t>
  </si>
  <si>
    <t xml:space="preserve">YARCIRA DEL CARMEN</t>
  </si>
  <si>
    <t xml:space="preserve">000021039260</t>
  </si>
  <si>
    <t xml:space="preserve">ELIANDRY JOSÈ</t>
  </si>
  <si>
    <t xml:space="preserve">GONZÀLEZ BRACHO</t>
  </si>
  <si>
    <t xml:space="preserve">000023466533</t>
  </si>
  <si>
    <t xml:space="preserve">MAIBRI DEL CARMEN</t>
  </si>
  <si>
    <t xml:space="preserve">000021039137</t>
  </si>
  <si>
    <t xml:space="preserve">GERARDIN CHIQUÌNQUIRA</t>
  </si>
  <si>
    <t xml:space="preserve">000012589747</t>
  </si>
  <si>
    <t xml:space="preserve">KEILA DEL VALLE</t>
  </si>
  <si>
    <t xml:space="preserve">000011863027</t>
  </si>
  <si>
    <t xml:space="preserve">SUHAIL DEL VALLE</t>
  </si>
  <si>
    <t xml:space="preserve">FERNÀNDEZ FERRER</t>
  </si>
  <si>
    <t xml:space="preserve">000029963341</t>
  </si>
  <si>
    <t xml:space="preserve">MAIRI PAOLA</t>
  </si>
  <si>
    <t xml:space="preserve">BRACHO FUENMAYOR</t>
  </si>
  <si>
    <t xml:space="preserve">04160638549</t>
  </si>
  <si>
    <t xml:space="preserve">19460598</t>
  </si>
  <si>
    <t xml:space="preserve">000029749079</t>
  </si>
  <si>
    <t xml:space="preserve">ISAIAS DANIEL</t>
  </si>
  <si>
    <t xml:space="preserve">SECTOR LAS VEGAS CASAº10</t>
  </si>
  <si>
    <t xml:space="preserve">04263656228</t>
  </si>
  <si>
    <t xml:space="preserve">000029986376</t>
  </si>
  <si>
    <t xml:space="preserve">MAIRENE MILEXY</t>
  </si>
  <si>
    <t xml:space="preserve">EL LABERINTO SECTOR LAS JAVILLAS</t>
  </si>
  <si>
    <t xml:space="preserve">019732878558</t>
  </si>
  <si>
    <t xml:space="preserve">DEWIS JUNIOR</t>
  </si>
  <si>
    <t xml:space="preserve">PUERTA PADILLA</t>
  </si>
  <si>
    <t xml:space="preserve">04263613662</t>
  </si>
  <si>
    <t xml:space="preserve">000028515746</t>
  </si>
  <si>
    <t xml:space="preserve">DARIANA MICHELL</t>
  </si>
  <si>
    <t xml:space="preserve">BRACHO URDANETA</t>
  </si>
  <si>
    <t xml:space="preserve">04121205001</t>
  </si>
  <si>
    <t xml:space="preserve">15559006</t>
  </si>
  <si>
    <t xml:space="preserve">000028515754</t>
  </si>
  <si>
    <t xml:space="preserve">04246659926</t>
  </si>
  <si>
    <t xml:space="preserve">010115286413</t>
  </si>
  <si>
    <t xml:space="preserve">YORMAN ANTONIO</t>
  </si>
  <si>
    <t xml:space="preserve">LABERINTO CIUDAD COMUNAL</t>
  </si>
  <si>
    <t xml:space="preserve">04165698211</t>
  </si>
  <si>
    <t xml:space="preserve">000031527293</t>
  </si>
  <si>
    <t xml:space="preserve">URDANETA ATENCIO</t>
  </si>
  <si>
    <t xml:space="preserve">CUATRO BOCAS</t>
  </si>
  <si>
    <t xml:space="preserve">SECTOR VILLA SALAS</t>
  </si>
  <si>
    <t xml:space="preserve">04125137152</t>
  </si>
  <si>
    <t xml:space="preserve">000031254548</t>
  </si>
  <si>
    <t xml:space="preserve">AITOR JUNIOR</t>
  </si>
  <si>
    <t xml:space="preserve">BARRIO EL COLRADO</t>
  </si>
  <si>
    <t xml:space="preserve">04164539808</t>
  </si>
  <si>
    <t xml:space="preserve">25292752</t>
  </si>
  <si>
    <t xml:space="preserve">000031009845</t>
  </si>
  <si>
    <t xml:space="preserve">ALVARO ADOLFO</t>
  </si>
  <si>
    <t xml:space="preserve">SECTOR LA CONQUISTA CASA 148</t>
  </si>
  <si>
    <t xml:space="preserve">04262929755</t>
  </si>
  <si>
    <t xml:space="preserve">000031070135</t>
  </si>
  <si>
    <t xml:space="preserve">FABIOLA ANDREA</t>
  </si>
  <si>
    <t xml:space="preserve">04262672185</t>
  </si>
  <si>
    <t xml:space="preserve">000031980999</t>
  </si>
  <si>
    <t xml:space="preserve">ADELVIS ENRIQUE</t>
  </si>
  <si>
    <t xml:space="preserve">000031024541</t>
  </si>
  <si>
    <t xml:space="preserve">JOSUE ABRAHAN</t>
  </si>
  <si>
    <t xml:space="preserve">04262642042</t>
  </si>
  <si>
    <t xml:space="preserve">000031295296</t>
  </si>
  <si>
    <t xml:space="preserve">NAIRELIS SARAY</t>
  </si>
  <si>
    <t xml:space="preserve">LAS JABILLAS CASA 79</t>
  </si>
  <si>
    <t xml:space="preserve">04162256338</t>
  </si>
  <si>
    <t xml:space="preserve">09715636</t>
  </si>
  <si>
    <t xml:space="preserve">000031407862</t>
  </si>
  <si>
    <t xml:space="preserve">ZARAY YULIMAR</t>
  </si>
  <si>
    <t xml:space="preserve">MENDOZA CASTILLO</t>
  </si>
  <si>
    <t xml:space="preserve">02625144075</t>
  </si>
  <si>
    <t xml:space="preserve">13428476</t>
  </si>
  <si>
    <t xml:space="preserve">010133341816</t>
  </si>
  <si>
    <t xml:space="preserve">ADALBERTO RAFAEL</t>
  </si>
  <si>
    <t xml:space="preserve">BARRIO MARIO URDANETA DOS</t>
  </si>
  <si>
    <t xml:space="preserve">04263666832</t>
  </si>
  <si>
    <t xml:space="preserve">33341816</t>
  </si>
  <si>
    <t xml:space="preserve">000030299139</t>
  </si>
  <si>
    <t xml:space="preserve">FRANYER JUNIOR</t>
  </si>
  <si>
    <t xml:space="preserve">BARRIOMARIO URDANETA</t>
  </si>
  <si>
    <t xml:space="preserve">04261667225</t>
  </si>
  <si>
    <t xml:space="preserve">000030268295</t>
  </si>
  <si>
    <t xml:space="preserve">PEINADO GARCIA</t>
  </si>
  <si>
    <t xml:space="preserve">CIUDAD COMUNAL SECTOR º2 MANZANA 5 CASA º29</t>
  </si>
  <si>
    <t xml:space="preserve">04269642069</t>
  </si>
  <si>
    <t xml:space="preserve">000027744356</t>
  </si>
  <si>
    <t xml:space="preserve">ROYBER ELIECER</t>
  </si>
  <si>
    <t xml:space="preserve">MOJAN</t>
  </si>
  <si>
    <t xml:space="preserve">CIUDAD COMUNAL SECTOR º2 MANZANA º7 CASA 01</t>
  </si>
  <si>
    <t xml:space="preserve">04168266702</t>
  </si>
  <si>
    <t xml:space="preserve">25680395</t>
  </si>
  <si>
    <t xml:space="preserve">000019811109</t>
  </si>
  <si>
    <t xml:space="preserve">OMERY DEL VALLE</t>
  </si>
  <si>
    <t xml:space="preserve">RAMIREZ LABARCA</t>
  </si>
  <si>
    <t xml:space="preserve">000017565635</t>
  </si>
  <si>
    <t xml:space="preserve">ANNY CAROLAY</t>
  </si>
  <si>
    <t xml:space="preserve">VILLALOBOS PETIT</t>
  </si>
  <si>
    <t xml:space="preserve">000021421872</t>
  </si>
  <si>
    <t xml:space="preserve">WISLEIDY CHIQUÌNQUIRA</t>
  </si>
  <si>
    <t xml:space="preserve">LOPEZ FUENMAYOR</t>
  </si>
  <si>
    <t xml:space="preserve">000017568120</t>
  </si>
  <si>
    <t xml:space="preserve">DALIA ROSA</t>
  </si>
  <si>
    <t xml:space="preserve">000016729360</t>
  </si>
  <si>
    <t xml:space="preserve">DAYALI ALIDAY</t>
  </si>
  <si>
    <t xml:space="preserve">FINOL FUENMAYOR</t>
  </si>
  <si>
    <t xml:space="preserve">000020835244</t>
  </si>
  <si>
    <t xml:space="preserve">NEIROLYS CAROLINA</t>
  </si>
  <si>
    <t xml:space="preserve">000020508878</t>
  </si>
  <si>
    <t xml:space="preserve">YOSIMAR COROMOTO</t>
  </si>
  <si>
    <t xml:space="preserve">MORALES BARRIOS</t>
  </si>
  <si>
    <t xml:space="preserve">000023770193</t>
  </si>
  <si>
    <t xml:space="preserve">JOSÈ GREGORIO</t>
  </si>
  <si>
    <t xml:space="preserve">BRACHO ATENCIO</t>
  </si>
  <si>
    <t xml:space="preserve">000013878823</t>
  </si>
  <si>
    <t xml:space="preserve">LUZ MARINA</t>
  </si>
  <si>
    <t xml:space="preserve">GONZÀLEZ</t>
  </si>
  <si>
    <t xml:space="preserve">CARRETERA DE MARA</t>
  </si>
  <si>
    <t xml:space="preserve">000023466510</t>
  </si>
  <si>
    <t xml:space="preserve">YUNEILIS ROSA</t>
  </si>
  <si>
    <t xml:space="preserve">MORALES FERNÁNDEZ</t>
  </si>
  <si>
    <t xml:space="preserve">000021510132</t>
  </si>
  <si>
    <t xml:space="preserve">ELYS MARY</t>
  </si>
  <si>
    <t xml:space="preserve">URDANETA ZAMBRANO</t>
  </si>
  <si>
    <t xml:space="preserve">000015888513</t>
  </si>
  <si>
    <t xml:space="preserve">MAIRA JOSEFA</t>
  </si>
  <si>
    <t xml:space="preserve">ZABALETA ANAYA</t>
  </si>
  <si>
    <t xml:space="preserve">000017565063</t>
  </si>
  <si>
    <t xml:space="preserve">NAIROBI CAROLINA</t>
  </si>
  <si>
    <t xml:space="preserve">000019694051</t>
  </si>
  <si>
    <t xml:space="preserve">MARYOLIS DEL CARMEN</t>
  </si>
  <si>
    <t xml:space="preserve">GONZÁLEZ REYES</t>
  </si>
  <si>
    <t xml:space="preserve">000021509631</t>
  </si>
  <si>
    <t xml:space="preserve">ADILMA JANETH</t>
  </si>
  <si>
    <t xml:space="preserve">PALMAR AVILA</t>
  </si>
  <si>
    <t xml:space="preserve">000027090286</t>
  </si>
  <si>
    <t xml:space="preserve">ANDREA VICTORIA</t>
  </si>
  <si>
    <t xml:space="preserve">FERNÁNDEZ WILHELM</t>
  </si>
  <si>
    <t xml:space="preserve">000026693386</t>
  </si>
  <si>
    <t xml:space="preserve">YENIS YANETH</t>
  </si>
  <si>
    <t xml:space="preserve">MENDOZA AREVALO</t>
  </si>
  <si>
    <t xml:space="preserve">000020833986</t>
  </si>
  <si>
    <t xml:space="preserve">KEIDILUZ CIRILEY</t>
  </si>
  <si>
    <t xml:space="preserve">FINOL SUAREZ</t>
  </si>
  <si>
    <t xml:space="preserve">000024725402</t>
  </si>
  <si>
    <t xml:space="preserve">ALIRIO ENRIQUE</t>
  </si>
  <si>
    <t xml:space="preserve">000019450653</t>
  </si>
  <si>
    <t xml:space="preserve">HERIKLEXY</t>
  </si>
  <si>
    <t xml:space="preserve">MORALES FERRER</t>
  </si>
  <si>
    <t xml:space="preserve">000019811173</t>
  </si>
  <si>
    <t xml:space="preserve">MARIANY MARILY</t>
  </si>
  <si>
    <t xml:space="preserve">000026780855</t>
  </si>
  <si>
    <t xml:space="preserve">GONZÁLEZ CONTRERAS</t>
  </si>
  <si>
    <t xml:space="preserve">Barrio Mario Urdaneta</t>
  </si>
  <si>
    <t xml:space="preserve">000020610315</t>
  </si>
  <si>
    <t xml:space="preserve">YENIREE DEL VALLE</t>
  </si>
  <si>
    <t xml:space="preserve">000023466327</t>
  </si>
  <si>
    <t xml:space="preserve">ALEJANDRA ISABEL</t>
  </si>
  <si>
    <t xml:space="preserve">000019838579</t>
  </si>
  <si>
    <t xml:space="preserve">BELKIS JOSEFINA</t>
  </si>
  <si>
    <t xml:space="preserve">000019906362</t>
  </si>
  <si>
    <t xml:space="preserve">YENIREE LUISE</t>
  </si>
  <si>
    <t xml:space="preserve">MAPARI URDANETA</t>
  </si>
  <si>
    <t xml:space="preserve">000024725901</t>
  </si>
  <si>
    <t xml:space="preserve">MAIRILUZ CHIQUINQUÍRA</t>
  </si>
  <si>
    <t xml:space="preserve">PORTILLO VILCHEZ</t>
  </si>
  <si>
    <t xml:space="preserve">Barrio Caucaguita</t>
  </si>
  <si>
    <t xml:space="preserve">0426-4229835</t>
  </si>
  <si>
    <t xml:space="preserve">000024725884</t>
  </si>
  <si>
    <t xml:space="preserve">KAREN MARGARITA</t>
  </si>
  <si>
    <t xml:space="preserve">000020833988</t>
  </si>
  <si>
    <t xml:space="preserve">EDNER</t>
  </si>
  <si>
    <t xml:space="preserve">CHIMA TORRES</t>
  </si>
  <si>
    <t xml:space="preserve">000019765984</t>
  </si>
  <si>
    <t xml:space="preserve">ADRIANA DEL VALLE</t>
  </si>
  <si>
    <t xml:space="preserve">000020147982</t>
  </si>
  <si>
    <t xml:space="preserve">HENGLIS JACQUELINE</t>
  </si>
  <si>
    <t xml:space="preserve">BASTIDAS DELGADO</t>
  </si>
  <si>
    <t xml:space="preserve">000017568960</t>
  </si>
  <si>
    <t xml:space="preserve">ERICA CAROLINA</t>
  </si>
  <si>
    <t xml:space="preserve">CASTRO COLINA</t>
  </si>
  <si>
    <t xml:space="preserve">000016079697</t>
  </si>
  <si>
    <t xml:space="preserve">MARYENIS MARGARITA</t>
  </si>
  <si>
    <t xml:space="preserve">ROMERO CARVAJAL</t>
  </si>
  <si>
    <t xml:space="preserve">000021509437</t>
  </si>
  <si>
    <t xml:space="preserve">RIANNY MARÍA</t>
  </si>
  <si>
    <t xml:space="preserve">FERNÁNDEZ MORALES</t>
  </si>
  <si>
    <t xml:space="preserve">000017567004</t>
  </si>
  <si>
    <t xml:space="preserve">GRETTI VIRGINIA</t>
  </si>
  <si>
    <t xml:space="preserve">GONZÁLEZ GONZÁLEZ</t>
  </si>
  <si>
    <t xml:space="preserve">000021511069</t>
  </si>
  <si>
    <t xml:space="preserve">JONATHAN JARRIS</t>
  </si>
  <si>
    <t xml:space="preserve">LABARCA VÍLCHEZ</t>
  </si>
  <si>
    <t xml:space="preserve">000017545891</t>
  </si>
  <si>
    <t xml:space="preserve">REBECA THAIS</t>
  </si>
  <si>
    <t xml:space="preserve">SANZ BRIÑEZ</t>
  </si>
  <si>
    <t xml:space="preserve">000012381392</t>
  </si>
  <si>
    <t xml:space="preserve">ANDREINA DEL CARMEN</t>
  </si>
  <si>
    <t xml:space="preserve">VILCHEZ MORAN</t>
  </si>
  <si>
    <t xml:space="preserve">000020059477</t>
  </si>
  <si>
    <t xml:space="preserve">NEURO ALBERTO</t>
  </si>
  <si>
    <t xml:space="preserve">GONZÁLEZ PALMAR</t>
  </si>
  <si>
    <t xml:space="preserve">000021510681</t>
  </si>
  <si>
    <t xml:space="preserve">ANDREIBELIN ELENA</t>
  </si>
  <si>
    <t xml:space="preserve">VERGARA CUADRADO</t>
  </si>
  <si>
    <t xml:space="preserve">000017099312</t>
  </si>
  <si>
    <t xml:space="preserve">ZORAYA JOSEFINA</t>
  </si>
  <si>
    <t xml:space="preserve">GONZÁLEZ URDANETA</t>
  </si>
  <si>
    <t xml:space="preserve">000017736264</t>
  </si>
  <si>
    <t xml:space="preserve">MÓNICA DEL VALLE</t>
  </si>
  <si>
    <t xml:space="preserve">GONZÁLEZ NAVA</t>
  </si>
  <si>
    <t xml:space="preserve">000016561031</t>
  </si>
  <si>
    <t xml:space="preserve">CASTILLO VALLES</t>
  </si>
  <si>
    <t xml:space="preserve">000020835412</t>
  </si>
  <si>
    <t xml:space="preserve">CELENY COROMOTO</t>
  </si>
  <si>
    <t xml:space="preserve">VALERO COLINA</t>
  </si>
  <si>
    <t xml:space="preserve">000026466579</t>
  </si>
  <si>
    <t xml:space="preserve">000023466579</t>
  </si>
  <si>
    <t xml:space="preserve">000024250400</t>
  </si>
  <si>
    <t xml:space="preserve">KENDRIS JOSE</t>
  </si>
  <si>
    <t xml:space="preserve">000023466407</t>
  </si>
  <si>
    <t xml:space="preserve">KEIVER EDUARDO</t>
  </si>
  <si>
    <t xml:space="preserve">000025039933</t>
  </si>
  <si>
    <t xml:space="preserve">YISLENIS MARIEL</t>
  </si>
  <si>
    <t xml:space="preserve">BOZO ROA</t>
  </si>
  <si>
    <t xml:space="preserve">000023769212</t>
  </si>
  <si>
    <t xml:space="preserve">ANDREINA MARIA</t>
  </si>
  <si>
    <t xml:space="preserve">ESPINOZA GONZÁLEZ</t>
  </si>
  <si>
    <t xml:space="preserve">000021353314</t>
  </si>
  <si>
    <t xml:space="preserve">CARRERO GONZALEZ</t>
  </si>
  <si>
    <t xml:space="preserve">000001242321</t>
  </si>
  <si>
    <t xml:space="preserve">MARY LUZ</t>
  </si>
  <si>
    <t xml:space="preserve">URDANETA</t>
  </si>
  <si>
    <t xml:space="preserve">000012442321</t>
  </si>
  <si>
    <t xml:space="preserve">000023466475</t>
  </si>
  <si>
    <t xml:space="preserve">LEYDER JOSÉ</t>
  </si>
  <si>
    <t xml:space="preserve">CUADRADO VILLADIEGO</t>
  </si>
  <si>
    <t xml:space="preserve">000016121648</t>
  </si>
  <si>
    <t xml:space="preserve">JAILO JOSÉ</t>
  </si>
  <si>
    <t xml:space="preserve">000019623342</t>
  </si>
  <si>
    <t xml:space="preserve">RONY ENRIQUE</t>
  </si>
  <si>
    <t xml:space="preserve">VALBUENA LEÓN</t>
  </si>
  <si>
    <t xml:space="preserve">000020835055</t>
  </si>
  <si>
    <t xml:space="preserve">BRAYAN AGUSTIN</t>
  </si>
  <si>
    <t xml:space="preserve">PÉREZ RODRIGUEZ</t>
  </si>
  <si>
    <t xml:space="preserve">000026169895</t>
  </si>
  <si>
    <t xml:space="preserve">ANDY JOSÉ</t>
  </si>
  <si>
    <t xml:space="preserve">000020508290</t>
  </si>
  <si>
    <t xml:space="preserve">SILVIA PATRICIA</t>
  </si>
  <si>
    <t xml:space="preserve">CHACÓN MORALES</t>
  </si>
  <si>
    <t xml:space="preserve">000019989840</t>
  </si>
  <si>
    <t xml:space="preserve">OLY DEL CARMEN</t>
  </si>
  <si>
    <t xml:space="preserve">SUAREZ GONZÁLEZ</t>
  </si>
  <si>
    <t xml:space="preserve">000022140931</t>
  </si>
  <si>
    <t xml:space="preserve">LUIS ALFONZO</t>
  </si>
  <si>
    <t xml:space="preserve">000025883794</t>
  </si>
  <si>
    <t xml:space="preserve">000019394347</t>
  </si>
  <si>
    <t xml:space="preserve">MAYERLIN CAROLINA</t>
  </si>
  <si>
    <t xml:space="preserve">000031348629</t>
  </si>
  <si>
    <t xml:space="preserve">YOERBY JAVIER</t>
  </si>
  <si>
    <t xml:space="preserve">SECTRO CHINO RAFAEL</t>
  </si>
  <si>
    <t xml:space="preserve">04267243032</t>
  </si>
  <si>
    <t xml:space="preserve">000031024522</t>
  </si>
  <si>
    <t xml:space="preserve">ERINSON MANUEL</t>
  </si>
  <si>
    <t xml:space="preserve">0416-4616045</t>
  </si>
  <si>
    <t xml:space="preserve">16079644</t>
  </si>
  <si>
    <t xml:space="preserve">000030999396</t>
  </si>
  <si>
    <t xml:space="preserve">NAIVELIS NAIRETH</t>
  </si>
  <si>
    <t xml:space="preserve">CAMPO CALIZA CASA -27</t>
  </si>
  <si>
    <t xml:space="preserve">0424-6450476</t>
  </si>
  <si>
    <t xml:space="preserve">10409425</t>
  </si>
  <si>
    <t xml:space="preserve">000031669546</t>
  </si>
  <si>
    <t xml:space="preserve">04264654048</t>
  </si>
  <si>
    <t xml:space="preserve">000030364297</t>
  </si>
  <si>
    <t xml:space="preserve">DEBRA EMILIA</t>
  </si>
  <si>
    <t xml:space="preserve">04164360330</t>
  </si>
  <si>
    <t xml:space="preserve">000031235590</t>
  </si>
  <si>
    <t xml:space="preserve">ALEXANDRA ISIBELIS</t>
  </si>
  <si>
    <t xml:space="preserve">CAMPO CALIPSACASA-12</t>
  </si>
  <si>
    <t xml:space="preserve">04163781922</t>
  </si>
  <si>
    <t xml:space="preserve">14306904</t>
  </si>
  <si>
    <t xml:space="preserve">000029812021</t>
  </si>
  <si>
    <t xml:space="preserve">NAYELI CAROLINA</t>
  </si>
  <si>
    <t xml:space="preserve">04263238428</t>
  </si>
  <si>
    <t xml:space="preserve">000031024533</t>
  </si>
  <si>
    <t xml:space="preserve">YUREIBIS DEL CARMEN</t>
  </si>
  <si>
    <t xml:space="preserve">BARRIO 5 DE ENER</t>
  </si>
  <si>
    <t xml:space="preserve">000030913137</t>
  </si>
  <si>
    <t xml:space="preserve">OMAR JIOSE</t>
  </si>
  <si>
    <t xml:space="preserve">000029812011</t>
  </si>
  <si>
    <t xml:space="preserve">NEIBER ANTONIO</t>
  </si>
  <si>
    <t xml:space="preserve">SECYOR CHINO RAFAEL</t>
  </si>
  <si>
    <t xml:space="preserve">04261247403</t>
  </si>
  <si>
    <t xml:space="preserve">000031070082</t>
  </si>
  <si>
    <t xml:space="preserve">ELENA CAROLINA</t>
  </si>
  <si>
    <t xml:space="preserve">0416-2054646</t>
  </si>
  <si>
    <t xml:space="preserve">25883389</t>
  </si>
  <si>
    <t xml:space="preserve">000031093358</t>
  </si>
  <si>
    <t xml:space="preserve">LUZ ANDREINA</t>
  </si>
  <si>
    <t xml:space="preserve">MORALES FERREIRA</t>
  </si>
  <si>
    <t xml:space="preserve">04263249267</t>
  </si>
  <si>
    <t xml:space="preserve">18498901</t>
  </si>
  <si>
    <t xml:space="preserve">000031024521</t>
  </si>
  <si>
    <t xml:space="preserve">JENDRY JAVIER</t>
  </si>
  <si>
    <t xml:space="preserve">0412-0648600</t>
  </si>
  <si>
    <t xml:space="preserve">15194291</t>
  </si>
  <si>
    <t xml:space="preserve">000031070131</t>
  </si>
  <si>
    <t xml:space="preserve">RENATO JOSE</t>
  </si>
  <si>
    <t xml:space="preserve">MARIMONDA 3 CASA N*39</t>
  </si>
  <si>
    <t xml:space="preserve">04165620654</t>
  </si>
  <si>
    <t xml:space="preserve">14475840</t>
  </si>
  <si>
    <t xml:space="preserve">000031722327</t>
  </si>
  <si>
    <t xml:space="preserve">ELEUDI JOSE</t>
  </si>
  <si>
    <t xml:space="preserve">CASERIO LA PAZ</t>
  </si>
  <si>
    <t xml:space="preserve">04121735575</t>
  </si>
  <si>
    <t xml:space="preserve">20508878</t>
  </si>
  <si>
    <t xml:space="preserve">000030557836</t>
  </si>
  <si>
    <t xml:space="preserve">ORTIZ ORTIZ</t>
  </si>
  <si>
    <t xml:space="preserve">0414-6839679</t>
  </si>
  <si>
    <t xml:space="preserve">09748489</t>
  </si>
  <si>
    <t xml:space="preserve">000029714936</t>
  </si>
  <si>
    <t xml:space="preserve">0426-7619781</t>
  </si>
  <si>
    <t xml:space="preserve">000031024539</t>
  </si>
  <si>
    <t xml:space="preserve">MILAGROS COROMOTO</t>
  </si>
  <si>
    <t xml:space="preserve">04267002434</t>
  </si>
  <si>
    <t xml:space="preserve">000030876951</t>
  </si>
  <si>
    <t xml:space="preserve">ELIANNY DEL VALLE</t>
  </si>
  <si>
    <t xml:space="preserve">VALBUENA ATENCIO</t>
  </si>
  <si>
    <t xml:space="preserve">SECTOR LA FRAGUA NUEVA</t>
  </si>
  <si>
    <t xml:space="preserve">0416-1788904</t>
  </si>
  <si>
    <t xml:space="preserve">16457550</t>
  </si>
  <si>
    <t xml:space="preserve">000030489484</t>
  </si>
  <si>
    <t xml:space="preserve">LUCIANYELI JOSEFINA</t>
  </si>
  <si>
    <t xml:space="preserve">SECTOR SALINETA 104 CASA N</t>
  </si>
  <si>
    <t xml:space="preserve">0416-0601989</t>
  </si>
  <si>
    <t xml:space="preserve">12621117</t>
  </si>
  <si>
    <t xml:space="preserve">000030834880</t>
  </si>
  <si>
    <t xml:space="preserve">EMILEIDY DEL CARMEN</t>
  </si>
  <si>
    <t xml:space="preserve">GONZALEZ BRIÑEZ</t>
  </si>
  <si>
    <t xml:space="preserve">MARIMONDA UNO</t>
  </si>
  <si>
    <t xml:space="preserve">0416-0170075</t>
  </si>
  <si>
    <t xml:space="preserve">16121574</t>
  </si>
  <si>
    <t xml:space="preserve">000030900830</t>
  </si>
  <si>
    <t xml:space="preserve">LUZYELY  DEL CARMEN</t>
  </si>
  <si>
    <t xml:space="preserve">URDANETA CAYAMA</t>
  </si>
  <si>
    <t xml:space="preserve">0426-3425979</t>
  </si>
  <si>
    <t xml:space="preserve">18662011</t>
  </si>
  <si>
    <t xml:space="preserve">000030567431</t>
  </si>
  <si>
    <t xml:space="preserve">AMELIANNYS STEFANY</t>
  </si>
  <si>
    <t xml:space="preserve">MADUEÑO MOLERO</t>
  </si>
  <si>
    <t xml:space="preserve">CAMPO CALIPSA</t>
  </si>
  <si>
    <t xml:space="preserve">04166645264</t>
  </si>
  <si>
    <t xml:space="preserve">12513742</t>
  </si>
  <si>
    <t xml:space="preserve">000031024548</t>
  </si>
  <si>
    <t xml:space="preserve">04269242724</t>
  </si>
  <si>
    <t xml:space="preserve">000031097148</t>
  </si>
  <si>
    <t xml:space="preserve">CARLOS ENMANUEL</t>
  </si>
  <si>
    <t xml:space="preserve">SECTOR 104 VIA SALINETA</t>
  </si>
  <si>
    <t xml:space="preserve">04267226704</t>
  </si>
  <si>
    <t xml:space="preserve">15260769</t>
  </si>
  <si>
    <t xml:space="preserve">000031097178</t>
  </si>
  <si>
    <t xml:space="preserve">EDIXON ENRIQUE</t>
  </si>
  <si>
    <t xml:space="preserve">ZAMBRANO FERNANDEZ</t>
  </si>
  <si>
    <t xml:space="preserve">SECTOR LAS CASITAS BARRIO MARIO URDANETA</t>
  </si>
  <si>
    <t xml:space="preserve">04126651678</t>
  </si>
  <si>
    <t xml:space="preserve">000031070104</t>
  </si>
  <si>
    <t xml:space="preserve">REYNALDO JOSE</t>
  </si>
  <si>
    <t xml:space="preserve">GONZALEZ VILLALOBOS</t>
  </si>
  <si>
    <t xml:space="preserve">CAMPO BOYACA CASA N*97 A</t>
  </si>
  <si>
    <t xml:space="preserve">02626870699</t>
  </si>
  <si>
    <t xml:space="preserve">05799175</t>
  </si>
  <si>
    <t xml:space="preserve">000029812009</t>
  </si>
  <si>
    <t xml:space="preserve">04163610116</t>
  </si>
  <si>
    <t xml:space="preserve">000031252237</t>
  </si>
  <si>
    <t xml:space="preserve">FUENMAYOR LOPEZ</t>
  </si>
  <si>
    <t xml:space="preserve">04269671140</t>
  </si>
  <si>
    <t xml:space="preserve">15009849</t>
  </si>
  <si>
    <t xml:space="preserve">000031421796</t>
  </si>
  <si>
    <t xml:space="preserve">JOSELIN JORBELIS EMILI</t>
  </si>
  <si>
    <t xml:space="preserve">LA JAVILLA CASA N*8S/1 MANZANA 4</t>
  </si>
  <si>
    <t xml:space="preserve">000030518877</t>
  </si>
  <si>
    <t xml:space="preserve">GABRIELA CHIQUINQUIRA</t>
  </si>
  <si>
    <t xml:space="preserve">04264609181</t>
  </si>
  <si>
    <t xml:space="preserve">14920479</t>
  </si>
  <si>
    <t xml:space="preserve">000030299135</t>
  </si>
  <si>
    <t xml:space="preserve">MARIANNY CHIQUINQUIRA</t>
  </si>
  <si>
    <t xml:space="preserve">000031009866</t>
  </si>
  <si>
    <t xml:space="preserve">04167100577</t>
  </si>
  <si>
    <t xml:space="preserve">15260258</t>
  </si>
  <si>
    <t xml:space="preserve">000031526383</t>
  </si>
  <si>
    <t xml:space="preserve">LEOBALDO JESUS</t>
  </si>
  <si>
    <t xml:space="preserve">04126582496</t>
  </si>
  <si>
    <t xml:space="preserve">019921421753</t>
  </si>
  <si>
    <t xml:space="preserve">MANUEL VICENTE</t>
  </si>
  <si>
    <t xml:space="preserve">COLINA COLINA</t>
  </si>
  <si>
    <t xml:space="preserve">SECTOR EL CORITO</t>
  </si>
  <si>
    <t xml:space="preserve">04163661241</t>
  </si>
  <si>
    <t xml:space="preserve">21421753</t>
  </si>
  <si>
    <t xml:space="preserve">000030946321</t>
  </si>
  <si>
    <t xml:space="preserve">DIOMAR ENRIQUE</t>
  </si>
  <si>
    <t xml:space="preserve">CUADRADO LEON</t>
  </si>
  <si>
    <t xml:space="preserve">SECOTR LAS CASITAS</t>
  </si>
  <si>
    <t xml:space="preserve">000031633315</t>
  </si>
  <si>
    <t xml:space="preserve">JOSELAINE BETZABE</t>
  </si>
  <si>
    <t xml:space="preserve">GOMEZ SANCHEZ</t>
  </si>
  <si>
    <t xml:space="preserve">04267658733</t>
  </si>
  <si>
    <t xml:space="preserve">11605372</t>
  </si>
  <si>
    <t xml:space="preserve">000031070137</t>
  </si>
  <si>
    <t xml:space="preserve">JEIMY DINATH</t>
  </si>
  <si>
    <t xml:space="preserve">LEAL FERNANDEZ</t>
  </si>
  <si>
    <t xml:space="preserve">AVP LA PAZ SECTOR LA JAVILLITA FRETE AL U.E.P MIXTA LEON JEROMEHOET</t>
  </si>
  <si>
    <t xml:space="preserve">13005138</t>
  </si>
  <si>
    <t xml:space="preserve">000031273483</t>
  </si>
  <si>
    <t xml:space="preserve">BRANDO JOSE</t>
  </si>
  <si>
    <t xml:space="preserve">SECTOR LA CONQUISTA VIA MARIMONDA</t>
  </si>
  <si>
    <t xml:space="preserve">16689296</t>
  </si>
  <si>
    <t xml:space="preserve">000030835301</t>
  </si>
  <si>
    <t xml:space="preserve">CAMILA DEL CARMEN</t>
  </si>
  <si>
    <t xml:space="preserve">FUENMAYOR MORENO</t>
  </si>
  <si>
    <t xml:space="preserve">16457034</t>
  </si>
  <si>
    <t xml:space="preserve">000030952593</t>
  </si>
  <si>
    <t xml:space="preserve">FREIRIELYS VANNESA</t>
  </si>
  <si>
    <t xml:space="preserve">0416-1146304</t>
  </si>
  <si>
    <t xml:space="preserve">12099694</t>
  </si>
  <si>
    <t xml:space="preserve">000030131056</t>
  </si>
  <si>
    <t xml:space="preserve">EDUAN JOSE</t>
  </si>
  <si>
    <t xml:space="preserve">0426-7224274</t>
  </si>
  <si>
    <t xml:space="preserve">000031252930</t>
  </si>
  <si>
    <t xml:space="preserve">CASTELLAR FERREIRA</t>
  </si>
  <si>
    <t xml:space="preserve">AVPPAL. CALLE LA ENVIDIA</t>
  </si>
  <si>
    <t xml:space="preserve">0426-9205988</t>
  </si>
  <si>
    <t xml:space="preserve">17833739</t>
  </si>
  <si>
    <t xml:space="preserve">000030122583</t>
  </si>
  <si>
    <t xml:space="preserve">YUSLEIDI JOHANA</t>
  </si>
  <si>
    <t xml:space="preserve">OLIVEROS NAVARRO</t>
  </si>
  <si>
    <t xml:space="preserve">BARRIO MARIO URDANETA CALLE 3</t>
  </si>
  <si>
    <t xml:space="preserve">0426-2657689</t>
  </si>
  <si>
    <t xml:space="preserve">17566763</t>
  </si>
  <si>
    <t xml:space="preserve">000030633627</t>
  </si>
  <si>
    <t xml:space="preserve">DAVIANA SARAI</t>
  </si>
  <si>
    <t xml:space="preserve">INCIARTE ALVARADO</t>
  </si>
  <si>
    <t xml:space="preserve">LA GRAN PARADA DE LOS BUSES</t>
  </si>
  <si>
    <t xml:space="preserve">000030122585</t>
  </si>
  <si>
    <t xml:space="preserve">YOLERVIS JOSE</t>
  </si>
  <si>
    <t xml:space="preserve">0426-2643750</t>
  </si>
  <si>
    <t xml:space="preserve">000031285238</t>
  </si>
  <si>
    <t xml:space="preserve">SALAZAR BARRIOS</t>
  </si>
  <si>
    <t xml:space="preserve">0426-4660948</t>
  </si>
  <si>
    <t xml:space="preserve">83140311</t>
  </si>
  <si>
    <t xml:space="preserve">000031070107</t>
  </si>
  <si>
    <t xml:space="preserve">STAILEM TATIANA</t>
  </si>
  <si>
    <t xml:space="preserve">PERDOMO GONZALEZ</t>
  </si>
  <si>
    <t xml:space="preserve">04246219770</t>
  </si>
  <si>
    <t xml:space="preserve">14208809</t>
  </si>
  <si>
    <t xml:space="preserve">000030064056</t>
  </si>
  <si>
    <t xml:space="preserve">YEINER JOSE</t>
  </si>
  <si>
    <t xml:space="preserve">GONZALEZ FARIAS</t>
  </si>
  <si>
    <t xml:space="preserve">0426-9385934</t>
  </si>
  <si>
    <t xml:space="preserve">000031524892</t>
  </si>
  <si>
    <t xml:space="preserve">OSMAN DE JESUS</t>
  </si>
  <si>
    <t xml:space="preserve">FINOL VILLALOBOS</t>
  </si>
  <si>
    <t xml:space="preserve">LA ANTENA DE CANTE FRENTE AL HONGO</t>
  </si>
  <si>
    <t xml:space="preserve">0416-0642929</t>
  </si>
  <si>
    <t xml:space="preserve">000029790976</t>
  </si>
  <si>
    <t xml:space="preserve">ANDREINA DEL VALLE</t>
  </si>
  <si>
    <t xml:space="preserve">CALLE LA ENVIDIA</t>
  </si>
  <si>
    <t xml:space="preserve">000030185114</t>
  </si>
  <si>
    <t xml:space="preserve">0426-8658138</t>
  </si>
  <si>
    <t xml:space="preserve">000030299156</t>
  </si>
  <si>
    <t xml:space="preserve">LEOREANNYS MAIBEGRIS</t>
  </si>
  <si>
    <t xml:space="preserve">MEDINA VILCHEZ</t>
  </si>
  <si>
    <t xml:space="preserve">04262638023</t>
  </si>
  <si>
    <t xml:space="preserve">09728537</t>
  </si>
  <si>
    <t xml:space="preserve">000030999400</t>
  </si>
  <si>
    <t xml:space="preserve">ILDERSON JOSUE</t>
  </si>
  <si>
    <t xml:space="preserve">BRAVO URDANETA</t>
  </si>
  <si>
    <t xml:space="preserve">AV.PPAL LA PAZ FRENTE AL PULILAVADO</t>
  </si>
  <si>
    <t xml:space="preserve">16623632</t>
  </si>
  <si>
    <t xml:space="preserve">000030010371</t>
  </si>
  <si>
    <t xml:space="preserve">YUSLENYS PAOLA</t>
  </si>
  <si>
    <t xml:space="preserve">AV.PPAL LA PAZ DETRAS DEL COMANDO</t>
  </si>
  <si>
    <t xml:space="preserve">0416-1141576</t>
  </si>
  <si>
    <t xml:space="preserve">000033152700</t>
  </si>
  <si>
    <t xml:space="preserve">NATALIA CAROLINA</t>
  </si>
  <si>
    <t xml:space="preserve">AV.PPAL LA CONQUISTA</t>
  </si>
  <si>
    <t xml:space="preserve">0414-6514441</t>
  </si>
  <si>
    <t xml:space="preserve">07964036</t>
  </si>
  <si>
    <t xml:space="preserve">000030945829</t>
  </si>
  <si>
    <t xml:space="preserve">YORDANIS JOSE</t>
  </si>
  <si>
    <t xml:space="preserve">FUENMAYOR VERGEL</t>
  </si>
  <si>
    <t xml:space="preserve">BARRIO LA ANTENA FRENTE AL HONGO</t>
  </si>
  <si>
    <t xml:space="preserve">02626872145</t>
  </si>
  <si>
    <t xml:space="preserve">22163079</t>
  </si>
  <si>
    <t xml:space="preserve">000030903256</t>
  </si>
  <si>
    <t xml:space="preserve">FRANYELIS CHIQUINQUIRA</t>
  </si>
  <si>
    <t xml:space="preserve">04125499480</t>
  </si>
  <si>
    <t xml:space="preserve">17938298</t>
  </si>
  <si>
    <t xml:space="preserve">000031252670</t>
  </si>
  <si>
    <t xml:space="preserve">SULBARAN ROA</t>
  </si>
  <si>
    <t xml:space="preserve">0426-7355620</t>
  </si>
  <si>
    <t xml:space="preserve">20070918</t>
  </si>
  <si>
    <t xml:space="preserve">000029963358</t>
  </si>
  <si>
    <t xml:space="preserve">NAOMI ISAMAR</t>
  </si>
  <si>
    <t xml:space="preserve">LIZARAZO FUENMAYOR</t>
  </si>
  <si>
    <t xml:space="preserve">0426-3012054</t>
  </si>
  <si>
    <t xml:space="preserve">10445042</t>
  </si>
  <si>
    <t xml:space="preserve">000031024544</t>
  </si>
  <si>
    <t xml:space="preserve">EDUARDO JOSE</t>
  </si>
  <si>
    <t xml:space="preserve">000031537734</t>
  </si>
  <si>
    <t xml:space="preserve">EL COLORADO LAS CUATRO ESQUINA CASA N*65</t>
  </si>
  <si>
    <t xml:space="preserve">0416-4665915</t>
  </si>
  <si>
    <t xml:space="preserve">000031252234</t>
  </si>
  <si>
    <t xml:space="preserve">ENMANUEL JOSE</t>
  </si>
  <si>
    <t xml:space="preserve">0426-4246549</t>
  </si>
  <si>
    <t xml:space="preserve">000031097051</t>
  </si>
  <si>
    <t xml:space="preserve">NATALY FRANCHESCA</t>
  </si>
  <si>
    <t xml:space="preserve">0416-0652544</t>
  </si>
  <si>
    <t xml:space="preserve">000030604643</t>
  </si>
  <si>
    <t xml:space="preserve">LAS VIVIENDAS CASA N*22401</t>
  </si>
  <si>
    <t xml:space="preserve">0416-1606755</t>
  </si>
  <si>
    <t xml:space="preserve">000027633567</t>
  </si>
  <si>
    <t xml:space="preserve">JEOVANNY SEGUNDO</t>
  </si>
  <si>
    <t xml:space="preserve">0426-2015857</t>
  </si>
  <si>
    <t xml:space="preserve">000031024531</t>
  </si>
  <si>
    <t xml:space="preserve">DIVIANA DEL CARMEN</t>
  </si>
  <si>
    <t xml:space="preserve">CHACIN FUENTES</t>
  </si>
  <si>
    <t xml:space="preserve">0426-1695627</t>
  </si>
  <si>
    <t xml:space="preserve">16728599</t>
  </si>
  <si>
    <t xml:space="preserve">000030833680</t>
  </si>
  <si>
    <t xml:space="preserve">ELIXANDREA</t>
  </si>
  <si>
    <t xml:space="preserve">VARGAS PORTILLO</t>
  </si>
  <si>
    <t xml:space="preserve">0412-1049897</t>
  </si>
  <si>
    <t xml:space="preserve">000031338596</t>
  </si>
  <si>
    <t xml:space="preserve">CHAVEZ ROJAS</t>
  </si>
  <si>
    <t xml:space="preserve">LA PAZ CAMPO BOYACA CASA N*58</t>
  </si>
  <si>
    <t xml:space="preserve">0412-1281675</t>
  </si>
  <si>
    <t xml:space="preserve">18918505</t>
  </si>
  <si>
    <t xml:space="preserve">000030392763</t>
  </si>
  <si>
    <t xml:space="preserve">CAMPO BOYACA CALLE 7 CASA 85B</t>
  </si>
  <si>
    <t xml:space="preserve">0412-6496510</t>
  </si>
  <si>
    <t xml:space="preserve">06805798</t>
  </si>
  <si>
    <t xml:space="preserve">000031525119</t>
  </si>
  <si>
    <t xml:space="preserve">JOELIS ANDRIANA</t>
  </si>
  <si>
    <t xml:space="preserve">0426-8000624</t>
  </si>
  <si>
    <t xml:space="preserve">000031024556</t>
  </si>
  <si>
    <t xml:space="preserve">ELEIMAR DE CHIQUINQUIRA</t>
  </si>
  <si>
    <t xml:space="preserve">BARRIO SIMON BOLIVAR CASA N*75</t>
  </si>
  <si>
    <t xml:space="preserve">000030611304</t>
  </si>
  <si>
    <t xml:space="preserve">MAIRIN CAROLINA</t>
  </si>
  <si>
    <t xml:space="preserve">13628986</t>
  </si>
  <si>
    <t xml:space="preserve">000030489485</t>
  </si>
  <si>
    <t xml:space="preserve">ANDRIANI ELENA</t>
  </si>
  <si>
    <t xml:space="preserve">04160601989</t>
  </si>
  <si>
    <t xml:space="preserve">000030974004</t>
  </si>
  <si>
    <t xml:space="preserve">ANABEL DEL VALLE</t>
  </si>
  <si>
    <t xml:space="preserve">VALLE HERMOSO</t>
  </si>
  <si>
    <t xml:space="preserve">EL LA BERINTO CIUDAD COMUNAL</t>
  </si>
  <si>
    <t xml:space="preserve">0416-9602050</t>
  </si>
  <si>
    <t xml:space="preserve">15560373</t>
  </si>
  <si>
    <t xml:space="preserve">000031050505</t>
  </si>
  <si>
    <t xml:space="preserve">YOALIS MARIA</t>
  </si>
  <si>
    <t xml:space="preserve">PALOMINO CASTILLA</t>
  </si>
  <si>
    <t xml:space="preserve">0416-5909639</t>
  </si>
  <si>
    <t xml:space="preserve">000030974795</t>
  </si>
  <si>
    <t xml:space="preserve">NAILA ISABEL</t>
  </si>
  <si>
    <t xml:space="preserve">PAZ GONZALEZ</t>
  </si>
  <si>
    <t xml:space="preserve">LA JAVILLITA CASA N*327</t>
  </si>
  <si>
    <t xml:space="preserve">0426-8632654</t>
  </si>
  <si>
    <t xml:space="preserve">15280713</t>
  </si>
  <si>
    <t xml:space="preserve">000030974869</t>
  </si>
  <si>
    <t xml:space="preserve">NAIBELYN JOSEFINA</t>
  </si>
  <si>
    <t xml:space="preserve">LA JAVILLITAS CASA N*327</t>
  </si>
  <si>
    <t xml:space="preserve">000031295324</t>
  </si>
  <si>
    <t xml:space="preserve">ANGEL LUIS</t>
  </si>
  <si>
    <t xml:space="preserve">0416-3203893</t>
  </si>
  <si>
    <t xml:space="preserve">000030299151</t>
  </si>
  <si>
    <t xml:space="preserve">ERVILIANY PAOLA</t>
  </si>
  <si>
    <t xml:space="preserve">FERRER SUAREZ</t>
  </si>
  <si>
    <t xml:space="preserve">04160158814</t>
  </si>
  <si>
    <t xml:space="preserve">17568232</t>
  </si>
  <si>
    <t xml:space="preserve">000031070099</t>
  </si>
  <si>
    <t xml:space="preserve">JOSE RAMON</t>
  </si>
  <si>
    <t xml:space="preserve">SECTOR LAS MARIAS CASA N*03 POZO DE PDVSA N*166</t>
  </si>
  <si>
    <t xml:space="preserve">00416-9666617</t>
  </si>
  <si>
    <t xml:space="preserve">000031009850</t>
  </si>
  <si>
    <t xml:space="preserve">DARIANGEL CORINA</t>
  </si>
  <si>
    <t xml:space="preserve">0416-5637038</t>
  </si>
  <si>
    <t xml:space="preserve">06805788</t>
  </si>
  <si>
    <t xml:space="preserve">000029902917</t>
  </si>
  <si>
    <t xml:space="preserve">JHONNAYDER JOSE</t>
  </si>
  <si>
    <t xml:space="preserve">CASTILLO GUANIPA</t>
  </si>
  <si>
    <t xml:space="preserve">CAMPO YOCOIMA CASA N*02</t>
  </si>
  <si>
    <t xml:space="preserve">0416-1662285</t>
  </si>
  <si>
    <t xml:space="preserve">05168639</t>
  </si>
  <si>
    <t xml:space="preserve">000030299131</t>
  </si>
  <si>
    <t xml:space="preserve">JAVIER BENITO</t>
  </si>
  <si>
    <t xml:space="preserve">SANCHEZ FERRER</t>
  </si>
  <si>
    <t xml:space="preserve">0426-4225634</t>
  </si>
  <si>
    <t xml:space="preserve">16080204</t>
  </si>
  <si>
    <t xml:space="preserve">000031442598</t>
  </si>
  <si>
    <t xml:space="preserve">YILAINE KARINA</t>
  </si>
  <si>
    <t xml:space="preserve">FERNANDEZ ROMERO</t>
  </si>
  <si>
    <t xml:space="preserve">0426-4654681</t>
  </si>
  <si>
    <t xml:space="preserve">18394517</t>
  </si>
  <si>
    <t xml:space="preserve">000031235594</t>
  </si>
  <si>
    <t xml:space="preserve">SECTOR LAS CASA RURALES</t>
  </si>
  <si>
    <t xml:space="preserve">0426-2348086</t>
  </si>
  <si>
    <t xml:space="preserve">17565084</t>
  </si>
  <si>
    <t xml:space="preserve">000031024537</t>
  </si>
  <si>
    <t xml:space="preserve">GUANIPA CHAVEZ</t>
  </si>
  <si>
    <t xml:space="preserve">17665451</t>
  </si>
  <si>
    <t xml:space="preserve">000031009842</t>
  </si>
  <si>
    <t xml:space="preserve">MARILU RAMONA</t>
  </si>
  <si>
    <t xml:space="preserve">0416-9570318</t>
  </si>
  <si>
    <t xml:space="preserve">000031070136</t>
  </si>
  <si>
    <t xml:space="preserve">DAINER JESUS</t>
  </si>
  <si>
    <t xml:space="preserve">04162250149</t>
  </si>
  <si>
    <t xml:space="preserve">000031070109</t>
  </si>
  <si>
    <t xml:space="preserve">04121657926</t>
  </si>
  <si>
    <t xml:space="preserve">000030985533</t>
  </si>
  <si>
    <t xml:space="preserve">SERGIO DAVID</t>
  </si>
  <si>
    <t xml:space="preserve">000031252941</t>
  </si>
  <si>
    <t xml:space="preserve">NIKOLLE ESTEFANY</t>
  </si>
  <si>
    <t xml:space="preserve">PACHECO SUAREZ</t>
  </si>
  <si>
    <t xml:space="preserve">02625140557-04126514249</t>
  </si>
  <si>
    <t xml:space="preserve">000031015923</t>
  </si>
  <si>
    <t xml:space="preserve">JENNYFER PAOLA</t>
  </si>
  <si>
    <t xml:space="preserve">RINCON QUINTERO</t>
  </si>
  <si>
    <t xml:space="preserve">SECTRO LA GRAN PARADA</t>
  </si>
  <si>
    <t xml:space="preserve">04125800704</t>
  </si>
  <si>
    <t xml:space="preserve">14208545</t>
  </si>
  <si>
    <t xml:space="preserve">000031024526</t>
  </si>
  <si>
    <t xml:space="preserve">YOENDRY ALEJANDRO</t>
  </si>
  <si>
    <t xml:space="preserve">URDANETA LOBATO</t>
  </si>
  <si>
    <t xml:space="preserve">04168695965</t>
  </si>
  <si>
    <t xml:space="preserve">000030299138</t>
  </si>
  <si>
    <t xml:space="preserve">URDANETA ABREU</t>
  </si>
  <si>
    <t xml:space="preserve">04264672646</t>
  </si>
  <si>
    <t xml:space="preserve">19706695</t>
  </si>
  <si>
    <t xml:space="preserve">010117184601</t>
  </si>
  <si>
    <t xml:space="preserve">DIXON RAFAEL</t>
  </si>
  <si>
    <t xml:space="preserve">HERNANDEZ  CASTILLO</t>
  </si>
  <si>
    <t xml:space="preserve">BARRIO MARIO URDAANETA</t>
  </si>
  <si>
    <t xml:space="preserve">04164655261</t>
  </si>
  <si>
    <t xml:space="preserve">17184601</t>
  </si>
  <si>
    <t xml:space="preserve">000031097174</t>
  </si>
  <si>
    <t xml:space="preserve">DARRING DANIEL</t>
  </si>
  <si>
    <t xml:space="preserve">000031252230</t>
  </si>
  <si>
    <t xml:space="preserve">RITZABETH  JULIET</t>
  </si>
  <si>
    <t xml:space="preserve">CIUDAD COMUNAL LA BERINTO</t>
  </si>
  <si>
    <t xml:space="preserve">0412-1066759</t>
  </si>
  <si>
    <t xml:space="preserve">000030232799</t>
  </si>
  <si>
    <t xml:space="preserve">ENDRY JOSE</t>
  </si>
  <si>
    <t xml:space="preserve">SECTOR LA VEGAS</t>
  </si>
  <si>
    <t xml:space="preserve">0426-8655849</t>
  </si>
  <si>
    <t xml:space="preserve">13705304</t>
  </si>
  <si>
    <t xml:space="preserve">000031370037</t>
  </si>
  <si>
    <t xml:space="preserve">GEANIS CARLES</t>
  </si>
  <si>
    <t xml:space="preserve">CASTILLO SOTURNO</t>
  </si>
  <si>
    <t xml:space="preserve">13623679</t>
  </si>
  <si>
    <t xml:space="preserve">000026872557</t>
  </si>
  <si>
    <t xml:space="preserve">BARRIO COLORADO</t>
  </si>
  <si>
    <t xml:space="preserve">04127939522</t>
  </si>
  <si>
    <t xml:space="preserve">000031252245</t>
  </si>
  <si>
    <t xml:space="preserve">KEILYMAL CHIQUINQUIRA</t>
  </si>
  <si>
    <t xml:space="preserve">MAYOR URDANETA</t>
  </si>
  <si>
    <t xml:space="preserve">CAMPO BOYACA CASA 104B</t>
  </si>
  <si>
    <t xml:space="preserve">04164660822</t>
  </si>
  <si>
    <t xml:space="preserve">06834749</t>
  </si>
  <si>
    <t xml:space="preserve">000031775275</t>
  </si>
  <si>
    <t xml:space="preserve">JUAN ANGEL</t>
  </si>
  <si>
    <t xml:space="preserve">SECOTR LAS MARIAS</t>
  </si>
  <si>
    <t xml:space="preserve">04120212267</t>
  </si>
  <si>
    <t xml:space="preserve">000031009843</t>
  </si>
  <si>
    <t xml:space="preserve">FABIAN ANDRES</t>
  </si>
  <si>
    <t xml:space="preserve">MAYOR</t>
  </si>
  <si>
    <t xml:space="preserve">0426-7611911</t>
  </si>
  <si>
    <t xml:space="preserve">14545782</t>
  </si>
  <si>
    <t xml:space="preserve">010317295090</t>
  </si>
  <si>
    <t xml:space="preserve">FRAN JUNIOR</t>
  </si>
  <si>
    <t xml:space="preserve">SECTOR  CALLE LA FLORES DE LA PAZ</t>
  </si>
  <si>
    <t xml:space="preserve">0416-4605697</t>
  </si>
  <si>
    <t xml:space="preserve">000027744342</t>
  </si>
  <si>
    <t xml:space="preserve">ANTHONY ENRIQUE</t>
  </si>
  <si>
    <t xml:space="preserve">BARRIO EL COLARADO</t>
  </si>
  <si>
    <t xml:space="preserve">02628083683</t>
  </si>
  <si>
    <t xml:space="preserve">000030149881</t>
  </si>
  <si>
    <t xml:space="preserve">LUISANA</t>
  </si>
  <si>
    <t xml:space="preserve">CALLE PRINCIPAL DE LA ANTENA DE CANTEV CASA N*12</t>
  </si>
  <si>
    <t xml:space="preserve">0426-7007515</t>
  </si>
  <si>
    <t xml:space="preserve">84429865</t>
  </si>
  <si>
    <t xml:space="preserve">001039796332</t>
  </si>
  <si>
    <t xml:space="preserve">SUAREZ MORALES</t>
  </si>
  <si>
    <t xml:space="preserve">04264074960</t>
  </si>
  <si>
    <t xml:space="preserve">09796332</t>
  </si>
  <si>
    <t xml:space="preserve">000030567424</t>
  </si>
  <si>
    <t xml:space="preserve">DUVEYLI GRISBEL</t>
  </si>
  <si>
    <t xml:space="preserve">AV PPAL CALLE LA CONSQUISTA CASA N*149</t>
  </si>
  <si>
    <t xml:space="preserve">04268255770</t>
  </si>
  <si>
    <t xml:space="preserve">000031295303</t>
  </si>
  <si>
    <t xml:space="preserve">0416-0172484</t>
  </si>
  <si>
    <t xml:space="preserve">000030643786</t>
  </si>
  <si>
    <t xml:space="preserve">SECTOR  VALLE ENCANTADO VIA CUATRO BOCAS</t>
  </si>
  <si>
    <t xml:space="preserve">0426-6012552</t>
  </si>
  <si>
    <t xml:space="preserve">09792551</t>
  </si>
  <si>
    <t xml:space="preserve">000031816025</t>
  </si>
  <si>
    <t xml:space="preserve">JOSE FRANCISCO</t>
  </si>
  <si>
    <t xml:space="preserve">VILLALOBOS CASTRO</t>
  </si>
  <si>
    <t xml:space="preserve">BARRIO SAN BENITO 2</t>
  </si>
  <si>
    <t xml:space="preserve">04124254030</t>
  </si>
  <si>
    <t xml:space="preserve">20845922</t>
  </si>
  <si>
    <t xml:space="preserve">000031252214</t>
  </si>
  <si>
    <t xml:space="preserve">YORYELIS</t>
  </si>
  <si>
    <t xml:space="preserve">MOLERO FERNANDEZ</t>
  </si>
  <si>
    <t xml:space="preserve">0426-8646446</t>
  </si>
  <si>
    <t xml:space="preserve">20835067</t>
  </si>
  <si>
    <t xml:space="preserve">000030299155</t>
  </si>
  <si>
    <t xml:space="preserve">MOLINA OLLARVEZ</t>
  </si>
  <si>
    <t xml:space="preserve">PARCELAMIENTO N*2  FONDO DE LA PLANTA DE GAS CASA N*45 A</t>
  </si>
  <si>
    <t xml:space="preserve">04127998758</t>
  </si>
  <si>
    <t xml:space="preserve">17087025</t>
  </si>
  <si>
    <t xml:space="preserve">000031097255</t>
  </si>
  <si>
    <t xml:space="preserve">ABIGAIL DEL VALLE</t>
  </si>
  <si>
    <t xml:space="preserve">04161648801</t>
  </si>
  <si>
    <t xml:space="preserve">000031009872</t>
  </si>
  <si>
    <t xml:space="preserve">DARIANGELIS VANESSA</t>
  </si>
  <si>
    <t xml:space="preserve">AVENDAÑO LAGUNA</t>
  </si>
  <si>
    <t xml:space="preserve">SECTOR EL PUEBLO SAN VALETIN</t>
  </si>
  <si>
    <t xml:space="preserve">000030946271</t>
  </si>
  <si>
    <t xml:space="preserve">JUAN JOSE</t>
  </si>
  <si>
    <t xml:space="preserve">0426-9672143</t>
  </si>
  <si>
    <t xml:space="preserve">18285037</t>
  </si>
  <si>
    <t xml:space="preserve">000031009859</t>
  </si>
  <si>
    <t xml:space="preserve">ANTHONY ANTONIO</t>
  </si>
  <si>
    <t xml:space="preserve">VILLALOBOS MACHADO</t>
  </si>
  <si>
    <t xml:space="preserve">AV.PPAL LA PAZ SECTOR  LA JAVILLITAS</t>
  </si>
  <si>
    <t xml:space="preserve">0426-1002211</t>
  </si>
  <si>
    <t xml:space="preserve">07857876</t>
  </si>
  <si>
    <t xml:space="preserve">000031009849</t>
  </si>
  <si>
    <t xml:space="preserve">ELIANA JOSEFINA</t>
  </si>
  <si>
    <t xml:space="preserve">0416-3676694</t>
  </si>
  <si>
    <t xml:space="preserve">000031015950</t>
  </si>
  <si>
    <t xml:space="preserve">DENYER ANTHONY</t>
  </si>
  <si>
    <t xml:space="preserve">SECTOR LA GRAN PARADA AV.PPAL CASA N*53</t>
  </si>
  <si>
    <t xml:space="preserve">0412-5800704</t>
  </si>
  <si>
    <t xml:space="preserve">000030682994</t>
  </si>
  <si>
    <t xml:space="preserve">YOELIANNI MARI</t>
  </si>
  <si>
    <t xml:space="preserve">BARRIO MARIO URDANETA SECTOR LAS CASITAS CASA N*62 CALLE 2</t>
  </si>
  <si>
    <t xml:space="preserve">04261118635</t>
  </si>
  <si>
    <t xml:space="preserve">000023770244</t>
  </si>
  <si>
    <t xml:space="preserve">MAOLYS DEL VALLE</t>
  </si>
  <si>
    <t xml:space="preserve">LA CONCEPCIÒN</t>
  </si>
  <si>
    <t xml:space="preserve">04261676067</t>
  </si>
  <si>
    <t xml:space="preserve">000012801563</t>
  </si>
  <si>
    <t xml:space="preserve">IRMA ROSA</t>
  </si>
  <si>
    <t xml:space="preserve">GONZALEZ ALVARADO</t>
  </si>
  <si>
    <t xml:space="preserve">000030945591</t>
  </si>
  <si>
    <t xml:space="preserve">MAIKELIN COROMOTO</t>
  </si>
  <si>
    <t xml:space="preserve">DIAZ MORALES</t>
  </si>
  <si>
    <t xml:space="preserve">0426-1118635</t>
  </si>
  <si>
    <t xml:space="preserve">16492354</t>
  </si>
  <si>
    <t xml:space="preserve">000031669554</t>
  </si>
  <si>
    <t xml:space="preserve">YARELIS SULI</t>
  </si>
  <si>
    <t xml:space="preserve">0426-2384019</t>
  </si>
  <si>
    <t xml:space="preserve">000029812002</t>
  </si>
  <si>
    <t xml:space="preserve">GIOVANNY ANGEL</t>
  </si>
  <si>
    <t xml:space="preserve">HERRERA RUIZ</t>
  </si>
  <si>
    <t xml:space="preserve">0416-0638001</t>
  </si>
  <si>
    <t xml:space="preserve">13243596</t>
  </si>
  <si>
    <t xml:space="preserve">000032000585</t>
  </si>
  <si>
    <t xml:space="preserve">EMILIANIS  DANIELA</t>
  </si>
  <si>
    <t xml:space="preserve">CAMPO BOYACA CASA N*72</t>
  </si>
  <si>
    <t xml:space="preserve">0416-5626583</t>
  </si>
  <si>
    <t xml:space="preserve">000031562738</t>
  </si>
  <si>
    <t xml:space="preserve">FERNANDEZ BOSCAN</t>
  </si>
  <si>
    <t xml:space="preserve">CAMPO BOYACA CALLE N*5 CASA 55B</t>
  </si>
  <si>
    <t xml:space="preserve">04265655880</t>
  </si>
  <si>
    <t xml:space="preserve">10421819</t>
  </si>
  <si>
    <t xml:space="preserve">000031189740</t>
  </si>
  <si>
    <t xml:space="preserve">JEISON ANDRES</t>
  </si>
  <si>
    <t xml:space="preserve">OSORIO  PELUFFO</t>
  </si>
  <si>
    <t xml:space="preserve">SECTOR LAS FLORES LA PAZ</t>
  </si>
  <si>
    <t xml:space="preserve">04246332239</t>
  </si>
  <si>
    <t xml:space="preserve">45581841</t>
  </si>
  <si>
    <t xml:space="preserve">000020685015</t>
  </si>
  <si>
    <t xml:space="preserve">000025979175</t>
  </si>
  <si>
    <t xml:space="preserve">GONZALEZ RIOS</t>
  </si>
  <si>
    <t xml:space="preserve">000031443098</t>
  </si>
  <si>
    <t xml:space="preserve">LEORBIS MIGUEL</t>
  </si>
  <si>
    <t xml:space="preserve">CAÑIZARES BARRIOS</t>
  </si>
  <si>
    <t xml:space="preserve">04162601110</t>
  </si>
  <si>
    <t xml:space="preserve">000031524830</t>
  </si>
  <si>
    <t xml:space="preserve">JOYSE ANGELLI</t>
  </si>
  <si>
    <t xml:space="preserve">04160555309</t>
  </si>
  <si>
    <t xml:space="preserve">10407792</t>
  </si>
  <si>
    <t xml:space="preserve">010014137820</t>
  </si>
  <si>
    <t xml:space="preserve">JESUS EDUARDO</t>
  </si>
  <si>
    <t xml:space="preserve">PEREZ VEGA</t>
  </si>
  <si>
    <t xml:space="preserve">04266690371</t>
  </si>
  <si>
    <t xml:space="preserve">000031696345</t>
  </si>
  <si>
    <t xml:space="preserve">04167707656</t>
  </si>
  <si>
    <t xml:space="preserve">000033724368</t>
  </si>
  <si>
    <t xml:space="preserve">YORGELIS ARIANNY</t>
  </si>
  <si>
    <t xml:space="preserve">SECTOR LA GRAN FAMILIA</t>
  </si>
  <si>
    <t xml:space="preserve">04266659135</t>
  </si>
  <si>
    <t xml:space="preserve">010312802519</t>
  </si>
  <si>
    <t xml:space="preserve">GONZALEZ MORILLO</t>
  </si>
  <si>
    <t xml:space="preserve">04266654135</t>
  </si>
  <si>
    <t xml:space="preserve">010112802519</t>
  </si>
  <si>
    <t xml:space="preserve">000030900817</t>
  </si>
  <si>
    <t xml:space="preserve">KEILIN GUSMANA</t>
  </si>
  <si>
    <t xml:space="preserve">LEAL PINEDA</t>
  </si>
  <si>
    <t xml:space="preserve">SECTOR 5 DE ENERO CASA Nª 30</t>
  </si>
  <si>
    <t xml:space="preserve">04269248131</t>
  </si>
  <si>
    <t xml:space="preserve">09791203</t>
  </si>
  <si>
    <t xml:space="preserve">010217566704</t>
  </si>
  <si>
    <t xml:space="preserve">ELIMAR DEL VALLE</t>
  </si>
  <si>
    <t xml:space="preserve">04120782859</t>
  </si>
  <si>
    <t xml:space="preserve">17566704</t>
  </si>
  <si>
    <t xml:space="preserve">000031250644</t>
  </si>
  <si>
    <t xml:space="preserve">DEILIMAR MARIA</t>
  </si>
  <si>
    <t xml:space="preserve">BOSCAN GONZALEZ</t>
  </si>
  <si>
    <t xml:space="preserve">04161135889</t>
  </si>
  <si>
    <t xml:space="preserve">17567008</t>
  </si>
  <si>
    <t xml:space="preserve">010122163728</t>
  </si>
  <si>
    <t xml:space="preserve">OMAR GERARDO</t>
  </si>
  <si>
    <t xml:space="preserve">04262229309</t>
  </si>
  <si>
    <t xml:space="preserve">000031960549</t>
  </si>
  <si>
    <t xml:space="preserve">04166977196</t>
  </si>
  <si>
    <t xml:space="preserve">14458722</t>
  </si>
  <si>
    <t xml:space="preserve">000030940043</t>
  </si>
  <si>
    <t xml:space="preserve">LUISANI DEL CARMEN</t>
  </si>
  <si>
    <t xml:space="preserve">MARIMONDA 5</t>
  </si>
  <si>
    <t xml:space="preserve">04267014243</t>
  </si>
  <si>
    <t xml:space="preserve">000030940073</t>
  </si>
  <si>
    <t xml:space="preserve">WILMARY CAROLINA</t>
  </si>
  <si>
    <t xml:space="preserve">PERTUZ URDANETA</t>
  </si>
  <si>
    <t xml:space="preserve">000030683202</t>
  </si>
  <si>
    <t xml:space="preserve">EDILIANGELES DAYANA</t>
  </si>
  <si>
    <t xml:space="preserve">04121716644</t>
  </si>
  <si>
    <t xml:space="preserve">000028470054</t>
  </si>
  <si>
    <t xml:space="preserve">OSMARY DEL VALLE</t>
  </si>
  <si>
    <t xml:space="preserve">VALLE ENCANTADO</t>
  </si>
  <si>
    <t xml:space="preserve">04162222399</t>
  </si>
  <si>
    <t xml:space="preserve">000031696296</t>
  </si>
  <si>
    <t xml:space="preserve">YUSGREIDY PAOLA</t>
  </si>
  <si>
    <t xml:space="preserve">QUINTERO ATENCIO</t>
  </si>
  <si>
    <t xml:space="preserve">04163633033</t>
  </si>
  <si>
    <t xml:space="preserve">000030412735</t>
  </si>
  <si>
    <t xml:space="preserve">JEDINSON DANIEL</t>
  </si>
  <si>
    <t xml:space="preserve">84655577</t>
  </si>
  <si>
    <t xml:space="preserve">000031096806</t>
  </si>
  <si>
    <t xml:space="preserve">JOSE GUILLERMO</t>
  </si>
  <si>
    <t xml:space="preserve">CASTRO PEÑATE</t>
  </si>
  <si>
    <t xml:space="preserve">04267625086</t>
  </si>
  <si>
    <t xml:space="preserve">15195736</t>
  </si>
  <si>
    <t xml:space="preserve">000031252907</t>
  </si>
  <si>
    <t xml:space="preserve">URDANETA BARROSO</t>
  </si>
  <si>
    <t xml:space="preserve">04162200310</t>
  </si>
  <si>
    <t xml:space="preserve">000030892392</t>
  </si>
  <si>
    <t xml:space="preserve">JAIDIMAR NAIBETH</t>
  </si>
  <si>
    <t xml:space="preserve">BARRIOS MATOS</t>
  </si>
  <si>
    <t xml:space="preserve">04269684022</t>
  </si>
  <si>
    <t xml:space="preserve">08501750</t>
  </si>
  <si>
    <t xml:space="preserve">000031097276</t>
  </si>
  <si>
    <t xml:space="preserve">FELIANIS MARINA</t>
  </si>
  <si>
    <t xml:space="preserve">04126756257</t>
  </si>
  <si>
    <t xml:space="preserve">17683665</t>
  </si>
  <si>
    <t xml:space="preserve">000030807171</t>
  </si>
  <si>
    <t xml:space="preserve">15411780</t>
  </si>
  <si>
    <t xml:space="preserve">000032073137</t>
  </si>
  <si>
    <t xml:space="preserve">04266168837</t>
  </si>
  <si>
    <t xml:space="preserve">000031563503</t>
  </si>
  <si>
    <t xml:space="preserve">LINSDLEY KATERIN</t>
  </si>
  <si>
    <t xml:space="preserve">MORALES HERRERA</t>
  </si>
  <si>
    <t xml:space="preserve">04161653596</t>
  </si>
  <si>
    <t xml:space="preserve">15839013</t>
  </si>
  <si>
    <t xml:space="preserve">000031389322</t>
  </si>
  <si>
    <t xml:space="preserve">JOEL ANGEL</t>
  </si>
  <si>
    <t xml:space="preserve">CASA BLANCA</t>
  </si>
  <si>
    <t xml:space="preserve">16919258</t>
  </si>
  <si>
    <t xml:space="preserve">010320508880</t>
  </si>
  <si>
    <t xml:space="preserve">LEIBER ANDRES</t>
  </si>
  <si>
    <t xml:space="preserve">000030940222</t>
  </si>
  <si>
    <t xml:space="preserve">LA GRAN PARADA LOS MARANOS</t>
  </si>
  <si>
    <t xml:space="preserve">04262906462</t>
  </si>
  <si>
    <t xml:space="preserve">000030634564</t>
  </si>
  <si>
    <t xml:space="preserve">MOISES ELIAS</t>
  </si>
  <si>
    <t xml:space="preserve">ROMERO PIRELA</t>
  </si>
  <si>
    <t xml:space="preserve">SECTOR LA JAVILLA</t>
  </si>
  <si>
    <t xml:space="preserve">04262505750</t>
  </si>
  <si>
    <t xml:space="preserve">11294013</t>
  </si>
  <si>
    <t xml:space="preserve">000031607918</t>
  </si>
  <si>
    <t xml:space="preserve">ANGEL JESUS</t>
  </si>
  <si>
    <t xml:space="preserve">04120626696</t>
  </si>
  <si>
    <t xml:space="preserve">010304530951</t>
  </si>
  <si>
    <t xml:space="preserve">MONTIEL CHAVEZ</t>
  </si>
  <si>
    <t xml:space="preserve">04161853978</t>
  </si>
  <si>
    <t xml:space="preserve">04530951</t>
  </si>
  <si>
    <t xml:space="preserve">000032002837</t>
  </si>
  <si>
    <t xml:space="preserve">EMILY KATIUSKA</t>
  </si>
  <si>
    <t xml:space="preserve">04264499453</t>
  </si>
  <si>
    <t xml:space="preserve">000030985880</t>
  </si>
  <si>
    <t xml:space="preserve">000027744529</t>
  </si>
  <si>
    <t xml:space="preserve">CHAVEZ RIVERA</t>
  </si>
  <si>
    <t xml:space="preserve">CHINITO RAFAEL</t>
  </si>
  <si>
    <t xml:space="preserve">04268004726</t>
  </si>
  <si>
    <t xml:space="preserve">000029902866</t>
  </si>
  <si>
    <t xml:space="preserve">04121206197</t>
  </si>
  <si>
    <t xml:space="preserve">000031669564</t>
  </si>
  <si>
    <t xml:space="preserve">SELENA CAROLINA</t>
  </si>
  <si>
    <t xml:space="preserve">04269780882</t>
  </si>
  <si>
    <t xml:space="preserve">17565071</t>
  </si>
  <si>
    <t xml:space="preserve">000029902860</t>
  </si>
  <si>
    <t xml:space="preserve">JONATHAN MANUEL</t>
  </si>
  <si>
    <t xml:space="preserve">04165621678</t>
  </si>
  <si>
    <t xml:space="preserve">000031295331</t>
  </si>
  <si>
    <t xml:space="preserve">YOERVEILIS SCARLETH</t>
  </si>
  <si>
    <t xml:space="preserve">04264059377</t>
  </si>
  <si>
    <t xml:space="preserve">010215987925</t>
  </si>
  <si>
    <t xml:space="preserve">SOL MARI</t>
  </si>
  <si>
    <t xml:space="preserve">04123457837</t>
  </si>
  <si>
    <t xml:space="preserve">15987925</t>
  </si>
  <si>
    <t xml:space="preserve">010015987925</t>
  </si>
  <si>
    <t xml:space="preserve">OLIVEROS MORALES</t>
  </si>
  <si>
    <t xml:space="preserve">000029902883</t>
  </si>
  <si>
    <t xml:space="preserve">000030215121</t>
  </si>
  <si>
    <t xml:space="preserve">ROXANA CHIQUINQUIRA</t>
  </si>
  <si>
    <t xml:space="preserve">SOBERTO FUENMAYOR</t>
  </si>
  <si>
    <t xml:space="preserve">04264659585</t>
  </si>
  <si>
    <t xml:space="preserve">000031252664</t>
  </si>
  <si>
    <t xml:space="preserve">OSMEIRY DEL VALLE</t>
  </si>
  <si>
    <t xml:space="preserve">04168690783</t>
  </si>
  <si>
    <t xml:space="preserve">000030010376</t>
  </si>
  <si>
    <t xml:space="preserve">DAINER DE JESUS</t>
  </si>
  <si>
    <t xml:space="preserve">04167689390</t>
  </si>
  <si>
    <t xml:space="preserve">010355300820</t>
  </si>
  <si>
    <t xml:space="preserve">VALERIN ANDREA</t>
  </si>
  <si>
    <t xml:space="preserve">BAITER LEONES</t>
  </si>
  <si>
    <t xml:space="preserve">04264661009</t>
  </si>
  <si>
    <t xml:space="preserve">55300820</t>
  </si>
  <si>
    <t xml:space="preserve">000031252934</t>
  </si>
  <si>
    <t xml:space="preserve">COLINA QUINTERO</t>
  </si>
  <si>
    <t xml:space="preserve">04169030373</t>
  </si>
  <si>
    <t xml:space="preserve">17634576</t>
  </si>
  <si>
    <t xml:space="preserve">000031548680</t>
  </si>
  <si>
    <t xml:space="preserve">ESTEFANY DANIELA</t>
  </si>
  <si>
    <t xml:space="preserve">000029836347</t>
  </si>
  <si>
    <t xml:space="preserve">JOSE ANGEL SEGUNDO</t>
  </si>
  <si>
    <t xml:space="preserve">04161620236</t>
  </si>
  <si>
    <t xml:space="preserve">15012885</t>
  </si>
  <si>
    <t xml:space="preserve">000031252674</t>
  </si>
  <si>
    <t xml:space="preserve">VICTOR ARMANDO</t>
  </si>
  <si>
    <t xml:space="preserve">000029812016</t>
  </si>
  <si>
    <t xml:space="preserve">YAKELIN ANDREA</t>
  </si>
  <si>
    <t xml:space="preserve">MAYOR BUELVAS</t>
  </si>
  <si>
    <t xml:space="preserve">04264654798</t>
  </si>
  <si>
    <t xml:space="preserve">16606569</t>
  </si>
  <si>
    <t xml:space="preserve">000031545266</t>
  </si>
  <si>
    <t xml:space="preserve">RONNY ALEXANDER</t>
  </si>
  <si>
    <t xml:space="preserve">000031070076</t>
  </si>
  <si>
    <t xml:space="preserve">NEIKELYN PAOLA</t>
  </si>
  <si>
    <t xml:space="preserve">04146158859</t>
  </si>
  <si>
    <t xml:space="preserve">000030951769</t>
  </si>
  <si>
    <t xml:space="preserve">CALDERA VALBUENA</t>
  </si>
  <si>
    <t xml:space="preserve">04269211067</t>
  </si>
  <si>
    <t xml:space="preserve">15986797</t>
  </si>
  <si>
    <t xml:space="preserve">000031009824</t>
  </si>
  <si>
    <t xml:space="preserve">LEOSKEYDI CAROLAI</t>
  </si>
  <si>
    <t xml:space="preserve">GUTIERREZ OVIEDO</t>
  </si>
  <si>
    <t xml:space="preserve">04126572493</t>
  </si>
  <si>
    <t xml:space="preserve">17833713</t>
  </si>
  <si>
    <t xml:space="preserve">000030299128</t>
  </si>
  <si>
    <t xml:space="preserve">02625236438</t>
  </si>
  <si>
    <t xml:space="preserve">000031350201</t>
  </si>
  <si>
    <t xml:space="preserve">GREYDIMAR ALEJANDRA</t>
  </si>
  <si>
    <t xml:space="preserve">RIVERO RIVAS</t>
  </si>
  <si>
    <t xml:space="preserve">04264685001</t>
  </si>
  <si>
    <t xml:space="preserve">15405976</t>
  </si>
  <si>
    <t xml:space="preserve">000030834873</t>
  </si>
  <si>
    <t xml:space="preserve">17938229</t>
  </si>
  <si>
    <t xml:space="preserve">000029902949</t>
  </si>
  <si>
    <t xml:space="preserve">JIOVANDRI ENRIQUE</t>
  </si>
  <si>
    <t xml:space="preserve">04121084796</t>
  </si>
  <si>
    <t xml:space="preserve">000030299150</t>
  </si>
  <si>
    <t xml:space="preserve">NAILYMAR DEL CARMEN</t>
  </si>
  <si>
    <t xml:space="preserve">LIZARAZO FERRER</t>
  </si>
  <si>
    <t xml:space="preserve">04267698504</t>
  </si>
  <si>
    <t xml:space="preserve">000029876439</t>
  </si>
  <si>
    <t xml:space="preserve">DAISO JOSE</t>
  </si>
  <si>
    <t xml:space="preserve">SECTOR 5 DE ENERO</t>
  </si>
  <si>
    <t xml:space="preserve">04126714923</t>
  </si>
  <si>
    <t xml:space="preserve">000030185265</t>
  </si>
  <si>
    <t xml:space="preserve">SUERLIMAR MARIA</t>
  </si>
  <si>
    <t xml:space="preserve">DIAZ JIMENEZ</t>
  </si>
  <si>
    <t xml:space="preserve">04160191616</t>
  </si>
  <si>
    <t xml:space="preserve">17636633</t>
  </si>
  <si>
    <t xml:space="preserve">010318823569</t>
  </si>
  <si>
    <t xml:space="preserve">000030474409</t>
  </si>
  <si>
    <t xml:space="preserve">NEIKER JOSE</t>
  </si>
  <si>
    <t xml:space="preserve">000031295307</t>
  </si>
  <si>
    <t xml:space="preserve">04163274081</t>
  </si>
  <si>
    <t xml:space="preserve">000031070075</t>
  </si>
  <si>
    <t xml:space="preserve">DERWIN SEGUNDO</t>
  </si>
  <si>
    <t xml:space="preserve">ROJAS GONZALEZ</t>
  </si>
  <si>
    <t xml:space="preserve">04141660051</t>
  </si>
  <si>
    <t xml:space="preserve">17736132</t>
  </si>
  <si>
    <t xml:space="preserve">000030070179</t>
  </si>
  <si>
    <t xml:space="preserve">WUALTER ISMAEL</t>
  </si>
  <si>
    <t xml:space="preserve">000030910137</t>
  </si>
  <si>
    <t xml:space="preserve">010321710396</t>
  </si>
  <si>
    <t xml:space="preserve">04167659277</t>
  </si>
  <si>
    <t xml:space="preserve">000030642013</t>
  </si>
  <si>
    <t xml:space="preserve">DAURY ALFONSO</t>
  </si>
  <si>
    <t xml:space="preserve">GOMEZ CASTILLO</t>
  </si>
  <si>
    <t xml:space="preserve">04120736054</t>
  </si>
  <si>
    <t xml:space="preserve">20059365</t>
  </si>
  <si>
    <t xml:space="preserve">000030231225</t>
  </si>
  <si>
    <t xml:space="preserve">EUDIS RICARDO</t>
  </si>
  <si>
    <t xml:space="preserve">02637110324</t>
  </si>
  <si>
    <t xml:space="preserve">000030833796</t>
  </si>
  <si>
    <t xml:space="preserve">JEREMIAS ENRIQUE</t>
  </si>
  <si>
    <t xml:space="preserve">04164667041</t>
  </si>
  <si>
    <t xml:space="preserve">020222163806</t>
  </si>
  <si>
    <t xml:space="preserve">PEÑARANDA DIAZ</t>
  </si>
  <si>
    <t xml:space="preserve">000031260693</t>
  </si>
  <si>
    <t xml:space="preserve">04269629595</t>
  </si>
  <si>
    <t xml:space="preserve">000031630198</t>
  </si>
  <si>
    <t xml:space="preserve">YETZIBEL PAOLA</t>
  </si>
  <si>
    <t xml:space="preserve">FINOL FERRER</t>
  </si>
  <si>
    <t xml:space="preserve">04246300721</t>
  </si>
  <si>
    <t xml:space="preserve">17565915</t>
  </si>
  <si>
    <t xml:space="preserve">000031526427</t>
  </si>
  <si>
    <t xml:space="preserve">LUIS ALBENIS</t>
  </si>
  <si>
    <t xml:space="preserve">CASTILLO BELTRAN</t>
  </si>
  <si>
    <t xml:space="preserve">04268151617</t>
  </si>
  <si>
    <t xml:space="preserve">000031526397</t>
  </si>
  <si>
    <t xml:space="preserve">ARGENIS BETULIO</t>
  </si>
  <si>
    <t xml:space="preserve">000025680725</t>
  </si>
  <si>
    <t xml:space="preserve">SECTOR 4 ESQUINAS</t>
  </si>
  <si>
    <t xml:space="preserve">02625232485</t>
  </si>
  <si>
    <t xml:space="preserve">09043436</t>
  </si>
  <si>
    <t xml:space="preserve">000028336373</t>
  </si>
  <si>
    <t xml:space="preserve">ROSANGELA CHIQUINQUIRA</t>
  </si>
  <si>
    <t xml:space="preserve">MARIN FERNANDEZ</t>
  </si>
  <si>
    <t xml:space="preserve">SECTOR EL PUEBLO LA PAZ</t>
  </si>
  <si>
    <t xml:space="preserve">04164788623</t>
  </si>
  <si>
    <t xml:space="preserve">19336567</t>
  </si>
  <si>
    <t xml:space="preserve">000028123618</t>
  </si>
  <si>
    <t xml:space="preserve">IRAMIS ANDREINA</t>
  </si>
  <si>
    <t xml:space="preserve">09750120</t>
  </si>
  <si>
    <t xml:space="preserve">000027998079</t>
  </si>
  <si>
    <t xml:space="preserve">KEINER EDUARDO</t>
  </si>
  <si>
    <t xml:space="preserve">RIVAS DELGADO</t>
  </si>
  <si>
    <t xml:space="preserve">BARRIO RAFAEL URDANETA</t>
  </si>
  <si>
    <t xml:space="preserve">02617994281</t>
  </si>
  <si>
    <t xml:space="preserve">15465238</t>
  </si>
  <si>
    <t xml:space="preserve">000027090455</t>
  </si>
  <si>
    <t xml:space="preserve">DELERWIN JOSE</t>
  </si>
  <si>
    <t xml:space="preserve">CORONADO PEREZ</t>
  </si>
  <si>
    <t xml:space="preserve">04264187377</t>
  </si>
  <si>
    <t xml:space="preserve">010317565400</t>
  </si>
  <si>
    <t xml:space="preserve">KIMBERLYN DE LOS ANGELES</t>
  </si>
  <si>
    <t xml:space="preserve">04262946090</t>
  </si>
  <si>
    <t xml:space="preserve">010319811504</t>
  </si>
  <si>
    <t xml:space="preserve">YELIMAR PAOLA</t>
  </si>
  <si>
    <t xml:space="preserve">OSORIO GUERRA</t>
  </si>
  <si>
    <t xml:space="preserve">19811504</t>
  </si>
  <si>
    <t xml:space="preserve">000031097162</t>
  </si>
  <si>
    <t xml:space="preserve">MARIA ALEJADRA</t>
  </si>
  <si>
    <t xml:space="preserve">SECTOR LASMARIAS</t>
  </si>
  <si>
    <t xml:space="preserve">15889205</t>
  </si>
  <si>
    <t xml:space="preserve">000031645054</t>
  </si>
  <si>
    <t xml:space="preserve">YESCARLIS DEL VALLE</t>
  </si>
  <si>
    <t xml:space="preserve">AGUILAR GONZALEZ</t>
  </si>
  <si>
    <t xml:space="preserve">18945693</t>
  </si>
  <si>
    <t xml:space="preserve">000029790999</t>
  </si>
  <si>
    <t xml:space="preserve">SORIANNY COROMOTO</t>
  </si>
  <si>
    <t xml:space="preserve">GAMERO FERNANDEZ</t>
  </si>
  <si>
    <t xml:space="preserve">SECTOR ROBERTO FUENMAOR</t>
  </si>
  <si>
    <t xml:space="preserve">000031070120</t>
  </si>
  <si>
    <t xml:space="preserve">LEVI JOSE</t>
  </si>
  <si>
    <t xml:space="preserve">000030131055</t>
  </si>
  <si>
    <t xml:space="preserve">YOENIO ANTONIO</t>
  </si>
  <si>
    <t xml:space="preserve">FUENMAYOR MORAN</t>
  </si>
  <si>
    <t xml:space="preserve">SECTOR MARIMONDA 3</t>
  </si>
  <si>
    <t xml:space="preserve">0426679373</t>
  </si>
  <si>
    <t xml:space="preserve">16729769</t>
  </si>
  <si>
    <t xml:space="preserve">000026817297</t>
  </si>
  <si>
    <t xml:space="preserve">ISEA SUAREZ</t>
  </si>
  <si>
    <t xml:space="preserve">04163693413</t>
  </si>
  <si>
    <t xml:space="preserve">15719229</t>
  </si>
  <si>
    <t xml:space="preserve">010218986699</t>
  </si>
  <si>
    <t xml:space="preserve">EURELIS MASSIEL</t>
  </si>
  <si>
    <t xml:space="preserve">FERNANDEZ ROJANO</t>
  </si>
  <si>
    <t xml:space="preserve">04263631293</t>
  </si>
  <si>
    <t xml:space="preserve">09043515</t>
  </si>
  <si>
    <t xml:space="preserve">000028509695</t>
  </si>
  <si>
    <t xml:space="preserve">KELLY JHONA</t>
  </si>
  <si>
    <t xml:space="preserve">000029996370</t>
  </si>
  <si>
    <t xml:space="preserve">DAILIMAR DE LAS MERCEDES</t>
  </si>
  <si>
    <t xml:space="preserve">04166927596</t>
  </si>
  <si>
    <t xml:space="preserve">000027203291</t>
  </si>
  <si>
    <t xml:space="preserve">DARWIN JESUS</t>
  </si>
  <si>
    <t xml:space="preserve">ANDRADE GONZALEZ</t>
  </si>
  <si>
    <t xml:space="preserve">04161146263</t>
  </si>
  <si>
    <t xml:space="preserve">06808089</t>
  </si>
  <si>
    <t xml:space="preserve">000026481082</t>
  </si>
  <si>
    <t xml:space="preserve">FEDERICO RAMON</t>
  </si>
  <si>
    <t xml:space="preserve">NAVEA EPIEYU</t>
  </si>
  <si>
    <t xml:space="preserve">EL MOJAN</t>
  </si>
  <si>
    <t xml:space="preserve">04269639311</t>
  </si>
  <si>
    <t xml:space="preserve">22149542</t>
  </si>
  <si>
    <t xml:space="preserve">000026872375</t>
  </si>
  <si>
    <t xml:space="preserve">RUTH JOSEFINA</t>
  </si>
  <si>
    <t xml:space="preserve">16835394</t>
  </si>
  <si>
    <t xml:space="preserve">000027090509</t>
  </si>
  <si>
    <t xml:space="preserve">YOHALIS PAOLA</t>
  </si>
  <si>
    <t xml:space="preserve">PINEDA FERNANDEZ</t>
  </si>
  <si>
    <t xml:space="preserve">04269973618</t>
  </si>
  <si>
    <t xml:space="preserve">15887769</t>
  </si>
  <si>
    <t xml:space="preserve">000027722510</t>
  </si>
  <si>
    <t xml:space="preserve">LENIN ALFONSO</t>
  </si>
  <si>
    <t xml:space="preserve">000027029624</t>
  </si>
  <si>
    <t xml:space="preserve">IRIANA DEL VALLE</t>
  </si>
  <si>
    <t xml:space="preserve">FUENMAYOR BALZA</t>
  </si>
  <si>
    <t xml:space="preserve">LAS PAVAS</t>
  </si>
  <si>
    <t xml:space="preserve">21074767</t>
  </si>
  <si>
    <t xml:space="preserve">000029836324</t>
  </si>
  <si>
    <t xml:space="preserve">YEINEIRI GUADALUPE</t>
  </si>
  <si>
    <t xml:space="preserve">04168677654</t>
  </si>
  <si>
    <t xml:space="preserve">000031491556</t>
  </si>
  <si>
    <t xml:space="preserve">SONY JAVIER</t>
  </si>
  <si>
    <t xml:space="preserve">04162611686</t>
  </si>
  <si>
    <t xml:space="preserve">000031459961</t>
  </si>
  <si>
    <t xml:space="preserve">MAIRELIS KATIUSKA</t>
  </si>
  <si>
    <t xml:space="preserve">LOS JAGÜEYES</t>
  </si>
  <si>
    <t xml:space="preserve">04266131899</t>
  </si>
  <si>
    <t xml:space="preserve">000031097260</t>
  </si>
  <si>
    <t xml:space="preserve">QUINTERO GONZALEZ</t>
  </si>
  <si>
    <t xml:space="preserve">000030412743</t>
  </si>
  <si>
    <t xml:space="preserve">JEISON DANIEL</t>
  </si>
  <si>
    <t xml:space="preserve">000031185587</t>
  </si>
  <si>
    <t xml:space="preserve">MONTIEL CARRERA</t>
  </si>
  <si>
    <t xml:space="preserve">04266242822</t>
  </si>
  <si>
    <t xml:space="preserve">14737021</t>
  </si>
  <si>
    <t xml:space="preserve">000029902963</t>
  </si>
  <si>
    <t xml:space="preserve">YEIBER DE JESUS</t>
  </si>
  <si>
    <t xml:space="preserve">SIERRA AGUILAR</t>
  </si>
  <si>
    <t xml:space="preserve">VARGAS</t>
  </si>
  <si>
    <t xml:space="preserve">VA</t>
  </si>
  <si>
    <t xml:space="preserve">04264656427</t>
  </si>
  <si>
    <t xml:space="preserve">18635804</t>
  </si>
  <si>
    <t xml:space="preserve">000027722511</t>
  </si>
  <si>
    <t xml:space="preserve">YULEINIS ANDREINA</t>
  </si>
  <si>
    <t xml:space="preserve">000030274503</t>
  </si>
  <si>
    <t xml:space="preserve">GILBERT ENRIQUE</t>
  </si>
  <si>
    <t xml:space="preserve">MENA FERRER</t>
  </si>
  <si>
    <t xml:space="preserve">04262649417</t>
  </si>
  <si>
    <t xml:space="preserve">17643271</t>
  </si>
  <si>
    <t xml:space="preserve">000031443127</t>
  </si>
  <si>
    <t xml:space="preserve">MARIANA VIRGINIA</t>
  </si>
  <si>
    <t xml:space="preserve">RUIZ ESTRADA</t>
  </si>
  <si>
    <t xml:space="preserve">04263627618</t>
  </si>
  <si>
    <t xml:space="preserve">15939853</t>
  </si>
  <si>
    <t xml:space="preserve">000019844129</t>
  </si>
  <si>
    <t xml:space="preserve">FERNÀNDEZ MORÀN</t>
  </si>
  <si>
    <t xml:space="preserve">000023966186</t>
  </si>
  <si>
    <t xml:space="preserve">SAMIR EDUARDO</t>
  </si>
  <si>
    <t xml:space="preserve">AÑEZ FORERO</t>
  </si>
  <si>
    <t xml:space="preserve">04163601311</t>
  </si>
  <si>
    <t xml:space="preserve">000018648137</t>
  </si>
  <si>
    <t xml:space="preserve">XAVIER CHIQUINQUIRA</t>
  </si>
  <si>
    <t xml:space="preserve">000024725890</t>
  </si>
  <si>
    <t xml:space="preserve">YOERQUELIS GREGORIA</t>
  </si>
  <si>
    <t xml:space="preserve">LEAL SINNING</t>
  </si>
  <si>
    <t xml:space="preserve">000025540511</t>
  </si>
  <si>
    <t xml:space="preserve">GENESIS ADRIANA</t>
  </si>
  <si>
    <t xml:space="preserve">MAPARI VALBUENA</t>
  </si>
  <si>
    <t xml:space="preserve">000019906298</t>
  </si>
  <si>
    <t xml:space="preserve">RIGOBERTO</t>
  </si>
  <si>
    <t xml:space="preserve">ESPINOZA GONZÀLEZ</t>
  </si>
  <si>
    <t xml:space="preserve">000023466392</t>
  </si>
  <si>
    <t xml:space="preserve">YOINER JUNIOR</t>
  </si>
  <si>
    <t xml:space="preserve">CHÀVEZ GAMARRA</t>
  </si>
  <si>
    <t xml:space="preserve">000017087957</t>
  </si>
  <si>
    <t xml:space="preserve">FERNÀNDEZ OLIVEROS</t>
  </si>
  <si>
    <t xml:space="preserve">000013653621</t>
  </si>
  <si>
    <t xml:space="preserve">MARLYN JOSEFINA</t>
  </si>
  <si>
    <t xml:space="preserve">SALAZAR SALAZAR</t>
  </si>
  <si>
    <t xml:space="preserve">000021229775</t>
  </si>
  <si>
    <t xml:space="preserve">NINORKA CHIQUINQUIRA</t>
  </si>
  <si>
    <t xml:space="preserve">000025596497</t>
  </si>
  <si>
    <t xml:space="preserve">YOHANA LUZ</t>
  </si>
  <si>
    <t xml:space="preserve">000024413274</t>
  </si>
  <si>
    <t xml:space="preserve">URDANETA AVILA</t>
  </si>
  <si>
    <t xml:space="preserve">000023769201</t>
  </si>
  <si>
    <t xml:space="preserve">YUBERLIN MAIRY</t>
  </si>
  <si>
    <t xml:space="preserve">000027633443</t>
  </si>
  <si>
    <t xml:space="preserve">JOHANDER</t>
  </si>
  <si>
    <t xml:space="preserve">CURVA DE LA CHINA</t>
  </si>
  <si>
    <t xml:space="preserve">25197837</t>
  </si>
  <si>
    <t xml:space="preserve">000027970217</t>
  </si>
  <si>
    <t xml:space="preserve">SAMUEL JOSUE</t>
  </si>
  <si>
    <t xml:space="preserve">MARTINEZ ORTEGA</t>
  </si>
  <si>
    <t xml:space="preserve">SECTOR LOS SAPOS</t>
  </si>
  <si>
    <t xml:space="preserve">11296636</t>
  </si>
  <si>
    <t xml:space="preserve">000029546488</t>
  </si>
  <si>
    <t xml:space="preserve">YAMILETH CHIQUINQUIRA</t>
  </si>
  <si>
    <t xml:space="preserve">TERAN MARIN</t>
  </si>
  <si>
    <t xml:space="preserve">04127646161</t>
  </si>
  <si>
    <t xml:space="preserve">24955063</t>
  </si>
  <si>
    <t xml:space="preserve">000026701875</t>
  </si>
  <si>
    <t xml:space="preserve">04267681421</t>
  </si>
  <si>
    <t xml:space="preserve">000018394493</t>
  </si>
  <si>
    <t xml:space="preserve">000023466534</t>
  </si>
  <si>
    <t xml:space="preserve">ANTONIO JESUS</t>
  </si>
  <si>
    <t xml:space="preserve">SIBIRA URDANETA</t>
  </si>
  <si>
    <t xml:space="preserve">019925192536</t>
  </si>
  <si>
    <t xml:space="preserve">02626872809</t>
  </si>
  <si>
    <t xml:space="preserve">010314813237</t>
  </si>
  <si>
    <t xml:space="preserve">JOSE ALEXANDER</t>
  </si>
  <si>
    <t xml:space="preserve">ZAMBRANO POLO</t>
  </si>
  <si>
    <t xml:space="preserve">BARINAS</t>
  </si>
  <si>
    <t xml:space="preserve">BA</t>
  </si>
  <si>
    <t xml:space="preserve">04262974383</t>
  </si>
  <si>
    <t xml:space="preserve">14813237</t>
  </si>
  <si>
    <t xml:space="preserve">000031097263</t>
  </si>
  <si>
    <t xml:space="preserve">YUMESLY YOHANY</t>
  </si>
  <si>
    <t xml:space="preserve">PAEZ URDANETA</t>
  </si>
  <si>
    <t xml:space="preserve">04166973547</t>
  </si>
  <si>
    <t xml:space="preserve">15766129</t>
  </si>
  <si>
    <t xml:space="preserve">000029996363</t>
  </si>
  <si>
    <t xml:space="preserve">LEOVIS LESVY</t>
  </si>
  <si>
    <t xml:space="preserve">04262309890</t>
  </si>
  <si>
    <t xml:space="preserve">18662311</t>
  </si>
  <si>
    <t xml:space="preserve">000021228173</t>
  </si>
  <si>
    <t xml:space="preserve">KENDRIC JOEL</t>
  </si>
  <si>
    <t xml:space="preserve">000020508575</t>
  </si>
  <si>
    <t xml:space="preserve">NORELIS KATHERINE</t>
  </si>
  <si>
    <t xml:space="preserve">000023856509</t>
  </si>
  <si>
    <t xml:space="preserve">JONATHAN JESUS</t>
  </si>
  <si>
    <t xml:space="preserve">ARIAS URDANETA</t>
  </si>
  <si>
    <t xml:space="preserve">000025439265</t>
  </si>
  <si>
    <t xml:space="preserve">ARIANA CRISTINA</t>
  </si>
  <si>
    <t xml:space="preserve">000018662115</t>
  </si>
  <si>
    <t xml:space="preserve">OLIVER SEGUNDO</t>
  </si>
  <si>
    <t xml:space="preserve">FERNANDEZ BASTIDAS</t>
  </si>
  <si>
    <t xml:space="preserve">000021078067</t>
  </si>
  <si>
    <t xml:space="preserve">LEUDY JOSE</t>
  </si>
  <si>
    <t xml:space="preserve">BRAVO FINOL</t>
  </si>
  <si>
    <t xml:space="preserve">000021509876</t>
  </si>
  <si>
    <t xml:space="preserve">KATHERIN DEL VALLE</t>
  </si>
  <si>
    <t xml:space="preserve">URDANETA TORREJANO</t>
  </si>
  <si>
    <t xml:space="preserve">010117564343</t>
  </si>
  <si>
    <t xml:space="preserve">LUZ YELIS</t>
  </si>
  <si>
    <t xml:space="preserve">FINOL BARRIOS</t>
  </si>
  <si>
    <t xml:space="preserve">04264257483</t>
  </si>
  <si>
    <t xml:space="preserve">000017566853</t>
  </si>
  <si>
    <t xml:space="preserve">JAIKLIN RAMON</t>
  </si>
  <si>
    <t xml:space="preserve">000024725900</t>
  </si>
  <si>
    <t xml:space="preserve">MARIO JESUS</t>
  </si>
  <si>
    <t xml:space="preserve">000023893567</t>
  </si>
  <si>
    <t xml:space="preserve">HUMBERLYN CHIQUINQUIRA</t>
  </si>
  <si>
    <t xml:space="preserve">VILLALOBOS MONTERO</t>
  </si>
  <si>
    <t xml:space="preserve">000028509777</t>
  </si>
  <si>
    <t xml:space="preserve">MEZA VASQUEZ</t>
  </si>
  <si>
    <t xml:space="preserve">04161130710</t>
  </si>
  <si>
    <t xml:space="preserve">82204142</t>
  </si>
  <si>
    <t xml:space="preserve">000014117483</t>
  </si>
  <si>
    <t xml:space="preserve">IRAMIS AURORA</t>
  </si>
  <si>
    <t xml:space="preserve">000029546822</t>
  </si>
  <si>
    <t xml:space="preserve">LOBO PEREZ</t>
  </si>
  <si>
    <t xml:space="preserve">17738015</t>
  </si>
  <si>
    <t xml:space="preserve">000023466478</t>
  </si>
  <si>
    <t xml:space="preserve">LUZ MAIRY</t>
  </si>
  <si>
    <t xml:space="preserve">URDANETA MORALES</t>
  </si>
  <si>
    <t xml:space="preserve">000017736077</t>
  </si>
  <si>
    <t xml:space="preserve">JUANA ROSA</t>
  </si>
  <si>
    <t xml:space="preserve">000031097149</t>
  </si>
  <si>
    <t xml:space="preserve">YELIMAR DEL CARMEN</t>
  </si>
  <si>
    <t xml:space="preserve">BELTRAN PARRA</t>
  </si>
  <si>
    <t xml:space="preserve">04264225530</t>
  </si>
  <si>
    <t xml:space="preserve">16494792</t>
  </si>
  <si>
    <t xml:space="preserve">000027744346</t>
  </si>
  <si>
    <t xml:space="preserve">YULIMAR DEL VALLE</t>
  </si>
  <si>
    <t xml:space="preserve">000012405786</t>
  </si>
  <si>
    <t xml:space="preserve">EUDO OMAR</t>
  </si>
  <si>
    <t xml:space="preserve">FERNANDEZ RODRIGUEZ</t>
  </si>
  <si>
    <t xml:space="preserve">000020508645</t>
  </si>
  <si>
    <t xml:space="preserve">PAYARES MUÑOZ</t>
  </si>
  <si>
    <t xml:space="preserve">000023466526</t>
  </si>
  <si>
    <t xml:space="preserve">000020686344</t>
  </si>
  <si>
    <t xml:space="preserve">OMAR ENRIQUE</t>
  </si>
  <si>
    <t xml:space="preserve">000023747555</t>
  </si>
  <si>
    <t xml:space="preserve">NORBEIRYS DEL CARMEN</t>
  </si>
  <si>
    <t xml:space="preserve">000028145551</t>
  </si>
  <si>
    <t xml:space="preserve">ESLEYTER ISAAD</t>
  </si>
  <si>
    <t xml:space="preserve">28145548</t>
  </si>
  <si>
    <t xml:space="preserve">000019906281</t>
  </si>
  <si>
    <t xml:space="preserve">ROBIN DONOVAN</t>
  </si>
  <si>
    <t xml:space="preserve">GONZALEZ CARABALLO</t>
  </si>
  <si>
    <t xml:space="preserve">000020984556</t>
  </si>
  <si>
    <t xml:space="preserve">PEREZ LOSANO</t>
  </si>
  <si>
    <t xml:space="preserve">000020834837</t>
  </si>
  <si>
    <t xml:space="preserve">YEIMER JOSE</t>
  </si>
  <si>
    <t xml:space="preserve">000021511088</t>
  </si>
  <si>
    <t xml:space="preserve">SARAHI PAOLA</t>
  </si>
  <si>
    <t xml:space="preserve">GUERRA FUENMAYOR</t>
  </si>
  <si>
    <t xml:space="preserve">000011393554</t>
  </si>
  <si>
    <t xml:space="preserve">ANGELO SMITH</t>
  </si>
  <si>
    <t xml:space="preserve">FUENMAYOR PEREIRA</t>
  </si>
  <si>
    <t xml:space="preserve">000028488800</t>
  </si>
  <si>
    <t xml:space="preserve">YOEL ENRIQUE</t>
  </si>
  <si>
    <t xml:space="preserve">CARRUYO VILLALOBOS</t>
  </si>
  <si>
    <t xml:space="preserve">04163657205</t>
  </si>
  <si>
    <t xml:space="preserve">000019811522</t>
  </si>
  <si>
    <t xml:space="preserve">EMALBA</t>
  </si>
  <si>
    <t xml:space="preserve">RINCON RINCON</t>
  </si>
  <si>
    <t xml:space="preserve">000013609969</t>
  </si>
  <si>
    <t xml:space="preserve">ERLIN ANTONIO</t>
  </si>
  <si>
    <t xml:space="preserve">DIAZ FERNANDEZ</t>
  </si>
  <si>
    <t xml:space="preserve">000020987938</t>
  </si>
  <si>
    <t xml:space="preserve">YOLIGREY CAROLINA</t>
  </si>
  <si>
    <t xml:space="preserve">MAYOR CUADRADO</t>
  </si>
  <si>
    <t xml:space="preserve">000019906307</t>
  </si>
  <si>
    <t xml:space="preserve">ELIZABETH BEATRIZ</t>
  </si>
  <si>
    <t xml:space="preserve">*-</t>
  </si>
  <si>
    <t xml:space="preserve">000019988110</t>
  </si>
  <si>
    <t xml:space="preserve">DANIELA ESTHER</t>
  </si>
  <si>
    <t xml:space="preserve">MENDOZA MENDOZA</t>
  </si>
  <si>
    <t xml:space="preserve">000017917919</t>
  </si>
  <si>
    <t xml:space="preserve">DARIS AYARID</t>
  </si>
  <si>
    <t xml:space="preserve">MORALES TEJADA</t>
  </si>
  <si>
    <t xml:space="preserve">000024406418</t>
  </si>
  <si>
    <t xml:space="preserve">**</t>
  </si>
  <si>
    <t xml:space="preserve">000028003513</t>
  </si>
  <si>
    <t xml:space="preserve">LILIANA KARINA</t>
  </si>
  <si>
    <t xml:space="preserve">000028003512</t>
  </si>
  <si>
    <t xml:space="preserve">LEANYS CAROLINA</t>
  </si>
  <si>
    <t xml:space="preserve">000027603158</t>
  </si>
  <si>
    <t xml:space="preserve">JESUS ALFREDO</t>
  </si>
  <si>
    <t xml:space="preserve">CASTILLO SALINAS</t>
  </si>
  <si>
    <t xml:space="preserve">06830357</t>
  </si>
  <si>
    <t xml:space="preserve">000014137464</t>
  </si>
  <si>
    <t xml:space="preserve">EDWAR MANUEL</t>
  </si>
  <si>
    <t xml:space="preserve">MARIN DAVILA</t>
  </si>
  <si>
    <t xml:space="preserve">000023856935</t>
  </si>
  <si>
    <t xml:space="preserve">000020835899</t>
  </si>
  <si>
    <t xml:space="preserve">NAIROVIS DEL CARMEN</t>
  </si>
  <si>
    <t xml:space="preserve">ORTEGA CARIAS</t>
  </si>
  <si>
    <t xml:space="preserve">000023466527</t>
  </si>
  <si>
    <t xml:space="preserve">ANGEL ESLEITER</t>
  </si>
  <si>
    <t xml:space="preserve">000031070089</t>
  </si>
  <si>
    <t xml:space="preserve">RACHEL SARAHI</t>
  </si>
  <si>
    <t xml:space="preserve">MACHADO BOSCAN</t>
  </si>
  <si>
    <t xml:space="preserve">04268249251</t>
  </si>
  <si>
    <t xml:space="preserve">14698280</t>
  </si>
  <si>
    <t xml:space="preserve">000030974944</t>
  </si>
  <si>
    <t xml:space="preserve">LEONARDO SEGUNDO</t>
  </si>
  <si>
    <t xml:space="preserve">URDANETA GUTIERREZ</t>
  </si>
  <si>
    <t xml:space="preserve">04261009438</t>
  </si>
  <si>
    <t xml:space="preserve">84279604</t>
  </si>
  <si>
    <t xml:space="preserve">000029816066</t>
  </si>
  <si>
    <t xml:space="preserve">VILLANUEVA REYES</t>
  </si>
  <si>
    <t xml:space="preserve">CAMPO CAUCAGÜITA</t>
  </si>
  <si>
    <t xml:space="preserve">04265653357</t>
  </si>
  <si>
    <t xml:space="preserve">33341607</t>
  </si>
  <si>
    <t xml:space="preserve">000020508809</t>
  </si>
  <si>
    <t xml:space="preserve">WAIBEYLIS SCARLETH</t>
  </si>
  <si>
    <t xml:space="preserve">000020777999</t>
  </si>
  <si>
    <t xml:space="preserve">MARIA CECILIA</t>
  </si>
  <si>
    <t xml:space="preserve">MORALES URDANETA</t>
  </si>
  <si>
    <t xml:space="preserve">000020845993</t>
  </si>
  <si>
    <t xml:space="preserve">MICHEL ANTONIO</t>
  </si>
  <si>
    <t xml:space="preserve">PADRON MERCADO</t>
  </si>
  <si>
    <t xml:space="preserve">000018823628</t>
  </si>
  <si>
    <t xml:space="preserve">JAQUELINE ISABEL</t>
  </si>
  <si>
    <t xml:space="preserve">000019706390</t>
  </si>
  <si>
    <t xml:space="preserve">ABRAHAM RAFAEL</t>
  </si>
  <si>
    <t xml:space="preserve">VILORIA FERNANDEZ</t>
  </si>
  <si>
    <t xml:space="preserve">KILOMETRO 56</t>
  </si>
  <si>
    <t xml:space="preserve">000030862768</t>
  </si>
  <si>
    <t xml:space="preserve">VERUZKA CAROLINA</t>
  </si>
  <si>
    <t xml:space="preserve">ARAUJO FERNANDEZ</t>
  </si>
  <si>
    <t xml:space="preserve">000023466563</t>
  </si>
  <si>
    <t xml:space="preserve">KAIDILYN KARIN</t>
  </si>
  <si>
    <t xml:space="preserve">SUAREZ NEGRETTY</t>
  </si>
  <si>
    <t xml:space="preserve">000021487566</t>
  </si>
  <si>
    <t xml:space="preserve">ALVIN JOSE</t>
  </si>
  <si>
    <t xml:space="preserve">000021509673</t>
  </si>
  <si>
    <t xml:space="preserve">ALFREDO MANUEL</t>
  </si>
  <si>
    <t xml:space="preserve">000030200976</t>
  </si>
  <si>
    <t xml:space="preserve">YURVELIS GREGORIA</t>
  </si>
  <si>
    <t xml:space="preserve">SOTURNO BRIÑEZ</t>
  </si>
  <si>
    <t xml:space="preserve">04126915243</t>
  </si>
  <si>
    <t xml:space="preserve">21422150</t>
  </si>
  <si>
    <t xml:space="preserve">000027722609</t>
  </si>
  <si>
    <t xml:space="preserve">JOHNJEIDY KATRINA</t>
  </si>
  <si>
    <t xml:space="preserve">MATOS HERNANDEZ</t>
  </si>
  <si>
    <t xml:space="preserve">SECTOR LAS JAVILLITA</t>
  </si>
  <si>
    <t xml:space="preserve">04146502137</t>
  </si>
  <si>
    <t xml:space="preserve">15294815</t>
  </si>
  <si>
    <t xml:space="preserve">000025439927</t>
  </si>
  <si>
    <t xml:space="preserve">YOANGEL EMIRO</t>
  </si>
  <si>
    <t xml:space="preserve">000020833229</t>
  </si>
  <si>
    <t xml:space="preserve">YORNAN YONETH</t>
  </si>
  <si>
    <t xml:space="preserve">SEMPRUN PERALTA</t>
  </si>
  <si>
    <t xml:space="preserve">000022141201</t>
  </si>
  <si>
    <t xml:space="preserve">DIRIMO JOSE</t>
  </si>
  <si>
    <t xml:space="preserve">000020777825</t>
  </si>
  <si>
    <t xml:space="preserve">RIVERA CARRILLO</t>
  </si>
  <si>
    <t xml:space="preserve">010118649926</t>
  </si>
  <si>
    <t xml:space="preserve">ABELEIDY PAOLA</t>
  </si>
  <si>
    <t xml:space="preserve">sector corito</t>
  </si>
  <si>
    <t xml:space="preserve">04263632076</t>
  </si>
  <si>
    <t xml:space="preserve">18649926</t>
  </si>
  <si>
    <t xml:space="preserve">000025855309</t>
  </si>
  <si>
    <t xml:space="preserve">MARIANA PAHOLA</t>
  </si>
  <si>
    <t xml:space="preserve">VARELA MORAN</t>
  </si>
  <si>
    <t xml:space="preserve">000013974225</t>
  </si>
  <si>
    <t xml:space="preserve">IDALIS BETTY</t>
  </si>
  <si>
    <t xml:space="preserve">000019179523</t>
  </si>
  <si>
    <t xml:space="preserve">000021228268</t>
  </si>
  <si>
    <t xml:space="preserve">CLAURYS MELOSVA</t>
  </si>
  <si>
    <t xml:space="preserve">000012804962</t>
  </si>
  <si>
    <t xml:space="preserve">EMILIO JOSE</t>
  </si>
  <si>
    <t xml:space="preserve">PERCHE GONZALEZ</t>
  </si>
  <si>
    <t xml:space="preserve">LOS MAYALES</t>
  </si>
  <si>
    <t xml:space="preserve">000030683164</t>
  </si>
  <si>
    <t xml:space="preserve">BRAYNER JOSE</t>
  </si>
  <si>
    <t xml:space="preserve">VILALOBOS MACHADO</t>
  </si>
  <si>
    <t xml:space="preserve">000020508890</t>
  </si>
  <si>
    <t xml:space="preserve">FATIMA BEATRIZ</t>
  </si>
  <si>
    <t xml:space="preserve">000020846013</t>
  </si>
  <si>
    <t xml:space="preserve">000017070875</t>
  </si>
  <si>
    <t xml:space="preserve">YELANDRYN LUCIA</t>
  </si>
  <si>
    <t xml:space="preserve">BRAVO NAVARRO</t>
  </si>
  <si>
    <t xml:space="preserve">000017183895</t>
  </si>
  <si>
    <t xml:space="preserve">EGLIN COROMOTO</t>
  </si>
  <si>
    <t xml:space="preserve">000018741093</t>
  </si>
  <si>
    <t xml:space="preserve">ADRIAN ALFREDO</t>
  </si>
  <si>
    <t xml:space="preserve">000017412457</t>
  </si>
  <si>
    <t xml:space="preserve">NELLAIDY DEL CARMEN</t>
  </si>
  <si>
    <t xml:space="preserve">BRAVO MAYOR</t>
  </si>
  <si>
    <t xml:space="preserve">000020945749</t>
  </si>
  <si>
    <t xml:space="preserve">ESTHER TERESA</t>
  </si>
  <si>
    <t xml:space="preserve">BARRIOS HERNANDEZ</t>
  </si>
  <si>
    <t xml:space="preserve">000023769274</t>
  </si>
  <si>
    <t xml:space="preserve">ANGEL ARMANDO</t>
  </si>
  <si>
    <t xml:space="preserve">MEDINA FERNANDEZ</t>
  </si>
  <si>
    <t xml:space="preserve">000019225132</t>
  </si>
  <si>
    <t xml:space="preserve">000025019464</t>
  </si>
  <si>
    <t xml:space="preserve">KATHERINE DEL CARMEN</t>
  </si>
  <si>
    <t xml:space="preserve">LIZARAZO BRAVO</t>
  </si>
  <si>
    <t xml:space="preserve">010033221099</t>
  </si>
  <si>
    <t xml:space="preserve">04169695732</t>
  </si>
  <si>
    <t xml:space="preserve">33221099</t>
  </si>
  <si>
    <t xml:space="preserve">000012591861</t>
  </si>
  <si>
    <t xml:space="preserve">JESUS JAIRO</t>
  </si>
  <si>
    <t xml:space="preserve">000018662077</t>
  </si>
  <si>
    <t xml:space="preserve">JOHN JOSE</t>
  </si>
  <si>
    <t xml:space="preserve">000023770191</t>
  </si>
  <si>
    <t xml:space="preserve">YOALIS PAOLA</t>
  </si>
  <si>
    <t xml:space="preserve">PORTILLO PORTILLO</t>
  </si>
  <si>
    <t xml:space="preserve">000024250428</t>
  </si>
  <si>
    <t xml:space="preserve">FUENMAYOR MELENDEZ</t>
  </si>
  <si>
    <t xml:space="preserve">000023770196</t>
  </si>
  <si>
    <t xml:space="preserve">YOSEGLENIS DEL CARMEN</t>
  </si>
  <si>
    <t xml:space="preserve">000023770210</t>
  </si>
  <si>
    <t xml:space="preserve">ELIBERKI DEL CARMEN</t>
  </si>
  <si>
    <t xml:space="preserve">CASTRO PEREZ</t>
  </si>
  <si>
    <t xml:space="preserve">000029893312</t>
  </si>
  <si>
    <t xml:space="preserve">YORGEIDY DEL CARMEN</t>
  </si>
  <si>
    <t xml:space="preserve">URDANETA ARRIETA</t>
  </si>
  <si>
    <t xml:space="preserve">14220151</t>
  </si>
  <si>
    <t xml:space="preserve">000021228575</t>
  </si>
  <si>
    <t xml:space="preserve">LISDONAY ATILIO</t>
  </si>
  <si>
    <t xml:space="preserve">000019845456</t>
  </si>
  <si>
    <t xml:space="preserve">ALEXANDRA MARIA</t>
  </si>
  <si>
    <t xml:space="preserve">GARCIA OLIVERA</t>
  </si>
  <si>
    <t xml:space="preserve">000023272551</t>
  </si>
  <si>
    <t xml:space="preserve">YOENDRICK DE JESUS</t>
  </si>
  <si>
    <t xml:space="preserve">GONZALEZ GARAY</t>
  </si>
  <si>
    <t xml:space="preserve">000020778458</t>
  </si>
  <si>
    <t xml:space="preserve">GABRIEL AUGUSTO</t>
  </si>
  <si>
    <t xml:space="preserve">MONTIEL VILLALOBOS</t>
  </si>
  <si>
    <t xml:space="preserve">000025039839</t>
  </si>
  <si>
    <t xml:space="preserve">NOELVIS ALEJANDRO</t>
  </si>
  <si>
    <t xml:space="preserve">000021164215</t>
  </si>
  <si>
    <t xml:space="preserve">CLAUDIO JOSE</t>
  </si>
  <si>
    <t xml:space="preserve">CASTILLO ROMERO</t>
  </si>
  <si>
    <t xml:space="preserve">000020146116</t>
  </si>
  <si>
    <t xml:space="preserve">VANESSA CAROLINA</t>
  </si>
  <si>
    <t xml:space="preserve">MIRANDA FERRER</t>
  </si>
  <si>
    <t xml:space="preserve">000020685028</t>
  </si>
  <si>
    <t xml:space="preserve">ENELCY ISABEL</t>
  </si>
  <si>
    <t xml:space="preserve">000028122487</t>
  </si>
  <si>
    <t xml:space="preserve">000027339741</t>
  </si>
  <si>
    <t xml:space="preserve">PINEDA URDANETA</t>
  </si>
  <si>
    <t xml:space="preserve">LA PAZ S/CHINO RAFAEL</t>
  </si>
  <si>
    <t xml:space="preserve">02622103439</t>
  </si>
  <si>
    <t xml:space="preserve">81934176</t>
  </si>
  <si>
    <t xml:space="preserve">000027744474</t>
  </si>
  <si>
    <t xml:space="preserve">LUIS GREGORIO</t>
  </si>
  <si>
    <t xml:space="preserve">SECTOR BARRIO 5 DE ENERO</t>
  </si>
  <si>
    <t xml:space="preserve">22140929</t>
  </si>
  <si>
    <t xml:space="preserve">000029902885</t>
  </si>
  <si>
    <t xml:space="preserve">DIEGO ENRIQUE</t>
  </si>
  <si>
    <t xml:space="preserve">RODRIGUEZ CHAVEZ</t>
  </si>
  <si>
    <t xml:space="preserve">AV.PP. LA CONQUISTA</t>
  </si>
  <si>
    <t xml:space="preserve">04268600593</t>
  </si>
  <si>
    <t xml:space="preserve">13449616</t>
  </si>
  <si>
    <t xml:space="preserve">000030953005</t>
  </si>
  <si>
    <t xml:space="preserve">EILIMAR PAOLA</t>
  </si>
  <si>
    <t xml:space="preserve">04125346325</t>
  </si>
  <si>
    <t xml:space="preserve">000029902987</t>
  </si>
  <si>
    <t xml:space="preserve">OLINTO JOSE</t>
  </si>
  <si>
    <t xml:space="preserve">campo boyaca</t>
  </si>
  <si>
    <t xml:space="preserve">04267221530</t>
  </si>
  <si>
    <t xml:space="preserve">000030058851</t>
  </si>
  <si>
    <t xml:space="preserve">SOTURNO OBERTO</t>
  </si>
  <si>
    <t xml:space="preserve">sector la m</t>
  </si>
  <si>
    <t xml:space="preserve">04167681135</t>
  </si>
  <si>
    <t xml:space="preserve">11391894</t>
  </si>
  <si>
    <t xml:space="preserve">000031070139</t>
  </si>
  <si>
    <t xml:space="preserve">DEILIMAR MILAGROS</t>
  </si>
  <si>
    <t xml:space="preserve">NEGRETTE ROMERO</t>
  </si>
  <si>
    <t xml:space="preserve">LA PAZ BARRIO 5 DE ENERO</t>
  </si>
  <si>
    <t xml:space="preserve">04264657183</t>
  </si>
  <si>
    <t xml:space="preserve">16079697</t>
  </si>
  <si>
    <t xml:space="preserve">000031097045</t>
  </si>
  <si>
    <t xml:space="preserve">EDUIN JAVIER</t>
  </si>
  <si>
    <t xml:space="preserve">04263673553</t>
  </si>
  <si>
    <t xml:space="preserve">000031097176</t>
  </si>
  <si>
    <t xml:space="preserve">FRELIANNY DEL CARMEN</t>
  </si>
  <si>
    <t xml:space="preserve">SECTOR EL SUR  N*43D</t>
  </si>
  <si>
    <t xml:space="preserve">04264052242</t>
  </si>
  <si>
    <t xml:space="preserve">17461800</t>
  </si>
  <si>
    <t xml:space="preserve">000031097248</t>
  </si>
  <si>
    <t xml:space="preserve">ANDREA CAROLINA</t>
  </si>
  <si>
    <t xml:space="preserve">GUTIERREZ GONZALEZ</t>
  </si>
  <si>
    <t xml:space="preserve">04146500513</t>
  </si>
  <si>
    <t xml:space="preserve">17833712</t>
  </si>
  <si>
    <t xml:space="preserve">000030392998</t>
  </si>
  <si>
    <t xml:space="preserve">YORGELIS ANDREINA</t>
  </si>
  <si>
    <t xml:space="preserve">FERNANDEZ CARRERA</t>
  </si>
  <si>
    <t xml:space="preserve">sector la nuevecita</t>
  </si>
  <si>
    <t xml:space="preserve">04268697421</t>
  </si>
  <si>
    <t xml:space="preserve">000031173558</t>
  </si>
  <si>
    <t xml:space="preserve">LISANDRO GREGORIO</t>
  </si>
  <si>
    <t xml:space="preserve">04162237864</t>
  </si>
  <si>
    <t xml:space="preserve">14921574</t>
  </si>
  <si>
    <t xml:space="preserve">000031235563</t>
  </si>
  <si>
    <t xml:space="preserve">FENYERBETH JOSE</t>
  </si>
  <si>
    <t xml:space="preserve">BOSCAN TERAN</t>
  </si>
  <si>
    <t xml:space="preserve">02625158791</t>
  </si>
  <si>
    <t xml:space="preserve">17735371</t>
  </si>
  <si>
    <t xml:space="preserve">000031235595</t>
  </si>
  <si>
    <t xml:space="preserve">LUZ YIRETH</t>
  </si>
  <si>
    <t xml:space="preserve">SUAREZ GONZALEZ</t>
  </si>
  <si>
    <t xml:space="preserve">000027998249</t>
  </si>
  <si>
    <t xml:space="preserve">BRACHO BRACHO</t>
  </si>
  <si>
    <t xml:space="preserve">000031252909</t>
  </si>
  <si>
    <t xml:space="preserve">ELIANNIS DEL CARMEN</t>
  </si>
  <si>
    <t xml:space="preserve">LA PAZ SECTOR LAS MARIAS</t>
  </si>
  <si>
    <t xml:space="preserve">000031252235</t>
  </si>
  <si>
    <t xml:space="preserve">04264649553</t>
  </si>
  <si>
    <t xml:space="preserve">000031888896</t>
  </si>
  <si>
    <t xml:space="preserve">NOERLYS DE LOS ANGELES</t>
  </si>
  <si>
    <t xml:space="preserve">16836587</t>
  </si>
  <si>
    <t xml:space="preserve">000031252649</t>
  </si>
  <si>
    <t xml:space="preserve">BRENDALY ESCARLET</t>
  </si>
  <si>
    <t xml:space="preserve">ESTRADA GARCIA</t>
  </si>
  <si>
    <t xml:space="preserve">LA PAZ BARRIO  MARIO URDANETA</t>
  </si>
  <si>
    <t xml:space="preserve">04163697259</t>
  </si>
  <si>
    <t xml:space="preserve">14138149</t>
  </si>
  <si>
    <t xml:space="preserve">000031252656</t>
  </si>
  <si>
    <t xml:space="preserve">JEAN FRAN</t>
  </si>
  <si>
    <t xml:space="preserve">19624181</t>
  </si>
  <si>
    <t xml:space="preserve">000030879264</t>
  </si>
  <si>
    <t xml:space="preserve">YULIANNIS DEL VALLE</t>
  </si>
  <si>
    <t xml:space="preserve">EZEQUIEL ZAMORA</t>
  </si>
  <si>
    <t xml:space="preserve">000031252657</t>
  </si>
  <si>
    <t xml:space="preserve">LA PAZ CAMPO COQUIVACOA</t>
  </si>
  <si>
    <t xml:space="preserve">04124722810</t>
  </si>
  <si>
    <t xml:space="preserve">19213252</t>
  </si>
  <si>
    <t xml:space="preserve">000031252685</t>
  </si>
  <si>
    <t xml:space="preserve">HENNALIS KATIUSCA</t>
  </si>
  <si>
    <t xml:space="preserve">04269245631</t>
  </si>
  <si>
    <t xml:space="preserve">11295810</t>
  </si>
  <si>
    <t xml:space="preserve">000031252898</t>
  </si>
  <si>
    <t xml:space="preserve">ANA KARINA</t>
  </si>
  <si>
    <t xml:space="preserve">04147722019</t>
  </si>
  <si>
    <t xml:space="preserve">15033977</t>
  </si>
  <si>
    <t xml:space="preserve">000031252922</t>
  </si>
  <si>
    <t xml:space="preserve">LAS MARIAS CASA N*03</t>
  </si>
  <si>
    <t xml:space="preserve">000031252933</t>
  </si>
  <si>
    <t xml:space="preserve">EMILY MARLENE</t>
  </si>
  <si>
    <t xml:space="preserve">VERA FERRER</t>
  </si>
  <si>
    <t xml:space="preserve">04129688346</t>
  </si>
  <si>
    <t xml:space="preserve">09754425</t>
  </si>
  <si>
    <t xml:space="preserve">000031271111</t>
  </si>
  <si>
    <t xml:space="preserve">NELLY CECILIA</t>
  </si>
  <si>
    <t xml:space="preserve">04162644174</t>
  </si>
  <si>
    <t xml:space="preserve">000031273493</t>
  </si>
  <si>
    <t xml:space="preserve">FABIAN DE JESUS</t>
  </si>
  <si>
    <t xml:space="preserve">VILLALOBOS RIVERA</t>
  </si>
  <si>
    <t xml:space="preserve">AV.PP LA PAZ CASA N*73</t>
  </si>
  <si>
    <t xml:space="preserve">04161683411</t>
  </si>
  <si>
    <t xml:space="preserve">15889487</t>
  </si>
  <si>
    <t xml:space="preserve">000031525303</t>
  </si>
  <si>
    <t xml:space="preserve">LEIDIMAR MARIA</t>
  </si>
  <si>
    <t xml:space="preserve">ROMERO NAVARRO</t>
  </si>
  <si>
    <t xml:space="preserve">0426861037</t>
  </si>
  <si>
    <t xml:space="preserve">17719161</t>
  </si>
  <si>
    <t xml:space="preserve">000031526391</t>
  </si>
  <si>
    <t xml:space="preserve">MARIO ANTONIO</t>
  </si>
  <si>
    <t xml:space="preserve">FARIA PACHECO</t>
  </si>
  <si>
    <t xml:space="preserve">04269628665</t>
  </si>
  <si>
    <t xml:space="preserve">13930980</t>
  </si>
  <si>
    <t xml:space="preserve">000031669354</t>
  </si>
  <si>
    <t xml:space="preserve">WALESKA ISABEL</t>
  </si>
  <si>
    <t xml:space="preserve">VALBUENA FINOL</t>
  </si>
  <si>
    <t xml:space="preserve">SECTOR  MARIO URDANETA</t>
  </si>
  <si>
    <t xml:space="preserve">04169618157</t>
  </si>
  <si>
    <t xml:space="preserve">18494651</t>
  </si>
  <si>
    <t xml:space="preserve">000031738343</t>
  </si>
  <si>
    <t xml:space="preserve">MARYOLEINI DE LOS ANGELES</t>
  </si>
  <si>
    <t xml:space="preserve">LA PAZ LA CONQUISTA</t>
  </si>
  <si>
    <t xml:space="preserve">04165591505</t>
  </si>
  <si>
    <t xml:space="preserve">000031769953</t>
  </si>
  <si>
    <t xml:space="preserve">DAVIANA CAROLINA</t>
  </si>
  <si>
    <t xml:space="preserve">SANCHEZ ORTIZ</t>
  </si>
  <si>
    <t xml:space="preserve">04264235769</t>
  </si>
  <si>
    <t xml:space="preserve">84483936</t>
  </si>
  <si>
    <t xml:space="preserve">000031865135</t>
  </si>
  <si>
    <t xml:space="preserve">EMERSON GREGORIO</t>
  </si>
  <si>
    <t xml:space="preserve">02622101220</t>
  </si>
  <si>
    <t xml:space="preserve">15523287</t>
  </si>
  <si>
    <t xml:space="preserve">000031876185</t>
  </si>
  <si>
    <t xml:space="preserve">LA PAZ SECTOR LA NUEVECITA</t>
  </si>
  <si>
    <t xml:space="preserve">04143682806</t>
  </si>
  <si>
    <t xml:space="preserve">17565013</t>
  </si>
  <si>
    <t xml:space="preserve">000031884626</t>
  </si>
  <si>
    <t xml:space="preserve">NOEMI ESTHER</t>
  </si>
  <si>
    <t xml:space="preserve">VILLALOBOS QUINTERO</t>
  </si>
  <si>
    <t xml:space="preserve">LA PAZ BARRIO MARIO URDANETA</t>
  </si>
  <si>
    <t xml:space="preserve">04266692666</t>
  </si>
  <si>
    <t xml:space="preserve">17634575</t>
  </si>
  <si>
    <t xml:space="preserve">000031969641</t>
  </si>
  <si>
    <t xml:space="preserve">LUISANA DEL VALLE</t>
  </si>
  <si>
    <t xml:space="preserve">RIVAS VILLALOBOS</t>
  </si>
  <si>
    <t xml:space="preserve">LA PAZ SECTOR VILLA SALAS</t>
  </si>
  <si>
    <t xml:space="preserve">04267641719</t>
  </si>
  <si>
    <t xml:space="preserve">15561001</t>
  </si>
  <si>
    <t xml:space="preserve">000031960544</t>
  </si>
  <si>
    <t xml:space="preserve">NEREIBI DEL CARMEN</t>
  </si>
  <si>
    <t xml:space="preserve">04268675511</t>
  </si>
  <si>
    <t xml:space="preserve">000031969656</t>
  </si>
  <si>
    <t xml:space="preserve">ADRIANNY CAROLINA</t>
  </si>
  <si>
    <t xml:space="preserve">MORALES BELTRAN</t>
  </si>
  <si>
    <t xml:space="preserve">04261604233</t>
  </si>
  <si>
    <t xml:space="preserve">19210795</t>
  </si>
  <si>
    <t xml:space="preserve">000031969688</t>
  </si>
  <si>
    <t xml:space="preserve">FREYBER FRANYELO</t>
  </si>
  <si>
    <t xml:space="preserve">CASTRO RUIZ</t>
  </si>
  <si>
    <t xml:space="preserve">04260645253</t>
  </si>
  <si>
    <t xml:space="preserve">17763093</t>
  </si>
  <si>
    <t xml:space="preserve">000032088396</t>
  </si>
  <si>
    <t xml:space="preserve">04125809131</t>
  </si>
  <si>
    <t xml:space="preserve">000031525095</t>
  </si>
  <si>
    <t xml:space="preserve">04267688970</t>
  </si>
  <si>
    <t xml:space="preserve">18704229</t>
  </si>
  <si>
    <t xml:space="preserve">000031097048</t>
  </si>
  <si>
    <t xml:space="preserve">ALBANIS ALEJANDRA</t>
  </si>
  <si>
    <t xml:space="preserve">04120717478</t>
  </si>
  <si>
    <t xml:space="preserve">000031070125</t>
  </si>
  <si>
    <t xml:space="preserve">DARIELYS CHIQUINQUIRA</t>
  </si>
  <si>
    <t xml:space="preserve">LAZO PAREDES</t>
  </si>
  <si>
    <t xml:space="preserve">04264233315</t>
  </si>
  <si>
    <t xml:space="preserve">20776979</t>
  </si>
  <si>
    <t xml:space="preserve">000032600616</t>
  </si>
  <si>
    <t xml:space="preserve">ERILYN ALEJANDRA</t>
  </si>
  <si>
    <t xml:space="preserve">CIVIRA BARRIOS</t>
  </si>
  <si>
    <t xml:space="preserve">BARRIO ROBERTO FURENMAYOR</t>
  </si>
  <si>
    <t xml:space="preserve">04261606635</t>
  </si>
  <si>
    <t xml:space="preserve">17656699</t>
  </si>
  <si>
    <t xml:space="preserve">000034743563</t>
  </si>
  <si>
    <t xml:space="preserve">MARIANYELIS</t>
  </si>
  <si>
    <t xml:space="preserve">CHOURIO MAS Y RUBI</t>
  </si>
  <si>
    <t xml:space="preserve">EL PUEBLO</t>
  </si>
  <si>
    <t xml:space="preserve">04126635355</t>
  </si>
  <si>
    <t xml:space="preserve">17293826</t>
  </si>
  <si>
    <t xml:space="preserve">000031525279</t>
  </si>
  <si>
    <t xml:space="preserve">VERONICA PATRICIA</t>
  </si>
  <si>
    <t xml:space="preserve">CHAVEZ ALVAREZZ</t>
  </si>
  <si>
    <t xml:space="preserve">000031601497</t>
  </si>
  <si>
    <t xml:space="preserve">VILLA SALA</t>
  </si>
  <si>
    <t xml:space="preserve">04121663334</t>
  </si>
  <si>
    <t xml:space="preserve">000031524888</t>
  </si>
  <si>
    <t xml:space="preserve">EDGAR ALFONSO</t>
  </si>
  <si>
    <t xml:space="preserve">22163122</t>
  </si>
  <si>
    <t xml:space="preserve">000031442618</t>
  </si>
  <si>
    <t xml:space="preserve">ERVIS ESTEBAN</t>
  </si>
  <si>
    <t xml:space="preserve">04268129760</t>
  </si>
  <si>
    <t xml:space="preserve">15411774</t>
  </si>
  <si>
    <t xml:space="preserve">000032768588</t>
  </si>
  <si>
    <t xml:space="preserve">LINS CHIMA</t>
  </si>
  <si>
    <t xml:space="preserve">BOLIVAR</t>
  </si>
  <si>
    <t xml:space="preserve">BO</t>
  </si>
  <si>
    <t xml:space="preserve">04124263300</t>
  </si>
  <si>
    <t xml:space="preserve">81696158</t>
  </si>
  <si>
    <t xml:space="preserve">000031009856</t>
  </si>
  <si>
    <t xml:space="preserve">04166927595</t>
  </si>
  <si>
    <t xml:space="preserve">010511860058</t>
  </si>
  <si>
    <t xml:space="preserve">MILAGROS DEL CARMEN</t>
  </si>
  <si>
    <t xml:space="preserve">VILLALOBOS RINCON</t>
  </si>
  <si>
    <t xml:space="preserve">SECTOR LAS FRAGUAS</t>
  </si>
  <si>
    <t xml:space="preserve">04129032418</t>
  </si>
  <si>
    <t xml:space="preserve">11860058</t>
  </si>
  <si>
    <t xml:space="preserve">000031097291</t>
  </si>
  <si>
    <t xml:space="preserve">NEIBER MANUEL</t>
  </si>
  <si>
    <t xml:space="preserve">04162927930</t>
  </si>
  <si>
    <t xml:space="preserve">000031024545</t>
  </si>
  <si>
    <t xml:space="preserve">KENI ANDRES</t>
  </si>
  <si>
    <t xml:space="preserve">CUADRADO LUZARDO</t>
  </si>
  <si>
    <t xml:space="preserve">BOYACA</t>
  </si>
  <si>
    <t xml:space="preserve">04263227111</t>
  </si>
  <si>
    <t xml:space="preserve">21421758</t>
  </si>
  <si>
    <t xml:space="preserve">000031024549</t>
  </si>
  <si>
    <t xml:space="preserve">WUILIANA ALEJANDRA</t>
  </si>
  <si>
    <t xml:space="preserve">PARRA AÑEZ</t>
  </si>
  <si>
    <t xml:space="preserve">04161674547</t>
  </si>
  <si>
    <t xml:space="preserve">15938223</t>
  </si>
  <si>
    <t xml:space="preserve">000031691965</t>
  </si>
  <si>
    <t xml:space="preserve">MAIDELIS MILAGROS</t>
  </si>
  <si>
    <t xml:space="preserve">SOTURNO ARROYO</t>
  </si>
  <si>
    <t xml:space="preserve">04161137326</t>
  </si>
  <si>
    <t xml:space="preserve">22086305</t>
  </si>
  <si>
    <t xml:space="preserve">000031295305</t>
  </si>
  <si>
    <t xml:space="preserve">ROGERT DAVID</t>
  </si>
  <si>
    <t xml:space="preserve">RIVERA FERNANDEZ</t>
  </si>
  <si>
    <t xml:space="preserve">04168615884</t>
  </si>
  <si>
    <t xml:space="preserve">10409909</t>
  </si>
  <si>
    <t xml:space="preserve">000031295336</t>
  </si>
  <si>
    <t xml:space="preserve">VILLALOBOS HERRERA</t>
  </si>
  <si>
    <t xml:space="preserve">BARRIO MARIO URDANETA 1</t>
  </si>
  <si>
    <t xml:space="preserve">14738084</t>
  </si>
  <si>
    <t xml:space="preserve">000031134612</t>
  </si>
  <si>
    <t xml:space="preserve">FERNANDEZ SILVA</t>
  </si>
  <si>
    <t xml:space="preserve">04262668194</t>
  </si>
  <si>
    <t xml:space="preserve">13877162</t>
  </si>
  <si>
    <t xml:space="preserve">000031295297</t>
  </si>
  <si>
    <t xml:space="preserve">ENDRY DANIEL</t>
  </si>
  <si>
    <t xml:space="preserve">GUANIPA CASTILLO</t>
  </si>
  <si>
    <t xml:space="preserve">04267976051</t>
  </si>
  <si>
    <t xml:space="preserve">14458831</t>
  </si>
  <si>
    <t xml:space="preserve">000031884623</t>
  </si>
  <si>
    <t xml:space="preserve">NOHELIS DEL CARMEN</t>
  </si>
  <si>
    <t xml:space="preserve">04161019086</t>
  </si>
  <si>
    <t xml:space="preserve">000032383942</t>
  </si>
  <si>
    <t xml:space="preserve">JARVY DAMIAM</t>
  </si>
  <si>
    <t xml:space="preserve">04166643591</t>
  </si>
  <si>
    <t xml:space="preserve">000031094185</t>
  </si>
  <si>
    <t xml:space="preserve">YURIANNY MARIA</t>
  </si>
  <si>
    <t xml:space="preserve">000031443112</t>
  </si>
  <si>
    <t xml:space="preserve">YASKEINI CAROLINA</t>
  </si>
  <si>
    <t xml:space="preserve">04121079202</t>
  </si>
  <si>
    <t xml:space="preserve">000033294464</t>
  </si>
  <si>
    <t xml:space="preserve">KENDRINA CHIQUINQUIRA</t>
  </si>
  <si>
    <t xml:space="preserve">CHAVEZ MOLINA</t>
  </si>
  <si>
    <t xml:space="preserve">SECTRO LAS PACELAS</t>
  </si>
  <si>
    <t xml:space="preserve">04266162306</t>
  </si>
  <si>
    <t xml:space="preserve">19810120</t>
  </si>
  <si>
    <t xml:space="preserve">000031070098</t>
  </si>
  <si>
    <t xml:space="preserve">EUDY DAVID</t>
  </si>
  <si>
    <t xml:space="preserve">PARADA URDANETA</t>
  </si>
  <si>
    <t xml:space="preserve">LA PARADA</t>
  </si>
  <si>
    <t xml:space="preserve">000031853526</t>
  </si>
  <si>
    <t xml:space="preserve">SECTRO EL HONDITO</t>
  </si>
  <si>
    <t xml:space="preserve">000031583851</t>
  </si>
  <si>
    <t xml:space="preserve">MARIANGELES ANTONIETA</t>
  </si>
  <si>
    <t xml:space="preserve">TROCONIZ FUENMAYOR</t>
  </si>
  <si>
    <t xml:space="preserve">04160672092</t>
  </si>
  <si>
    <t xml:space="preserve">17565513</t>
  </si>
  <si>
    <t xml:space="preserve">000034607216</t>
  </si>
  <si>
    <t xml:space="preserve">ARNOL ANDRES</t>
  </si>
  <si>
    <t xml:space="preserve">04262655196</t>
  </si>
  <si>
    <t xml:space="preserve">000031339948</t>
  </si>
  <si>
    <t xml:space="preserve">ABRAHAM ELIAS</t>
  </si>
  <si>
    <t xml:space="preserve">ORTIZ ATENCIO</t>
  </si>
  <si>
    <t xml:space="preserve">04146239467</t>
  </si>
  <si>
    <t xml:space="preserve">16560836</t>
  </si>
  <si>
    <t xml:space="preserve">000031580981</t>
  </si>
  <si>
    <t xml:space="preserve">KEIBIMAR DEL CARMEN</t>
  </si>
  <si>
    <t xml:space="preserve">SECTRO LAS CASITAS</t>
  </si>
  <si>
    <t xml:space="preserve">16918097</t>
  </si>
  <si>
    <t xml:space="preserve">000031295318</t>
  </si>
  <si>
    <t xml:space="preserve">ROSIMAR DEL CARMEN</t>
  </si>
  <si>
    <t xml:space="preserve">CHOURIO VEGA</t>
  </si>
  <si>
    <t xml:space="preserve">04162253815</t>
  </si>
  <si>
    <t xml:space="preserve">20508337</t>
  </si>
  <si>
    <t xml:space="preserve">000031024546</t>
  </si>
  <si>
    <t xml:space="preserve">YORDIANYS RAQUEL</t>
  </si>
  <si>
    <t xml:space="preserve">17833734</t>
  </si>
  <si>
    <t xml:space="preserve">000034616146</t>
  </si>
  <si>
    <t xml:space="preserve">KIMBERLYN DAMARIS</t>
  </si>
  <si>
    <t xml:space="preserve">MARIO URDANETA 2</t>
  </si>
  <si>
    <t xml:space="preserve">04125479942</t>
  </si>
  <si>
    <t xml:space="preserve">000032088370</t>
  </si>
  <si>
    <t xml:space="preserve">JACOBELYS DE LOS ANGELES</t>
  </si>
  <si>
    <t xml:space="preserve">04125468152</t>
  </si>
  <si>
    <t xml:space="preserve">000031252651</t>
  </si>
  <si>
    <t xml:space="preserve">ROBERT JOSE</t>
  </si>
  <si>
    <t xml:space="preserve">VERA CASTRO</t>
  </si>
  <si>
    <t xml:space="preserve">000031940582</t>
  </si>
  <si>
    <t xml:space="preserve">KATTY MICHEL</t>
  </si>
  <si>
    <t xml:space="preserve">HERNANDEZ FONSECA</t>
  </si>
  <si>
    <t xml:space="preserve">04260607433</t>
  </si>
  <si>
    <t xml:space="preserve">10834326</t>
  </si>
  <si>
    <t xml:space="preserve">000031024516</t>
  </si>
  <si>
    <t xml:space="preserve">CASTILLO CALDERA</t>
  </si>
  <si>
    <t xml:space="preserve">04160185863</t>
  </si>
  <si>
    <t xml:space="preserve">22140633</t>
  </si>
  <si>
    <t xml:space="preserve">000032062332</t>
  </si>
  <si>
    <t xml:space="preserve">04263834133</t>
  </si>
  <si>
    <t xml:space="preserve">000031645506</t>
  </si>
  <si>
    <t xml:space="preserve">YULIBETH CAROLINA</t>
  </si>
  <si>
    <t xml:space="preserve">04169615882</t>
  </si>
  <si>
    <t xml:space="preserve">17736110</t>
  </si>
  <si>
    <t xml:space="preserve">000032099455</t>
  </si>
  <si>
    <t xml:space="preserve">MICHEL HAIDE</t>
  </si>
  <si>
    <t xml:space="preserve">SECTOR EL LAVERINTO</t>
  </si>
  <si>
    <t xml:space="preserve">04169602050</t>
  </si>
  <si>
    <t xml:space="preserve">000031110092</t>
  </si>
  <si>
    <t xml:space="preserve">ANGEL DAVID</t>
  </si>
  <si>
    <t xml:space="preserve">22663393</t>
  </si>
  <si>
    <t xml:space="preserve">000030232773</t>
  </si>
  <si>
    <t xml:space="preserve">NARIELYS ESTHER</t>
  </si>
  <si>
    <t xml:space="preserve">04268655849</t>
  </si>
  <si>
    <t xml:space="preserve">000031235593</t>
  </si>
  <si>
    <t xml:space="preserve">NEREALIS NATHALY</t>
  </si>
  <si>
    <t xml:space="preserve">04264258583</t>
  </si>
  <si>
    <t xml:space="preserve">19179524</t>
  </si>
  <si>
    <t xml:space="preserve">000031524998</t>
  </si>
  <si>
    <t xml:space="preserve">WILEANIS SCARLET</t>
  </si>
  <si>
    <t xml:space="preserve">URDANETA  GALUE</t>
  </si>
  <si>
    <t xml:space="preserve">EL LA BERINTO</t>
  </si>
  <si>
    <t xml:space="preserve">19016592</t>
  </si>
  <si>
    <t xml:space="preserve">000031024538</t>
  </si>
  <si>
    <t xml:space="preserve">YELISMAR PAOLA</t>
  </si>
  <si>
    <t xml:space="preserve">04262637894</t>
  </si>
  <si>
    <t xml:space="preserve">000032461520</t>
  </si>
  <si>
    <t xml:space="preserve">VICTOR GABRIEL</t>
  </si>
  <si>
    <t xml:space="preserve">SECTRO EL PUEBLO</t>
  </si>
  <si>
    <t xml:space="preserve">19695086</t>
  </si>
  <si>
    <t xml:space="preserve">000030393740</t>
  </si>
  <si>
    <t xml:space="preserve">YALEIDIS NATALY</t>
  </si>
  <si>
    <t xml:space="preserve">04169502250</t>
  </si>
  <si>
    <t xml:space="preserve">18202651</t>
  </si>
  <si>
    <t xml:space="preserve">001025057777</t>
  </si>
  <si>
    <t xml:space="preserve">ALEXA DIVIANA</t>
  </si>
  <si>
    <t xml:space="preserve">MORAN RAMIREZ</t>
  </si>
  <si>
    <t xml:space="preserve">04264251781</t>
  </si>
  <si>
    <t xml:space="preserve">001042422141</t>
  </si>
  <si>
    <t xml:space="preserve">CLAUDELIS MARIA</t>
  </si>
  <si>
    <t xml:space="preserve">04126528215</t>
  </si>
  <si>
    <t xml:space="preserve">000031097285</t>
  </si>
  <si>
    <t xml:space="preserve">ROXANGEL PAOLA</t>
  </si>
  <si>
    <t xml:space="preserve">04169632317</t>
  </si>
  <si>
    <t xml:space="preserve">000032481218</t>
  </si>
  <si>
    <t xml:space="preserve">NEIRIMAR DEL CARMEN</t>
  </si>
  <si>
    <t xml:space="preserve">04264927031</t>
  </si>
  <si>
    <t xml:space="preserve">10443419</t>
  </si>
  <si>
    <t xml:space="preserve">000031295313</t>
  </si>
  <si>
    <t xml:space="preserve">04164674743</t>
  </si>
  <si>
    <t xml:space="preserve">000031669552</t>
  </si>
  <si>
    <t xml:space="preserve">JEINNY MAR</t>
  </si>
  <si>
    <t xml:space="preserve">BRIÑEZ PINEDA</t>
  </si>
  <si>
    <t xml:space="preserve">13741349</t>
  </si>
  <si>
    <t xml:space="preserve">000031669559</t>
  </si>
  <si>
    <t xml:space="preserve">MARBELIS YOHANA</t>
  </si>
  <si>
    <t xml:space="preserve">000032510927</t>
  </si>
  <si>
    <t xml:space="preserve">04164641653</t>
  </si>
  <si>
    <t xml:space="preserve">16607458</t>
  </si>
  <si>
    <t xml:space="preserve">000029758907</t>
  </si>
  <si>
    <t xml:space="preserve">DARWIN MANUEL</t>
  </si>
  <si>
    <t xml:space="preserve">PAZ ORTEGA</t>
  </si>
  <si>
    <t xml:space="preserve">13310829</t>
  </si>
  <si>
    <t xml:space="preserve">000031501152</t>
  </si>
  <si>
    <t xml:space="preserve">ALBEOMAR DAVID</t>
  </si>
  <si>
    <t xml:space="preserve">VILCHEZ RAMIREZ</t>
  </si>
  <si>
    <t xml:space="preserve">SECTOR RIBACO</t>
  </si>
  <si>
    <t xml:space="preserve">04268601838</t>
  </si>
  <si>
    <t xml:space="preserve">15719340</t>
  </si>
  <si>
    <t xml:space="preserve">000030454448</t>
  </si>
  <si>
    <t xml:space="preserve">DUILYERSON IBRAHIN</t>
  </si>
  <si>
    <t xml:space="preserve">COLINA FUENMAYOR</t>
  </si>
  <si>
    <t xml:space="preserve">BARQUISIMETO</t>
  </si>
  <si>
    <t xml:space="preserve">LARA</t>
  </si>
  <si>
    <t xml:space="preserve">LA</t>
  </si>
  <si>
    <t xml:space="preserve">04165329704</t>
  </si>
  <si>
    <t xml:space="preserve">18662184</t>
  </si>
  <si>
    <t xml:space="preserve">000030131051</t>
  </si>
  <si>
    <t xml:space="preserve">ESNAIDA DEL CARMEN</t>
  </si>
  <si>
    <t xml:space="preserve">VILLALOBOS MORAN</t>
  </si>
  <si>
    <t xml:space="preserve">04267254932</t>
  </si>
  <si>
    <t xml:space="preserve">16729749</t>
  </si>
  <si>
    <t xml:space="preserve">000030299307</t>
  </si>
  <si>
    <t xml:space="preserve">JESUS ERNESTO</t>
  </si>
  <si>
    <t xml:space="preserve">SUAREZ CUADRADO</t>
  </si>
  <si>
    <t xml:space="preserve">04120610092</t>
  </si>
  <si>
    <t xml:space="preserve">18662129</t>
  </si>
  <si>
    <t xml:space="preserve">000030216759</t>
  </si>
  <si>
    <t xml:space="preserve">DEILIMAR JOSEFA</t>
  </si>
  <si>
    <t xml:space="preserve">BASANTA HERNANDEZ</t>
  </si>
  <si>
    <t xml:space="preserve">04161090182</t>
  </si>
  <si>
    <t xml:space="preserve">17462742</t>
  </si>
  <si>
    <t xml:space="preserve">000031621043</t>
  </si>
  <si>
    <t xml:space="preserve">MAIKELIS MICHELL</t>
  </si>
  <si>
    <t xml:space="preserve">FERRINI PEROZO</t>
  </si>
  <si>
    <t xml:space="preserve">000027723342</t>
  </si>
  <si>
    <t xml:space="preserve">ESMEIDA MARGARITA</t>
  </si>
  <si>
    <t xml:space="preserve">000031772372</t>
  </si>
  <si>
    <t xml:space="preserve">DEINNIRE CAROLINA</t>
  </si>
  <si>
    <t xml:space="preserve">PIAR</t>
  </si>
  <si>
    <t xml:space="preserve">010411262407</t>
  </si>
  <si>
    <t xml:space="preserve">FUENMAYOR FONTALVO</t>
  </si>
  <si>
    <t xml:space="preserve">11262407</t>
  </si>
  <si>
    <t xml:space="preserve">000031652392</t>
  </si>
  <si>
    <t xml:space="preserve">ANA PATRICIA</t>
  </si>
  <si>
    <t xml:space="preserve">LOPEZ GONZALEZ</t>
  </si>
  <si>
    <t xml:space="preserve">04160653078</t>
  </si>
  <si>
    <t xml:space="preserve">22086838</t>
  </si>
  <si>
    <t xml:space="preserve">000031093359</t>
  </si>
  <si>
    <t xml:space="preserve">EDUAR DE JESUS</t>
  </si>
  <si>
    <t xml:space="preserve">04262276774</t>
  </si>
  <si>
    <t xml:space="preserve">000031108586</t>
  </si>
  <si>
    <t xml:space="preserve">YEPEZ GONZALEZ</t>
  </si>
  <si>
    <t xml:space="preserve">el nazareno</t>
  </si>
  <si>
    <t xml:space="preserve">04264636557</t>
  </si>
  <si>
    <t xml:space="preserve">010517634593</t>
  </si>
  <si>
    <t xml:space="preserve">YORJAIRA CAROLINA</t>
  </si>
  <si>
    <t xml:space="preserve">04121087234</t>
  </si>
  <si>
    <t xml:space="preserve">17634593</t>
  </si>
  <si>
    <t xml:space="preserve">000030722445</t>
  </si>
  <si>
    <t xml:space="preserve">ACOSTA SOTO</t>
  </si>
  <si>
    <t xml:space="preserve">04127880017</t>
  </si>
  <si>
    <t xml:space="preserve">18635131</t>
  </si>
  <si>
    <t xml:space="preserve">000032426671</t>
  </si>
  <si>
    <t xml:space="preserve">EILIMAR CHIQUINQUIRA</t>
  </si>
  <si>
    <t xml:space="preserve">MOLERO FERRER</t>
  </si>
  <si>
    <t xml:space="preserve">LA CONQUISTA VALLE LA FLOR</t>
  </si>
  <si>
    <t xml:space="preserve">06805365</t>
  </si>
  <si>
    <t xml:space="preserve">000031097170</t>
  </si>
  <si>
    <t xml:space="preserve">JEREMY XAVIER</t>
  </si>
  <si>
    <t xml:space="preserve">04120767825</t>
  </si>
  <si>
    <t xml:space="preserve">000027033995</t>
  </si>
  <si>
    <t xml:space="preserve">JOHENDRY ANTONIO</t>
  </si>
  <si>
    <t xml:space="preserve">SILVA GONZALEZ</t>
  </si>
  <si>
    <t xml:space="preserve">los jagueyes</t>
  </si>
  <si>
    <t xml:space="preserve">04169870428</t>
  </si>
  <si>
    <t xml:space="preserve">000029812005</t>
  </si>
  <si>
    <t xml:space="preserve">QUIVA PINEDA</t>
  </si>
  <si>
    <t xml:space="preserve">barrio chino rafael</t>
  </si>
  <si>
    <t xml:space="preserve">04165691701</t>
  </si>
  <si>
    <t xml:space="preserve">12591597</t>
  </si>
  <si>
    <t xml:space="preserve">000027909051</t>
  </si>
  <si>
    <t xml:space="preserve">DEIVI JOSE</t>
  </si>
  <si>
    <t xml:space="preserve">VILLALOBOS FREILE</t>
  </si>
  <si>
    <t xml:space="preserve">HORQUETA DE LEON</t>
  </si>
  <si>
    <t xml:space="preserve">04163613474</t>
  </si>
  <si>
    <t xml:space="preserve">15726707</t>
  </si>
  <si>
    <t xml:space="preserve">000032466233</t>
  </si>
  <si>
    <t xml:space="preserve">ELISMARY YOHANA</t>
  </si>
  <si>
    <t xml:space="preserve">SAPORITO VARGAS</t>
  </si>
  <si>
    <t xml:space="preserve">04264250604</t>
  </si>
  <si>
    <t xml:space="preserve">18624138</t>
  </si>
  <si>
    <t xml:space="preserve">000030058838</t>
  </si>
  <si>
    <t xml:space="preserve">JUVENAL GREGORIO</t>
  </si>
  <si>
    <t xml:space="preserve">LA PAZ .S/ LA GRAN PARADA</t>
  </si>
  <si>
    <t xml:space="preserve">02637877425</t>
  </si>
  <si>
    <t xml:space="preserve">15411779</t>
  </si>
  <si>
    <t xml:space="preserve">000030299132</t>
  </si>
  <si>
    <t xml:space="preserve">YUBANIS JESUS</t>
  </si>
  <si>
    <t xml:space="preserve">NAVARRO ZAMBRANO</t>
  </si>
  <si>
    <t xml:space="preserve">BARRIO SAN BENITO CASA *4</t>
  </si>
  <si>
    <t xml:space="preserve">04268000364</t>
  </si>
  <si>
    <t xml:space="preserve">09737500</t>
  </si>
  <si>
    <t xml:space="preserve">000030299297</t>
  </si>
  <si>
    <t xml:space="preserve">04261307357</t>
  </si>
  <si>
    <t xml:space="preserve">000030299299</t>
  </si>
  <si>
    <t xml:space="preserve">04163648062</t>
  </si>
  <si>
    <t xml:space="preserve">10431051</t>
  </si>
  <si>
    <t xml:space="preserve">000030299148</t>
  </si>
  <si>
    <t xml:space="preserve">JANIELIS CHIQUINQUIRA</t>
  </si>
  <si>
    <t xml:space="preserve">URDANETA AZUAJE</t>
  </si>
  <si>
    <t xml:space="preserve">04269250197</t>
  </si>
  <si>
    <t xml:space="preserve">15011973</t>
  </si>
  <si>
    <t xml:space="preserve">000030946335</t>
  </si>
  <si>
    <t xml:space="preserve">JHORYELIS CAROLINA</t>
  </si>
  <si>
    <t xml:space="preserve">04261627381</t>
  </si>
  <si>
    <t xml:space="preserve">18662138</t>
  </si>
  <si>
    <t xml:space="preserve">000030605337</t>
  </si>
  <si>
    <t xml:space="preserve">LEOLISBETH CAROLINA</t>
  </si>
  <si>
    <t xml:space="preserve">LAS PARCELAS FONDO DE PLANTA DE GAS</t>
  </si>
  <si>
    <t xml:space="preserve">000030634565</t>
  </si>
  <si>
    <t xml:space="preserve">RICHARD ALEXANDER</t>
  </si>
  <si>
    <t xml:space="preserve">04266230830</t>
  </si>
  <si>
    <t xml:space="preserve">000030643206</t>
  </si>
  <si>
    <t xml:space="preserve">MATOS FARIA</t>
  </si>
  <si>
    <t xml:space="preserve">04269600642</t>
  </si>
  <si>
    <t xml:space="preserve">06805827</t>
  </si>
  <si>
    <t xml:space="preserve">000030748691</t>
  </si>
  <si>
    <t xml:space="preserve">JENDRY JESUS</t>
  </si>
  <si>
    <t xml:space="preserve">DUARTE URDANETA</t>
  </si>
  <si>
    <t xml:space="preserve">SECTOR LOS MARANOS CASA *40</t>
  </si>
  <si>
    <t xml:space="preserve">04126449435</t>
  </si>
  <si>
    <t xml:space="preserve">000030763290</t>
  </si>
  <si>
    <t xml:space="preserve">RAMIREZ URDANETA</t>
  </si>
  <si>
    <t xml:space="preserve">04169641588</t>
  </si>
  <si>
    <t xml:space="preserve">000030807241</t>
  </si>
  <si>
    <t xml:space="preserve">YAJAIRA DANIELA</t>
  </si>
  <si>
    <t xml:space="preserve">AV. PP. LA PAZ S/ LA GRAN PARADA</t>
  </si>
  <si>
    <t xml:space="preserve">02622051572</t>
  </si>
  <si>
    <t xml:space="preserve">15260177</t>
  </si>
  <si>
    <t xml:space="preserve">000030807251</t>
  </si>
  <si>
    <t xml:space="preserve">BETANIA CHIQUINQUIRA</t>
  </si>
  <si>
    <t xml:space="preserve">04262015363</t>
  </si>
  <si>
    <t xml:space="preserve">14747180</t>
  </si>
  <si>
    <t xml:space="preserve">000030806955</t>
  </si>
  <si>
    <t xml:space="preserve">JENIFER CAROLINA</t>
  </si>
  <si>
    <t xml:space="preserve">04267621116</t>
  </si>
  <si>
    <t xml:space="preserve">000030010994</t>
  </si>
  <si>
    <t xml:space="preserve">LEIDY MARGARITA</t>
  </si>
  <si>
    <t xml:space="preserve">04162625363</t>
  </si>
  <si>
    <t xml:space="preserve">09766840</t>
  </si>
  <si>
    <t xml:space="preserve">000030832985</t>
  </si>
  <si>
    <t xml:space="preserve">GERSON JOSE</t>
  </si>
  <si>
    <t xml:space="preserve">04267188673</t>
  </si>
  <si>
    <t xml:space="preserve">000030833742</t>
  </si>
  <si>
    <t xml:space="preserve">YULIANY YUCELI</t>
  </si>
  <si>
    <t xml:space="preserve">ROMERO BRACHO</t>
  </si>
  <si>
    <t xml:space="preserve">0426269899644</t>
  </si>
  <si>
    <t xml:space="preserve">21421730</t>
  </si>
  <si>
    <t xml:space="preserve">000030844230</t>
  </si>
  <si>
    <t xml:space="preserve">AUDIO ENRIQUE</t>
  </si>
  <si>
    <t xml:space="preserve">04166685054</t>
  </si>
  <si>
    <t xml:space="preserve">000030860318</t>
  </si>
  <si>
    <t xml:space="preserve">FREDDY RAFAEL</t>
  </si>
  <si>
    <t xml:space="preserve">GAMEZ FERNANDEZ</t>
  </si>
  <si>
    <t xml:space="preserve">04268685096</t>
  </si>
  <si>
    <t xml:space="preserve">21490213</t>
  </si>
  <si>
    <t xml:space="preserve">000031295299</t>
  </si>
  <si>
    <t xml:space="preserve">ALBENIS JOSE</t>
  </si>
  <si>
    <t xml:space="preserve">04264645435</t>
  </si>
  <si>
    <t xml:space="preserve">000031295300</t>
  </si>
  <si>
    <t xml:space="preserve">NEUYELIS PAOLA</t>
  </si>
  <si>
    <t xml:space="preserve">FARIA FARIA</t>
  </si>
  <si>
    <t xml:space="preserve">19213969</t>
  </si>
  <si>
    <t xml:space="preserve">000031295310</t>
  </si>
  <si>
    <t xml:space="preserve">AV.PP LA PAZ SECTOR LAS JAVILLAS</t>
  </si>
  <si>
    <t xml:space="preserve">04165925044</t>
  </si>
  <si>
    <t xml:space="preserve">000031295317</t>
  </si>
  <si>
    <t xml:space="preserve">BRITCHEL ESTEFANY</t>
  </si>
  <si>
    <t xml:space="preserve">BARRIO CAICAGUITA</t>
  </si>
  <si>
    <t xml:space="preserve">041247337667</t>
  </si>
  <si>
    <t xml:space="preserve">17183895</t>
  </si>
  <si>
    <t xml:space="preserve">000031295325</t>
  </si>
  <si>
    <t xml:space="preserve">NERIMAR PAOLA</t>
  </si>
  <si>
    <t xml:space="preserve">LA PAZ AV.PP SAN VALENTIN</t>
  </si>
  <si>
    <t xml:space="preserve">04261634463</t>
  </si>
  <si>
    <t xml:space="preserve">17566956</t>
  </si>
  <si>
    <t xml:space="preserve">000031304963</t>
  </si>
  <si>
    <t xml:space="preserve">BRENDA DE LA CHIQUINQUIRA</t>
  </si>
  <si>
    <t xml:space="preserve">URDANETA DELGADO</t>
  </si>
  <si>
    <t xml:space="preserve">04162966827</t>
  </si>
  <si>
    <t xml:space="preserve">25439249</t>
  </si>
  <si>
    <t xml:space="preserve">000031327296</t>
  </si>
  <si>
    <t xml:space="preserve">DARIANNIS CAROLINA</t>
  </si>
  <si>
    <t xml:space="preserve">RODRIGUEZ BELLOSO</t>
  </si>
  <si>
    <t xml:space="preserve">04261670505</t>
  </si>
  <si>
    <t xml:space="preserve">000031342635</t>
  </si>
  <si>
    <t xml:space="preserve">LEIDIS PAOLA</t>
  </si>
  <si>
    <t xml:space="preserve">BLANCO SOTURNO</t>
  </si>
  <si>
    <t xml:space="preserve">04269224811</t>
  </si>
  <si>
    <t xml:space="preserve">15840051</t>
  </si>
  <si>
    <t xml:space="preserve">000031421802</t>
  </si>
  <si>
    <t xml:space="preserve">BERNAL FERNANDEZ</t>
  </si>
  <si>
    <t xml:space="preserve">04246252953</t>
  </si>
  <si>
    <t xml:space="preserve">000031425602</t>
  </si>
  <si>
    <t xml:space="preserve">CLARIBEL PAOLA</t>
  </si>
  <si>
    <t xml:space="preserve">AV.PP LA PAZ CALLE LA ENVIDIA</t>
  </si>
  <si>
    <t xml:space="preserve">04269696334</t>
  </si>
  <si>
    <t xml:space="preserve">000031442308</t>
  </si>
  <si>
    <t xml:space="preserve">SOLAINNE JOSEFINA</t>
  </si>
  <si>
    <t xml:space="preserve">AV.PP CALLE LAS FLORES</t>
  </si>
  <si>
    <t xml:space="preserve">0426-6636708</t>
  </si>
  <si>
    <t xml:space="preserve">000031443046</t>
  </si>
  <si>
    <t xml:space="preserve">ZAMBRANO CASTRO</t>
  </si>
  <si>
    <t xml:space="preserve">04122994876</t>
  </si>
  <si>
    <t xml:space="preserve">000031443074</t>
  </si>
  <si>
    <t xml:space="preserve">DAYERLYN DEL CARMEN</t>
  </si>
  <si>
    <t xml:space="preserve">SOTURNO PORTILLO</t>
  </si>
  <si>
    <t xml:space="preserve">LA OAZ SECTOR LA CONSQUISTA</t>
  </si>
  <si>
    <t xml:space="preserve">04246866742</t>
  </si>
  <si>
    <t xml:space="preserve">20070916</t>
  </si>
  <si>
    <t xml:space="preserve">000031458476</t>
  </si>
  <si>
    <t xml:space="preserve">LEUDIMAR MICHEL</t>
  </si>
  <si>
    <t xml:space="preserve">URDANETA RAMIREZ</t>
  </si>
  <si>
    <t xml:space="preserve">LA PAZ SECTOR EL MATADERO</t>
  </si>
  <si>
    <t xml:space="preserve">18372976</t>
  </si>
  <si>
    <t xml:space="preserve">000031484745</t>
  </si>
  <si>
    <t xml:space="preserve">DEIBELYN PAOLA</t>
  </si>
  <si>
    <t xml:space="preserve">SERMEÑO PORTILLO</t>
  </si>
  <si>
    <t xml:space="preserve">04264240888</t>
  </si>
  <si>
    <t xml:space="preserve">16355869</t>
  </si>
  <si>
    <t xml:space="preserve">000027723682</t>
  </si>
  <si>
    <t xml:space="preserve">GAVINSON JOSE</t>
  </si>
  <si>
    <t xml:space="preserve">SOTURNO MERENO</t>
  </si>
  <si>
    <t xml:space="preserve">000028497702</t>
  </si>
  <si>
    <t xml:space="preserve">BRACHO DURAN</t>
  </si>
  <si>
    <t xml:space="preserve">000031499359</t>
  </si>
  <si>
    <t xml:space="preserve">ANGEL RAMIRO</t>
  </si>
  <si>
    <t xml:space="preserve">18429572</t>
  </si>
  <si>
    <t xml:space="preserve">000028420082</t>
  </si>
  <si>
    <t xml:space="preserve">YORMARYS DEL CARMEN</t>
  </si>
  <si>
    <t xml:space="preserve">RODRIGUEZ GOVEA</t>
  </si>
  <si>
    <t xml:space="preserve">000031524893</t>
  </si>
  <si>
    <t xml:space="preserve">OSMAN JOSE</t>
  </si>
  <si>
    <t xml:space="preserve">BARRIO LA CANTV.FRENTE AL HONGO</t>
  </si>
  <si>
    <t xml:space="preserve">04160642929</t>
  </si>
  <si>
    <t xml:space="preserve">010325883653</t>
  </si>
  <si>
    <t xml:space="preserve">BELKIS CRISTINA</t>
  </si>
  <si>
    <t xml:space="preserve">AREVALO GARCIA</t>
  </si>
  <si>
    <t xml:space="preserve">04161668380</t>
  </si>
  <si>
    <t xml:space="preserve">25883653</t>
  </si>
  <si>
    <t xml:space="preserve">000034465748</t>
  </si>
  <si>
    <t xml:space="preserve">SECTOR ROBERTO FURNMAYOR</t>
  </si>
  <si>
    <t xml:space="preserve">000033576385</t>
  </si>
  <si>
    <t xml:space="preserve">YULEINNYS PAOLA</t>
  </si>
  <si>
    <t xml:space="preserve">MORALES ORTIGOZA</t>
  </si>
  <si>
    <t xml:space="preserve">AV.PP LA PAZ.LA CONQUISTA</t>
  </si>
  <si>
    <t xml:space="preserve">04267633737</t>
  </si>
  <si>
    <t xml:space="preserve">05833407</t>
  </si>
  <si>
    <t xml:space="preserve">000033321607</t>
  </si>
  <si>
    <t xml:space="preserve">MARILU</t>
  </si>
  <si>
    <t xml:space="preserve">000032851177</t>
  </si>
  <si>
    <t xml:space="preserve">ANGEL ENRIQUE</t>
  </si>
  <si>
    <t xml:space="preserve">LA GREN PARADA</t>
  </si>
  <si>
    <t xml:space="preserve">04163661099</t>
  </si>
  <si>
    <t xml:space="preserve">000031969620</t>
  </si>
  <si>
    <t xml:space="preserve">GETZABE MARIA</t>
  </si>
  <si>
    <t xml:space="preserve">04268832812</t>
  </si>
  <si>
    <t xml:space="preserve">010324249954</t>
  </si>
  <si>
    <t xml:space="preserve">YUDELIS</t>
  </si>
  <si>
    <t xml:space="preserve">04266006090</t>
  </si>
  <si>
    <t xml:space="preserve">24249954</t>
  </si>
  <si>
    <t xml:space="preserve">000031009830</t>
  </si>
  <si>
    <t xml:space="preserve">NEURO ALEJANDRO</t>
  </si>
  <si>
    <t xml:space="preserve">04165673714</t>
  </si>
  <si>
    <t xml:space="preserve">000033749734</t>
  </si>
  <si>
    <t xml:space="preserve">LA PAZ SECTOR LAS PARCELAS</t>
  </si>
  <si>
    <t xml:space="preserve">0426663436</t>
  </si>
  <si>
    <t xml:space="preserve">010332272847</t>
  </si>
  <si>
    <t xml:space="preserve">DAYANA</t>
  </si>
  <si>
    <t xml:space="preserve">TORDECILLA RODRIGUEZ</t>
  </si>
  <si>
    <t xml:space="preserve">04264691353</t>
  </si>
  <si>
    <t xml:space="preserve">32272847</t>
  </si>
  <si>
    <t xml:space="preserve">010034944817</t>
  </si>
  <si>
    <t xml:space="preserve">SEBASTIAN</t>
  </si>
  <si>
    <t xml:space="preserve">PEREZ MEJIAS</t>
  </si>
  <si>
    <t xml:space="preserve">04162698581</t>
  </si>
  <si>
    <t xml:space="preserve">34944817</t>
  </si>
  <si>
    <t xml:space="preserve">000031969621</t>
  </si>
  <si>
    <t xml:space="preserve">JHOELY ELIANNIS</t>
  </si>
  <si>
    <t xml:space="preserve">000031443006</t>
  </si>
  <si>
    <t xml:space="preserve">YALEXANDRO JESUS</t>
  </si>
  <si>
    <t xml:space="preserve">04267654809</t>
  </si>
  <si>
    <t xml:space="preserve">000031024527</t>
  </si>
  <si>
    <t xml:space="preserve">0426-6227213</t>
  </si>
  <si>
    <t xml:space="preserve">000031097186</t>
  </si>
  <si>
    <t xml:space="preserve">NEIDALY DARIANNY</t>
  </si>
  <si>
    <t xml:space="preserve">04126649237</t>
  </si>
  <si>
    <t xml:space="preserve">000031024551</t>
  </si>
  <si>
    <t xml:space="preserve">ANA GABRIELA DEL CARMEN</t>
  </si>
  <si>
    <t xml:space="preserve">LA PAZ CAMPO BOYACA</t>
  </si>
  <si>
    <t xml:space="preserve">0426-9601210</t>
  </si>
  <si>
    <t xml:space="preserve">21078098</t>
  </si>
  <si>
    <t xml:space="preserve">000031798860</t>
  </si>
  <si>
    <t xml:space="preserve">AISHELL MARIANNY</t>
  </si>
  <si>
    <t xml:space="preserve">LOPEZ CUADRADO</t>
  </si>
  <si>
    <t xml:space="preserve">0412-0610092</t>
  </si>
  <si>
    <t xml:space="preserve">000031049602</t>
  </si>
  <si>
    <t xml:space="preserve">DONIEL ENRIQUE</t>
  </si>
  <si>
    <t xml:space="preserve">MORALES VILCHEZ</t>
  </si>
  <si>
    <t xml:space="preserve">0426-7667017</t>
  </si>
  <si>
    <t xml:space="preserve">18824142</t>
  </si>
  <si>
    <t xml:space="preserve">000031980978</t>
  </si>
  <si>
    <t xml:space="preserve">DANIELA RAQUEL</t>
  </si>
  <si>
    <t xml:space="preserve">MONTIEL ATENCIO</t>
  </si>
  <si>
    <t xml:space="preserve">04268453134</t>
  </si>
  <si>
    <t xml:space="preserve">11284031</t>
  </si>
  <si>
    <t xml:space="preserve">000032160522</t>
  </si>
  <si>
    <t xml:space="preserve">KENDRY JOSE</t>
  </si>
  <si>
    <t xml:space="preserve">0416-0620574</t>
  </si>
  <si>
    <t xml:space="preserve">000030337576</t>
  </si>
  <si>
    <t xml:space="preserve">OSCAR JAVIER</t>
  </si>
  <si>
    <t xml:space="preserve">PALMAR GONZALEZ</t>
  </si>
  <si>
    <t xml:space="preserve">02625143023</t>
  </si>
  <si>
    <t xml:space="preserve">13495966</t>
  </si>
  <si>
    <t xml:space="preserve">000030319757</t>
  </si>
  <si>
    <t xml:space="preserve">ESTEFANI CAROLINA</t>
  </si>
  <si>
    <t xml:space="preserve">LA PAZ LA GRAN PARADA</t>
  </si>
  <si>
    <t xml:space="preserve">04267697593</t>
  </si>
  <si>
    <t xml:space="preserve">22242831</t>
  </si>
  <si>
    <t xml:space="preserve">000030465586</t>
  </si>
  <si>
    <t xml:space="preserve">RONDON URDANETA</t>
  </si>
  <si>
    <t xml:space="preserve">VIAS LAS VEGAS</t>
  </si>
  <si>
    <t xml:space="preserve">0414-6477090</t>
  </si>
  <si>
    <t xml:space="preserve">18662107</t>
  </si>
  <si>
    <t xml:space="preserve">000030557853</t>
  </si>
  <si>
    <t xml:space="preserve">SECTOR EL CHARRASCO</t>
  </si>
  <si>
    <t xml:space="preserve">0426-9511881</t>
  </si>
  <si>
    <t xml:space="preserve">000030786940</t>
  </si>
  <si>
    <t xml:space="preserve">MARIANGEL JOSE</t>
  </si>
  <si>
    <t xml:space="preserve">04261618947</t>
  </si>
  <si>
    <t xml:space="preserve">000030833795</t>
  </si>
  <si>
    <t xml:space="preserve">ISAAC DAVID</t>
  </si>
  <si>
    <t xml:space="preserve">0416-4667041</t>
  </si>
  <si>
    <t xml:space="preserve">000030909001</t>
  </si>
  <si>
    <t xml:space="preserve">CARVAJAL CASTILLO</t>
  </si>
  <si>
    <t xml:space="preserve">23761094</t>
  </si>
  <si>
    <t xml:space="preserve">000031070081</t>
  </si>
  <si>
    <t xml:space="preserve">RIVAS OLIVERO</t>
  </si>
  <si>
    <t xml:space="preserve">04267238520</t>
  </si>
  <si>
    <t xml:space="preserve">17940655</t>
  </si>
  <si>
    <t xml:space="preserve">000031097139</t>
  </si>
  <si>
    <t xml:space="preserve">DANIELVIS JESUS</t>
  </si>
  <si>
    <t xml:space="preserve">0426-2306928</t>
  </si>
  <si>
    <t xml:space="preserve">000031285706</t>
  </si>
  <si>
    <t xml:space="preserve">SARA CAROLINA</t>
  </si>
  <si>
    <t xml:space="preserve">0416-3669233</t>
  </si>
  <si>
    <t xml:space="preserve">16687079</t>
  </si>
  <si>
    <t xml:space="preserve">000031295315</t>
  </si>
  <si>
    <t xml:space="preserve">NELMAILIN</t>
  </si>
  <si>
    <t xml:space="preserve">0426-078097</t>
  </si>
  <si>
    <t xml:space="preserve">000031491579</t>
  </si>
  <si>
    <t xml:space="preserve">YORKELIS FABIANA</t>
  </si>
  <si>
    <t xml:space="preserve">SECTOR ROBERTO FUENMSYOR</t>
  </si>
  <si>
    <t xml:space="preserve">02625159115</t>
  </si>
  <si>
    <t xml:space="preserve">000031435767</t>
  </si>
  <si>
    <t xml:space="preserve">DARIANA VALESCA</t>
  </si>
  <si>
    <t xml:space="preserve">VILCHEZ FERNANDEZ</t>
  </si>
  <si>
    <t xml:space="preserve">LAS CASTAS MARIO URDANETA</t>
  </si>
  <si>
    <t xml:space="preserve">0426-6669504</t>
  </si>
  <si>
    <t xml:space="preserve">17071987</t>
  </si>
  <si>
    <t xml:space="preserve">000031402152</t>
  </si>
  <si>
    <t xml:space="preserve">02638870464</t>
  </si>
  <si>
    <t xml:space="preserve">000031416740</t>
  </si>
  <si>
    <t xml:space="preserve">ILIANA PATRICIA</t>
  </si>
  <si>
    <t xml:space="preserve">SECTOR LAS AVEGITAS</t>
  </si>
  <si>
    <t xml:space="preserve">0426-6599666</t>
  </si>
  <si>
    <t xml:space="preserve">000031501483</t>
  </si>
  <si>
    <t xml:space="preserve">NAYERLIN DEL CARMEN</t>
  </si>
  <si>
    <t xml:space="preserve">04160611560</t>
  </si>
  <si>
    <t xml:space="preserve">000031526436</t>
  </si>
  <si>
    <t xml:space="preserve">VILLAMIZAR GONZALEZ</t>
  </si>
  <si>
    <t xml:space="preserve">04160629722</t>
  </si>
  <si>
    <t xml:space="preserve">18581987</t>
  </si>
  <si>
    <t xml:space="preserve">000009746908</t>
  </si>
  <si>
    <t xml:space="preserve">VILCHEZ</t>
  </si>
  <si>
    <t xml:space="preserve">010316783523</t>
  </si>
  <si>
    <t xml:space="preserve">SARA JOSEFINA</t>
  </si>
  <si>
    <t xml:space="preserve">20204600</t>
  </si>
  <si>
    <t xml:space="preserve">000031005873</t>
  </si>
  <si>
    <t xml:space="preserve">000029892549</t>
  </si>
  <si>
    <t xml:space="preserve">VILLALOBOS CARRUYO</t>
  </si>
  <si>
    <t xml:space="preserve">13653587</t>
  </si>
  <si>
    <t xml:space="preserve">000017952952</t>
  </si>
  <si>
    <t xml:space="preserve">GUTIERREZ FERNANDEZ</t>
  </si>
  <si>
    <t xml:space="preserve">9*</t>
  </si>
  <si>
    <t xml:space="preserve">000028774249</t>
  </si>
  <si>
    <t xml:space="preserve">ANDREICY ROSA</t>
  </si>
  <si>
    <t xml:space="preserve">RODRIGUEZ ESCARBAY</t>
  </si>
  <si>
    <t xml:space="preserve">PUNTO FIJO</t>
  </si>
  <si>
    <t xml:space="preserve">04261670970</t>
  </si>
  <si>
    <t xml:space="preserve">11765010</t>
  </si>
  <si>
    <t xml:space="preserve">000022141743</t>
  </si>
  <si>
    <t xml:space="preserve">YORBELIS LUCIA</t>
  </si>
  <si>
    <t xml:space="preserve">000020778482</t>
  </si>
  <si>
    <t xml:space="preserve">NOIRALY DEL CARMEN</t>
  </si>
  <si>
    <t xml:space="preserve">000026743300</t>
  </si>
  <si>
    <t xml:space="preserve">LEONARDO JAVIER</t>
  </si>
  <si>
    <t xml:space="preserve">04262000163</t>
  </si>
  <si>
    <t xml:space="preserve">000025406152</t>
  </si>
  <si>
    <t xml:space="preserve">JINDRYS MELEANE</t>
  </si>
  <si>
    <t xml:space="preserve">MELEAN MARTINEZ</t>
  </si>
  <si>
    <t xml:space="preserve">la parada</t>
  </si>
  <si>
    <t xml:space="preserve">000</t>
  </si>
  <si>
    <t xml:space="preserve">000017414490</t>
  </si>
  <si>
    <t xml:space="preserve">NORIXON JOSE</t>
  </si>
  <si>
    <t xml:space="preserve">MORILLO PARDO</t>
  </si>
  <si>
    <t xml:space="preserve">000019810648</t>
  </si>
  <si>
    <t xml:space="preserve">NAYILI GREGORIA</t>
  </si>
  <si>
    <t xml:space="preserve">QUINTERO BERNAL</t>
  </si>
  <si>
    <t xml:space="preserve">000021510649</t>
  </si>
  <si>
    <t xml:space="preserve">MIRBERT MILAGROS</t>
  </si>
  <si>
    <t xml:space="preserve">000023466409</t>
  </si>
  <si>
    <t xml:space="preserve">ANA VIOLETA</t>
  </si>
  <si>
    <t xml:space="preserve">CARVAJAL ROMERO</t>
  </si>
  <si>
    <t xml:space="preserve">000030641896</t>
  </si>
  <si>
    <t xml:space="preserve">DANIELA CHIQUINQUIRA</t>
  </si>
  <si>
    <t xml:space="preserve">000017634405</t>
  </si>
  <si>
    <t xml:space="preserve">YISBELYS KARINA</t>
  </si>
  <si>
    <t xml:space="preserve">000019811189</t>
  </si>
  <si>
    <t xml:space="preserve">ODUAL JOSE</t>
  </si>
  <si>
    <t xml:space="preserve">RAMIREZ NAVA</t>
  </si>
  <si>
    <t xml:space="preserve">000029963360</t>
  </si>
  <si>
    <t xml:space="preserve">LAURA VIRGINIA</t>
  </si>
  <si>
    <t xml:space="preserve">AÑEZ FERNANDEZ</t>
  </si>
  <si>
    <t xml:space="preserve">11863027</t>
  </si>
  <si>
    <t xml:space="preserve">000019810958</t>
  </si>
  <si>
    <t xml:space="preserve">YOERQUIS JOSEFINA</t>
  </si>
  <si>
    <t xml:space="preserve">PULGAR GONZALEZ</t>
  </si>
  <si>
    <t xml:space="preserve">000021228284</t>
  </si>
  <si>
    <t xml:space="preserve">000023705103</t>
  </si>
  <si>
    <t xml:space="preserve">HEIDI DEL MAR</t>
  </si>
  <si>
    <t xml:space="preserve">BARRIOS ARIZA</t>
  </si>
  <si>
    <t xml:space="preserve">000027093065</t>
  </si>
  <si>
    <t xml:space="preserve">SAMUEL ANTHONY</t>
  </si>
  <si>
    <t xml:space="preserve">VILLALOBOS VALBUENA</t>
  </si>
  <si>
    <t xml:space="preserve">SECTOR EL 18, VIA MARACAIBO</t>
  </si>
  <si>
    <t xml:space="preserve">04160669117</t>
  </si>
  <si>
    <t xml:space="preserve">07757652</t>
  </si>
  <si>
    <t xml:space="preserve">000029986375</t>
  </si>
  <si>
    <t xml:space="preserve">YOHELY CAROLINA</t>
  </si>
  <si>
    <t xml:space="preserve">PINO ROMERO</t>
  </si>
  <si>
    <t xml:space="preserve">000029986378</t>
  </si>
  <si>
    <t xml:space="preserve">VICTORIA DEL CARMEN</t>
  </si>
  <si>
    <t xml:space="preserve">000023466492</t>
  </si>
  <si>
    <t xml:space="preserve">ROMERO GARCIA</t>
  </si>
  <si>
    <t xml:space="preserve">000023466419</t>
  </si>
  <si>
    <t xml:space="preserve">REINALDO ENRIQUE</t>
  </si>
  <si>
    <t xml:space="preserve">000010424332</t>
  </si>
  <si>
    <t xml:space="preserve">MAYRÉ COROMOTO</t>
  </si>
  <si>
    <t xml:space="preserve">FERRER FERNANDEZ</t>
  </si>
  <si>
    <t xml:space="preserve">000019810105</t>
  </si>
  <si>
    <t xml:space="preserve">DANILO JOSE</t>
  </si>
  <si>
    <t xml:space="preserve">FUENMAYOR LEAL</t>
  </si>
  <si>
    <t xml:space="preserve">000032046091</t>
  </si>
  <si>
    <t xml:space="preserve">WONG URDANETA</t>
  </si>
  <si>
    <t xml:space="preserve">04120736909</t>
  </si>
  <si>
    <t xml:space="preserve">17736074</t>
  </si>
  <si>
    <t xml:space="preserve">000016186189</t>
  </si>
  <si>
    <t xml:space="preserve">CESAR DAVID</t>
  </si>
  <si>
    <t xml:space="preserve">FINOL PAZ</t>
  </si>
  <si>
    <t xml:space="preserve">******</t>
  </si>
  <si>
    <t xml:space="preserve">***</t>
  </si>
  <si>
    <t xml:space="preserve">000025439223</t>
  </si>
  <si>
    <t xml:space="preserve">DANIEL JOSE</t>
  </si>
  <si>
    <t xml:space="preserve">000031015766</t>
  </si>
  <si>
    <t xml:space="preserve">KEUDY ENRIQUE</t>
  </si>
  <si>
    <t xml:space="preserve">CASTELLANO GUTIERREZ</t>
  </si>
  <si>
    <t xml:space="preserve">04263894225</t>
  </si>
  <si>
    <t xml:space="preserve">12619968</t>
  </si>
  <si>
    <t xml:space="preserve">000031392160</t>
  </si>
  <si>
    <t xml:space="preserve">MARGENIS PAOLA</t>
  </si>
  <si>
    <t xml:space="preserve">04165589234</t>
  </si>
  <si>
    <t xml:space="preserve">13428117</t>
  </si>
  <si>
    <t xml:space="preserve">000013301230</t>
  </si>
  <si>
    <t xml:space="preserve">YASMELIS DEL CARMEN</t>
  </si>
  <si>
    <t xml:space="preserve">GIL VILLALOBOS</t>
  </si>
  <si>
    <t xml:space="preserve">000021038736</t>
  </si>
  <si>
    <t xml:space="preserve">YASMELY ISABEL</t>
  </si>
  <si>
    <t xml:space="preserve">PEÑATE BLANCO</t>
  </si>
  <si>
    <t xml:space="preserve">000025596509</t>
  </si>
  <si>
    <t xml:space="preserve">GIOVANNA MARGARITA</t>
  </si>
  <si>
    <t xml:space="preserve">000024249961</t>
  </si>
  <si>
    <t xml:space="preserve">DIVIANA YOLANDA</t>
  </si>
  <si>
    <t xml:space="preserve">VAZQUEZ FORERO</t>
  </si>
  <si>
    <t xml:space="preserve">000023466413</t>
  </si>
  <si>
    <t xml:space="preserve">YOELBI GREGORIO</t>
  </si>
  <si>
    <t xml:space="preserve">000019811174</t>
  </si>
  <si>
    <t xml:space="preserve">RICHARD ANDERSON</t>
  </si>
  <si>
    <t xml:space="preserve">RINCON PIRELA</t>
  </si>
  <si>
    <t xml:space="preserve">000027284110</t>
  </si>
  <si>
    <t xml:space="preserve">VILLALOBOS CARDENAS</t>
  </si>
  <si>
    <t xml:space="preserve">04146255409</t>
  </si>
  <si>
    <t xml:space="preserve">07972953</t>
  </si>
  <si>
    <t xml:space="preserve">000019810992</t>
  </si>
  <si>
    <t xml:space="preserve">MEDINA COLINA</t>
  </si>
  <si>
    <t xml:space="preserve">000016689295</t>
  </si>
  <si>
    <t xml:space="preserve">YULIANA ROSA</t>
  </si>
  <si>
    <t xml:space="preserve">000017938266</t>
  </si>
  <si>
    <t xml:space="preserve">ODUAR ANTONIO</t>
  </si>
  <si>
    <t xml:space="preserve">****</t>
  </si>
  <si>
    <t xml:space="preserve">000030995109</t>
  </si>
  <si>
    <t xml:space="preserve">YEKSON JOSE</t>
  </si>
  <si>
    <t xml:space="preserve">REYES SIOLO</t>
  </si>
  <si>
    <t xml:space="preserve">ARAGUA DE BARCELONA</t>
  </si>
  <si>
    <t xml:space="preserve">04263013213</t>
  </si>
  <si>
    <t xml:space="preserve">000031960542</t>
  </si>
  <si>
    <t xml:space="preserve">DUVAN JOSE</t>
  </si>
  <si>
    <t xml:space="preserve">FINOL GAMARRA</t>
  </si>
  <si>
    <t xml:space="preserve">04162221792</t>
  </si>
  <si>
    <t xml:space="preserve">25540083</t>
  </si>
  <si>
    <t xml:space="preserve">000030029194</t>
  </si>
  <si>
    <t xml:space="preserve">YAIROBIS</t>
  </si>
  <si>
    <t xml:space="preserve">POLANCO VILLAR</t>
  </si>
  <si>
    <t xml:space="preserve">83456520</t>
  </si>
  <si>
    <t xml:space="preserve">000019811519</t>
  </si>
  <si>
    <t xml:space="preserve">MAIKELYS DEL CARMEN</t>
  </si>
  <si>
    <t xml:space="preserve">000020508885</t>
  </si>
  <si>
    <t xml:space="preserve">LOSDAYNY VERONICA</t>
  </si>
  <si>
    <t xml:space="preserve">001051022416</t>
  </si>
  <si>
    <t xml:space="preserve">MILEIDYS DEL CARMEN</t>
  </si>
  <si>
    <t xml:space="preserve">MARQUEZ SIERRA</t>
  </si>
  <si>
    <t xml:space="preserve">SAN JUAN NEPOMUCEMO </t>
  </si>
  <si>
    <t xml:space="preserve">000016622236</t>
  </si>
  <si>
    <t xml:space="preserve">WILLEN JOSE</t>
  </si>
  <si>
    <t xml:space="preserve">000017460846</t>
  </si>
  <si>
    <t xml:space="preserve">MARIELA CHIQUINQUIRA</t>
  </si>
  <si>
    <t xml:space="preserve">000031601496</t>
  </si>
  <si>
    <t xml:space="preserve">YIMBEL ALEXANDER</t>
  </si>
  <si>
    <t xml:space="preserve">VILLA SALAS</t>
  </si>
  <si>
    <t xml:space="preserve">04268247608</t>
  </si>
  <si>
    <t xml:space="preserve">000031252661</t>
  </si>
  <si>
    <t xml:space="preserve">JOSEANNY DEL VALLE</t>
  </si>
  <si>
    <t xml:space="preserve">LEON CHAVEZ</t>
  </si>
  <si>
    <t xml:space="preserve">04261633430</t>
  </si>
  <si>
    <t xml:space="preserve">000031724943</t>
  </si>
  <si>
    <t xml:space="preserve">YEFREN DAIMER</t>
  </si>
  <si>
    <t xml:space="preserve">04263931607</t>
  </si>
  <si>
    <t xml:space="preserve">000031040166</t>
  </si>
  <si>
    <t xml:space="preserve">04268631726</t>
  </si>
  <si>
    <t xml:space="preserve">12256199</t>
  </si>
  <si>
    <t xml:space="preserve">000031683570</t>
  </si>
  <si>
    <t xml:space="preserve">JHODALVYS JOSE</t>
  </si>
  <si>
    <t xml:space="preserve">FERRER NAVAS</t>
  </si>
  <si>
    <t xml:space="preserve">02628080539</t>
  </si>
  <si>
    <t xml:space="preserve">000031645518</t>
  </si>
  <si>
    <t xml:space="preserve">DAIFER JOSE</t>
  </si>
  <si>
    <t xml:space="preserve">HERRERA PALMAR</t>
  </si>
  <si>
    <t xml:space="preserve">04168679088</t>
  </si>
  <si>
    <t xml:space="preserve">16121575</t>
  </si>
  <si>
    <t xml:space="preserve">000030985340</t>
  </si>
  <si>
    <t xml:space="preserve">CHIQUINQUIRA JOSE</t>
  </si>
  <si>
    <t xml:space="preserve">02628080595</t>
  </si>
  <si>
    <t xml:space="preserve">000031390312</t>
  </si>
  <si>
    <t xml:space="preserve">JABIANNY</t>
  </si>
  <si>
    <t xml:space="preserve">CAÑAS LUNAS</t>
  </si>
  <si>
    <t xml:space="preserve">04261625704</t>
  </si>
  <si>
    <t xml:space="preserve">000031396236</t>
  </si>
  <si>
    <t xml:space="preserve">04263659708</t>
  </si>
  <si>
    <t xml:space="preserve">000031800012</t>
  </si>
  <si>
    <t xml:space="preserve">EMILY PAOLA</t>
  </si>
  <si>
    <t xml:space="preserve">04264247548</t>
  </si>
  <si>
    <t xml:space="preserve">17412838</t>
  </si>
  <si>
    <t xml:space="preserve">000031816026</t>
  </si>
  <si>
    <t xml:space="preserve">GUZMAN HERNANDEZ</t>
  </si>
  <si>
    <t xml:space="preserve">02628087885</t>
  </si>
  <si>
    <t xml:space="preserve">000031630277</t>
  </si>
  <si>
    <t xml:space="preserve">EDILIANY DEL VALLE</t>
  </si>
  <si>
    <t xml:space="preserve">QUINTERO QUIJADA</t>
  </si>
  <si>
    <t xml:space="preserve">04263241693</t>
  </si>
  <si>
    <t xml:space="preserve">010513607986</t>
  </si>
  <si>
    <t xml:space="preserve">JEREMY SAVIEL</t>
  </si>
  <si>
    <t xml:space="preserve">001042207883</t>
  </si>
  <si>
    <t xml:space="preserve">ROMEROS REYES</t>
  </si>
  <si>
    <t xml:space="preserve">04262959238</t>
  </si>
  <si>
    <t xml:space="preserve">22078883</t>
  </si>
  <si>
    <t xml:space="preserve">000031295311</t>
  </si>
  <si>
    <t xml:space="preserve">MICHEL CAROLINA</t>
  </si>
  <si>
    <t xml:space="preserve">FONSECA SUAREZ</t>
  </si>
  <si>
    <t xml:space="preserve">81800370</t>
  </si>
  <si>
    <t xml:space="preserve">010525423245</t>
  </si>
  <si>
    <t xml:space="preserve">ENYELBERTH ENRIQUE</t>
  </si>
  <si>
    <t xml:space="preserve">GUTIERRES NUÑEZ</t>
  </si>
  <si>
    <t xml:space="preserve">000032383933</t>
  </si>
  <si>
    <t xml:space="preserve">ROSSIBEL CAROLINA</t>
  </si>
  <si>
    <t xml:space="preserve">SOTO RAMIREZ</t>
  </si>
  <si>
    <t xml:space="preserve">04120644079</t>
  </si>
  <si>
    <t xml:space="preserve">20685008</t>
  </si>
  <si>
    <t xml:space="preserve">000031024524</t>
  </si>
  <si>
    <t xml:space="preserve">EMILSON MANUEL</t>
  </si>
  <si>
    <t xml:space="preserve">04164616045</t>
  </si>
  <si>
    <t xml:space="preserve">000032006534</t>
  </si>
  <si>
    <t xml:space="preserve">GIRLENIS GREGORIA</t>
  </si>
  <si>
    <t xml:space="preserve">BOSCAN RODRIGUEZ</t>
  </si>
  <si>
    <t xml:space="preserve">04169659024</t>
  </si>
  <si>
    <t xml:space="preserve">20148203</t>
  </si>
  <si>
    <t xml:space="preserve">000031252660</t>
  </si>
  <si>
    <t xml:space="preserve">DIEGO DE JESUS</t>
  </si>
  <si>
    <t xml:space="preserve">CAUCAGUITA</t>
  </si>
  <si>
    <t xml:space="preserve">000032261944</t>
  </si>
  <si>
    <t xml:space="preserve">DOUVIANA SHARON</t>
  </si>
  <si>
    <t xml:space="preserve">COQUIBACOA</t>
  </si>
  <si>
    <t xml:space="preserve">04261627659</t>
  </si>
  <si>
    <t xml:space="preserve">000031825492</t>
  </si>
  <si>
    <t xml:space="preserve">YOHANGELI  KAROLAY</t>
  </si>
  <si>
    <t xml:space="preserve">SOTO GONZALEZ</t>
  </si>
  <si>
    <t xml:space="preserve">04162246429</t>
  </si>
  <si>
    <t xml:space="preserve">000031696367</t>
  </si>
  <si>
    <t xml:space="preserve">VALERIA ALEJANDRA</t>
  </si>
  <si>
    <t xml:space="preserve">LEAL RODRIGUEZ</t>
  </si>
  <si>
    <t xml:space="preserve">14007231</t>
  </si>
  <si>
    <t xml:space="preserve">000031786420</t>
  </si>
  <si>
    <t xml:space="preserve">ALBANYELI CHIQUINQUIRA</t>
  </si>
  <si>
    <t xml:space="preserve">04168646930</t>
  </si>
  <si>
    <t xml:space="preserve">12082499</t>
  </si>
  <si>
    <t xml:space="preserve">000031526421</t>
  </si>
  <si>
    <t xml:space="preserve">OMAIDIS DEL VALLE</t>
  </si>
  <si>
    <t xml:space="preserve">GONZALEZ CAMPOS</t>
  </si>
  <si>
    <t xml:space="preserve">04262633371</t>
  </si>
  <si>
    <t xml:space="preserve">10410019</t>
  </si>
  <si>
    <t xml:space="preserve">000031097049</t>
  </si>
  <si>
    <t xml:space="preserve">ANTHONY JOSE</t>
  </si>
  <si>
    <t xml:space="preserve">04163695434</t>
  </si>
  <si>
    <t xml:space="preserve">20058741</t>
  </si>
  <si>
    <t xml:space="preserve">000031282011</t>
  </si>
  <si>
    <t xml:space="preserve">REINVER JOSE</t>
  </si>
  <si>
    <t xml:space="preserve">08411018</t>
  </si>
  <si>
    <t xml:space="preserve">000030862469</t>
  </si>
  <si>
    <t xml:space="preserve">ANYIBEL PAOLA</t>
  </si>
  <si>
    <t xml:space="preserve">04263274559</t>
  </si>
  <si>
    <t xml:space="preserve">000030863207</t>
  </si>
  <si>
    <t xml:space="preserve">DARIBEL VIOLETA</t>
  </si>
  <si>
    <t xml:space="preserve">000031348643</t>
  </si>
  <si>
    <t xml:space="preserve">RICHEL DAIRIS</t>
  </si>
  <si>
    <t xml:space="preserve">04161144062</t>
  </si>
  <si>
    <t xml:space="preserve">000030833755</t>
  </si>
  <si>
    <t xml:space="preserve">LEOMARY MICHEL</t>
  </si>
  <si>
    <t xml:space="preserve">RAMIREZ BRACHO</t>
  </si>
  <si>
    <t xml:space="preserve">04160605993</t>
  </si>
  <si>
    <t xml:space="preserve">19845546</t>
  </si>
  <si>
    <t xml:space="preserve">000030843905</t>
  </si>
  <si>
    <t xml:space="preserve">DIEGO ALEJANDRO</t>
  </si>
  <si>
    <t xml:space="preserve">CAMPO COQUIVACIA</t>
  </si>
  <si>
    <t xml:space="preserve">04269656787</t>
  </si>
  <si>
    <t xml:space="preserve">000030862473</t>
  </si>
  <si>
    <t xml:space="preserve">ANYILETH PAOLA</t>
  </si>
  <si>
    <t xml:space="preserve">000030900822</t>
  </si>
  <si>
    <t xml:space="preserve">04246659733</t>
  </si>
  <si>
    <t xml:space="preserve">18495645</t>
  </si>
  <si>
    <t xml:space="preserve">000030901181</t>
  </si>
  <si>
    <t xml:space="preserve">YOANDY JAVIER</t>
  </si>
  <si>
    <t xml:space="preserve">BARRIO MARIO URDANETA CASA*103</t>
  </si>
  <si>
    <t xml:space="preserve">04263611450</t>
  </si>
  <si>
    <t xml:space="preserve">17087957</t>
  </si>
  <si>
    <t xml:space="preserve">000030902250</t>
  </si>
  <si>
    <t xml:space="preserve">VILLALOBOS OCANDO</t>
  </si>
  <si>
    <t xml:space="preserve">04164699392</t>
  </si>
  <si>
    <t xml:space="preserve">17565070</t>
  </si>
  <si>
    <t xml:space="preserve">000030902307</t>
  </si>
  <si>
    <t xml:space="preserve">YOHENDRY EDUARDO</t>
  </si>
  <si>
    <t xml:space="preserve">ROCHA OLIVEROS</t>
  </si>
  <si>
    <t xml:space="preserve">04263968036</t>
  </si>
  <si>
    <t xml:space="preserve">18394701</t>
  </si>
  <si>
    <t xml:space="preserve">000030903476</t>
  </si>
  <si>
    <t xml:space="preserve">YOALBI ENRIQUE</t>
  </si>
  <si>
    <t xml:space="preserve">SOTURNO MACHADO</t>
  </si>
  <si>
    <t xml:space="preserve">BARRIO MARIO URDANETA SEGUNDA CALLE</t>
  </si>
  <si>
    <t xml:space="preserve">04121601415</t>
  </si>
  <si>
    <t xml:space="preserve">19838594</t>
  </si>
  <si>
    <t xml:space="preserve">000030933507</t>
  </si>
  <si>
    <t xml:space="preserve">ANTONY JOSE</t>
  </si>
  <si>
    <t xml:space="preserve">0262808588</t>
  </si>
  <si>
    <t xml:space="preserve">12327525</t>
  </si>
  <si>
    <t xml:space="preserve">000031527116</t>
  </si>
  <si>
    <t xml:space="preserve">JOHANMARY DEL CARMEN</t>
  </si>
  <si>
    <t xml:space="preserve">000027972512</t>
  </si>
  <si>
    <t xml:space="preserve">LEONEL EDUARDO</t>
  </si>
  <si>
    <t xml:space="preserve">15194051</t>
  </si>
  <si>
    <t xml:space="preserve">000030951539</t>
  </si>
  <si>
    <t xml:space="preserve">FLAVIO JESUS</t>
  </si>
  <si>
    <t xml:space="preserve">04268978623</t>
  </si>
  <si>
    <t xml:space="preserve">000030392779</t>
  </si>
  <si>
    <t xml:space="preserve">JHOANDRI JAVIER</t>
  </si>
  <si>
    <t xml:space="preserve">000030952564</t>
  </si>
  <si>
    <t xml:space="preserve">OLEIDY JAVIANA</t>
  </si>
  <si>
    <t xml:space="preserve">SILVA FUENMAYOR</t>
  </si>
  <si>
    <t xml:space="preserve">AV. PP EL PUEBLO</t>
  </si>
  <si>
    <t xml:space="preserve">04165624186</t>
  </si>
  <si>
    <t xml:space="preserve">09754406</t>
  </si>
  <si>
    <t xml:space="preserve">000030974113</t>
  </si>
  <si>
    <t xml:space="preserve">EDELBY JESUS</t>
  </si>
  <si>
    <t xml:space="preserve">MOLLERS MORALES</t>
  </si>
  <si>
    <t xml:space="preserve">SECTOR ROBERTO FURNMSYOR</t>
  </si>
  <si>
    <t xml:space="preserve">04268677204</t>
  </si>
  <si>
    <t xml:space="preserve">16919726</t>
  </si>
  <si>
    <t xml:space="preserve">000031425485</t>
  </si>
  <si>
    <t xml:space="preserve">WILMARY DEL CARMEN</t>
  </si>
  <si>
    <t xml:space="preserve">las parceles</t>
  </si>
  <si>
    <t xml:space="preserve">04146511595</t>
  </si>
  <si>
    <t xml:space="preserve">000031525218</t>
  </si>
  <si>
    <t xml:space="preserve">YEFERSON ANDRES</t>
  </si>
  <si>
    <t xml:space="preserve">BLANCHAR HERNANDEZ</t>
  </si>
  <si>
    <t xml:space="preserve">0426-8615569</t>
  </si>
  <si>
    <t xml:space="preserve">000031548687</t>
  </si>
  <si>
    <t xml:space="preserve">OSMEL EDUARDO</t>
  </si>
  <si>
    <t xml:space="preserve">0416869078</t>
  </si>
  <si>
    <t xml:space="preserve">000031548688</t>
  </si>
  <si>
    <t xml:space="preserve">XAVIER ALEJANDRO</t>
  </si>
  <si>
    <t xml:space="preserve">BOSCAN BRAVO</t>
  </si>
  <si>
    <t xml:space="preserve">04262152401</t>
  </si>
  <si>
    <t xml:space="preserve">17412457</t>
  </si>
  <si>
    <t xml:space="preserve">000031548691</t>
  </si>
  <si>
    <t xml:space="preserve">OCHOA CASTRO</t>
  </si>
  <si>
    <t xml:space="preserve">04264671867</t>
  </si>
  <si>
    <t xml:space="preserve">13008787</t>
  </si>
  <si>
    <t xml:space="preserve">000031645052</t>
  </si>
  <si>
    <t xml:space="preserve">LA GUNILLAS</t>
  </si>
  <si>
    <t xml:space="preserve">AV.PP CHINO RAFAEL</t>
  </si>
  <si>
    <t xml:space="preserve">04121225199</t>
  </si>
  <si>
    <t xml:space="preserve">000031669540</t>
  </si>
  <si>
    <t xml:space="preserve">FRANYELIS DEL CARMEN</t>
  </si>
  <si>
    <t xml:space="preserve">TORRES PALOMINO</t>
  </si>
  <si>
    <t xml:space="preserve">04268652768</t>
  </si>
  <si>
    <t xml:space="preserve">18624020</t>
  </si>
  <si>
    <t xml:space="preserve">000031683560</t>
  </si>
  <si>
    <t xml:space="preserve">FRAIBER GABRIEL</t>
  </si>
  <si>
    <t xml:space="preserve">04127247924</t>
  </si>
  <si>
    <t xml:space="preserve">18319287</t>
  </si>
  <si>
    <t xml:space="preserve">000031097161</t>
  </si>
  <si>
    <t xml:space="preserve">MARICRUZ DANIELA</t>
  </si>
  <si>
    <t xml:space="preserve">MENDOZA FERNANDEZ</t>
  </si>
  <si>
    <t xml:space="preserve">04121274993</t>
  </si>
  <si>
    <t xml:space="preserve">17736165</t>
  </si>
  <si>
    <t xml:space="preserve">000032073151</t>
  </si>
  <si>
    <t xml:space="preserve">VERGARA CATALAN</t>
  </si>
  <si>
    <t xml:space="preserve">24 DE ENERO</t>
  </si>
  <si>
    <t xml:space="preserve">04161147494</t>
  </si>
  <si>
    <t xml:space="preserve">26554000</t>
  </si>
  <si>
    <t xml:space="preserve">010413574709</t>
  </si>
  <si>
    <t xml:space="preserve">ANYERBERTH JAVIER</t>
  </si>
  <si>
    <t xml:space="preserve">04163676694</t>
  </si>
  <si>
    <t xml:space="preserve">000029977086</t>
  </si>
  <si>
    <t xml:space="preserve">ESEQUIEL ANTONIO</t>
  </si>
  <si>
    <t xml:space="preserve">GONZALEZ GARCIA</t>
  </si>
  <si>
    <t xml:space="preserve">cuidad comunal manzana 1b</t>
  </si>
  <si>
    <t xml:space="preserve">04165641742</t>
  </si>
  <si>
    <t xml:space="preserve">000029714978</t>
  </si>
  <si>
    <t xml:space="preserve">YUSLEIDY CHIQUINQUIRA</t>
  </si>
  <si>
    <t xml:space="preserve">barrio rafael urdaneta la concpecion kilometro 18</t>
  </si>
  <si>
    <t xml:space="preserve">02617996112</t>
  </si>
  <si>
    <t xml:space="preserve">000029790994</t>
  </si>
  <si>
    <t xml:space="preserve">ABRAHAN ENRIQUE</t>
  </si>
  <si>
    <t xml:space="preserve">PIRELA CONTRERAS</t>
  </si>
  <si>
    <t xml:space="preserve">sector el taparo</t>
  </si>
  <si>
    <t xml:space="preserve">000030393118</t>
  </si>
  <si>
    <t xml:space="preserve">YANKELI ANDREINA</t>
  </si>
  <si>
    <t xml:space="preserve">sector la nuevicia via la fragua</t>
  </si>
  <si>
    <t xml:space="preserve">04268677421</t>
  </si>
  <si>
    <t xml:space="preserve">000021510349</t>
  </si>
  <si>
    <t xml:space="preserve">NEUDY ALBERTO</t>
  </si>
  <si>
    <t xml:space="preserve">000030290654</t>
  </si>
  <si>
    <t xml:space="preserve">ALEXANDER RAFAEL</t>
  </si>
  <si>
    <t xml:space="preserve">04160689768</t>
  </si>
  <si>
    <t xml:space="preserve">000028421452</t>
  </si>
  <si>
    <t xml:space="preserve">GENESIS CAROLINA</t>
  </si>
  <si>
    <t xml:space="preserve">CAMACHO RANGEL</t>
  </si>
  <si>
    <t xml:space="preserve">04124251185</t>
  </si>
  <si>
    <t xml:space="preserve">19349533</t>
  </si>
  <si>
    <t xml:space="preserve">000019811516</t>
  </si>
  <si>
    <t xml:space="preserve">ROBERTO ANTONIO</t>
  </si>
  <si>
    <t xml:space="preserve">VILLALOBOS LABARCA</t>
  </si>
  <si>
    <t xml:space="preserve">000020778413</t>
  </si>
  <si>
    <t xml:space="preserve">VILLALOBOS BRAVO</t>
  </si>
  <si>
    <t xml:space="preserve">000030749138</t>
  </si>
  <si>
    <t xml:space="preserve">JOSMAN JOSE</t>
  </si>
  <si>
    <t xml:space="preserve">URDANETA VILCHEZ</t>
  </si>
  <si>
    <t xml:space="preserve">04125476460</t>
  </si>
  <si>
    <t xml:space="preserve">09749315</t>
  </si>
  <si>
    <t xml:space="preserve">000031425596</t>
  </si>
  <si>
    <t xml:space="preserve">DANELKYS ALEJANDRA</t>
  </si>
  <si>
    <t xml:space="preserve">VILLALOBOS ESIS</t>
  </si>
  <si>
    <t xml:space="preserve">LA PAZ CHINO RAFAEL</t>
  </si>
  <si>
    <t xml:space="preserve">0426-2630028</t>
  </si>
  <si>
    <t xml:space="preserve">16989247</t>
  </si>
  <si>
    <t xml:space="preserve">000031252918</t>
  </si>
  <si>
    <t xml:space="preserve">DEREECK ANYER</t>
  </si>
  <si>
    <t xml:space="preserve">SECTOR CACAGUITA CASA N*50</t>
  </si>
  <si>
    <t xml:space="preserve">0426+4665661</t>
  </si>
  <si>
    <t xml:space="preserve">000031260665</t>
  </si>
  <si>
    <t xml:space="preserve">GIOVANNI JOSE</t>
  </si>
  <si>
    <t xml:space="preserve">0412-6406037</t>
  </si>
  <si>
    <t xml:space="preserve">000031024540</t>
  </si>
  <si>
    <t xml:space="preserve">HERRERA ROMERO</t>
  </si>
  <si>
    <t xml:space="preserve">0412-6548236</t>
  </si>
  <si>
    <t xml:space="preserve">17566761</t>
  </si>
  <si>
    <t xml:space="preserve">000030074318</t>
  </si>
  <si>
    <t xml:space="preserve">FONSECA HERNANDEZ</t>
  </si>
  <si>
    <t xml:space="preserve">GUANARE</t>
  </si>
  <si>
    <t xml:space="preserve">PORTUGUESA</t>
  </si>
  <si>
    <t xml:space="preserve">PO</t>
  </si>
  <si>
    <t xml:space="preserve">sector el 115</t>
  </si>
  <si>
    <t xml:space="preserve">000031844267</t>
  </si>
  <si>
    <t xml:space="preserve">OMELIN DEL CARMEN</t>
  </si>
  <si>
    <t xml:space="preserve">ARIAS ALVAREZ</t>
  </si>
  <si>
    <t xml:space="preserve">AV.PP LA NUEVECITA</t>
  </si>
  <si>
    <t xml:space="preserve">0416-5203355</t>
  </si>
  <si>
    <t xml:space="preserve">18662052</t>
  </si>
  <si>
    <t xml:space="preserve">000031630275</t>
  </si>
  <si>
    <t xml:space="preserve">AV.PP.LA NUEVECITA</t>
  </si>
  <si>
    <t xml:space="preserve">0416-662052</t>
  </si>
  <si>
    <t xml:space="preserve">000029986107</t>
  </si>
  <si>
    <t xml:space="preserve">MELISSA CAROLINA</t>
  </si>
  <si>
    <t xml:space="preserve">BOSCAN CORTINA</t>
  </si>
  <si>
    <t xml:space="preserve">la concepcion</t>
  </si>
  <si>
    <t xml:space="preserve">04260655102</t>
  </si>
  <si>
    <t xml:space="preserve">000031876768</t>
  </si>
  <si>
    <t xml:space="preserve">AV.PP LA PAZ</t>
  </si>
  <si>
    <t xml:space="preserve">15749208</t>
  </si>
  <si>
    <t xml:space="preserve">000031252963</t>
  </si>
  <si>
    <t xml:space="preserve">NERIELYS PAOLA</t>
  </si>
  <si>
    <t xml:space="preserve">04121049201</t>
  </si>
  <si>
    <t xml:space="preserve">16689273</t>
  </si>
  <si>
    <t xml:space="preserve">000031106447</t>
  </si>
  <si>
    <t xml:space="preserve">HENDRIANA EMPERATRIZ</t>
  </si>
  <si>
    <t xml:space="preserve">LA CAMPO CALIZA</t>
  </si>
  <si>
    <t xml:space="preserve">0426-2045853</t>
  </si>
  <si>
    <t xml:space="preserve">10408437</t>
  </si>
  <si>
    <t xml:space="preserve">000031070095</t>
  </si>
  <si>
    <t xml:space="preserve">HERNANDEZ FUENMAYOR</t>
  </si>
  <si>
    <t xml:space="preserve">0416-7663351</t>
  </si>
  <si>
    <t xml:space="preserve">000031442643</t>
  </si>
  <si>
    <t xml:space="preserve">ROMERO BENCOMO</t>
  </si>
  <si>
    <t xml:space="preserve">0426-2696963</t>
  </si>
  <si>
    <t xml:space="preserve">17827701</t>
  </si>
  <si>
    <t xml:space="preserve">000031097273</t>
  </si>
  <si>
    <t xml:space="preserve">CASTILLO CASTRO</t>
  </si>
  <si>
    <t xml:space="preserve">0426-4228312</t>
  </si>
  <si>
    <t xml:space="preserve">19906293</t>
  </si>
  <si>
    <t xml:space="preserve">000029758458</t>
  </si>
  <si>
    <t xml:space="preserve">MORAN ESTRADA</t>
  </si>
  <si>
    <t xml:space="preserve">000031353096</t>
  </si>
  <si>
    <t xml:space="preserve">YERI ELI</t>
  </si>
  <si>
    <t xml:space="preserve">04246464080</t>
  </si>
  <si>
    <t xml:space="preserve">000031353121</t>
  </si>
  <si>
    <t xml:space="preserve">YERI ELENA</t>
  </si>
  <si>
    <t xml:space="preserve">000034740625</t>
  </si>
  <si>
    <t xml:space="preserve">JESSICA PAOLA</t>
  </si>
  <si>
    <t xml:space="preserve">04264747687</t>
  </si>
  <si>
    <t xml:space="preserve">000031679740</t>
  </si>
  <si>
    <t xml:space="preserve">BELKIS BEATRIZ</t>
  </si>
  <si>
    <t xml:space="preserve">BALLESTEROS BOSCAN</t>
  </si>
  <si>
    <t xml:space="preserve">04164673038</t>
  </si>
  <si>
    <t xml:space="preserve">000032351699</t>
  </si>
  <si>
    <t xml:space="preserve">ALEXIS DANIEL</t>
  </si>
  <si>
    <t xml:space="preserve">BERMUDEZ CHAVEZ</t>
  </si>
  <si>
    <t xml:space="preserve">04164682966</t>
  </si>
  <si>
    <t xml:space="preserve">18921934</t>
  </si>
  <si>
    <t xml:space="preserve">000032038479</t>
  </si>
  <si>
    <t xml:space="preserve">ALEXIS JESUS</t>
  </si>
  <si>
    <t xml:space="preserve">000031543385</t>
  </si>
  <si>
    <t xml:space="preserve">MARIANNY PAOLA</t>
  </si>
  <si>
    <t xml:space="preserve">04246596656</t>
  </si>
  <si>
    <t xml:space="preserve">25039743</t>
  </si>
  <si>
    <t xml:space="preserve">000031171086</t>
  </si>
  <si>
    <t xml:space="preserve">JEANCARLO JOSE</t>
  </si>
  <si>
    <t xml:space="preserve">LUZARDO QUINTERO</t>
  </si>
  <si>
    <t xml:space="preserve">19394097</t>
  </si>
  <si>
    <t xml:space="preserve">000031051096</t>
  </si>
  <si>
    <t xml:space="preserve">GONZALEZ PALOMINO</t>
  </si>
  <si>
    <t xml:space="preserve">04261611078</t>
  </si>
  <si>
    <t xml:space="preserve">25276390</t>
  </si>
  <si>
    <t xml:space="preserve">000031968310</t>
  </si>
  <si>
    <t xml:space="preserve">YENIRETH ISABEL</t>
  </si>
  <si>
    <t xml:space="preserve">HUERTA FUENMAYOR</t>
  </si>
  <si>
    <t xml:space="preserve">04262620224</t>
  </si>
  <si>
    <t xml:space="preserve">16607084</t>
  </si>
  <si>
    <t xml:space="preserve">000031825495</t>
  </si>
  <si>
    <t xml:space="preserve">MOLERO MOLERO</t>
  </si>
  <si>
    <t xml:space="preserve">06709589</t>
  </si>
  <si>
    <t xml:space="preserve">000031016642</t>
  </si>
  <si>
    <t xml:space="preserve">YUSBELI DEL CARMEN</t>
  </si>
  <si>
    <t xml:space="preserve">URBINA RENDON</t>
  </si>
  <si>
    <t xml:space="preserve">04167641402</t>
  </si>
  <si>
    <t xml:space="preserve">04761159</t>
  </si>
  <si>
    <t xml:space="preserve">000030749413</t>
  </si>
  <si>
    <t xml:space="preserve">000031669528</t>
  </si>
  <si>
    <t xml:space="preserve">ANA SOFIA</t>
  </si>
  <si>
    <t xml:space="preserve">SANCHEZ MONTIEL</t>
  </si>
  <si>
    <t xml:space="preserve">SECTOR BALLE ENCANTADO</t>
  </si>
  <si>
    <t xml:space="preserve">04262912982</t>
  </si>
  <si>
    <t xml:space="preserve">15624142</t>
  </si>
  <si>
    <t xml:space="preserve">000031797452</t>
  </si>
  <si>
    <t xml:space="preserve">ROXANGELICA ESTEPHANIA</t>
  </si>
  <si>
    <t xml:space="preserve">ROMERO CASTILLO</t>
  </si>
  <si>
    <t xml:space="preserve">CAMPO COQUIBACOA</t>
  </si>
  <si>
    <t xml:space="preserve">04243823758</t>
  </si>
  <si>
    <t xml:space="preserve">10454486</t>
  </si>
  <si>
    <t xml:space="preserve">000031704706</t>
  </si>
  <si>
    <t xml:space="preserve">ELIANYS ELISA</t>
  </si>
  <si>
    <t xml:space="preserve">04266665568</t>
  </si>
  <si>
    <t xml:space="preserve">09769341</t>
  </si>
  <si>
    <t xml:space="preserve">000031525253</t>
  </si>
  <si>
    <t xml:space="preserve">WIDELBIS JOSE</t>
  </si>
  <si>
    <t xml:space="preserve">BERMUDEZ BERMUDEZ</t>
  </si>
  <si>
    <t xml:space="preserve">NUEVECITA</t>
  </si>
  <si>
    <t xml:space="preserve">07810996</t>
  </si>
  <si>
    <t xml:space="preserve">000031009864</t>
  </si>
  <si>
    <t xml:space="preserve">LAUDIMAR DEL VALLE</t>
  </si>
  <si>
    <t xml:space="preserve">ROMERO RIVERO</t>
  </si>
  <si>
    <t xml:space="preserve">04120726815</t>
  </si>
  <si>
    <t xml:space="preserve">18874421</t>
  </si>
  <si>
    <t xml:space="preserve">000031050615</t>
  </si>
  <si>
    <t xml:space="preserve">JHONAILIS ANDREA</t>
  </si>
  <si>
    <t xml:space="preserve">04121650745</t>
  </si>
  <si>
    <t xml:space="preserve">24257448</t>
  </si>
  <si>
    <t xml:space="preserve">000031501465</t>
  </si>
  <si>
    <t xml:space="preserve">YEIBELYN CHIQUINQUIRA</t>
  </si>
  <si>
    <t xml:space="preserve">04268662846</t>
  </si>
  <si>
    <t xml:space="preserve">15193677</t>
  </si>
  <si>
    <t xml:space="preserve">000031273462</t>
  </si>
  <si>
    <t xml:space="preserve">YULIANNI CAROLINA</t>
  </si>
  <si>
    <t xml:space="preserve">000032088364</t>
  </si>
  <si>
    <t xml:space="preserve">FABIANA ALEJANDRA</t>
  </si>
  <si>
    <t xml:space="preserve">FINOL BELLOSO</t>
  </si>
  <si>
    <t xml:space="preserve">04263618854</t>
  </si>
  <si>
    <t xml:space="preserve">17565337</t>
  </si>
  <si>
    <t xml:space="preserve">000031704151</t>
  </si>
  <si>
    <t xml:space="preserve">ONIXBEL CAROLINA</t>
  </si>
  <si>
    <t xml:space="preserve">04125159992</t>
  </si>
  <si>
    <t xml:space="preserve">09748887</t>
  </si>
  <si>
    <t xml:space="preserve">000031601498</t>
  </si>
  <si>
    <t xml:space="preserve">ROSANGEL SUSEJ</t>
  </si>
  <si>
    <t xml:space="preserve">04263654616</t>
  </si>
  <si>
    <t xml:space="preserve">13371785</t>
  </si>
  <si>
    <t xml:space="preserve">000031526588</t>
  </si>
  <si>
    <t xml:space="preserve">ISBAD DAVID</t>
  </si>
  <si>
    <t xml:space="preserve">000031969650</t>
  </si>
  <si>
    <t xml:space="preserve">KENYERBER JOSE</t>
  </si>
  <si>
    <t xml:space="preserve">000031969635</t>
  </si>
  <si>
    <t xml:space="preserve">NEIKELLY DEL CARMEN</t>
  </si>
  <si>
    <t xml:space="preserve">000030953006</t>
  </si>
  <si>
    <t xml:space="preserve">KARIANNIS YARE</t>
  </si>
  <si>
    <t xml:space="preserve">04246275813</t>
  </si>
  <si>
    <t xml:space="preserve">000031252677</t>
  </si>
  <si>
    <t xml:space="preserve">DEIMIS FABIAN</t>
  </si>
  <si>
    <t xml:space="preserve">04263628082</t>
  </si>
  <si>
    <t xml:space="preserve">000031416445</t>
  </si>
  <si>
    <t xml:space="preserve">CRISBEL MARIANIS</t>
  </si>
  <si>
    <t xml:space="preserve">VARGAS MEJIA</t>
  </si>
  <si>
    <t xml:space="preserve">LIBERTADOR</t>
  </si>
  <si>
    <t xml:space="preserve">04162216976</t>
  </si>
  <si>
    <t xml:space="preserve">16679963</t>
  </si>
  <si>
    <t xml:space="preserve">000031024525</t>
  </si>
  <si>
    <t xml:space="preserve">ANDERSON MANUEL</t>
  </si>
  <si>
    <t xml:space="preserve">ROMERO GONZALEZ</t>
  </si>
  <si>
    <t xml:space="preserve">04268209950</t>
  </si>
  <si>
    <t xml:space="preserve">14737126</t>
  </si>
  <si>
    <t xml:space="preserve">000031443117</t>
  </si>
  <si>
    <t xml:space="preserve">GABRIELA PAOLA</t>
  </si>
  <si>
    <t xml:space="preserve">SECTOR ROBERO FUENMAYOR</t>
  </si>
  <si>
    <t xml:space="preserve">04268694937</t>
  </si>
  <si>
    <t xml:space="preserve">000031295306</t>
  </si>
  <si>
    <t xml:space="preserve">REINIMAR CHIQUINQUIRA</t>
  </si>
  <si>
    <t xml:space="preserve">DONADO URDANETA</t>
  </si>
  <si>
    <t xml:space="preserve">04264276096</t>
  </si>
  <si>
    <t xml:space="preserve">11873218</t>
  </si>
  <si>
    <t xml:space="preserve">000031295304</t>
  </si>
  <si>
    <t xml:space="preserve">ANSELMO ANTONIO</t>
  </si>
  <si>
    <t xml:space="preserve">SALAS BRAVO</t>
  </si>
  <si>
    <t xml:space="preserve">04266053667</t>
  </si>
  <si>
    <t xml:space="preserve">12281424</t>
  </si>
  <si>
    <t xml:space="preserve">000031442600</t>
  </si>
  <si>
    <t xml:space="preserve">YUSBELYS CAROLINA</t>
  </si>
  <si>
    <t xml:space="preserve">000031864977</t>
  </si>
  <si>
    <t xml:space="preserve">YAN CARLOS</t>
  </si>
  <si>
    <t xml:space="preserve">04268012084</t>
  </si>
  <si>
    <t xml:space="preserve">20127656</t>
  </si>
  <si>
    <t xml:space="preserve">000031097144</t>
  </si>
  <si>
    <t xml:space="preserve">CORONADO LOPEZ</t>
  </si>
  <si>
    <t xml:space="preserve">02612118320</t>
  </si>
  <si>
    <t xml:space="preserve">19838582</t>
  </si>
  <si>
    <t xml:space="preserve">000032069524</t>
  </si>
  <si>
    <t xml:space="preserve">04269635510</t>
  </si>
  <si>
    <t xml:space="preserve">000031669536</t>
  </si>
  <si>
    <t xml:space="preserve">04264919022</t>
  </si>
  <si>
    <t xml:space="preserve">000031669522</t>
  </si>
  <si>
    <t xml:space="preserve">MARIELIS COROMOTO</t>
  </si>
  <si>
    <t xml:space="preserve">MENDOZA URDANETA</t>
  </si>
  <si>
    <t xml:space="preserve">000031524875</t>
  </si>
  <si>
    <t xml:space="preserve">OMERO ENRIQUE</t>
  </si>
  <si>
    <t xml:space="preserve">BRICEÑO GONZALEZ</t>
  </si>
  <si>
    <t xml:space="preserve">04121694127</t>
  </si>
  <si>
    <t xml:space="preserve">18945695</t>
  </si>
  <si>
    <t xml:space="preserve">000031669566</t>
  </si>
  <si>
    <t xml:space="preserve">DESIREE CAROLINA</t>
  </si>
  <si>
    <t xml:space="preserve">01755071</t>
  </si>
  <si>
    <t xml:space="preserve">000031126482</t>
  </si>
  <si>
    <t xml:space="preserve">ANDRADE ESTRADA</t>
  </si>
  <si>
    <t xml:space="preserve">04162225852</t>
  </si>
  <si>
    <t xml:space="preserve">57107145</t>
  </si>
  <si>
    <t xml:space="preserve">000031126238</t>
  </si>
  <si>
    <t xml:space="preserve">000033608221</t>
  </si>
  <si>
    <t xml:space="preserve">JUAN DAVID</t>
  </si>
  <si>
    <t xml:space="preserve">RUBIO BELLIO</t>
  </si>
  <si>
    <t xml:space="preserve">000031040328</t>
  </si>
  <si>
    <t xml:space="preserve">LINDA ESTEFANY</t>
  </si>
  <si>
    <t xml:space="preserve">ESPINOZA ALCAZAR</t>
  </si>
  <si>
    <t xml:space="preserve">04267642158</t>
  </si>
  <si>
    <t xml:space="preserve">000031097169</t>
  </si>
  <si>
    <t xml:space="preserve">MAIKEL ENRIQUE</t>
  </si>
  <si>
    <t xml:space="preserve">MATOS FINOL</t>
  </si>
  <si>
    <t xml:space="preserve">04165618020</t>
  </si>
  <si>
    <t xml:space="preserve">000031704738</t>
  </si>
  <si>
    <t xml:space="preserve">04268230188</t>
  </si>
  <si>
    <t xml:space="preserve">000031051082</t>
  </si>
  <si>
    <t xml:space="preserve">ANA SARIEL</t>
  </si>
  <si>
    <t xml:space="preserve">04264662283</t>
  </si>
  <si>
    <t xml:space="preserve">11256069</t>
  </si>
  <si>
    <t xml:space="preserve">000031097274</t>
  </si>
  <si>
    <t xml:space="preserve">DANIELA NERCALIS</t>
  </si>
  <si>
    <t xml:space="preserve">04261243193</t>
  </si>
  <si>
    <t xml:space="preserve">000031009857</t>
  </si>
  <si>
    <t xml:space="preserve">ALBENIS GREGORIO</t>
  </si>
  <si>
    <t xml:space="preserve">SECTRO ROBERTO FUENMAYOR</t>
  </si>
  <si>
    <t xml:space="preserve">04160602505</t>
  </si>
  <si>
    <t xml:space="preserve">000032750053</t>
  </si>
  <si>
    <t xml:space="preserve">000032705491</t>
  </si>
  <si>
    <t xml:space="preserve">LUISMARY ANDREINA</t>
  </si>
  <si>
    <t xml:space="preserve">HERNANDEZ VALERO</t>
  </si>
  <si>
    <t xml:space="preserve">13974823</t>
  </si>
  <si>
    <t xml:space="preserve">000032461505</t>
  </si>
  <si>
    <t xml:space="preserve">JULIANI CAROLINA</t>
  </si>
  <si>
    <t xml:space="preserve">SECTOR SANTA ANA</t>
  </si>
  <si>
    <t xml:space="preserve">04160269589</t>
  </si>
  <si>
    <t xml:space="preserve">000030910657</t>
  </si>
  <si>
    <t xml:space="preserve">YEIMY CHIQUINQUIRA</t>
  </si>
  <si>
    <t xml:space="preserve">SALAS ECHETO</t>
  </si>
  <si>
    <t xml:space="preserve">000030974873</t>
  </si>
  <si>
    <t xml:space="preserve">ANDERSON DE JESUS</t>
  </si>
  <si>
    <t xml:space="preserve">04140661551</t>
  </si>
  <si>
    <t xml:space="preserve">000031165659</t>
  </si>
  <si>
    <t xml:space="preserve">02628080435</t>
  </si>
  <si>
    <t xml:space="preserve">010233272402</t>
  </si>
  <si>
    <t xml:space="preserve">GUILLERMO ENRIQUE</t>
  </si>
  <si>
    <t xml:space="preserve">MERCADO RODRIGUEZ</t>
  </si>
  <si>
    <t xml:space="preserve">04164993543</t>
  </si>
  <si>
    <t xml:space="preserve">33272402</t>
  </si>
  <si>
    <t xml:space="preserve">000031070112</t>
  </si>
  <si>
    <t xml:space="preserve">04266481656</t>
  </si>
  <si>
    <t xml:space="preserve">000032002830</t>
  </si>
  <si>
    <t xml:space="preserve">YORBELIS KAROLAY</t>
  </si>
  <si>
    <t xml:space="preserve">04261653302</t>
  </si>
  <si>
    <t xml:space="preserve">19988109</t>
  </si>
  <si>
    <t xml:space="preserve">000032261925</t>
  </si>
  <si>
    <t xml:space="preserve">YORVIS JOSE</t>
  </si>
  <si>
    <t xml:space="preserve">000032135421</t>
  </si>
  <si>
    <t xml:space="preserve">AISKEL CHIQUINQUIRA</t>
  </si>
  <si>
    <t xml:space="preserve">04125807044</t>
  </si>
  <si>
    <t xml:space="preserve">19307835</t>
  </si>
  <si>
    <t xml:space="preserve">000033724796</t>
  </si>
  <si>
    <t xml:space="preserve">EUKARYS PAOLA</t>
  </si>
  <si>
    <t xml:space="preserve">04167650862</t>
  </si>
  <si>
    <t xml:space="preserve">22163434</t>
  </si>
  <si>
    <t xml:space="preserve">000031525056</t>
  </si>
  <si>
    <t xml:space="preserve">EVELIN PAOLA</t>
  </si>
  <si>
    <t xml:space="preserve">MORALES DE LA ROSA</t>
  </si>
  <si>
    <t xml:space="preserve">04261322198</t>
  </si>
  <si>
    <t xml:space="preserve">17566593</t>
  </si>
  <si>
    <t xml:space="preserve">000032429316</t>
  </si>
  <si>
    <t xml:space="preserve">STHEFANNY DEL CARMEN</t>
  </si>
  <si>
    <t xml:space="preserve">FUENMAYOR LIZARAZO</t>
  </si>
  <si>
    <t xml:space="preserve">04127866700</t>
  </si>
  <si>
    <t xml:space="preserve">16989386</t>
  </si>
  <si>
    <t xml:space="preserve">000032772631</t>
  </si>
  <si>
    <t xml:space="preserve">04263616369</t>
  </si>
  <si>
    <t xml:space="preserve">15261741</t>
  </si>
  <si>
    <t xml:space="preserve">000032894985</t>
  </si>
  <si>
    <t xml:space="preserve">04146514441</t>
  </si>
  <si>
    <t xml:space="preserve">010529523277</t>
  </si>
  <si>
    <t xml:space="preserve">CLAUDIMAR CAROLINA</t>
  </si>
  <si>
    <t xml:space="preserve">OVIEDO VARGAS</t>
  </si>
  <si>
    <t xml:space="preserve">04168456926</t>
  </si>
  <si>
    <t xml:space="preserve">000031024519</t>
  </si>
  <si>
    <t xml:space="preserve">CHRISTOPHER DANIEL</t>
  </si>
  <si>
    <t xml:space="preserve">000031254757</t>
  </si>
  <si>
    <t xml:space="preserve">YORGELIS YOELI</t>
  </si>
  <si>
    <t xml:space="preserve">HERNADEZ DUARTE</t>
  </si>
  <si>
    <t xml:space="preserve">SECTOR LOS MARANO</t>
  </si>
  <si>
    <t xml:space="preserve">04140378528</t>
  </si>
  <si>
    <t xml:space="preserve">000031969687</t>
  </si>
  <si>
    <t xml:space="preserve">04266243954</t>
  </si>
  <si>
    <t xml:space="preserve">000031097272</t>
  </si>
  <si>
    <t xml:space="preserve">04268692754</t>
  </si>
  <si>
    <t xml:space="preserve">000031669557</t>
  </si>
  <si>
    <t xml:space="preserve">YUSNEIDY DEL VALLE</t>
  </si>
  <si>
    <t xml:space="preserve">04263692026</t>
  </si>
  <si>
    <t xml:space="preserve">000033356378</t>
  </si>
  <si>
    <t xml:space="preserve">04162260710</t>
  </si>
  <si>
    <t xml:space="preserve">11292860</t>
  </si>
  <si>
    <t xml:space="preserve">010516623760</t>
  </si>
  <si>
    <t xml:space="preserve">YURIMAR ESTHER</t>
  </si>
  <si>
    <t xml:space="preserve">BALETA GONZALEZ</t>
  </si>
  <si>
    <t xml:space="preserve">04267185421</t>
  </si>
  <si>
    <t xml:space="preserve">000031537719</t>
  </si>
  <si>
    <t xml:space="preserve">MERVIN JOSE</t>
  </si>
  <si>
    <t xml:space="preserve">SARMIENTO MARQUEZ</t>
  </si>
  <si>
    <t xml:space="preserve">000031865281</t>
  </si>
  <si>
    <t xml:space="preserve">MARIALBIS GABRIELA</t>
  </si>
  <si>
    <t xml:space="preserve">GARCIA QUINTERO</t>
  </si>
  <si>
    <t xml:space="preserve">04264562379</t>
  </si>
  <si>
    <t xml:space="preserve">11869582</t>
  </si>
  <si>
    <t xml:space="preserve">000030974636</t>
  </si>
  <si>
    <t xml:space="preserve">JORDER JOSE</t>
  </si>
  <si>
    <t xml:space="preserve">DEL RIO MONTES</t>
  </si>
  <si>
    <t xml:space="preserve">04162688651</t>
  </si>
  <si>
    <t xml:space="preserve">83162019</t>
  </si>
  <si>
    <t xml:space="preserve">000031573838</t>
  </si>
  <si>
    <t xml:space="preserve">ENMANUEL JESUS</t>
  </si>
  <si>
    <t xml:space="preserve">04164658238</t>
  </si>
  <si>
    <t xml:space="preserve">000031491577</t>
  </si>
  <si>
    <t xml:space="preserve">HILARY DEL VALLE</t>
  </si>
  <si>
    <t xml:space="preserve">VILCHEZ VALLES</t>
  </si>
  <si>
    <t xml:space="preserve">04162219449</t>
  </si>
  <si>
    <t xml:space="preserve">13628105</t>
  </si>
  <si>
    <t xml:space="preserve">010417412072</t>
  </si>
  <si>
    <t xml:space="preserve">RUTHSILED MASIEL</t>
  </si>
  <si>
    <t xml:space="preserve">SANCHEZ MOLINA</t>
  </si>
  <si>
    <t xml:space="preserve">04262220646</t>
  </si>
  <si>
    <t xml:space="preserve">17412072</t>
  </si>
  <si>
    <t xml:space="preserve">010425423245</t>
  </si>
  <si>
    <t xml:space="preserve">000031931617</t>
  </si>
  <si>
    <t xml:space="preserve">JEISON DAVID</t>
  </si>
  <si>
    <t xml:space="preserve">ARRIETA ATENCIO</t>
  </si>
  <si>
    <t xml:space="preserve">04262346155</t>
  </si>
  <si>
    <t xml:space="preserve">17938294</t>
  </si>
  <si>
    <t xml:space="preserve">000031931618</t>
  </si>
  <si>
    <t xml:space="preserve">DAIRISMAR CRIQUINQUIRA</t>
  </si>
  <si>
    <t xml:space="preserve">000031526370</t>
  </si>
  <si>
    <t xml:space="preserve">YENNYFER HESTER</t>
  </si>
  <si>
    <t xml:space="preserve">CORREA ROA</t>
  </si>
  <si>
    <t xml:space="preserve">000031679133</t>
  </si>
  <si>
    <t xml:space="preserve">DAYALIS ELENA</t>
  </si>
  <si>
    <t xml:space="preserve">SOCORRO GONZALEZ</t>
  </si>
  <si>
    <t xml:space="preserve">04264653278</t>
  </si>
  <si>
    <t xml:space="preserve">12589840</t>
  </si>
  <si>
    <t xml:space="preserve">000032391080</t>
  </si>
  <si>
    <t xml:space="preserve">DAYANI DE LOS ANGELES</t>
  </si>
  <si>
    <t xml:space="preserve">JESUS ENRIQUE LOSSADA  </t>
  </si>
  <si>
    <t xml:space="preserve">000033608346</t>
  </si>
  <si>
    <t xml:space="preserve">CARLOS JOSE</t>
  </si>
  <si>
    <t xml:space="preserve">04162628383</t>
  </si>
  <si>
    <t xml:space="preserve">000031526411</t>
  </si>
  <si>
    <t xml:space="preserve">LEOMAR ENRIQUE</t>
  </si>
  <si>
    <t xml:space="preserve">EL LAVERINTO</t>
  </si>
  <si>
    <t xml:space="preserve">000032088367</t>
  </si>
  <si>
    <t xml:space="preserve">SEBASTIAN DAVID</t>
  </si>
  <si>
    <t xml:space="preserve">FERNANDEZ OLIVEROS</t>
  </si>
  <si>
    <t xml:space="preserve">04261606579</t>
  </si>
  <si>
    <t xml:space="preserve">16989768</t>
  </si>
  <si>
    <t xml:space="preserve">000031262011</t>
  </si>
  <si>
    <t xml:space="preserve">BETSIBEL PAOLA</t>
  </si>
  <si>
    <t xml:space="preserve">GARCIA GARCIA</t>
  </si>
  <si>
    <t xml:space="preserve">04266900071</t>
  </si>
  <si>
    <t xml:space="preserve">10430558</t>
  </si>
  <si>
    <t xml:space="preserve">000031696302</t>
  </si>
  <si>
    <t xml:space="preserve">WUILBERTO</t>
  </si>
  <si>
    <t xml:space="preserve">04167707650</t>
  </si>
  <si>
    <t xml:space="preserve">000031538076</t>
  </si>
  <si>
    <t xml:space="preserve">ISAAC JOSE</t>
  </si>
  <si>
    <t xml:space="preserve">16733523</t>
  </si>
  <si>
    <t xml:space="preserve">000032459869</t>
  </si>
  <si>
    <t xml:space="preserve">YURIANNY ESTEFANY</t>
  </si>
  <si>
    <t xml:space="preserve">04165904871</t>
  </si>
  <si>
    <t xml:space="preserve">000030029487</t>
  </si>
  <si>
    <t xml:space="preserve">YOLIMAR PAOLA</t>
  </si>
  <si>
    <t xml:space="preserve">FERREIRA CHAVEZ</t>
  </si>
  <si>
    <t xml:space="preserve">CACHIRI EL CAFETAL</t>
  </si>
  <si>
    <t xml:space="preserve">04263256770</t>
  </si>
  <si>
    <t xml:space="preserve">34983359</t>
  </si>
  <si>
    <t xml:space="preserve">000031070113</t>
  </si>
  <si>
    <t xml:space="preserve">ANDERLEY ESNAIDER</t>
  </si>
  <si>
    <t xml:space="preserve">FONSECA FUENMAYOR</t>
  </si>
  <si>
    <t xml:space="preserve">04263015524</t>
  </si>
  <si>
    <t xml:space="preserve">000038000039</t>
  </si>
  <si>
    <t xml:space="preserve">ISAAC ALFREDO</t>
  </si>
  <si>
    <t xml:space="preserve">04266184308</t>
  </si>
  <si>
    <t xml:space="preserve">000030974687</t>
  </si>
  <si>
    <t xml:space="preserve">MAIRELIN CAROLINA</t>
  </si>
  <si>
    <t xml:space="preserve">LA PAZ SECTOR LAS MINAS</t>
  </si>
  <si>
    <t xml:space="preserve">04263306347</t>
  </si>
  <si>
    <t xml:space="preserve">000031009829</t>
  </si>
  <si>
    <t xml:space="preserve">JOSBEL ANDRES</t>
  </si>
  <si>
    <t xml:space="preserve">04266248657</t>
  </si>
  <si>
    <t xml:space="preserve">16836588</t>
  </si>
  <si>
    <t xml:space="preserve">000031009831</t>
  </si>
  <si>
    <t xml:space="preserve">RIVERO FUENMAYOR</t>
  </si>
  <si>
    <t xml:space="preserve">04266631526</t>
  </si>
  <si>
    <t xml:space="preserve">14544542</t>
  </si>
  <si>
    <t xml:space="preserve">000031009833</t>
  </si>
  <si>
    <t xml:space="preserve">VILME JOSE</t>
  </si>
  <si>
    <t xml:space="preserve">000031009835</t>
  </si>
  <si>
    <t xml:space="preserve">RUBEN DARIO</t>
  </si>
  <si>
    <t xml:space="preserve">04161694063</t>
  </si>
  <si>
    <t xml:space="preserve">000031009861</t>
  </si>
  <si>
    <t xml:space="preserve">04126608202</t>
  </si>
  <si>
    <t xml:space="preserve">000031009862</t>
  </si>
  <si>
    <t xml:space="preserve">OLEANIS MARIA</t>
  </si>
  <si>
    <t xml:space="preserve">MUÑOZ URDANETA</t>
  </si>
  <si>
    <t xml:space="preserve">04269697671</t>
  </si>
  <si>
    <t xml:space="preserve">09760399</t>
  </si>
  <si>
    <t xml:space="preserve">000031070101</t>
  </si>
  <si>
    <t xml:space="preserve">ERVI JOSE</t>
  </si>
  <si>
    <t xml:space="preserve">04162673037</t>
  </si>
  <si>
    <t xml:space="preserve">000031070074</t>
  </si>
  <si>
    <t xml:space="preserve">ELIANIS KARINA</t>
  </si>
  <si>
    <t xml:space="preserve">CHAVEZ MORELO</t>
  </si>
  <si>
    <t xml:space="preserve">BARRIO SIMON BOLIVAR CASA *13</t>
  </si>
  <si>
    <t xml:space="preserve">04120750971</t>
  </si>
  <si>
    <t xml:space="preserve">17825572</t>
  </si>
  <si>
    <t xml:space="preserve">000031070086</t>
  </si>
  <si>
    <t xml:space="preserve">DUGLENIS PAOLA</t>
  </si>
  <si>
    <t xml:space="preserve">PULGAR LEAL</t>
  </si>
  <si>
    <t xml:space="preserve">15939127</t>
  </si>
  <si>
    <t xml:space="preserve">000031024517</t>
  </si>
  <si>
    <t xml:space="preserve">VILLALOBOS CHAVEZ</t>
  </si>
  <si>
    <t xml:space="preserve">04266686686</t>
  </si>
  <si>
    <t xml:space="preserve">14134066</t>
  </si>
  <si>
    <t xml:space="preserve">000031024523</t>
  </si>
  <si>
    <t xml:space="preserve">SECTOR VILLASALAS</t>
  </si>
  <si>
    <t xml:space="preserve">04263161180</t>
  </si>
  <si>
    <t xml:space="preserve">000031024528</t>
  </si>
  <si>
    <t xml:space="preserve">YOANDRY JESUS</t>
  </si>
  <si>
    <t xml:space="preserve">000031696380</t>
  </si>
  <si>
    <t xml:space="preserve">AÑEZ URDANETA</t>
  </si>
  <si>
    <t xml:space="preserve">04262945814</t>
  </si>
  <si>
    <t xml:space="preserve">010322078883</t>
  </si>
  <si>
    <t xml:space="preserve">ROMERO REYES</t>
  </si>
  <si>
    <t xml:space="preserve">04261615223</t>
  </si>
  <si>
    <t xml:space="preserve">000020508734</t>
  </si>
  <si>
    <t xml:space="preserve">010318633059</t>
  </si>
  <si>
    <t xml:space="preserve">PAULINA CAROLINA</t>
  </si>
  <si>
    <t xml:space="preserve">04268003375</t>
  </si>
  <si>
    <t xml:space="preserve">18633059</t>
  </si>
  <si>
    <t xml:space="preserve">000030610730</t>
  </si>
  <si>
    <t xml:space="preserve">ANDRADE ALMARZA</t>
  </si>
  <si>
    <t xml:space="preserve">11947824</t>
  </si>
  <si>
    <t xml:space="preserve">000032135456</t>
  </si>
  <si>
    <t xml:space="preserve">ELIANA PATRICIA</t>
  </si>
  <si>
    <t xml:space="preserve">GARCIA GONZALEZ</t>
  </si>
  <si>
    <t xml:space="preserve">000028515751</t>
  </si>
  <si>
    <t xml:space="preserve">DAVIANA CLARETH</t>
  </si>
  <si>
    <t xml:space="preserve">000031526405</t>
  </si>
  <si>
    <t xml:space="preserve">NORBEL JOSE</t>
  </si>
  <si>
    <t xml:space="preserve">000031527100</t>
  </si>
  <si>
    <t xml:space="preserve">ALLANN DAVID</t>
  </si>
  <si>
    <t xml:space="preserve">LASTRA MUÑOZ</t>
  </si>
  <si>
    <t xml:space="preserve">0414-6520668</t>
  </si>
  <si>
    <t xml:space="preserve">20276898</t>
  </si>
  <si>
    <t xml:space="preserve">000031855217</t>
  </si>
  <si>
    <t xml:space="preserve">ANDREA VALERIA</t>
  </si>
  <si>
    <t xml:space="preserve">ROMERO GOMEZ</t>
  </si>
  <si>
    <t xml:space="preserve">0416-0348167</t>
  </si>
  <si>
    <t xml:space="preserve">000031969633</t>
  </si>
  <si>
    <t xml:space="preserve">MAURO DE JESUS</t>
  </si>
  <si>
    <t xml:space="preserve">15411773</t>
  </si>
  <si>
    <t xml:space="preserve">000032024234</t>
  </si>
  <si>
    <t xml:space="preserve">JOHAN JOSE</t>
  </si>
  <si>
    <t xml:space="preserve">04120161124</t>
  </si>
  <si>
    <t xml:space="preserve">000030634324</t>
  </si>
  <si>
    <t xml:space="preserve">MENDEZ MUÑOZ</t>
  </si>
  <si>
    <t xml:space="preserve">0426-9655414</t>
  </si>
  <si>
    <t xml:space="preserve">000031538088</t>
  </si>
  <si>
    <t xml:space="preserve">RONNY LUIS</t>
  </si>
  <si>
    <t xml:space="preserve">SETOR EL BATCAZO</t>
  </si>
  <si>
    <t xml:space="preserve">04267449631</t>
  </si>
  <si>
    <t xml:space="preserve">21509281</t>
  </si>
  <si>
    <t xml:space="preserve">000030807249</t>
  </si>
  <si>
    <t xml:space="preserve">ENMANUEL ENRIQUE</t>
  </si>
  <si>
    <t xml:space="preserve">04162611023</t>
  </si>
  <si>
    <t xml:space="preserve">19808114</t>
  </si>
  <si>
    <t xml:space="preserve">000031097168</t>
  </si>
  <si>
    <t xml:space="preserve">26860090</t>
  </si>
  <si>
    <t xml:space="preserve">000031097192</t>
  </si>
  <si>
    <t xml:space="preserve">HUMBERTO LUIS</t>
  </si>
  <si>
    <t xml:space="preserve">SECTOR EL MILAGRO</t>
  </si>
  <si>
    <t xml:space="preserve">0424-6976350</t>
  </si>
  <si>
    <t xml:space="preserve">18201786</t>
  </si>
  <si>
    <t xml:space="preserve">000032461062</t>
  </si>
  <si>
    <t xml:space="preserve">DIONI DANIEL</t>
  </si>
  <si>
    <t xml:space="preserve">SECTOR EL MILAGRO CASA N*02</t>
  </si>
  <si>
    <t xml:space="preserve">0426-6613077</t>
  </si>
  <si>
    <t xml:space="preserve">18202291</t>
  </si>
  <si>
    <t xml:space="preserve">000030355746</t>
  </si>
  <si>
    <t xml:space="preserve">DANIELA GABRIELA</t>
  </si>
  <si>
    <t xml:space="preserve">SETOR LOS JAGUEYES</t>
  </si>
  <si>
    <t xml:space="preserve">04260641272</t>
  </si>
  <si>
    <t xml:space="preserve">000030519268</t>
  </si>
  <si>
    <t xml:space="preserve">YOANDER JOSE</t>
  </si>
  <si>
    <t xml:space="preserve">SECTOR EL NARANJAL</t>
  </si>
  <si>
    <t xml:space="preserve">04262870358</t>
  </si>
  <si>
    <t xml:space="preserve">010313371798</t>
  </si>
  <si>
    <t xml:space="preserve">0416-7684964</t>
  </si>
  <si>
    <t xml:space="preserve">13371798</t>
  </si>
  <si>
    <t xml:space="preserve">000031252923</t>
  </si>
  <si>
    <t xml:space="preserve">LEANNEY CAROLINA</t>
  </si>
  <si>
    <t xml:space="preserve">0416-7610754</t>
  </si>
  <si>
    <t xml:space="preserve">000031548692</t>
  </si>
  <si>
    <t xml:space="preserve">YOANGELES DEL VALLE</t>
  </si>
  <si>
    <t xml:space="preserve">02625237798</t>
  </si>
  <si>
    <t xml:space="preserve">11285006</t>
  </si>
  <si>
    <t xml:space="preserve">000003177328</t>
  </si>
  <si>
    <t xml:space="preserve">RENNY DANIEL</t>
  </si>
  <si>
    <t xml:space="preserve">URDANETA BOSCA</t>
  </si>
  <si>
    <t xml:space="preserve">AV.PP LAS JAVILLA</t>
  </si>
  <si>
    <t xml:space="preserve">0426-4628945</t>
  </si>
  <si>
    <t xml:space="preserve">000031524925</t>
  </si>
  <si>
    <t xml:space="preserve">GENESIS EDUBINA</t>
  </si>
  <si>
    <t xml:space="preserve">0416-7634610</t>
  </si>
  <si>
    <t xml:space="preserve">000031869407</t>
  </si>
  <si>
    <t xml:space="preserve">NEURIS JOSE</t>
  </si>
  <si>
    <t xml:space="preserve">LA BERINTO</t>
  </si>
  <si>
    <t xml:space="preserve">02637877896</t>
  </si>
  <si>
    <t xml:space="preserve">000031960545</t>
  </si>
  <si>
    <t xml:space="preserve">MARIANGEL PAOLA</t>
  </si>
  <si>
    <t xml:space="preserve">MELEAN FUENMAYOR</t>
  </si>
  <si>
    <t xml:space="preserve">04169593402</t>
  </si>
  <si>
    <t xml:space="preserve">16151054</t>
  </si>
  <si>
    <t xml:space="preserve">000031459959</t>
  </si>
  <si>
    <t xml:space="preserve">LUZMAIDIS HELICET</t>
  </si>
  <si>
    <t xml:space="preserve">04260716661</t>
  </si>
  <si>
    <t xml:space="preserve">000030355521</t>
  </si>
  <si>
    <t xml:space="preserve">ESPINA ATENCIO</t>
  </si>
  <si>
    <t xml:space="preserve">sector los maranos</t>
  </si>
  <si>
    <t xml:space="preserve">0426487659</t>
  </si>
  <si>
    <t xml:space="preserve">17566830</t>
  </si>
  <si>
    <t xml:space="preserve">000031669387</t>
  </si>
  <si>
    <t xml:space="preserve">JAIVER JUNIOR</t>
  </si>
  <si>
    <t xml:space="preserve">ROJAS CASTELLANO</t>
  </si>
  <si>
    <t xml:space="preserve">sector cardoncitos</t>
  </si>
  <si>
    <t xml:space="preserve">04269222409</t>
  </si>
  <si>
    <t xml:space="preserve">18371105</t>
  </si>
  <si>
    <t xml:space="preserve">000032510904</t>
  </si>
  <si>
    <t xml:space="preserve">JEINER SEGUNDO</t>
  </si>
  <si>
    <t xml:space="preserve">roberto fuenmayor</t>
  </si>
  <si>
    <t xml:space="preserve">04122699908</t>
  </si>
  <si>
    <t xml:space="preserve">000031825502</t>
  </si>
  <si>
    <t xml:space="preserve">04261660216</t>
  </si>
  <si>
    <t xml:space="preserve">000031009874</t>
  </si>
  <si>
    <t xml:space="preserve">ADRIANA VALENTINA</t>
  </si>
  <si>
    <t xml:space="preserve">04127644764</t>
  </si>
  <si>
    <t xml:space="preserve">16365306</t>
  </si>
  <si>
    <t xml:space="preserve">000031499121</t>
  </si>
  <si>
    <t xml:space="preserve">ROSANGELY PAOLA</t>
  </si>
  <si>
    <t xml:space="preserve">SANCHEZ ACOSTA</t>
  </si>
  <si>
    <t xml:space="preserve">maracaibo</t>
  </si>
  <si>
    <t xml:space="preserve">04166603102</t>
  </si>
  <si>
    <t xml:space="preserve">16494155</t>
  </si>
  <si>
    <t xml:space="preserve">000031499367</t>
  </si>
  <si>
    <t xml:space="preserve">MAIRA  ALEJANDRA</t>
  </si>
  <si>
    <t xml:space="preserve">el laberinto</t>
  </si>
  <si>
    <t xml:space="preserve">04167280973</t>
  </si>
  <si>
    <t xml:space="preserve">10406366</t>
  </si>
  <si>
    <t xml:space="preserve">000031097183</t>
  </si>
  <si>
    <t xml:space="preserve">ALFREDO ANTONIO</t>
  </si>
  <si>
    <t xml:space="preserve">MORALES BRACHO</t>
  </si>
  <si>
    <t xml:space="preserve">04267653682</t>
  </si>
  <si>
    <t xml:space="preserve">15986130</t>
  </si>
  <si>
    <t xml:space="preserve">000031097256</t>
  </si>
  <si>
    <t xml:space="preserve">000031754440</t>
  </si>
  <si>
    <t xml:space="preserve">HECTOR AURELIO</t>
  </si>
  <si>
    <t xml:space="preserve">04261616702</t>
  </si>
  <si>
    <t xml:space="preserve">000031009854</t>
  </si>
  <si>
    <t xml:space="preserve">YISNEIDY PAOLA</t>
  </si>
  <si>
    <t xml:space="preserve">FUENMAYOR MACHADO</t>
  </si>
  <si>
    <t xml:space="preserve">04164660509</t>
  </si>
  <si>
    <t xml:space="preserve">14862928</t>
  </si>
  <si>
    <t xml:space="preserve">010472294649</t>
  </si>
  <si>
    <t xml:space="preserve">MARLON DANIEL</t>
  </si>
  <si>
    <t xml:space="preserve">AMARIS HERNANDEZ</t>
  </si>
  <si>
    <t xml:space="preserve">04121415332</t>
  </si>
  <si>
    <t xml:space="preserve">17294649</t>
  </si>
  <si>
    <t xml:space="preserve">000031295322</t>
  </si>
  <si>
    <t xml:space="preserve">04268601395</t>
  </si>
  <si>
    <t xml:space="preserve">000032722958</t>
  </si>
  <si>
    <t xml:space="preserve">YUANGEL JESUS</t>
  </si>
  <si>
    <t xml:space="preserve">000032705483</t>
  </si>
  <si>
    <t xml:space="preserve">ANGEL ANDRES</t>
  </si>
  <si>
    <t xml:space="preserve">02628088544</t>
  </si>
  <si>
    <t xml:space="preserve">17736268</t>
  </si>
  <si>
    <t xml:space="preserve">010417567008</t>
  </si>
  <si>
    <t xml:space="preserve">NORBIS JOSE</t>
  </si>
  <si>
    <t xml:space="preserve">0416135889</t>
  </si>
  <si>
    <t xml:space="preserve">000031009847</t>
  </si>
  <si>
    <t xml:space="preserve">KELLY JOHANA</t>
  </si>
  <si>
    <t xml:space="preserve">000031548663</t>
  </si>
  <si>
    <t xml:space="preserve">OCYALVIS JOSE</t>
  </si>
  <si>
    <t xml:space="preserve">000029740392</t>
  </si>
  <si>
    <t xml:space="preserve">GLOIBER JOSE</t>
  </si>
  <si>
    <t xml:space="preserve">FLORES QUINTERO</t>
  </si>
  <si>
    <t xml:space="preserve">05803242</t>
  </si>
  <si>
    <t xml:space="preserve">010517566854</t>
  </si>
  <si>
    <t xml:space="preserve">barrio 5 de enero</t>
  </si>
  <si>
    <t xml:space="preserve">04126411683</t>
  </si>
  <si>
    <t xml:space="preserve">000030974772</t>
  </si>
  <si>
    <t xml:space="preserve">ACEVEDO GONZALEZ</t>
  </si>
  <si>
    <t xml:space="preserve">02622110007</t>
  </si>
  <si>
    <t xml:space="preserve">16621499</t>
  </si>
  <si>
    <t xml:space="preserve">000032461486</t>
  </si>
  <si>
    <t xml:space="preserve">VICTOR ANDRES</t>
  </si>
  <si>
    <t xml:space="preserve">LIZARAZO FERNANDEZ</t>
  </si>
  <si>
    <t xml:space="preserve">000030739790</t>
  </si>
  <si>
    <t xml:space="preserve">ENDER ANTONIO</t>
  </si>
  <si>
    <t xml:space="preserve">FONSECA PEÑA</t>
  </si>
  <si>
    <t xml:space="preserve">16354290</t>
  </si>
  <si>
    <t xml:space="preserve">000031097264</t>
  </si>
  <si>
    <t xml:space="preserve">YANNY ELENA</t>
  </si>
  <si>
    <t xml:space="preserve">04261635560</t>
  </si>
  <si>
    <t xml:space="preserve">16836190</t>
  </si>
  <si>
    <t xml:space="preserve">010514458073</t>
  </si>
  <si>
    <t xml:space="preserve">FELIX JUNIOR</t>
  </si>
  <si>
    <t xml:space="preserve">04160337457</t>
  </si>
  <si>
    <t xml:space="preserve">000029902982</t>
  </si>
  <si>
    <t xml:space="preserve">LUIS DANY</t>
  </si>
  <si>
    <t xml:space="preserve">MANRIQUE URDANETA</t>
  </si>
  <si>
    <t xml:space="preserve">04125808299</t>
  </si>
  <si>
    <t xml:space="preserve">16782937</t>
  </si>
  <si>
    <t xml:space="preserve">010415523372</t>
  </si>
  <si>
    <t xml:space="preserve">000031097247</t>
  </si>
  <si>
    <t xml:space="preserve">ANGLIBEL DEL CARMEN</t>
  </si>
  <si>
    <t xml:space="preserve">000032582943</t>
  </si>
  <si>
    <t xml:space="preserve">YORKELI DEL CARMEN</t>
  </si>
  <si>
    <t xml:space="preserve">17833765</t>
  </si>
  <si>
    <t xml:space="preserve">000032715060</t>
  </si>
  <si>
    <t xml:space="preserve">YAUNELIN PAOLA</t>
  </si>
  <si>
    <t xml:space="preserve">QUIBA MONTERO</t>
  </si>
  <si>
    <t xml:space="preserve">04165850885</t>
  </si>
  <si>
    <t xml:space="preserve">18318028</t>
  </si>
  <si>
    <t xml:space="preserve">000032008791</t>
  </si>
  <si>
    <t xml:space="preserve">GONZALEZ PEÑA</t>
  </si>
  <si>
    <t xml:space="preserve">04162274507</t>
  </si>
  <si>
    <t xml:space="preserve">12945683</t>
  </si>
  <si>
    <t xml:space="preserve">100216428278</t>
  </si>
  <si>
    <t xml:space="preserve">DANIBELIS DEL VALLE</t>
  </si>
  <si>
    <t xml:space="preserve">04266245925</t>
  </si>
  <si>
    <t xml:space="preserve">16428278</t>
  </si>
  <si>
    <t xml:space="preserve">000031969685</t>
  </si>
  <si>
    <t xml:space="preserve">DANY DANIEL</t>
  </si>
  <si>
    <t xml:space="preserve">BARRIO CAISCAGUITA</t>
  </si>
  <si>
    <t xml:space="preserve">04262498705</t>
  </si>
  <si>
    <t xml:space="preserve">000030268665</t>
  </si>
  <si>
    <t xml:space="preserve">MARIANGEL DEL CARMEN</t>
  </si>
  <si>
    <t xml:space="preserve">FUENMAYOR PORTILLO</t>
  </si>
  <si>
    <t xml:space="preserve">21074906</t>
  </si>
  <si>
    <t xml:space="preserve">000031682615</t>
  </si>
  <si>
    <t xml:space="preserve">JIMENEZ CAMPOS</t>
  </si>
  <si>
    <t xml:space="preserve">04121270784</t>
  </si>
  <si>
    <t xml:space="preserve">22141423</t>
  </si>
  <si>
    <t xml:space="preserve">000031296979</t>
  </si>
  <si>
    <t xml:space="preserve">DAYALY ESTEFANY</t>
  </si>
  <si>
    <t xml:space="preserve">BOHORQUEZ LOPEZ</t>
  </si>
  <si>
    <t xml:space="preserve">04246915662</t>
  </si>
  <si>
    <t xml:space="preserve">20509675</t>
  </si>
  <si>
    <t xml:space="preserve">000033123546</t>
  </si>
  <si>
    <t xml:space="preserve">JOHANA DEL CARMEN</t>
  </si>
  <si>
    <t xml:space="preserve">000030199974</t>
  </si>
  <si>
    <t xml:space="preserve">DAVIELIS CHIQUINQUIRA</t>
  </si>
  <si>
    <t xml:space="preserve">SUAREZ MENDOZA</t>
  </si>
  <si>
    <t xml:space="preserve">CACHIRI</t>
  </si>
  <si>
    <t xml:space="preserve">04268681361</t>
  </si>
  <si>
    <t xml:space="preserve">64893020</t>
  </si>
  <si>
    <t xml:space="preserve">000030762837</t>
  </si>
  <si>
    <t xml:space="preserve">000030862607</t>
  </si>
  <si>
    <t xml:space="preserve">000024249809</t>
  </si>
  <si>
    <t xml:space="preserve">NAIROLYS DEL CARMEN</t>
  </si>
  <si>
    <t xml:space="preserve">000018662084</t>
  </si>
  <si>
    <t xml:space="preserve">NAIROBYS DEL CARMEN</t>
  </si>
  <si>
    <t xml:space="preserve">000020058119</t>
  </si>
  <si>
    <t xml:space="preserve">EDWIN JAVIER</t>
  </si>
  <si>
    <t xml:space="preserve">000019645385</t>
  </si>
  <si>
    <t xml:space="preserve">IRENE MARIA</t>
  </si>
  <si>
    <t xml:space="preserve">VILCHEZ URDANETA</t>
  </si>
  <si>
    <t xml:space="preserve">4 BOCAS</t>
  </si>
  <si>
    <t xml:space="preserve">000025039649</t>
  </si>
  <si>
    <t xml:space="preserve">ANJALIMER EMPERATRIZ</t>
  </si>
  <si>
    <t xml:space="preserve">000023466561</t>
  </si>
  <si>
    <t xml:space="preserve">000024250015</t>
  </si>
  <si>
    <t xml:space="preserve">IRISMEL DEL CARMEN</t>
  </si>
  <si>
    <t xml:space="preserve">GONZALEZ CORREA</t>
  </si>
  <si>
    <t xml:space="preserve">000031070093</t>
  </si>
  <si>
    <t xml:space="preserve">DAIMERY CHIQUINQUIRA</t>
  </si>
  <si>
    <t xml:space="preserve">LAS PACELAS DE LA PAZ</t>
  </si>
  <si>
    <t xml:space="preserve">04264617442</t>
  </si>
  <si>
    <t xml:space="preserve">000031024530</t>
  </si>
  <si>
    <t xml:space="preserve">000031024532</t>
  </si>
  <si>
    <t xml:space="preserve">04125800747</t>
  </si>
  <si>
    <t xml:space="preserve">000031024534</t>
  </si>
  <si>
    <t xml:space="preserve">ADRIANA CHIQUINQUIRA</t>
  </si>
  <si>
    <t xml:space="preserve">04264234546</t>
  </si>
  <si>
    <t xml:space="preserve">000031049739</t>
  </si>
  <si>
    <t xml:space="preserve">YORDANY DE JESUS</t>
  </si>
  <si>
    <t xml:space="preserve">HERNANDEZ VIZCAINO</t>
  </si>
  <si>
    <t xml:space="preserve">04126607246</t>
  </si>
  <si>
    <t xml:space="preserve">23466374</t>
  </si>
  <si>
    <t xml:space="preserve">000031070117</t>
  </si>
  <si>
    <t xml:space="preserve">YOLYMAR CHIQUINQUIRA</t>
  </si>
  <si>
    <t xml:space="preserve">04262239402</t>
  </si>
  <si>
    <t xml:space="preserve">14134067</t>
  </si>
  <si>
    <t xml:space="preserve">000031070124</t>
  </si>
  <si>
    <t xml:space="preserve">LEIDYS LEONELA</t>
  </si>
  <si>
    <t xml:space="preserve">VILLASMIL PEREZ</t>
  </si>
  <si>
    <t xml:space="preserve">04263071969</t>
  </si>
  <si>
    <t xml:space="preserve">20685673</t>
  </si>
  <si>
    <t xml:space="preserve">000030299127</t>
  </si>
  <si>
    <t xml:space="preserve">04126884019</t>
  </si>
  <si>
    <t xml:space="preserve">000030748821</t>
  </si>
  <si>
    <t xml:space="preserve">DAIKELY DEL CARMEN</t>
  </si>
  <si>
    <t xml:space="preserve">OLIVEROS MACHADO</t>
  </si>
  <si>
    <t xml:space="preserve">000031252667</t>
  </si>
  <si>
    <t xml:space="preserve">NAYELY  PAOLA</t>
  </si>
  <si>
    <t xml:space="preserve">MORILLO FERNANDEZ</t>
  </si>
  <si>
    <t xml:space="preserve">04246281592</t>
  </si>
  <si>
    <t xml:space="preserve">20439378</t>
  </si>
  <si>
    <t xml:space="preserve">000031289044</t>
  </si>
  <si>
    <t xml:space="preserve">JOHARNALDHY SARITH</t>
  </si>
  <si>
    <t xml:space="preserve">URDANETA VICUÑA</t>
  </si>
  <si>
    <t xml:space="preserve">04120726276</t>
  </si>
  <si>
    <t xml:space="preserve">010439072342</t>
  </si>
  <si>
    <t xml:space="preserve">VENERA RODRIGUEZ</t>
  </si>
  <si>
    <t xml:space="preserve">0416-2629127</t>
  </si>
  <si>
    <t xml:space="preserve">39072342</t>
  </si>
  <si>
    <t xml:space="preserve">010218573349</t>
  </si>
  <si>
    <t xml:space="preserve">JUNIOR JOSUE</t>
  </si>
  <si>
    <t xml:space="preserve">PARRA LOPEZ</t>
  </si>
  <si>
    <t xml:space="preserve">ROMULO BENTACURT</t>
  </si>
  <si>
    <t xml:space="preserve">02624117926</t>
  </si>
  <si>
    <t xml:space="preserve">18573349</t>
  </si>
  <si>
    <t xml:space="preserve">000031276174</t>
  </si>
  <si>
    <t xml:space="preserve">EDISON JOSE</t>
  </si>
  <si>
    <t xml:space="preserve">010325610931</t>
  </si>
  <si>
    <t xml:space="preserve">WUILSON DAVID</t>
  </si>
  <si>
    <t xml:space="preserve">LA SIERRA</t>
  </si>
  <si>
    <t xml:space="preserve">0412-5290209</t>
  </si>
  <si>
    <t xml:space="preserve">010315286413</t>
  </si>
  <si>
    <t xml:space="preserve">JARVI ANTHONY</t>
  </si>
  <si>
    <t xml:space="preserve">000038000041</t>
  </si>
  <si>
    <t xml:space="preserve">DIOLIANA DEL CARMEN</t>
  </si>
  <si>
    <t xml:space="preserve">0426-4334914</t>
  </si>
  <si>
    <t xml:space="preserve">000031289322</t>
  </si>
  <si>
    <t xml:space="preserve">000038000040</t>
  </si>
  <si>
    <t xml:space="preserve">MEIVI ANTONIO</t>
  </si>
  <si>
    <t xml:space="preserve">0426-0860926</t>
  </si>
  <si>
    <t xml:space="preserve">010317738015</t>
  </si>
  <si>
    <t xml:space="preserve">ESTEFANNY CAROLINA</t>
  </si>
  <si>
    <t xml:space="preserve">0416-3650979</t>
  </si>
  <si>
    <t xml:space="preserve">000031389309</t>
  </si>
  <si>
    <t xml:space="preserve">ALESANDRA MARIA</t>
  </si>
  <si>
    <t xml:space="preserve">0416-1168940</t>
  </si>
  <si>
    <t xml:space="preserve">20583679</t>
  </si>
  <si>
    <t xml:space="preserve">010115919258</t>
  </si>
  <si>
    <t xml:space="preserve">EDGARDO JAVIER</t>
  </si>
  <si>
    <t xml:space="preserve">RODRIGUEZ PEREZ</t>
  </si>
  <si>
    <t xml:space="preserve">15919258</t>
  </si>
  <si>
    <t xml:space="preserve">000031940668</t>
  </si>
  <si>
    <t xml:space="preserve">ENGENYS AURA</t>
  </si>
  <si>
    <t xml:space="preserve">TORRES RICO</t>
  </si>
  <si>
    <t xml:space="preserve">0416-2616989</t>
  </si>
  <si>
    <t xml:space="preserve">22120947</t>
  </si>
  <si>
    <t xml:space="preserve">000030902803</t>
  </si>
  <si>
    <t xml:space="preserve">EYLEE VANESA</t>
  </si>
  <si>
    <t xml:space="preserve">EL MOLINETE</t>
  </si>
  <si>
    <t xml:space="preserve">010218427324</t>
  </si>
  <si>
    <t xml:space="preserve">CASTELLANO ATENCIO</t>
  </si>
  <si>
    <t xml:space="preserve">SECTOR EL CIUJI</t>
  </si>
  <si>
    <t xml:space="preserve">04160192674</t>
  </si>
  <si>
    <t xml:space="preserve">18427324</t>
  </si>
  <si>
    <t xml:space="preserve">000030676725</t>
  </si>
  <si>
    <t xml:space="preserve">KENIDE</t>
  </si>
  <si>
    <t xml:space="preserve">SECTOR EL CUJI</t>
  </si>
  <si>
    <t xml:space="preserve">0416324769</t>
  </si>
  <si>
    <t xml:space="preserve">000031024550</t>
  </si>
  <si>
    <t xml:space="preserve">YDERLIN MARIA</t>
  </si>
  <si>
    <t xml:space="preserve">SANCHEZ LABARCA</t>
  </si>
  <si>
    <t xml:space="preserve">las javillitas</t>
  </si>
  <si>
    <t xml:space="preserve">04266610930</t>
  </si>
  <si>
    <t xml:space="preserve">000032008762</t>
  </si>
  <si>
    <t xml:space="preserve">GONZALEZ MONTOYA</t>
  </si>
  <si>
    <t xml:space="preserve">las vegas</t>
  </si>
  <si>
    <t xml:space="preserve">04266893514</t>
  </si>
  <si>
    <t xml:space="preserve">000031722328</t>
  </si>
  <si>
    <t xml:space="preserve">04264628945</t>
  </si>
  <si>
    <t xml:space="preserve">000031576102</t>
  </si>
  <si>
    <t xml:space="preserve">FEDERMILIS</t>
  </si>
  <si>
    <t xml:space="preserve">04162604073</t>
  </si>
  <si>
    <t xml:space="preserve">000021511011</t>
  </si>
  <si>
    <t xml:space="preserve">RISMELY PAOLA</t>
  </si>
  <si>
    <t xml:space="preserve">000031097270</t>
  </si>
  <si>
    <t xml:space="preserve">FIORELLA DEL VALLE</t>
  </si>
  <si>
    <t xml:space="preserve">000031262710</t>
  </si>
  <si>
    <t xml:space="preserve">MARWIN ALEJANDRO</t>
  </si>
  <si>
    <t xml:space="preserve">PULGAR PALMAR</t>
  </si>
  <si>
    <t xml:space="preserve">000030299957</t>
  </si>
  <si>
    <t xml:space="preserve">ELICIA NAZARETH</t>
  </si>
  <si>
    <t xml:space="preserve">LOZADA MONCADA</t>
  </si>
  <si>
    <t xml:space="preserve">04167054945</t>
  </si>
  <si>
    <t xml:space="preserve">19582875</t>
  </si>
  <si>
    <t xml:space="preserve">000027292148</t>
  </si>
  <si>
    <t xml:space="preserve">YELIANA PATRICIA</t>
  </si>
  <si>
    <t xml:space="preserve">000030216760</t>
  </si>
  <si>
    <t xml:space="preserve">DEINER JOSUE</t>
  </si>
  <si>
    <t xml:space="preserve">NAZARENO</t>
  </si>
  <si>
    <t xml:space="preserve">04269010182</t>
  </si>
  <si>
    <t xml:space="preserve">010316919258</t>
  </si>
  <si>
    <t xml:space="preserve">KATY JULIETH</t>
  </si>
  <si>
    <t xml:space="preserve">010522485034</t>
  </si>
  <si>
    <t xml:space="preserve">LARA TERAN</t>
  </si>
  <si>
    <t xml:space="preserve">la parada de los buces</t>
  </si>
  <si>
    <t xml:space="preserve">04261621201</t>
  </si>
  <si>
    <t xml:space="preserve">000027292822</t>
  </si>
  <si>
    <t xml:space="preserve">GENESIS GABRIELA</t>
  </si>
  <si>
    <t xml:space="preserve">BRAVO LOPEZ</t>
  </si>
  <si>
    <t xml:space="preserve">04126666293</t>
  </si>
  <si>
    <t xml:space="preserve">25883660</t>
  </si>
  <si>
    <t xml:space="preserve">000030200347</t>
  </si>
  <si>
    <t xml:space="preserve">GEORGINA PAOLA</t>
  </si>
  <si>
    <t xml:space="preserve">QUINTERO BUELVAS</t>
  </si>
  <si>
    <t xml:space="preserve">04268378005</t>
  </si>
  <si>
    <t xml:space="preserve">10655697</t>
  </si>
  <si>
    <t xml:space="preserve">000027909697</t>
  </si>
  <si>
    <t xml:space="preserve">ENDER LUIS</t>
  </si>
  <si>
    <t xml:space="preserve">ZABALETA GONZALEZ</t>
  </si>
  <si>
    <t xml:space="preserve">04127885854</t>
  </si>
  <si>
    <t xml:space="preserve">19645653</t>
  </si>
  <si>
    <t xml:space="preserve">000012513763</t>
  </si>
  <si>
    <t xml:space="preserve">WILFREDO ENRIQUE</t>
  </si>
  <si>
    <t xml:space="preserve">000017089709</t>
  </si>
  <si>
    <t xml:space="preserve">NAIRY CHIQUINQUIRA</t>
  </si>
  <si>
    <t xml:space="preserve">000030512240</t>
  </si>
  <si>
    <t xml:space="preserve">DARIANNY CAROLINA</t>
  </si>
  <si>
    <t xml:space="preserve">DIAZ RIVAS</t>
  </si>
  <si>
    <t xml:space="preserve">04146608835</t>
  </si>
  <si>
    <t xml:space="preserve">18312018</t>
  </si>
  <si>
    <t xml:space="preserve">000030808883</t>
  </si>
  <si>
    <t xml:space="preserve">BELLO GONZALEZ</t>
  </si>
  <si>
    <t xml:space="preserve">las marias</t>
  </si>
  <si>
    <t xml:space="preserve">04261645580</t>
  </si>
  <si>
    <t xml:space="preserve">13878826</t>
  </si>
  <si>
    <t xml:space="preserve">000021509434</t>
  </si>
  <si>
    <t xml:space="preserve">YENIFFER DEL CARMEN</t>
  </si>
  <si>
    <t xml:space="preserve">000025481014</t>
  </si>
  <si>
    <t xml:space="preserve">DARIANA CAROLINA</t>
  </si>
  <si>
    <t xml:space="preserve">000030299143</t>
  </si>
  <si>
    <t xml:space="preserve">MARIA ELENA</t>
  </si>
  <si>
    <t xml:space="preserve">000030419055</t>
  </si>
  <si>
    <t xml:space="preserve">SOTO GARCIA</t>
  </si>
  <si>
    <t xml:space="preserve">000027998215</t>
  </si>
  <si>
    <t xml:space="preserve">ESPINA FINOL</t>
  </si>
  <si>
    <t xml:space="preserve">04261075267</t>
  </si>
  <si>
    <t xml:space="preserve">20147978</t>
  </si>
  <si>
    <t xml:space="preserve">000030599144</t>
  </si>
  <si>
    <t xml:space="preserve">ARGENIS JOSE</t>
  </si>
  <si>
    <t xml:space="preserve">ROMERO ZABALETA</t>
  </si>
  <si>
    <t xml:space="preserve">000019484225</t>
  </si>
  <si>
    <t xml:space="preserve">000018317527</t>
  </si>
  <si>
    <t xml:space="preserve">PATRICIA DEL PILAR</t>
  </si>
  <si>
    <t xml:space="preserve">000023769227</t>
  </si>
  <si>
    <t xml:space="preserve">ALBELIS MISLEIDIS</t>
  </si>
  <si>
    <t xml:space="preserve">000029982038</t>
  </si>
  <si>
    <t xml:space="preserve">ELIANNYS CAROLINA</t>
  </si>
  <si>
    <t xml:space="preserve">04164629006</t>
  </si>
  <si>
    <t xml:space="preserve">000015945382</t>
  </si>
  <si>
    <t xml:space="preserve">GLEIDYS CAROLINA</t>
  </si>
  <si>
    <t xml:space="preserve">FARIA FUENMAYOR</t>
  </si>
  <si>
    <t xml:space="preserve">000031070126</t>
  </si>
  <si>
    <t xml:space="preserve">YORGELIS MARIA</t>
  </si>
  <si>
    <t xml:space="preserve">000032722484</t>
  </si>
  <si>
    <t xml:space="preserve">RIVAS MARMOL</t>
  </si>
  <si>
    <t xml:space="preserve">los lirios</t>
  </si>
  <si>
    <t xml:space="preserve">04160179994</t>
  </si>
  <si>
    <t xml:space="preserve">31718463</t>
  </si>
  <si>
    <t xml:space="preserve">000029563416</t>
  </si>
  <si>
    <t xml:space="preserve">JEREMY JESUS</t>
  </si>
  <si>
    <t xml:space="preserve">POLANCO GERARDO</t>
  </si>
  <si>
    <t xml:space="preserve">07719414</t>
  </si>
  <si>
    <t xml:space="preserve">000020987935</t>
  </si>
  <si>
    <t xml:space="preserve">EURIMAR DEL VALLE</t>
  </si>
  <si>
    <t xml:space="preserve">FERRER MAYOR</t>
  </si>
  <si>
    <t xml:space="preserve">PALITO BLANCO</t>
  </si>
  <si>
    <t xml:space="preserve">000031825501</t>
  </si>
  <si>
    <t xml:space="preserve">JESUS ESTEBAN</t>
  </si>
  <si>
    <t xml:space="preserve">001047436829</t>
  </si>
  <si>
    <t xml:space="preserve">JUAN ENRIQUE</t>
  </si>
  <si>
    <t xml:space="preserve">VERGARA LADEUS</t>
  </si>
  <si>
    <t xml:space="preserve">CARTAGENA DE INDIAS</t>
  </si>
  <si>
    <t xml:space="preserve">000017938270</t>
  </si>
  <si>
    <t xml:space="preserve">04122392357</t>
  </si>
  <si>
    <t xml:space="preserve">000027090738</t>
  </si>
  <si>
    <t xml:space="preserve">JAIRO JOSE</t>
  </si>
  <si>
    <t xml:space="preserve">MENDOZA AVILA</t>
  </si>
  <si>
    <t xml:space="preserve">000015887904</t>
  </si>
  <si>
    <t xml:space="preserve">DIOMERYS DE JESUS</t>
  </si>
  <si>
    <t xml:space="preserve">000029812132</t>
  </si>
  <si>
    <t xml:space="preserve">MERWIN JOSE</t>
  </si>
  <si>
    <t xml:space="preserve">000015624145</t>
  </si>
  <si>
    <t xml:space="preserve">ARELIS MARGARITA</t>
  </si>
  <si>
    <t xml:space="preserve">000017938272</t>
  </si>
  <si>
    <t xml:space="preserve">OLIMARY DEL VALLE</t>
  </si>
  <si>
    <t xml:space="preserve">LA PAZ AVENIDA PRINCIPAL CAMPO BOYACA</t>
  </si>
  <si>
    <t xml:space="preserve">*******</t>
  </si>
  <si>
    <t xml:space="preserve">000030655208</t>
  </si>
  <si>
    <t xml:space="preserve">WHUINDERYER ANTONIO</t>
  </si>
  <si>
    <t xml:space="preserve">000019810699</t>
  </si>
  <si>
    <t xml:space="preserve">JESUS JESUS</t>
  </si>
  <si>
    <t xml:space="preserve">000016150998</t>
  </si>
  <si>
    <t xml:space="preserve">OSWALDO JOSE</t>
  </si>
  <si>
    <t xml:space="preserve">BRACHO MAYOR</t>
  </si>
  <si>
    <t xml:space="preserve">011121166750</t>
  </si>
  <si>
    <t xml:space="preserve">URDANETA RODRIGUEZ</t>
  </si>
  <si>
    <t xml:space="preserve">Barrio Simón Bolívar</t>
  </si>
  <si>
    <t xml:space="preserve">04126592497</t>
  </si>
  <si>
    <t xml:space="preserve">21166750</t>
  </si>
  <si>
    <t xml:space="preserve">000032900395</t>
  </si>
  <si>
    <t xml:space="preserve">000031888895</t>
  </si>
  <si>
    <t xml:space="preserve">MORAILYS JOSÈ</t>
  </si>
  <si>
    <t xml:space="preserve">SAN JOSÈ</t>
  </si>
  <si>
    <t xml:space="preserve">04169688982</t>
  </si>
  <si>
    <t xml:space="preserve">001069783702</t>
  </si>
  <si>
    <t xml:space="preserve">ROMERO OROZCO</t>
  </si>
  <si>
    <t xml:space="preserve">Z</t>
  </si>
  <si>
    <t xml:space="preserve">09783702</t>
  </si>
  <si>
    <t xml:space="preserve">000034470952</t>
  </si>
  <si>
    <t xml:space="preserve">RAFAEL DAVID</t>
  </si>
  <si>
    <t xml:space="preserve">VILLALOBOS ORTIZ</t>
  </si>
  <si>
    <t xml:space="preserve">04261600814</t>
  </si>
  <si>
    <t xml:space="preserve">000033458657</t>
  </si>
  <si>
    <t xml:space="preserve">04126696056</t>
  </si>
  <si>
    <t xml:space="preserve">18394499</t>
  </si>
  <si>
    <t xml:space="preserve">000031969644</t>
  </si>
  <si>
    <t xml:space="preserve">JIMMARY DEL CARMEN</t>
  </si>
  <si>
    <t xml:space="preserve">04266627817</t>
  </si>
  <si>
    <t xml:space="preserve">000031696213</t>
  </si>
  <si>
    <t xml:space="preserve">YESSICA LORENA</t>
  </si>
  <si>
    <t xml:space="preserve">ESTRADA CARRILLO</t>
  </si>
  <si>
    <t xml:space="preserve">04169626059</t>
  </si>
  <si>
    <t xml:space="preserve">10847261</t>
  </si>
  <si>
    <t xml:space="preserve">000032830981</t>
  </si>
  <si>
    <t xml:space="preserve">PERDOMO MARTINEZ</t>
  </si>
  <si>
    <t xml:space="preserve">04127512219</t>
  </si>
  <si>
    <t xml:space="preserve">000034301422</t>
  </si>
  <si>
    <t xml:space="preserve">CALIZA</t>
  </si>
  <si>
    <t xml:space="preserve">04267017101</t>
  </si>
  <si>
    <t xml:space="preserve">15053835</t>
  </si>
  <si>
    <t xml:space="preserve">000031738306</t>
  </si>
  <si>
    <t xml:space="preserve">YOSELIN DEL VALLE</t>
  </si>
  <si>
    <t xml:space="preserve">04262018653</t>
  </si>
  <si>
    <t xml:space="preserve">20778382</t>
  </si>
  <si>
    <t xml:space="preserve">000031724919</t>
  </si>
  <si>
    <t xml:space="preserve">000032600618</t>
  </si>
  <si>
    <t xml:space="preserve">VERA CASTEJON</t>
  </si>
  <si>
    <t xml:space="preserve">04164660885</t>
  </si>
  <si>
    <t xml:space="preserve">15479103</t>
  </si>
  <si>
    <t xml:space="preserve">000031869424</t>
  </si>
  <si>
    <t xml:space="preserve">AZUAJE CHACON</t>
  </si>
  <si>
    <t xml:space="preserve">04263632564</t>
  </si>
  <si>
    <t xml:space="preserve">000031800045</t>
  </si>
  <si>
    <t xml:space="preserve">VALERIA VALENTINA</t>
  </si>
  <si>
    <t xml:space="preserve">LA PARADA DE AUTOBUSES</t>
  </si>
  <si>
    <t xml:space="preserve">04121261057</t>
  </si>
  <si>
    <t xml:space="preserve">000032062324</t>
  </si>
  <si>
    <t xml:space="preserve">YESIREE MARIA</t>
  </si>
  <si>
    <t xml:space="preserve">MAS Y RUBI VILLALOBOS</t>
  </si>
  <si>
    <t xml:space="preserve">04261227104</t>
  </si>
  <si>
    <t xml:space="preserve">23466401</t>
  </si>
  <si>
    <t xml:space="preserve">000033152310</t>
  </si>
  <si>
    <t xml:space="preserve">LIOVER DAVID</t>
  </si>
  <si>
    <t xml:space="preserve">04263661258</t>
  </si>
  <si>
    <t xml:space="preserve">17938235</t>
  </si>
  <si>
    <t xml:space="preserve">000031876187</t>
  </si>
  <si>
    <t xml:space="preserve">YORKELIS PAOLA</t>
  </si>
  <si>
    <t xml:space="preserve">MACHADO ATENCIO</t>
  </si>
  <si>
    <t xml:space="preserve">04267670427</t>
  </si>
  <si>
    <t xml:space="preserve">16458561</t>
  </si>
  <si>
    <t xml:space="preserve">MICHELL MARIAN</t>
  </si>
  <si>
    <t xml:space="preserve">000032459867</t>
  </si>
  <si>
    <t xml:space="preserve">HEISON DANIEL</t>
  </si>
  <si>
    <t xml:space="preserve">FUENMAYOR ZAMORA</t>
  </si>
  <si>
    <t xml:space="preserve">04167652181</t>
  </si>
  <si>
    <t xml:space="preserve">000033500200</t>
  </si>
  <si>
    <t xml:space="preserve">ELEAN ENRIQUE</t>
  </si>
  <si>
    <t xml:space="preserve">NAVARRO RAMIREZ</t>
  </si>
  <si>
    <t xml:space="preserve">04248647080</t>
  </si>
  <si>
    <t xml:space="preserve">16150698</t>
  </si>
  <si>
    <t xml:space="preserve">000032670442</t>
  </si>
  <si>
    <t xml:space="preserve">YOELKER</t>
  </si>
  <si>
    <t xml:space="preserve">000032699624</t>
  </si>
  <si>
    <t xml:space="preserve">NOEMI PAOLA</t>
  </si>
  <si>
    <t xml:space="preserve">04121212049</t>
  </si>
  <si>
    <t xml:space="preserve">000031722752</t>
  </si>
  <si>
    <t xml:space="preserve">EMILIANI CAROLINA</t>
  </si>
  <si>
    <t xml:space="preserve">PARRA FUENMAYOR</t>
  </si>
  <si>
    <t xml:space="preserve">04125148527</t>
  </si>
  <si>
    <t xml:space="preserve">17180079</t>
  </si>
  <si>
    <t xml:space="preserve">000031799996</t>
  </si>
  <si>
    <t xml:space="preserve">FRANSHESKA PAOLA</t>
  </si>
  <si>
    <t xml:space="preserve">URDANETA MELEAN</t>
  </si>
  <si>
    <t xml:space="preserve">04121657836</t>
  </si>
  <si>
    <t xml:space="preserve">20058206</t>
  </si>
  <si>
    <t xml:space="preserve">000032749858</t>
  </si>
  <si>
    <t xml:space="preserve">04121268598</t>
  </si>
  <si>
    <t xml:space="preserve">10408743</t>
  </si>
  <si>
    <t xml:space="preserve">000034406061</t>
  </si>
  <si>
    <t xml:space="preserve">YOHANNA GABRIELA</t>
  </si>
  <si>
    <t xml:space="preserve">04261643909</t>
  </si>
  <si>
    <t xml:space="preserve">000031097046</t>
  </si>
  <si>
    <t xml:space="preserve">YOHERVIS ENRIQUE</t>
  </si>
  <si>
    <t xml:space="preserve">04120762922</t>
  </si>
  <si>
    <t xml:space="preserve">000032461513</t>
  </si>
  <si>
    <t xml:space="preserve">GAUDIS PAOLA</t>
  </si>
  <si>
    <t xml:space="preserve">FERRER SEVILLA</t>
  </si>
  <si>
    <t xml:space="preserve">AV. PRNCIPAL LA ESTACION DE SERVICIO</t>
  </si>
  <si>
    <t xml:space="preserve">000032175669</t>
  </si>
  <si>
    <t xml:space="preserve">MIGUEL DANIEL</t>
  </si>
  <si>
    <t xml:space="preserve">PARADA MELEAN</t>
  </si>
  <si>
    <t xml:space="preserve">04265677265</t>
  </si>
  <si>
    <t xml:space="preserve">10447815</t>
  </si>
  <si>
    <t xml:space="preserve">000033724352</t>
  </si>
  <si>
    <t xml:space="preserve">ALYELIS DEL CARMEN</t>
  </si>
  <si>
    <t xml:space="preserve">MONTES GUTIERREZ</t>
  </si>
  <si>
    <t xml:space="preserve">04126818584</t>
  </si>
  <si>
    <t xml:space="preserve">20370763</t>
  </si>
  <si>
    <t xml:space="preserve">000031765387</t>
  </si>
  <si>
    <t xml:space="preserve">DANIEL ANTONIO</t>
  </si>
  <si>
    <t xml:space="preserve">PORTILLO SALAZAR</t>
  </si>
  <si>
    <t xml:space="preserve">04164674810</t>
  </si>
  <si>
    <t xml:space="preserve">000034779376</t>
  </si>
  <si>
    <t xml:space="preserve">VICTOR DAVID</t>
  </si>
  <si>
    <t xml:space="preserve">GONZALEZ BARROSO</t>
  </si>
  <si>
    <t xml:space="preserve">NUEVA ESPARTA</t>
  </si>
  <si>
    <t xml:space="preserve">NE</t>
  </si>
  <si>
    <t xml:space="preserve">04126444808</t>
  </si>
  <si>
    <t xml:space="preserve">19520595</t>
  </si>
  <si>
    <t xml:space="preserve">000031097269</t>
  </si>
  <si>
    <t xml:space="preserve">0412644808</t>
  </si>
  <si>
    <t xml:space="preserve">000031516220</t>
  </si>
  <si>
    <t xml:space="preserve">CRISBELL JOSE</t>
  </si>
  <si>
    <t xml:space="preserve">04165375853</t>
  </si>
  <si>
    <t xml:space="preserve">000031525317</t>
  </si>
  <si>
    <t xml:space="preserve"> 04266014763</t>
  </si>
  <si>
    <t xml:space="preserve">010612591597</t>
  </si>
  <si>
    <t xml:space="preserve">KATERIN DANIELA</t>
  </si>
  <si>
    <t xml:space="preserve">000031601541</t>
  </si>
  <si>
    <t xml:space="preserve">04246633166</t>
  </si>
  <si>
    <t xml:space="preserve">15053184</t>
  </si>
  <si>
    <t xml:space="preserve">000031969634</t>
  </si>
  <si>
    <t xml:space="preserve">KARLA ALEJANDRA</t>
  </si>
  <si>
    <t xml:space="preserve">04269243158</t>
  </si>
  <si>
    <t xml:space="preserve">09741065</t>
  </si>
  <si>
    <t xml:space="preserve">000031802247</t>
  </si>
  <si>
    <t xml:space="preserve">DARIALVIS PAOLA</t>
  </si>
  <si>
    <t xml:space="preserve">VALBUENA CARRASQUERO</t>
  </si>
  <si>
    <t xml:space="preserve">04125806619</t>
  </si>
  <si>
    <t xml:space="preserve">17635567</t>
  </si>
  <si>
    <t xml:space="preserve">000032461065</t>
  </si>
  <si>
    <t xml:space="preserve">BRICEÑO MELEAN</t>
  </si>
  <si>
    <t xml:space="preserve">11860905</t>
  </si>
  <si>
    <t xml:space="preserve">000031969646</t>
  </si>
  <si>
    <t xml:space="preserve">GUSTAVO ADELSO</t>
  </si>
  <si>
    <t xml:space="preserve">04127758004</t>
  </si>
  <si>
    <t xml:space="preserve">17566470</t>
  </si>
  <si>
    <t xml:space="preserve">000033194890</t>
  </si>
  <si>
    <t xml:space="preserve">ISMAELY PAOLA</t>
  </si>
  <si>
    <t xml:space="preserve">04120619293</t>
  </si>
  <si>
    <t xml:space="preserve">000032383944</t>
  </si>
  <si>
    <t xml:space="preserve">ANA ANTHONELLA</t>
  </si>
  <si>
    <t xml:space="preserve">04146817709</t>
  </si>
  <si>
    <t xml:space="preserve">000031669545</t>
  </si>
  <si>
    <t xml:space="preserve">LEIDA ESTHER</t>
  </si>
  <si>
    <t xml:space="preserve">04266239585</t>
  </si>
  <si>
    <t xml:space="preserve">000032831152</t>
  </si>
  <si>
    <t xml:space="preserve">ANGELIS ALEXANDRA</t>
  </si>
  <si>
    <t xml:space="preserve">MORALES ATENCIO</t>
  </si>
  <si>
    <t xml:space="preserve">04263632783</t>
  </si>
  <si>
    <t xml:space="preserve">17938287</t>
  </si>
  <si>
    <t xml:space="preserve">000031969647</t>
  </si>
  <si>
    <t xml:space="preserve">KEISER JESUS</t>
  </si>
  <si>
    <t xml:space="preserve">04262691571</t>
  </si>
  <si>
    <t xml:space="preserve">000031865269</t>
  </si>
  <si>
    <t xml:space="preserve">OLGUIMAR DEL VALLE</t>
  </si>
  <si>
    <t xml:space="preserve">OLIVEROS NEGRETTE</t>
  </si>
  <si>
    <t xml:space="preserve">04121667105</t>
  </si>
  <si>
    <t xml:space="preserve">17938260</t>
  </si>
  <si>
    <t xml:space="preserve">000031864983</t>
  </si>
  <si>
    <t xml:space="preserve">YONJARVI ANTONIO</t>
  </si>
  <si>
    <t xml:space="preserve">19211656</t>
  </si>
  <si>
    <t xml:space="preserve">000032722494</t>
  </si>
  <si>
    <t xml:space="preserve">DAIKELYS PAOLA</t>
  </si>
  <si>
    <t xml:space="preserve">ROMERO MADERA</t>
  </si>
  <si>
    <t xml:space="preserve">000030902507</t>
  </si>
  <si>
    <t xml:space="preserve">ISAMAL PAOLA</t>
  </si>
  <si>
    <t xml:space="preserve">ZAMBRANO MARQUEZ</t>
  </si>
  <si>
    <t xml:space="preserve">04264602609</t>
  </si>
  <si>
    <t xml:space="preserve">12757757</t>
  </si>
  <si>
    <t xml:space="preserve">000030832983</t>
  </si>
  <si>
    <t xml:space="preserve">RAQUEL MARIA</t>
  </si>
  <si>
    <t xml:space="preserve">04126848203</t>
  </si>
  <si>
    <t xml:space="preserve">000032008774</t>
  </si>
  <si>
    <t xml:space="preserve">DARLENA LORENA</t>
  </si>
  <si>
    <t xml:space="preserve">BERRUETA VILLALOBOS</t>
  </si>
  <si>
    <t xml:space="preserve">02624936603</t>
  </si>
  <si>
    <t xml:space="preserve">17634620</t>
  </si>
  <si>
    <t xml:space="preserve">000030683198</t>
  </si>
  <si>
    <t xml:space="preserve">ELIEL JOSE</t>
  </si>
  <si>
    <t xml:space="preserve">OJEDA FERNANDEZ</t>
  </si>
  <si>
    <t xml:space="preserve">04125297376</t>
  </si>
  <si>
    <t xml:space="preserve">19016691</t>
  </si>
  <si>
    <t xml:space="preserve">000031696322</t>
  </si>
  <si>
    <t xml:space="preserve">JOSE MARIA</t>
  </si>
  <si>
    <t xml:space="preserve">LUZARDO HERNADEZ</t>
  </si>
  <si>
    <t xml:space="preserve">04268236288</t>
  </si>
  <si>
    <t xml:space="preserve">000033724624</t>
  </si>
  <si>
    <t xml:space="preserve">SHARON KIR</t>
  </si>
  <si>
    <t xml:space="preserve">BRAVO OJEDA</t>
  </si>
  <si>
    <t xml:space="preserve">000031983989</t>
  </si>
  <si>
    <t xml:space="preserve">YOHENDRI JOSE</t>
  </si>
  <si>
    <t xml:space="preserve">RIVERA GONZALEZ</t>
  </si>
  <si>
    <t xml:space="preserve">04164673256</t>
  </si>
  <si>
    <t xml:space="preserve">15280714</t>
  </si>
  <si>
    <t xml:space="preserve">000030951999</t>
  </si>
  <si>
    <t xml:space="preserve">NORYENI ELISA</t>
  </si>
  <si>
    <t xml:space="preserve">000032431264</t>
  </si>
  <si>
    <t xml:space="preserve">LUIYERKI COROMOTO</t>
  </si>
  <si>
    <t xml:space="preserve">20686028</t>
  </si>
  <si>
    <t xml:space="preserve">000031525134</t>
  </si>
  <si>
    <t xml:space="preserve">YOALVIS DANIEL</t>
  </si>
  <si>
    <t xml:space="preserve">04263682797</t>
  </si>
  <si>
    <t xml:space="preserve">18319290</t>
  </si>
  <si>
    <t xml:space="preserve">000032006521</t>
  </si>
  <si>
    <t xml:space="preserve">HIDIANYS KAREN</t>
  </si>
  <si>
    <t xml:space="preserve">FUENMAYOR SANCHEZ</t>
  </si>
  <si>
    <t xml:space="preserve">AV. PRINCIPAL LA VUEVECITA</t>
  </si>
  <si>
    <t xml:space="preserve">04127751109</t>
  </si>
  <si>
    <t xml:space="preserve">18317331</t>
  </si>
  <si>
    <t xml:space="preserve">000031876773</t>
  </si>
  <si>
    <t xml:space="preserve">04246826024</t>
  </si>
  <si>
    <t xml:space="preserve">010615405976</t>
  </si>
  <si>
    <t xml:space="preserve">RICARDO JUNIOR</t>
  </si>
  <si>
    <t xml:space="preserve">04161145144</t>
  </si>
  <si>
    <t xml:space="preserve">000032088362</t>
  </si>
  <si>
    <t xml:space="preserve">YOSEAINI COROMOTO</t>
  </si>
  <si>
    <t xml:space="preserve">6806276</t>
  </si>
  <si>
    <t xml:space="preserve">000031527261</t>
  </si>
  <si>
    <t xml:space="preserve">DERWIN ASDRUBAL</t>
  </si>
  <si>
    <t xml:space="preserve">GUANIPA ANDRADE</t>
  </si>
  <si>
    <t xml:space="preserve">04121734704</t>
  </si>
  <si>
    <t xml:space="preserve">20842788</t>
  </si>
  <si>
    <t xml:space="preserve">010519988109</t>
  </si>
  <si>
    <t xml:space="preserve">YEINIBEL ANDREINA</t>
  </si>
  <si>
    <t xml:space="preserve">000031396211</t>
  </si>
  <si>
    <t xml:space="preserve">04267437620</t>
  </si>
  <si>
    <t xml:space="preserve">000031969653</t>
  </si>
  <si>
    <t xml:space="preserve">EDYMAR LISBETH</t>
  </si>
  <si>
    <t xml:space="preserve">MORALES BERMUDEZ</t>
  </si>
  <si>
    <t xml:space="preserve">04163640815</t>
  </si>
  <si>
    <t xml:space="preserve">19810647</t>
  </si>
  <si>
    <t xml:space="preserve">000032426565</t>
  </si>
  <si>
    <t xml:space="preserve">SARAY CRISTINA</t>
  </si>
  <si>
    <t xml:space="preserve">000031983982</t>
  </si>
  <si>
    <t xml:space="preserve">ESNEILIS DEL CARMEN</t>
  </si>
  <si>
    <t xml:space="preserve">04246204048</t>
  </si>
  <si>
    <t xml:space="preserve">000032783300</t>
  </si>
  <si>
    <t xml:space="preserve">FRANCIBETH CAROLINA</t>
  </si>
  <si>
    <t xml:space="preserve">BERRUETA BRIÑEZ</t>
  </si>
  <si>
    <t xml:space="preserve">PARA DE LOS BUCES</t>
  </si>
  <si>
    <t xml:space="preserve">02622050488</t>
  </si>
  <si>
    <t xml:space="preserve">000031969648</t>
  </si>
  <si>
    <t xml:space="preserve">CHRISTIAN JOSE</t>
  </si>
  <si>
    <t xml:space="preserve">MONTIEL BRIÑEZ</t>
  </si>
  <si>
    <t xml:space="preserve">04162938840</t>
  </si>
  <si>
    <t xml:space="preserve">17634369</t>
  </si>
  <si>
    <t xml:space="preserve">000031969686</t>
  </si>
  <si>
    <t xml:space="preserve">YOKENDRI JOSE</t>
  </si>
  <si>
    <t xml:space="preserve">04266646869</t>
  </si>
  <si>
    <t xml:space="preserve">000031580982</t>
  </si>
  <si>
    <t xml:space="preserve">MILAGROS YOHANA</t>
  </si>
  <si>
    <t xml:space="preserve">04126465545</t>
  </si>
  <si>
    <t xml:space="preserve">17736096</t>
  </si>
  <si>
    <t xml:space="preserve">000031969638</t>
  </si>
  <si>
    <t xml:space="preserve">ELIANYI JOSEFINA</t>
  </si>
  <si>
    <t xml:space="preserve">04169610287</t>
  </si>
  <si>
    <t xml:space="preserve">000031864980</t>
  </si>
  <si>
    <t xml:space="preserve">ALEXANDRE GREGORIO</t>
  </si>
  <si>
    <t xml:space="preserve">15524166</t>
  </si>
  <si>
    <t xml:space="preserve">000032819819</t>
  </si>
  <si>
    <t xml:space="preserve">JULIANA KATERINE</t>
  </si>
  <si>
    <t xml:space="preserve">04141276616</t>
  </si>
  <si>
    <t xml:space="preserve">000031363047</t>
  </si>
  <si>
    <t xml:space="preserve">AVIAN VINICIO</t>
  </si>
  <si>
    <t xml:space="preserve">04262634167</t>
  </si>
  <si>
    <t xml:space="preserve">000032461482</t>
  </si>
  <si>
    <t xml:space="preserve">YASMILEY PAOLA</t>
  </si>
  <si>
    <t xml:space="preserve">PARRA VILLALOBOS</t>
  </si>
  <si>
    <t xml:space="preserve">000031853516</t>
  </si>
  <si>
    <t xml:space="preserve">EDDIER ALEJANDRO</t>
  </si>
  <si>
    <t xml:space="preserve">TORRES BOSCAN</t>
  </si>
  <si>
    <t xml:space="preserve">000032722569</t>
  </si>
  <si>
    <t xml:space="preserve">ANA RAQUEL</t>
  </si>
  <si>
    <t xml:space="preserve">HERNANDEZ FUEMAYOR</t>
  </si>
  <si>
    <t xml:space="preserve">000031282195</t>
  </si>
  <si>
    <t xml:space="preserve">ALEJANDRO ENRIQUE</t>
  </si>
  <si>
    <t xml:space="preserve">URDANETA BRIÑEZ</t>
  </si>
  <si>
    <t xml:space="preserve">0416265860</t>
  </si>
  <si>
    <t xml:space="preserve">11291561</t>
  </si>
  <si>
    <t xml:space="preserve">000032361552</t>
  </si>
  <si>
    <t xml:space="preserve">REINER JOSE</t>
  </si>
  <si>
    <t xml:space="preserve">000032069557</t>
  </si>
  <si>
    <t xml:space="preserve">NEIDIMAR PAOLA</t>
  </si>
  <si>
    <t xml:space="preserve">04124261746</t>
  </si>
  <si>
    <t xml:space="preserve">000033576434</t>
  </si>
  <si>
    <t xml:space="preserve">PENELOPE SARAY</t>
  </si>
  <si>
    <t xml:space="preserve">000034389541</t>
  </si>
  <si>
    <t xml:space="preserve">MAIDENYS CHIQUINQUIRA</t>
  </si>
  <si>
    <t xml:space="preserve">AVENDAÑO QUERO</t>
  </si>
  <si>
    <t xml:space="preserve">000038000023</t>
  </si>
  <si>
    <t xml:space="preserve">BRIÑEZ CONTRERAS</t>
  </si>
  <si>
    <t xml:space="preserve">04263245773</t>
  </si>
  <si>
    <t xml:space="preserve">000032088375</t>
  </si>
  <si>
    <t xml:space="preserve">DAYERLIN PAOLA</t>
  </si>
  <si>
    <t xml:space="preserve">ALTUVE FERRER</t>
  </si>
  <si>
    <t xml:space="preserve">SIMON BOLIBAR</t>
  </si>
  <si>
    <t xml:space="preserve">04160655050</t>
  </si>
  <si>
    <t xml:space="preserve">17566760</t>
  </si>
  <si>
    <t xml:space="preserve">120069715635</t>
  </si>
  <si>
    <t xml:space="preserve">KEIVELYN MICHELLE</t>
  </si>
  <si>
    <t xml:space="preserve">09715635</t>
  </si>
  <si>
    <t xml:space="preserve">000032600615</t>
  </si>
  <si>
    <t xml:space="preserve">PEÑA MONTIEL</t>
  </si>
  <si>
    <t xml:space="preserve">09742833</t>
  </si>
  <si>
    <t xml:space="preserve">000033724033</t>
  </si>
  <si>
    <t xml:space="preserve">JHOANDRA SARAIS</t>
  </si>
  <si>
    <t xml:space="preserve">04264681486</t>
  </si>
  <si>
    <t xml:space="preserve">010626860090</t>
  </si>
  <si>
    <t xml:space="preserve">DAINALIS PAOLA</t>
  </si>
  <si>
    <t xml:space="preserve">041279822816</t>
  </si>
  <si>
    <t xml:space="preserve">000031351870</t>
  </si>
  <si>
    <t xml:space="preserve">FABIAN JOSE</t>
  </si>
  <si>
    <t xml:space="preserve">04162290636</t>
  </si>
  <si>
    <t xml:space="preserve">010615766899</t>
  </si>
  <si>
    <t xml:space="preserve">LUZ GABRIELA</t>
  </si>
  <si>
    <t xml:space="preserve">FARIA NAVARRO</t>
  </si>
  <si>
    <t xml:space="preserve">04161995227</t>
  </si>
  <si>
    <t xml:space="preserve">000038000033</t>
  </si>
  <si>
    <t xml:space="preserve">000032481219</t>
  </si>
  <si>
    <t xml:space="preserve">ALBELIANYS PAOLA</t>
  </si>
  <si>
    <t xml:space="preserve">000031024529</t>
  </si>
  <si>
    <t xml:space="preserve">FRANYELIS GREGORIA</t>
  </si>
  <si>
    <t xml:space="preserve">04164663433</t>
  </si>
  <si>
    <t xml:space="preserve">18662153</t>
  </si>
  <si>
    <t xml:space="preserve">000038000038</t>
  </si>
  <si>
    <t xml:space="preserve">17565437</t>
  </si>
  <si>
    <t xml:space="preserve">000017938286</t>
  </si>
  <si>
    <t xml:space="preserve">KEILA DEL CARMEN</t>
  </si>
  <si>
    <t xml:space="preserve">000031295298</t>
  </si>
  <si>
    <t xml:space="preserve">ANGISMEL VANESSA</t>
  </si>
  <si>
    <t xml:space="preserve">04247293792</t>
  </si>
  <si>
    <t xml:space="preserve">000032069522</t>
  </si>
  <si>
    <t xml:space="preserve">GERAILIN DEL CARMEN</t>
  </si>
  <si>
    <t xml:space="preserve">04121207040</t>
  </si>
  <si>
    <t xml:space="preserve">13427956</t>
  </si>
  <si>
    <t xml:space="preserve">000031545277</t>
  </si>
  <si>
    <t xml:space="preserve">ROXYBEL CHIQUINQUIRA</t>
  </si>
  <si>
    <t xml:space="preserve">04266007193</t>
  </si>
  <si>
    <t xml:space="preserve">000038000001</t>
  </si>
  <si>
    <t xml:space="preserve">KEIVER JAVIER</t>
  </si>
  <si>
    <t xml:space="preserve">010617938240</t>
  </si>
  <si>
    <t xml:space="preserve">DARIANA GABRIELA</t>
  </si>
  <si>
    <t xml:space="preserve">ELAGUILA FINOL</t>
  </si>
  <si>
    <t xml:space="preserve">04121243186</t>
  </si>
  <si>
    <t xml:space="preserve">17938240</t>
  </si>
  <si>
    <t xml:space="preserve">000035117001</t>
  </si>
  <si>
    <t xml:space="preserve">RIBER DANIEL</t>
  </si>
  <si>
    <t xml:space="preserve">04120728650</t>
  </si>
  <si>
    <t xml:space="preserve">17634586</t>
  </si>
  <si>
    <t xml:space="preserve">000019811521</t>
  </si>
  <si>
    <t xml:space="preserve">DARKELIS DEL CARMEN</t>
  </si>
  <si>
    <t xml:space="preserve">000031108448</t>
  </si>
  <si>
    <t xml:space="preserve">WUILDO VICENTE</t>
  </si>
  <si>
    <t xml:space="preserve">000031526407</t>
  </si>
  <si>
    <t xml:space="preserve">MAYERLIN JOSEFINA</t>
  </si>
  <si>
    <t xml:space="preserve">Los Jagueyes</t>
  </si>
  <si>
    <t xml:space="preserve">04268259960</t>
  </si>
  <si>
    <t xml:space="preserve">000031108845</t>
  </si>
  <si>
    <t xml:space="preserve">SHARA NICOLE</t>
  </si>
  <si>
    <t xml:space="preserve">VILORIA ALVAREZ</t>
  </si>
  <si>
    <t xml:space="preserve">25208977</t>
  </si>
  <si>
    <t xml:space="preserve">000020685008</t>
  </si>
  <si>
    <t xml:space="preserve">ASTRIS CAROLINA</t>
  </si>
  <si>
    <t xml:space="preserve">RAMIREZ RAMIRAZ</t>
  </si>
  <si>
    <t xml:space="preserve">000029977613</t>
  </si>
  <si>
    <t xml:space="preserve">MAIRELYS LORAINER</t>
  </si>
  <si>
    <t xml:space="preserve">04163145636</t>
  </si>
  <si>
    <t xml:space="preserve">24787785</t>
  </si>
  <si>
    <t xml:space="preserve">000031070084</t>
  </si>
  <si>
    <t xml:space="preserve">MARCELA VANESA</t>
  </si>
  <si>
    <t xml:space="preserve">GONZALEZ PORTILLO</t>
  </si>
  <si>
    <t xml:space="preserve">SAN ATONIO</t>
  </si>
  <si>
    <t xml:space="preserve">19459715</t>
  </si>
  <si>
    <t xml:space="preserve">010429818281</t>
  </si>
  <si>
    <t xml:space="preserve">YOMAIRI CAROLINA</t>
  </si>
  <si>
    <t xml:space="preserve">29818281</t>
  </si>
  <si>
    <t xml:space="preserve">000031220104</t>
  </si>
  <si>
    <t xml:space="preserve">MAIKELIS JOHANA</t>
  </si>
  <si>
    <t xml:space="preserve">VILCHEZ SIBIRA</t>
  </si>
  <si>
    <t xml:space="preserve">04162255451</t>
  </si>
  <si>
    <t xml:space="preserve">09743882</t>
  </si>
  <si>
    <t xml:space="preserve">010617938284</t>
  </si>
  <si>
    <t xml:space="preserve">YORGELIS LUISANA</t>
  </si>
  <si>
    <t xml:space="preserve">04120669468</t>
  </si>
  <si>
    <t xml:space="preserve">17938284</t>
  </si>
  <si>
    <t xml:space="preserve">000033724644</t>
  </si>
  <si>
    <t xml:space="preserve">MAIKOL ANDRES</t>
  </si>
  <si>
    <t xml:space="preserve">RUIZ VILLALOBOS</t>
  </si>
  <si>
    <t xml:space="preserve">04146578801</t>
  </si>
  <si>
    <t xml:space="preserve">21228181</t>
  </si>
  <si>
    <t xml:space="preserve">000031969654</t>
  </si>
  <si>
    <t xml:space="preserve">04263894160</t>
  </si>
  <si>
    <t xml:space="preserve">12445879</t>
  </si>
  <si>
    <t xml:space="preserve">020617566372</t>
  </si>
  <si>
    <t xml:space="preserve">JULIANA LUCIA</t>
  </si>
  <si>
    <t xml:space="preserve">BELTRAN CASTILLO</t>
  </si>
  <si>
    <t xml:space="preserve">04162667990</t>
  </si>
  <si>
    <t xml:space="preserve">15718978</t>
  </si>
  <si>
    <t xml:space="preserve">000031997729</t>
  </si>
  <si>
    <t xml:space="preserve">KERVIN DANIEL</t>
  </si>
  <si>
    <t xml:space="preserve">BOSCAN MORALES</t>
  </si>
  <si>
    <t xml:space="preserve">04169036572</t>
  </si>
  <si>
    <t xml:space="preserve">17565263</t>
  </si>
  <si>
    <t xml:space="preserve">000032261912</t>
  </si>
  <si>
    <t xml:space="preserve">NEILEANIS  GABRIELA</t>
  </si>
  <si>
    <t xml:space="preserve">04263251361</t>
  </si>
  <si>
    <t xml:space="preserve">000031982592</t>
  </si>
  <si>
    <t xml:space="preserve">ELIZABETH CAROLINA</t>
  </si>
  <si>
    <t xml:space="preserve">CAMPOS VILLALOBOS</t>
  </si>
  <si>
    <t xml:space="preserve">04129659763</t>
  </si>
  <si>
    <t xml:space="preserve">18318326</t>
  </si>
  <si>
    <t xml:space="preserve">000032831619</t>
  </si>
  <si>
    <t xml:space="preserve">AILEN ALIDES</t>
  </si>
  <si>
    <t xml:space="preserve">MORALES PADRON</t>
  </si>
  <si>
    <t xml:space="preserve">18823615</t>
  </si>
  <si>
    <t xml:space="preserve">000033809209</t>
  </si>
  <si>
    <t xml:space="preserve">MAIBELIN DEL CARMEN</t>
  </si>
  <si>
    <t xml:space="preserve">12949092</t>
  </si>
  <si>
    <t xml:space="preserve">000032383939</t>
  </si>
  <si>
    <t xml:space="preserve">LEANDER DE JESUS</t>
  </si>
  <si>
    <t xml:space="preserve">HERNANDEZ MARQUEZ</t>
  </si>
  <si>
    <t xml:space="preserve">17566671</t>
  </si>
  <si>
    <t xml:space="preserve">000031009825</t>
  </si>
  <si>
    <t xml:space="preserve">LORIANNY DE LOS ANGELES</t>
  </si>
  <si>
    <t xml:space="preserve">LAS PARECELAS</t>
  </si>
  <si>
    <t xml:space="preserve">000031722329</t>
  </si>
  <si>
    <t xml:space="preserve">MAGUEDA DEL CARMEN</t>
  </si>
  <si>
    <t xml:space="preserve">000031607945</t>
  </si>
  <si>
    <t xml:space="preserve">ADALBERT DANIEL</t>
  </si>
  <si>
    <t xml:space="preserve">MELEAN BARRIOS</t>
  </si>
  <si>
    <t xml:space="preserve">PERIJA</t>
  </si>
  <si>
    <t xml:space="preserve">04262652036</t>
  </si>
  <si>
    <t xml:space="preserve">000031524891</t>
  </si>
  <si>
    <t xml:space="preserve">04140728058</t>
  </si>
  <si>
    <t xml:space="preserve">18394489</t>
  </si>
  <si>
    <t xml:space="preserve">000032830986</t>
  </si>
  <si>
    <t xml:space="preserve">LUZ MARINA DEL VALLE</t>
  </si>
  <si>
    <t xml:space="preserve">04165623182</t>
  </si>
  <si>
    <t xml:space="preserve">000031539057</t>
  </si>
  <si>
    <t xml:space="preserve">WUILIANY CHIQUINQUIRA</t>
  </si>
  <si>
    <t xml:space="preserve">RODRIGUEZ NAVARRO</t>
  </si>
  <si>
    <t xml:space="preserve">04166583995</t>
  </si>
  <si>
    <t xml:space="preserve">17938259</t>
  </si>
  <si>
    <t xml:space="preserve">000032008769</t>
  </si>
  <si>
    <t xml:space="preserve">JULIANNY CAROLINA</t>
  </si>
  <si>
    <t xml:space="preserve">MORALES OLIVEROS</t>
  </si>
  <si>
    <t xml:space="preserve">04160176762</t>
  </si>
  <si>
    <t xml:space="preserve">17565027</t>
  </si>
  <si>
    <t xml:space="preserve">000031097179</t>
  </si>
  <si>
    <t xml:space="preserve">DANIEL CHIQUINQUIRA</t>
  </si>
  <si>
    <t xml:space="preserve">FERNANDEZ MACHADO</t>
  </si>
  <si>
    <t xml:space="preserve">15011805</t>
  </si>
  <si>
    <t xml:space="preserve">000032699625</t>
  </si>
  <si>
    <t xml:space="preserve">IRENIO ENRIQUE</t>
  </si>
  <si>
    <t xml:space="preserve">MORALEZ VILCHEZ</t>
  </si>
  <si>
    <t xml:space="preserve">04162278608</t>
  </si>
  <si>
    <t xml:space="preserve">18822414</t>
  </si>
  <si>
    <t xml:space="preserve">000032008787</t>
  </si>
  <si>
    <t xml:space="preserve">PALMAR GUTIERREZ</t>
  </si>
  <si>
    <t xml:space="preserve">LAS VEGA</t>
  </si>
  <si>
    <t xml:space="preserve">11609584</t>
  </si>
  <si>
    <t xml:space="preserve">010322162511</t>
  </si>
  <si>
    <t xml:space="preserve">CONTRERAS ATENCIO</t>
  </si>
  <si>
    <t xml:space="preserve">04261920484</t>
  </si>
  <si>
    <t xml:space="preserve">22162511</t>
  </si>
  <si>
    <t xml:space="preserve">000032773036</t>
  </si>
  <si>
    <t xml:space="preserve">RICHARDY JOSUE</t>
  </si>
  <si>
    <t xml:space="preserve">GAMARRA MOLERO</t>
  </si>
  <si>
    <t xml:space="preserve">000031664887</t>
  </si>
  <si>
    <t xml:space="preserve">MEDINA GONZALEZ</t>
  </si>
  <si>
    <t xml:space="preserve">17099312</t>
  </si>
  <si>
    <t xml:space="preserve">000034343319</t>
  </si>
  <si>
    <t xml:space="preserve">ROILIMAR DEL CARMEN</t>
  </si>
  <si>
    <t xml:space="preserve">04262001744</t>
  </si>
  <si>
    <t xml:space="preserve">000031696348</t>
  </si>
  <si>
    <t xml:space="preserve">YULETZI DEL CARMEN</t>
  </si>
  <si>
    <t xml:space="preserve">PANA SOTO</t>
  </si>
  <si>
    <t xml:space="preserve">042625142050</t>
  </si>
  <si>
    <t xml:space="preserve">09109559</t>
  </si>
  <si>
    <t xml:space="preserve">010717566559</t>
  </si>
  <si>
    <t xml:space="preserve">NAYELIN DEL VALLE</t>
  </si>
  <si>
    <t xml:space="preserve">GONZALEZ</t>
  </si>
  <si>
    <t xml:space="preserve">17566599</t>
  </si>
  <si>
    <t xml:space="preserve">000031938814</t>
  </si>
  <si>
    <t xml:space="preserve">CHAVEZ PULGAR</t>
  </si>
  <si>
    <t xml:space="preserve">041254254856</t>
  </si>
  <si>
    <t xml:space="preserve">17810952</t>
  </si>
  <si>
    <t xml:space="preserve">000032705504</t>
  </si>
  <si>
    <t xml:space="preserve">JULIO ISAAC</t>
  </si>
  <si>
    <t xml:space="preserve">ROCHI VERGEL</t>
  </si>
  <si>
    <t xml:space="preserve">la antena</t>
  </si>
  <si>
    <t xml:space="preserve">04261639647</t>
  </si>
  <si>
    <t xml:space="preserve">02216079</t>
  </si>
  <si>
    <t xml:space="preserve">000034742365</t>
  </si>
  <si>
    <t xml:space="preserve">FABIAN ANDERSON</t>
  </si>
  <si>
    <t xml:space="preserve">000032750120</t>
  </si>
  <si>
    <t xml:space="preserve">CIRO ENRIQUE</t>
  </si>
  <si>
    <t xml:space="preserve">LA PARADA DE LOS BUCES</t>
  </si>
  <si>
    <t xml:space="preserve">04166688377</t>
  </si>
  <si>
    <t xml:space="preserve">19766873</t>
  </si>
  <si>
    <t xml:space="preserve">000031097286</t>
  </si>
  <si>
    <t xml:space="preserve">WILEINIS DE JESUS</t>
  </si>
  <si>
    <t xml:space="preserve">04161651025</t>
  </si>
  <si>
    <t xml:space="preserve">000031825538</t>
  </si>
  <si>
    <t xml:space="preserve">YORNALYS ESTHER</t>
  </si>
  <si>
    <t xml:space="preserve">04126607846</t>
  </si>
  <si>
    <t xml:space="preserve">000032002836</t>
  </si>
  <si>
    <t xml:space="preserve">LUIS SIMON</t>
  </si>
  <si>
    <t xml:space="preserve">ROBERTO FUENMAYORÇ</t>
  </si>
  <si>
    <t xml:space="preserve">04163995523</t>
  </si>
  <si>
    <t xml:space="preserve">18318179</t>
  </si>
  <si>
    <t xml:space="preserve">000031780194</t>
  </si>
  <si>
    <t xml:space="preserve">ADANNER JESUS</t>
  </si>
  <si>
    <t xml:space="preserve">04168387323</t>
  </si>
  <si>
    <t xml:space="preserve">000032890539</t>
  </si>
  <si>
    <t xml:space="preserve">NAVA GONZALEZ</t>
  </si>
  <si>
    <t xml:space="preserve">000031679138</t>
  </si>
  <si>
    <t xml:space="preserve">000032002827</t>
  </si>
  <si>
    <t xml:space="preserve">ARIANA YOLIDI</t>
  </si>
  <si>
    <t xml:space="preserve">000031760109</t>
  </si>
  <si>
    <t xml:space="preserve">YOLIANY PAOLA</t>
  </si>
  <si>
    <t xml:space="preserve">URDANETA GUANIPA</t>
  </si>
  <si>
    <t xml:space="preserve">barrio 5 de nero</t>
  </si>
  <si>
    <t xml:space="preserve">04261072424</t>
  </si>
  <si>
    <t xml:space="preserve">17566759</t>
  </si>
  <si>
    <t xml:space="preserve">010610452482</t>
  </si>
  <si>
    <t xml:space="preserve">YORVELIS CAROLINA</t>
  </si>
  <si>
    <t xml:space="preserve">NAVARRO CASTRO</t>
  </si>
  <si>
    <t xml:space="preserve">10452482</t>
  </si>
  <si>
    <t xml:space="preserve">000032600621</t>
  </si>
  <si>
    <t xml:space="preserve">YENDERLYN MARIA</t>
  </si>
  <si>
    <t xml:space="preserve">LEON MORAN</t>
  </si>
  <si>
    <t xml:space="preserve">04162648005</t>
  </si>
  <si>
    <t xml:space="preserve">21229636</t>
  </si>
  <si>
    <t xml:space="preserve">000032088365</t>
  </si>
  <si>
    <t xml:space="preserve">MARVIN JUNIOR</t>
  </si>
  <si>
    <t xml:space="preserve">BELLOSO SOTURNO</t>
  </si>
  <si>
    <t xml:space="preserve">MARIO URDANRTA</t>
  </si>
  <si>
    <t xml:space="preserve">000032830996</t>
  </si>
  <si>
    <t xml:space="preserve">AVILA FERNADEZ</t>
  </si>
  <si>
    <t xml:space="preserve">000030299157</t>
  </si>
  <si>
    <t xml:space="preserve">FRAN LEIKER</t>
  </si>
  <si>
    <t xml:space="preserve">BARRIO 5 DENERO</t>
  </si>
  <si>
    <t xml:space="preserve">04262638686</t>
  </si>
  <si>
    <t xml:space="preserve">000033152611</t>
  </si>
  <si>
    <t xml:space="preserve">JOEL JESUS</t>
  </si>
  <si>
    <t xml:space="preserve">04163669233</t>
  </si>
  <si>
    <t xml:space="preserve">000032431267</t>
  </si>
  <si>
    <t xml:space="preserve">YORGELIS ALEJANDRA</t>
  </si>
  <si>
    <t xml:space="preserve">23769217</t>
  </si>
  <si>
    <t xml:space="preserve">000031070100</t>
  </si>
  <si>
    <t xml:space="preserve">GUSTAVO JOSE</t>
  </si>
  <si>
    <t xml:space="preserve">000031760126</t>
  </si>
  <si>
    <t xml:space="preserve">YOELI ABRIL</t>
  </si>
  <si>
    <t xml:space="preserve">041652639056</t>
  </si>
  <si>
    <t xml:space="preserve">000033500183</t>
  </si>
  <si>
    <t xml:space="preserve">AQUILINO JOSE</t>
  </si>
  <si>
    <t xml:space="preserve">04162650271</t>
  </si>
  <si>
    <t xml:space="preserve">010716728199</t>
  </si>
  <si>
    <t xml:space="preserve">JAVIERLIS DE LOS ANGELES</t>
  </si>
  <si>
    <t xml:space="preserve">04125453471</t>
  </si>
  <si>
    <t xml:space="preserve">000032062325</t>
  </si>
  <si>
    <t xml:space="preserve">MAIKOL ANGEL</t>
  </si>
  <si>
    <t xml:space="preserve">BARRIO CUNAGUITA</t>
  </si>
  <si>
    <t xml:space="preserve">000038000032</t>
  </si>
  <si>
    <t xml:space="preserve">ISAURA</t>
  </si>
  <si>
    <t xml:space="preserve">CHINIOTO RAFAEL</t>
  </si>
  <si>
    <t xml:space="preserve">20686031</t>
  </si>
  <si>
    <t xml:space="preserve">000032461507</t>
  </si>
  <si>
    <t xml:space="preserve">ELVIANIS ISABEL</t>
  </si>
  <si>
    <t xml:space="preserve">HERRERA TERRAZA</t>
  </si>
  <si>
    <t xml:space="preserve">LAS MINAS</t>
  </si>
  <si>
    <t xml:space="preserve">000033724062</t>
  </si>
  <si>
    <t xml:space="preserve">ANDRES GREGORIO</t>
  </si>
  <si>
    <t xml:space="preserve">GRAN PARADA</t>
  </si>
  <si>
    <t xml:space="preserve">04264039662</t>
  </si>
  <si>
    <t xml:space="preserve">000032088395</t>
  </si>
  <si>
    <t xml:space="preserve">LEONEL JOSE</t>
  </si>
  <si>
    <t xml:space="preserve">000030131306</t>
  </si>
  <si>
    <t xml:space="preserve">FABIOLA CHIQUINQUIRA</t>
  </si>
  <si>
    <t xml:space="preserve">04162262581</t>
  </si>
  <si>
    <t xml:space="preserve">12591861</t>
  </si>
  <si>
    <t xml:space="preserve">000035147216</t>
  </si>
  <si>
    <t xml:space="preserve">ENDER SEGUNDO</t>
  </si>
  <si>
    <t xml:space="preserve">BERRUETA  MORALES</t>
  </si>
  <si>
    <t xml:space="preserve">BARRIO  SANBENITO</t>
  </si>
  <si>
    <t xml:space="preserve">18662101</t>
  </si>
  <si>
    <t xml:space="preserve">000023466459</t>
  </si>
  <si>
    <t xml:space="preserve">RUDELYS CHIQUINQUIRA</t>
  </si>
  <si>
    <t xml:space="preserve">000031562708</t>
  </si>
  <si>
    <t xml:space="preserve">KEINY VIRGINIA</t>
  </si>
  <si>
    <t xml:space="preserve">04127966515</t>
  </si>
  <si>
    <t xml:space="preserve">33273383</t>
  </si>
  <si>
    <t xml:space="preserve">000032351702</t>
  </si>
  <si>
    <t xml:space="preserve">NEVIN NICOLAS</t>
  </si>
  <si>
    <t xml:space="preserve">17088506</t>
  </si>
  <si>
    <t xml:space="preserve">000032429290</t>
  </si>
  <si>
    <t xml:space="preserve">ANDI JOSE</t>
  </si>
  <si>
    <t xml:space="preserve">04149654103</t>
  </si>
  <si>
    <t xml:space="preserve">000031960516</t>
  </si>
  <si>
    <t xml:space="preserve">LABARCA GONZALEZ</t>
  </si>
  <si>
    <t xml:space="preserve">El Taparo</t>
  </si>
  <si>
    <t xml:space="preserve">04120632434</t>
  </si>
  <si>
    <t xml:space="preserve">12948702</t>
  </si>
  <si>
    <t xml:space="preserve">010422163728</t>
  </si>
  <si>
    <t xml:space="preserve">000032699653</t>
  </si>
  <si>
    <t xml:space="preserve">MORENO AMARIS</t>
  </si>
  <si>
    <t xml:space="preserve">04146769164</t>
  </si>
  <si>
    <t xml:space="preserve">17294647</t>
  </si>
  <si>
    <t xml:space="preserve">000031969631</t>
  </si>
  <si>
    <t xml:space="preserve">DENYERBERTH MANUEL</t>
  </si>
  <si>
    <t xml:space="preserve">000032008764</t>
  </si>
  <si>
    <t xml:space="preserve">24250015</t>
  </si>
  <si>
    <t xml:space="preserve">000038000037</t>
  </si>
  <si>
    <t xml:space="preserve">00190964</t>
  </si>
  <si>
    <t xml:space="preserve">000038000034</t>
  </si>
  <si>
    <t xml:space="preserve">JOSE MARIO</t>
  </si>
  <si>
    <t xml:space="preserve">000032557523</t>
  </si>
  <si>
    <t xml:space="preserve">JESUS DAVID0</t>
  </si>
  <si>
    <t xml:space="preserve">CARRERA MORALES</t>
  </si>
  <si>
    <t xml:space="preserve">LA VILLA</t>
  </si>
  <si>
    <t xml:space="preserve">12352384</t>
  </si>
  <si>
    <t xml:space="preserve">000030495643</t>
  </si>
  <si>
    <t xml:space="preserve">JESSE JOSE</t>
  </si>
  <si>
    <t xml:space="preserve">MORALES TORRES</t>
  </si>
  <si>
    <t xml:space="preserve">04261246396</t>
  </si>
  <si>
    <t xml:space="preserve">11299763</t>
  </si>
  <si>
    <t xml:space="preserve">000032138358</t>
  </si>
  <si>
    <t xml:space="preserve">MAICLYN JOSE</t>
  </si>
  <si>
    <t xml:space="preserve">SANCHEZ SOTURNO</t>
  </si>
  <si>
    <t xml:space="preserve">04162616586</t>
  </si>
  <si>
    <t xml:space="preserve">15840050</t>
  </si>
  <si>
    <t xml:space="preserve">010720508739</t>
  </si>
  <si>
    <t xml:space="preserve">JORKELIS DEL CARMEN</t>
  </si>
  <si>
    <t xml:space="preserve">SANMARTIN SEVILLA</t>
  </si>
  <si>
    <t xml:space="preserve">20508739</t>
  </si>
  <si>
    <t xml:space="preserve">000031070103</t>
  </si>
  <si>
    <t xml:space="preserve">ANGELIMAR FLORIVIT</t>
  </si>
  <si>
    <t xml:space="preserve">LEON HERNANDEZ</t>
  </si>
  <si>
    <t xml:space="preserve">04120711595</t>
  </si>
  <si>
    <t xml:space="preserve">09702505</t>
  </si>
  <si>
    <t xml:space="preserve">000031548661</t>
  </si>
  <si>
    <t xml:space="preserve">RAMIREZ LEAL</t>
  </si>
  <si>
    <t xml:space="preserve">18317900</t>
  </si>
  <si>
    <t xml:space="preserve">000031576099</t>
  </si>
  <si>
    <t xml:space="preserve">ALEXANDER GREGORIO</t>
  </si>
  <si>
    <t xml:space="preserve">000032043119</t>
  </si>
  <si>
    <t xml:space="preserve">JOHANDER JOSE</t>
  </si>
  <si>
    <t xml:space="preserve">0412067760</t>
  </si>
  <si>
    <t xml:space="preserve">17634611</t>
  </si>
  <si>
    <t xml:space="preserve">000031070077</t>
  </si>
  <si>
    <t xml:space="preserve">NELVI JESUS</t>
  </si>
  <si>
    <t xml:space="preserve">24961391</t>
  </si>
  <si>
    <t xml:space="preserve">000032699656</t>
  </si>
  <si>
    <t xml:space="preserve">GABRIELA VALESKA</t>
  </si>
  <si>
    <t xml:space="preserve">IRIARTE EL AGUILA</t>
  </si>
  <si>
    <t xml:space="preserve">SIMON BOLIBA BARRIO</t>
  </si>
  <si>
    <t xml:space="preserve">92095105</t>
  </si>
  <si>
    <t xml:space="preserve">000032466231</t>
  </si>
  <si>
    <t xml:space="preserve">CASTILLO SANZ</t>
  </si>
  <si>
    <t xml:space="preserve">04120669144</t>
  </si>
  <si>
    <t xml:space="preserve">17545891</t>
  </si>
  <si>
    <t xml:space="preserve">000032478765</t>
  </si>
  <si>
    <t xml:space="preserve">JANELY PAOLA</t>
  </si>
  <si>
    <t xml:space="preserve">04121912725</t>
  </si>
  <si>
    <t xml:space="preserve">010533272402</t>
  </si>
  <si>
    <t xml:space="preserve">04266884549</t>
  </si>
  <si>
    <t xml:space="preserve">010517566737</t>
  </si>
  <si>
    <t xml:space="preserve">DARVINSON</t>
  </si>
  <si>
    <t xml:space="preserve">CHAVEZ BRACHO</t>
  </si>
  <si>
    <t xml:space="preserve">04261661667</t>
  </si>
  <si>
    <t xml:space="preserve">17566737</t>
  </si>
  <si>
    <t xml:space="preserve">000031024439</t>
  </si>
  <si>
    <t xml:space="preserve">SECTOR MOGO</t>
  </si>
  <si>
    <t xml:space="preserve">04269576193</t>
  </si>
  <si>
    <t xml:space="preserve">14356535</t>
  </si>
  <si>
    <t xml:space="preserve">000031024438</t>
  </si>
  <si>
    <t xml:space="preserve">SECTOR EL MOGO</t>
  </si>
  <si>
    <t xml:space="preserve">000036105892</t>
  </si>
  <si>
    <t xml:space="preserve">ELUISANA LIZABETH</t>
  </si>
  <si>
    <t xml:space="preserve">000030940236</t>
  </si>
  <si>
    <t xml:space="preserve">YULIANNYS ALEJANDRA</t>
  </si>
  <si>
    <t xml:space="preserve">000032073142</t>
  </si>
  <si>
    <t xml:space="preserve">VERGARA  FERRER</t>
  </si>
  <si>
    <t xml:space="preserve">010621038735</t>
  </si>
  <si>
    <t xml:space="preserve">04127511223</t>
  </si>
  <si>
    <t xml:space="preserve">21038735</t>
  </si>
  <si>
    <t xml:space="preserve">000031097253</t>
  </si>
  <si>
    <t xml:space="preserve">ANTONY DAVID</t>
  </si>
  <si>
    <t xml:space="preserve">AV PRINCIPAL LA PAZ</t>
  </si>
  <si>
    <t xml:space="preserve">13704451</t>
  </si>
  <si>
    <t xml:space="preserve">000018662032</t>
  </si>
  <si>
    <t xml:space="preserve">DARIANA DEL CARMEN</t>
  </si>
  <si>
    <t xml:space="preserve">000023466310</t>
  </si>
  <si>
    <t xml:space="preserve">ELIOMAR JOSE</t>
  </si>
  <si>
    <t xml:space="preserve">CHAVEZ VALBUENAS</t>
  </si>
  <si>
    <t xml:space="preserve">000018317910</t>
  </si>
  <si>
    <t xml:space="preserve">YASMILEY DEL CARMEN</t>
  </si>
  <si>
    <t xml:space="preserve">000010439873</t>
  </si>
  <si>
    <t xml:space="preserve">ESPINA GONZALEZ</t>
  </si>
  <si>
    <t xml:space="preserve">000032705489</t>
  </si>
  <si>
    <t xml:space="preserve">ANGEL RAFAEL</t>
  </si>
  <si>
    <t xml:space="preserve">000031273449</t>
  </si>
  <si>
    <t xml:space="preserve">ALIRIANA DEL VALLE</t>
  </si>
  <si>
    <t xml:space="preserve">el hondito</t>
  </si>
  <si>
    <t xml:space="preserve">04262627799</t>
  </si>
  <si>
    <t xml:space="preserve">000031273530</t>
  </si>
  <si>
    <t xml:space="preserve">MARIO ANGEL</t>
  </si>
  <si>
    <t xml:space="preserve">000031070111</t>
  </si>
  <si>
    <t xml:space="preserve">BETZAIDA MARIA</t>
  </si>
  <si>
    <t xml:space="preserve">El batacazo</t>
  </si>
  <si>
    <t xml:space="preserve">07822773</t>
  </si>
  <si>
    <t xml:space="preserve">000017566180</t>
  </si>
  <si>
    <t xml:space="preserve">YEILYS KARINA</t>
  </si>
  <si>
    <t xml:space="preserve">PINO VILLALOBOS</t>
  </si>
  <si>
    <t xml:space="preserve">000017565529</t>
  </si>
  <si>
    <t xml:space="preserve">KATIANA ANGELICA</t>
  </si>
  <si>
    <t xml:space="preserve">NAVARRO FUENMAYOR</t>
  </si>
  <si>
    <t xml:space="preserve">000031402174</t>
  </si>
  <si>
    <t xml:space="preserve">RAMIRO ANGEL</t>
  </si>
  <si>
    <t xml:space="preserve">SOTURNO ROMERO</t>
  </si>
  <si>
    <t xml:space="preserve">Sector Roberto Fuenmayor</t>
  </si>
  <si>
    <t xml:space="preserve">010618517831</t>
  </si>
  <si>
    <t xml:space="preserve">NARIO ANTONIO</t>
  </si>
  <si>
    <t xml:space="preserve">Sector Marimonda</t>
  </si>
  <si>
    <t xml:space="preserve">04268243415</t>
  </si>
  <si>
    <t xml:space="preserve">000031172833</t>
  </si>
  <si>
    <t xml:space="preserve">ALEXI GREGORIO</t>
  </si>
  <si>
    <t xml:space="preserve">000032099410</t>
  </si>
  <si>
    <t xml:space="preserve">ALBIERIS RAMON</t>
  </si>
  <si>
    <t xml:space="preserve">LABARCA SOTO</t>
  </si>
  <si>
    <t xml:space="preserve">09777569</t>
  </si>
  <si>
    <t xml:space="preserve">000031006088</t>
  </si>
  <si>
    <t xml:space="preserve">Sector Valle Encantado</t>
  </si>
  <si>
    <t xml:space="preserve">04121057772</t>
  </si>
  <si>
    <t xml:space="preserve">21511058</t>
  </si>
  <si>
    <t xml:space="preserve">000031548693</t>
  </si>
  <si>
    <t xml:space="preserve">ABIGAIL ALEJANDRA</t>
  </si>
  <si>
    <t xml:space="preserve">CHOURIO CHOURIO</t>
  </si>
  <si>
    <t xml:space="preserve">sector 115</t>
  </si>
  <si>
    <t xml:space="preserve">04120604610</t>
  </si>
  <si>
    <t xml:space="preserve">17564999</t>
  </si>
  <si>
    <t xml:space="preserve">000032895001</t>
  </si>
  <si>
    <t xml:space="preserve">SARAI MEXZULA</t>
  </si>
  <si>
    <t xml:space="preserve">RAMIREZ CHOURIO</t>
  </si>
  <si>
    <t xml:space="preserve">000031816030</t>
  </si>
  <si>
    <t xml:space="preserve">MARIANYELI DEL CARMEN</t>
  </si>
  <si>
    <t xml:space="preserve">17565061</t>
  </si>
  <si>
    <t xml:space="preserve">000031825451</t>
  </si>
  <si>
    <t xml:space="preserve">DAVIANGELY DEL CARMEN</t>
  </si>
  <si>
    <t xml:space="preserve">CASTILLO ZAMBRANO</t>
  </si>
  <si>
    <t xml:space="preserve">19811507</t>
  </si>
  <si>
    <t xml:space="preserve">000031189448</t>
  </si>
  <si>
    <t xml:space="preserve">ELVIS MIGUEL</t>
  </si>
  <si>
    <t xml:space="preserve">COLINA JIMENEZ</t>
  </si>
  <si>
    <t xml:space="preserve">04126573247</t>
  </si>
  <si>
    <t xml:space="preserve">15747319</t>
  </si>
  <si>
    <t xml:space="preserve">000033152544</t>
  </si>
  <si>
    <t xml:space="preserve">04122392327</t>
  </si>
  <si>
    <t xml:space="preserve">000032694997</t>
  </si>
  <si>
    <t xml:space="preserve">SANTIAGO DAVID</t>
  </si>
  <si>
    <t xml:space="preserve">CAMPO COQUIVACOA CASA 4-B</t>
  </si>
  <si>
    <t xml:space="preserve">04120618896</t>
  </si>
  <si>
    <t xml:space="preserve">104112624847</t>
  </si>
  <si>
    <t xml:space="preserve">DEINER ELIAN</t>
  </si>
  <si>
    <t xml:space="preserve">CUADROS BARRANCO</t>
  </si>
  <si>
    <t xml:space="preserve">04121069757</t>
  </si>
  <si>
    <t xml:space="preserve">11262484</t>
  </si>
  <si>
    <t xml:space="preserve">000030358305</t>
  </si>
  <si>
    <t xml:space="preserve">JOSE JHOVANI</t>
  </si>
  <si>
    <t xml:space="preserve">04168091694</t>
  </si>
  <si>
    <t xml:space="preserve">18285276</t>
  </si>
  <si>
    <t xml:space="preserve">000030939904</t>
  </si>
  <si>
    <t xml:space="preserve">FUENMAYOR GOMEZ</t>
  </si>
  <si>
    <t xml:space="preserve">EL MATADERO</t>
  </si>
  <si>
    <t xml:space="preserve">04168626741</t>
  </si>
  <si>
    <t xml:space="preserve">18121543</t>
  </si>
  <si>
    <t xml:space="preserve">000031344254</t>
  </si>
  <si>
    <t xml:space="preserve">000030835050</t>
  </si>
  <si>
    <t xml:space="preserve">DEIKERIN KARELIS</t>
  </si>
  <si>
    <t xml:space="preserve">VILLALOBOS BARRIOS</t>
  </si>
  <si>
    <t xml:space="preserve">04163623629</t>
  </si>
  <si>
    <t xml:space="preserve">17508754</t>
  </si>
  <si>
    <t xml:space="preserve">000006805702</t>
  </si>
  <si>
    <t xml:space="preserve">FUENMAYOR ZAMBRANO</t>
  </si>
  <si>
    <t xml:space="preserve">BRICHY DEL CARMEN</t>
  </si>
  <si>
    <t xml:space="preserve">000029818118</t>
  </si>
  <si>
    <t xml:space="preserve">PAULA ANDREA</t>
  </si>
  <si>
    <t xml:space="preserve">SOCORRO LOZANO</t>
  </si>
  <si>
    <t xml:space="preserve">13081012</t>
  </si>
  <si>
    <t xml:space="preserve">000029646792</t>
  </si>
  <si>
    <t xml:space="preserve">PAOLA VICTORIA</t>
  </si>
  <si>
    <t xml:space="preserve">PARDO VILLALOBOS</t>
  </si>
  <si>
    <t xml:space="preserve">09725528</t>
  </si>
  <si>
    <t xml:space="preserve">010417566966</t>
  </si>
  <si>
    <t xml:space="preserve">JALIUSKA MARIAN</t>
  </si>
  <si>
    <t xml:space="preserve">BARBOZA CHAVEZ</t>
  </si>
  <si>
    <t xml:space="preserve">17566966</t>
  </si>
  <si>
    <t xml:space="preserve">000030901754</t>
  </si>
  <si>
    <t xml:space="preserve">14278904</t>
  </si>
  <si>
    <t xml:space="preserve">000015560999</t>
  </si>
  <si>
    <t xml:space="preserve">YELITZA EVELIN</t>
  </si>
  <si>
    <t xml:space="preserve">PAEZ DIAZ</t>
  </si>
  <si>
    <t xml:space="preserve">000032851154</t>
  </si>
  <si>
    <t xml:space="preserve">MILAGRO SOFIA</t>
  </si>
  <si>
    <t xml:space="preserve">MANGA JIMENEZ</t>
  </si>
  <si>
    <t xml:space="preserve">sector chinito rafael</t>
  </si>
  <si>
    <t xml:space="preserve">56088651</t>
  </si>
  <si>
    <t xml:space="preserve">000038000014</t>
  </si>
  <si>
    <t xml:space="preserve">NEOMAR GABRIEL</t>
  </si>
  <si>
    <t xml:space="preserve">SUAREZ ZAMBRANO</t>
  </si>
  <si>
    <t xml:space="preserve">Sector 104</t>
  </si>
  <si>
    <t xml:space="preserve">000033724620</t>
  </si>
  <si>
    <t xml:space="preserve">DERVIS JOSÉ</t>
  </si>
  <si>
    <t xml:space="preserve">10444133</t>
  </si>
  <si>
    <t xml:space="preserve">000033152481</t>
  </si>
  <si>
    <t xml:space="preserve">EDUAR ELIAS</t>
  </si>
  <si>
    <t xml:space="preserve">18517060</t>
  </si>
  <si>
    <t xml:space="preserve">010721565560</t>
  </si>
  <si>
    <t xml:space="preserve">07818602</t>
  </si>
  <si>
    <t xml:space="preserve">000032760363</t>
  </si>
  <si>
    <t xml:space="preserve">CRISTIAN EDUARDO</t>
  </si>
  <si>
    <t xml:space="preserve">04126667169</t>
  </si>
  <si>
    <t xml:space="preserve">000032295752</t>
  </si>
  <si>
    <t xml:space="preserve">YOHANDER JOSUE</t>
  </si>
  <si>
    <t xml:space="preserve">CHAVEZ QUINTERO</t>
  </si>
  <si>
    <t xml:space="preserve">04264602681</t>
  </si>
  <si>
    <t xml:space="preserve">000031931785</t>
  </si>
  <si>
    <t xml:space="preserve">12873524</t>
  </si>
  <si>
    <t xml:space="preserve">000033500651</t>
  </si>
  <si>
    <t xml:space="preserve">JAIR JOSE</t>
  </si>
  <si>
    <t xml:space="preserve">URDANETA SALAS</t>
  </si>
  <si>
    <t xml:space="preserve">04124725144</t>
  </si>
  <si>
    <t xml:space="preserve">21228588</t>
  </si>
  <si>
    <t xml:space="preserve">000034696172</t>
  </si>
  <si>
    <t xml:space="preserve">RUTH MARY</t>
  </si>
  <si>
    <t xml:space="preserve">17634630</t>
  </si>
  <si>
    <t xml:space="preserve">000032703677</t>
  </si>
  <si>
    <t xml:space="preserve">JHON ALEJANDRO</t>
  </si>
  <si>
    <t xml:space="preserve">BELLOSO FUENMAYOR</t>
  </si>
  <si>
    <t xml:space="preserve">CAMPO CALISA</t>
  </si>
  <si>
    <t xml:space="preserve">04126493186</t>
  </si>
  <si>
    <t xml:space="preserve">20371891</t>
  </si>
  <si>
    <t xml:space="preserve">000032461508</t>
  </si>
  <si>
    <t xml:space="preserve">ADRIANNY RUSBELYS</t>
  </si>
  <si>
    <t xml:space="preserve">CARABALLO FERNANDEZ</t>
  </si>
  <si>
    <t xml:space="preserve">04160263195</t>
  </si>
  <si>
    <t xml:space="preserve">09744840</t>
  </si>
  <si>
    <t xml:space="preserve">000033532243</t>
  </si>
  <si>
    <t xml:space="preserve">000038000021</t>
  </si>
  <si>
    <t xml:space="preserve">NEIRIMAR ELENA</t>
  </si>
  <si>
    <t xml:space="preserve">000032851360</t>
  </si>
  <si>
    <t xml:space="preserve">YONALIS ELOISA</t>
  </si>
  <si>
    <t xml:space="preserve">VILLALOBOS SOCORRO</t>
  </si>
  <si>
    <t xml:space="preserve">LA PAZ SECTOR M</t>
  </si>
  <si>
    <t xml:space="preserve">04126626646</t>
  </si>
  <si>
    <t xml:space="preserve">21510146</t>
  </si>
  <si>
    <t xml:space="preserve">000036188608</t>
  </si>
  <si>
    <t xml:space="preserve">GOMEZ PEÑA</t>
  </si>
  <si>
    <t xml:space="preserve">15260165</t>
  </si>
  <si>
    <t xml:space="preserve">000032461496</t>
  </si>
  <si>
    <t xml:space="preserve">YONANDERSON GUSTAVO</t>
  </si>
  <si>
    <t xml:space="preserve">POLANCO CHAVEZ</t>
  </si>
  <si>
    <t xml:space="preserve">04126516104</t>
  </si>
  <si>
    <t xml:space="preserve">14208547</t>
  </si>
  <si>
    <t xml:space="preserve">010616561744</t>
  </si>
  <si>
    <t xml:space="preserve">JOSE ERNESTO</t>
  </si>
  <si>
    <t xml:space="preserve">24958916</t>
  </si>
  <si>
    <t xml:space="preserve">000029980380</t>
  </si>
  <si>
    <t xml:space="preserve">YORGELIS CAROLINA</t>
  </si>
  <si>
    <t xml:space="preserve">04246000037</t>
  </si>
  <si>
    <t xml:space="preserve">15888256</t>
  </si>
  <si>
    <t xml:space="preserve">000028123163</t>
  </si>
  <si>
    <t xml:space="preserve">MONTIEL GONZALEZ</t>
  </si>
  <si>
    <t xml:space="preserve">04166754550</t>
  </si>
  <si>
    <t xml:space="preserve">21731186</t>
  </si>
  <si>
    <t xml:space="preserve">000031969642</t>
  </si>
  <si>
    <t xml:space="preserve">JIMENEZ RAMIREZ</t>
  </si>
  <si>
    <t xml:space="preserve">04126503007</t>
  </si>
  <si>
    <t xml:space="preserve">19810115</t>
  </si>
  <si>
    <t xml:space="preserve">000031009865</t>
  </si>
  <si>
    <t xml:space="preserve">BERRUETA CHOURIO</t>
  </si>
  <si>
    <t xml:space="preserve">04124732049</t>
  </si>
  <si>
    <t xml:space="preserve">17565066</t>
  </si>
  <si>
    <t xml:space="preserve">000030946085</t>
  </si>
  <si>
    <t xml:space="preserve">LUCEYGLY ALEJANDRA</t>
  </si>
  <si>
    <t xml:space="preserve">VILLALOBOS RAMOS</t>
  </si>
  <si>
    <t xml:space="preserve">sector la M</t>
  </si>
  <si>
    <t xml:space="preserve">04146528297</t>
  </si>
  <si>
    <t xml:space="preserve">12305989</t>
  </si>
  <si>
    <t xml:space="preserve">000038000006</t>
  </si>
  <si>
    <t xml:space="preserve">YUSELY DEL CARMEN</t>
  </si>
  <si>
    <t xml:space="preserve">CUBILLAN BRACHO</t>
  </si>
  <si>
    <t xml:space="preserve">sector salineta</t>
  </si>
  <si>
    <t xml:space="preserve">04126094256</t>
  </si>
  <si>
    <t xml:space="preserve">25883891</t>
  </si>
  <si>
    <t xml:space="preserve">000036551044</t>
  </si>
  <si>
    <t xml:space="preserve">NORKELYS PAOLA</t>
  </si>
  <si>
    <t xml:space="preserve">sector 5 de enero</t>
  </si>
  <si>
    <t xml:space="preserve">04120750522</t>
  </si>
  <si>
    <t xml:space="preserve">17833761</t>
  </si>
  <si>
    <t xml:space="preserve">YOLISBETH DEL CARMEN</t>
  </si>
  <si>
    <t xml:space="preserve">la paz sector las flores</t>
  </si>
  <si>
    <t xml:space="preserve">000032768609</t>
  </si>
  <si>
    <t xml:space="preserve">la paz sector el nazareno</t>
  </si>
  <si>
    <t xml:space="preserve">04120694256</t>
  </si>
  <si>
    <t xml:space="preserve">000032831500</t>
  </si>
  <si>
    <t xml:space="preserve">SERGIO JOHAN</t>
  </si>
  <si>
    <t xml:space="preserve">04246900529</t>
  </si>
  <si>
    <t xml:space="preserve">000032872563</t>
  </si>
  <si>
    <t xml:space="preserve">EDDYNES VALENTINA</t>
  </si>
  <si>
    <t xml:space="preserve">000031442641</t>
  </si>
  <si>
    <t xml:space="preserve">YALEIXI DANIEL</t>
  </si>
  <si>
    <t xml:space="preserve">SECTOR LAS JABILLAS</t>
  </si>
  <si>
    <t xml:space="preserve">04263299718</t>
  </si>
  <si>
    <t xml:space="preserve">000032831616</t>
  </si>
  <si>
    <t xml:space="preserve">000034810822</t>
  </si>
  <si>
    <t xml:space="preserve">SAMUEL JESUS</t>
  </si>
  <si>
    <t xml:space="preserve">MATOS FERRER</t>
  </si>
  <si>
    <t xml:space="preserve">04120755881</t>
  </si>
  <si>
    <t xml:space="preserve">17565063</t>
  </si>
  <si>
    <t xml:space="preserve">000033141658</t>
  </si>
  <si>
    <t xml:space="preserve">BALLESTEROS ATENCIO</t>
  </si>
  <si>
    <t xml:space="preserve">09777201</t>
  </si>
  <si>
    <t xml:space="preserve">000031441710</t>
  </si>
  <si>
    <t xml:space="preserve">JOHAN ENRIQUE</t>
  </si>
  <si>
    <t xml:space="preserve">RINCON SOTO</t>
  </si>
  <si>
    <t xml:space="preserve">04120713092</t>
  </si>
  <si>
    <t xml:space="preserve">18120005</t>
  </si>
  <si>
    <t xml:space="preserve">000032783366</t>
  </si>
  <si>
    <t xml:space="preserve">NAYELIS LUCIA</t>
  </si>
  <si>
    <t xml:space="preserve">PALMAR MARQUEZ</t>
  </si>
  <si>
    <t xml:space="preserve">04126650064</t>
  </si>
  <si>
    <t xml:space="preserve">83258708</t>
  </si>
  <si>
    <t xml:space="preserve">000033555457</t>
  </si>
  <si>
    <t xml:space="preserve">ELIANDRY JOSE</t>
  </si>
  <si>
    <t xml:space="preserve">CASTLLO GONZALEZ</t>
  </si>
  <si>
    <t xml:space="preserve">25039928</t>
  </si>
  <si>
    <t xml:space="preserve">000032481226</t>
  </si>
  <si>
    <t xml:space="preserve">ODNERYS CAROLINA</t>
  </si>
  <si>
    <t xml:space="preserve">MARTINEZ HENRIQUEZ</t>
  </si>
  <si>
    <t xml:space="preserve">04121237310</t>
  </si>
  <si>
    <t xml:space="preserve">16918390</t>
  </si>
  <si>
    <t xml:space="preserve">000032088366</t>
  </si>
  <si>
    <t xml:space="preserve">YOARBELYN DEL CARMEN</t>
  </si>
  <si>
    <t xml:space="preserve">ARAUJO SANCHEZ</t>
  </si>
  <si>
    <t xml:space="preserve">SECTOR MARIO URDANETA I</t>
  </si>
  <si>
    <t xml:space="preserve">000033316629</t>
  </si>
  <si>
    <t xml:space="preserve">QUINTERO ANAYA</t>
  </si>
  <si>
    <t xml:space="preserve">04127758183</t>
  </si>
  <si>
    <t xml:space="preserve">15260613</t>
  </si>
  <si>
    <t xml:space="preserve">000032431250</t>
  </si>
  <si>
    <t xml:space="preserve">ENYELIN PAOLA</t>
  </si>
  <si>
    <t xml:space="preserve">GONZALEZ MORALES</t>
  </si>
  <si>
    <t xml:space="preserve">04124725016</t>
  </si>
  <si>
    <t xml:space="preserve">000032600617</t>
  </si>
  <si>
    <t xml:space="preserve">WILLIANNY RAMONA</t>
  </si>
  <si>
    <t xml:space="preserve">CUBILLAN MACHADO</t>
  </si>
  <si>
    <t xml:space="preserve">04264655159</t>
  </si>
  <si>
    <t xml:space="preserve">000036464788</t>
  </si>
  <si>
    <t xml:space="preserve">ORIANA VALERIA</t>
  </si>
  <si>
    <t xml:space="preserve">SUAREZ</t>
  </si>
  <si>
    <t xml:space="preserve">18833893</t>
  </si>
  <si>
    <t xml:space="preserve">000036208040</t>
  </si>
  <si>
    <t xml:space="preserve">ADRIANGELIS PAOLA</t>
  </si>
  <si>
    <t xml:space="preserve">12513582</t>
  </si>
  <si>
    <t xml:space="preserve">000031295330</t>
  </si>
  <si>
    <t xml:space="preserve">DENNYRIANA COROMOTO</t>
  </si>
  <si>
    <t xml:space="preserve">SOTURNO LEAL</t>
  </si>
  <si>
    <t xml:space="preserve">04126466822</t>
  </si>
  <si>
    <t xml:space="preserve">17940576</t>
  </si>
  <si>
    <t xml:space="preserve">000032002838</t>
  </si>
  <si>
    <t xml:space="preserve">ANGIBELY CAROLINA</t>
  </si>
  <si>
    <t xml:space="preserve">BASTIDAS GONZALEZ</t>
  </si>
  <si>
    <t xml:space="preserve">000032361553</t>
  </si>
  <si>
    <t xml:space="preserve">ANGEL SAVIER</t>
  </si>
  <si>
    <t xml:space="preserve">URDANETA CHAVEZ</t>
  </si>
  <si>
    <t xml:space="preserve">17634639</t>
  </si>
  <si>
    <t xml:space="preserve">000032062310</t>
  </si>
  <si>
    <t xml:space="preserve">HELEN VALERIA</t>
  </si>
  <si>
    <t xml:space="preserve">ALDANA CHAVEZ</t>
  </si>
  <si>
    <t xml:space="preserve">04120635906</t>
  </si>
  <si>
    <t xml:space="preserve">10412444</t>
  </si>
  <si>
    <t xml:space="preserve">000031252678</t>
  </si>
  <si>
    <t xml:space="preserve">YUNCELIS MARGARITA</t>
  </si>
  <si>
    <t xml:space="preserve">000031969649</t>
  </si>
  <si>
    <t xml:space="preserve">YEISON JESUS</t>
  </si>
  <si>
    <t xml:space="preserve">PIRELA BERRUETA</t>
  </si>
  <si>
    <t xml:space="preserve">000038000007</t>
  </si>
  <si>
    <t xml:space="preserve">sector chino rafael</t>
  </si>
  <si>
    <t xml:space="preserve">04121652735</t>
  </si>
  <si>
    <t xml:space="preserve">000031969643</t>
  </si>
  <si>
    <t xml:space="preserve">DARYERIS ESTHER</t>
  </si>
  <si>
    <t xml:space="preserve">GIL AÑEZ</t>
  </si>
  <si>
    <t xml:space="preserve">17089276</t>
  </si>
  <si>
    <t xml:space="preserve">000033729483</t>
  </si>
  <si>
    <t xml:space="preserve">ANALIC KISBEL</t>
  </si>
  <si>
    <t xml:space="preserve">04126488203</t>
  </si>
  <si>
    <t xml:space="preserve">000032839870</t>
  </si>
  <si>
    <t xml:space="preserve">ANGELINA SUSEJ</t>
  </si>
  <si>
    <t xml:space="preserve">calle los morochos</t>
  </si>
  <si>
    <t xml:space="preserve">000032261913</t>
  </si>
  <si>
    <t xml:space="preserve">ALFONSO GABRIEL</t>
  </si>
  <si>
    <t xml:space="preserve">MONTIEL FERRER</t>
  </si>
  <si>
    <t xml:space="preserve">04146505356</t>
  </si>
  <si>
    <t xml:space="preserve">12620120</t>
  </si>
  <si>
    <t xml:space="preserve">000033500382</t>
  </si>
  <si>
    <t xml:space="preserve">VASQUEZ URDANETA</t>
  </si>
  <si>
    <t xml:space="preserve">sector simon bolivar</t>
  </si>
  <si>
    <t xml:space="preserve">04121724536</t>
  </si>
  <si>
    <t xml:space="preserve">000034620861</t>
  </si>
  <si>
    <t xml:space="preserve">CELEINIMAR DEL CARMEN</t>
  </si>
  <si>
    <t xml:space="preserve">MOLERO CIBIRA</t>
  </si>
  <si>
    <t xml:space="preserve">sector la conquista</t>
  </si>
  <si>
    <t xml:space="preserve">04126548197</t>
  </si>
  <si>
    <t xml:space="preserve">000032426667</t>
  </si>
  <si>
    <t xml:space="preserve">FERNANDEZ BARRIO</t>
  </si>
  <si>
    <t xml:space="preserve">barrio 5 de ernero</t>
  </si>
  <si>
    <t xml:space="preserve">04126545686</t>
  </si>
  <si>
    <t xml:space="preserve">000033210381</t>
  </si>
  <si>
    <t xml:space="preserve">JHON HENRY</t>
  </si>
  <si>
    <t xml:space="preserve">FERRER NAVA</t>
  </si>
  <si>
    <t xml:space="preserve">04120717880</t>
  </si>
  <si>
    <t xml:space="preserve">000035012912</t>
  </si>
  <si>
    <t xml:space="preserve">04125471561</t>
  </si>
  <si>
    <t xml:space="preserve">19408911</t>
  </si>
  <si>
    <t xml:space="preserve">020714137934</t>
  </si>
  <si>
    <t xml:space="preserve">JHON KERVIN</t>
  </si>
  <si>
    <t xml:space="preserve">000033152637</t>
  </si>
  <si>
    <t xml:space="preserve">EVA MARIA</t>
  </si>
  <si>
    <t xml:space="preserve">000031869422</t>
  </si>
  <si>
    <t xml:space="preserve">NEURELYS DE LOS ANGELES</t>
  </si>
  <si>
    <t xml:space="preserve">PERCHE AZUAJE</t>
  </si>
  <si>
    <t xml:space="preserve">04126926793</t>
  </si>
  <si>
    <t xml:space="preserve">17566762</t>
  </si>
  <si>
    <t xml:space="preserve">000032895003</t>
  </si>
  <si>
    <t xml:space="preserve">ENDER WILLIAN</t>
  </si>
  <si>
    <t xml:space="preserve">URDANETA SIBIRA</t>
  </si>
  <si>
    <t xml:space="preserve">SECTOR 104</t>
  </si>
  <si>
    <t xml:space="preserve">20985669</t>
  </si>
  <si>
    <t xml:space="preserve">000032088371</t>
  </si>
  <si>
    <t xml:space="preserve">ORLANDO ENRIQUE</t>
  </si>
  <si>
    <t xml:space="preserve">secror roberto fuenmayor</t>
  </si>
  <si>
    <t xml:space="preserve">04261274970</t>
  </si>
  <si>
    <t xml:space="preserve">000032705484</t>
  </si>
  <si>
    <t xml:space="preserve">JEANNY JOSE</t>
  </si>
  <si>
    <t xml:space="preserve">PARDO VALBUENA</t>
  </si>
  <si>
    <t xml:space="preserve">000032768614</t>
  </si>
  <si>
    <t xml:space="preserve">ANTONELA SOFIA</t>
  </si>
  <si>
    <t xml:space="preserve">MORILLO FERRER</t>
  </si>
  <si>
    <t xml:space="preserve">04125494602</t>
  </si>
  <si>
    <t xml:space="preserve">17565206</t>
  </si>
  <si>
    <t xml:space="preserve">000032062315</t>
  </si>
  <si>
    <t xml:space="preserve">YELIBEL VANESSA</t>
  </si>
  <si>
    <t xml:space="preserve">barrio el colorado</t>
  </si>
  <si>
    <t xml:space="preserve">04127501527</t>
  </si>
  <si>
    <t xml:space="preserve">000032768587</t>
  </si>
  <si>
    <t xml:space="preserve">NOHELI CHIQUINQUIRA</t>
  </si>
  <si>
    <t xml:space="preserve">RINCON FEUENMAYOR</t>
  </si>
  <si>
    <t xml:space="preserve">04121212518</t>
  </si>
  <si>
    <t xml:space="preserve">20508575</t>
  </si>
  <si>
    <t xml:space="preserve">000038000005</t>
  </si>
  <si>
    <t xml:space="preserve">ARQUELYS NAIL</t>
  </si>
  <si>
    <t xml:space="preserve">25039669</t>
  </si>
  <si>
    <t xml:space="preserve">000031252691</t>
  </si>
  <si>
    <t xml:space="preserve">JOHANDRI JOSE</t>
  </si>
  <si>
    <t xml:space="preserve">MACHADO VILLASMIL</t>
  </si>
  <si>
    <t xml:space="preserve">18662109</t>
  </si>
  <si>
    <t xml:space="preserve">000033575817</t>
  </si>
  <si>
    <t xml:space="preserve">MARIANA PAOLA</t>
  </si>
  <si>
    <t xml:space="preserve">000033435587</t>
  </si>
  <si>
    <t xml:space="preserve">LEONARDO JOSE.</t>
  </si>
  <si>
    <t xml:space="preserve">ROMERO CASTEJON</t>
  </si>
  <si>
    <t xml:space="preserve">la conquista</t>
  </si>
  <si>
    <t xml:space="preserve">04125497914</t>
  </si>
  <si>
    <t xml:space="preserve">20508672</t>
  </si>
  <si>
    <t xml:space="preserve">000038000016</t>
  </si>
  <si>
    <t xml:space="preserve">DANIELA ROSA</t>
  </si>
  <si>
    <t xml:space="preserve">04126694174</t>
  </si>
  <si>
    <t xml:space="preserve">000038000009</t>
  </si>
  <si>
    <t xml:space="preserve">MARVIN JOSUE</t>
  </si>
  <si>
    <t xml:space="preserve">PULGA PORTILLO</t>
  </si>
  <si>
    <t xml:space="preserve">04124734323</t>
  </si>
  <si>
    <t xml:space="preserve">000038000011</t>
  </si>
  <si>
    <t xml:space="preserve">BRAULIANIS PAOLA</t>
  </si>
  <si>
    <t xml:space="preserve">CASIQUE MARA</t>
  </si>
  <si>
    <t xml:space="preserve">sector las minas</t>
  </si>
  <si>
    <t xml:space="preserve">04125296616</t>
  </si>
  <si>
    <t xml:space="preserve">18662209</t>
  </si>
  <si>
    <t xml:space="preserve">000033464995</t>
  </si>
  <si>
    <t xml:space="preserve">LUZ MARIA</t>
  </si>
  <si>
    <t xml:space="preserve">FARIA HERNANDEZ</t>
  </si>
  <si>
    <t xml:space="preserve">22140486</t>
  </si>
  <si>
    <t xml:space="preserve">010618662216</t>
  </si>
  <si>
    <t xml:space="preserve">ELI DE JESUS</t>
  </si>
  <si>
    <t xml:space="preserve">sector el hondito</t>
  </si>
  <si>
    <t xml:space="preserve">10676267</t>
  </si>
  <si>
    <t xml:space="preserve">000032062336</t>
  </si>
  <si>
    <t xml:space="preserve">NOLGELIS PAOLA</t>
  </si>
  <si>
    <t xml:space="preserve">04121680025</t>
  </si>
  <si>
    <t xml:space="preserve">000031960547</t>
  </si>
  <si>
    <t xml:space="preserve">YOHAN JOSE</t>
  </si>
  <si>
    <t xml:space="preserve">04121005515</t>
  </si>
  <si>
    <t xml:space="preserve">000033152778</t>
  </si>
  <si>
    <t xml:space="preserve">MARCELA DEL CARMEN</t>
  </si>
  <si>
    <t xml:space="preserve">FERRER VALENCIA</t>
  </si>
  <si>
    <t xml:space="preserve">04246921926</t>
  </si>
  <si>
    <t xml:space="preserve">15053855</t>
  </si>
  <si>
    <t xml:space="preserve">000034649758</t>
  </si>
  <si>
    <t xml:space="preserve">FINOL OLIVEROS</t>
  </si>
  <si>
    <t xml:space="preserve">04124721409</t>
  </si>
  <si>
    <t xml:space="preserve">19408851</t>
  </si>
  <si>
    <t xml:space="preserve">000032461499</t>
  </si>
  <si>
    <t xml:space="preserve">YEXIBETH NAYELIS</t>
  </si>
  <si>
    <t xml:space="preserve">MONTIEL OLIVARES</t>
  </si>
  <si>
    <t xml:space="preserve">sector el matadero</t>
  </si>
  <si>
    <t xml:space="preserve">20059267</t>
  </si>
  <si>
    <t xml:space="preserve">000032024233</t>
  </si>
  <si>
    <t xml:space="preserve">JOHANYEL JOSE</t>
  </si>
  <si>
    <t xml:space="preserve">04126607470</t>
  </si>
  <si>
    <t xml:space="preserve">000033152499</t>
  </si>
  <si>
    <t xml:space="preserve">HECTOR DAVIEL</t>
  </si>
  <si>
    <t xml:space="preserve">000033141147</t>
  </si>
  <si>
    <t xml:space="preserve">YURGELYS ABIGAHIL</t>
  </si>
  <si>
    <t xml:space="preserve">000032466398</t>
  </si>
  <si>
    <t xml:space="preserve">DIANYZ MILAGROS</t>
  </si>
  <si>
    <t xml:space="preserve">LINARES VELAZQUEZ</t>
  </si>
  <si>
    <t xml:space="preserve">04126647296</t>
  </si>
  <si>
    <t xml:space="preserve">24738808</t>
  </si>
  <si>
    <t xml:space="preserve">000032705485</t>
  </si>
  <si>
    <t xml:space="preserve">ALEJANDRA JOSE</t>
  </si>
  <si>
    <t xml:space="preserve">el barrio</t>
  </si>
  <si>
    <t xml:space="preserve">000032699627</t>
  </si>
  <si>
    <t xml:space="preserve">LEON ROJAS</t>
  </si>
  <si>
    <t xml:space="preserve">000038000010</t>
  </si>
  <si>
    <t xml:space="preserve">CARLOS DAVID</t>
  </si>
  <si>
    <t xml:space="preserve">04126738824</t>
  </si>
  <si>
    <t xml:space="preserve">000033724370</t>
  </si>
  <si>
    <t xml:space="preserve">el pueblo</t>
  </si>
  <si>
    <t xml:space="preserve">20058317</t>
  </si>
  <si>
    <t xml:space="preserve">000032783354</t>
  </si>
  <si>
    <t xml:space="preserve">GUSTAVO ELIAS</t>
  </si>
  <si>
    <t xml:space="preserve">barrio simon bolivar</t>
  </si>
  <si>
    <t xml:space="preserve">04121267809</t>
  </si>
  <si>
    <t xml:space="preserve">15195851</t>
  </si>
  <si>
    <t xml:space="preserve">000034924756</t>
  </si>
  <si>
    <t xml:space="preserve">YOKERVI JOSUE</t>
  </si>
  <si>
    <t xml:space="preserve">04126512049</t>
  </si>
  <si>
    <t xml:space="preserve">000033294556</t>
  </si>
  <si>
    <t xml:space="preserve">OLIVEROS RAMO</t>
  </si>
  <si>
    <t xml:space="preserve">las maria</t>
  </si>
  <si>
    <t xml:space="preserve">04121212267</t>
  </si>
  <si>
    <t xml:space="preserve">11208249</t>
  </si>
  <si>
    <t xml:space="preserve">000033465039</t>
  </si>
  <si>
    <t xml:space="preserve">04141671585</t>
  </si>
  <si>
    <t xml:space="preserve">19987780</t>
  </si>
  <si>
    <t xml:space="preserve">000038000018</t>
  </si>
  <si>
    <t xml:space="preserve">VALERIA DEL CARMEN</t>
  </si>
  <si>
    <t xml:space="preserve">GUTIERREZ VAZQUEZ</t>
  </si>
  <si>
    <t xml:space="preserve">av.principal</t>
  </si>
  <si>
    <t xml:space="preserve">04127635491</t>
  </si>
  <si>
    <t xml:space="preserve">22460793</t>
  </si>
  <si>
    <t xml:space="preserve">000033601593</t>
  </si>
  <si>
    <t xml:space="preserve">KAROLAINI PAOLA</t>
  </si>
  <si>
    <t xml:space="preserve">z</t>
  </si>
  <si>
    <t xml:space="preserve">000034423593</t>
  </si>
  <si>
    <t xml:space="preserve">ROSA MARIA</t>
  </si>
  <si>
    <t xml:space="preserve">000035073598</t>
  </si>
  <si>
    <t xml:space="preserve">JENRRYANIS PAOLA</t>
  </si>
  <si>
    <t xml:space="preserve">sector la javillas</t>
  </si>
  <si>
    <t xml:space="preserve">04124726197</t>
  </si>
  <si>
    <t xml:space="preserve">000034471249</t>
  </si>
  <si>
    <t xml:space="preserve">RUSBELIS ANAIS</t>
  </si>
  <si>
    <t xml:space="preserve">las parcelas</t>
  </si>
  <si>
    <t xml:space="preserve">000032722492</t>
  </si>
  <si>
    <t xml:space="preserve">BARRIO ATENCIO</t>
  </si>
  <si>
    <t xml:space="preserve">sector las carmelitas</t>
  </si>
  <si>
    <t xml:space="preserve">04125256278</t>
  </si>
  <si>
    <t xml:space="preserve">000032831005</t>
  </si>
  <si>
    <t xml:space="preserve">MARIA VIRGINIA</t>
  </si>
  <si>
    <t xml:space="preserve">GONZALEZ NAVARRO</t>
  </si>
  <si>
    <t xml:space="preserve">campo calitza</t>
  </si>
  <si>
    <t xml:space="preserve">04125462668</t>
  </si>
  <si>
    <t xml:space="preserve">000032830979</t>
  </si>
  <si>
    <t xml:space="preserve">PORTILLO BRIÑEZ</t>
  </si>
  <si>
    <t xml:space="preserve">04121206722</t>
  </si>
  <si>
    <t xml:space="preserve">16838296</t>
  </si>
  <si>
    <t xml:space="preserve">000033555487</t>
  </si>
  <si>
    <t xml:space="preserve">LEODARIS PAOLA</t>
  </si>
  <si>
    <t xml:space="preserve">NAVARRO GONZALEZ</t>
  </si>
  <si>
    <t xml:space="preserve">000038000015</t>
  </si>
  <si>
    <t xml:space="preserve">MIGUEL ALEJANDRO</t>
  </si>
  <si>
    <t xml:space="preserve">valle encantado</t>
  </si>
  <si>
    <t xml:space="preserve">04121000898</t>
  </si>
  <si>
    <t xml:space="preserve">000031899184</t>
  </si>
  <si>
    <t xml:space="preserve">HECTOR SEBASTIAN</t>
  </si>
  <si>
    <t xml:space="preserve">CEGARRA JARAMILLO</t>
  </si>
  <si>
    <t xml:space="preserve">04146754460</t>
  </si>
  <si>
    <t xml:space="preserve">19225139</t>
  </si>
  <si>
    <t xml:space="preserve">010184075672</t>
  </si>
  <si>
    <t xml:space="preserve">CAROL SANDRI</t>
  </si>
  <si>
    <t xml:space="preserve">ACOSTA GIMENEZ</t>
  </si>
  <si>
    <t xml:space="preserve">sector nazareno</t>
  </si>
  <si>
    <t xml:space="preserve">04246877685</t>
  </si>
  <si>
    <t xml:space="preserve">84075672</t>
  </si>
  <si>
    <t xml:space="preserve">000032006532</t>
  </si>
  <si>
    <t xml:space="preserve">GIRBELIS DE LOS ANGELES</t>
  </si>
  <si>
    <t xml:space="preserve">sector el batacazo</t>
  </si>
  <si>
    <t xml:space="preserve">000031968316</t>
  </si>
  <si>
    <t xml:space="preserve">ANILA MARIA</t>
  </si>
  <si>
    <t xml:space="preserve">BELTRAN MOLINA</t>
  </si>
  <si>
    <t xml:space="preserve">los pantallas</t>
  </si>
  <si>
    <t xml:space="preserve">04124739468</t>
  </si>
  <si>
    <t xml:space="preserve">000032081943</t>
  </si>
  <si>
    <t xml:space="preserve">DADRIANA CAROLINA</t>
  </si>
  <si>
    <t xml:space="preserve">04263258849</t>
  </si>
  <si>
    <t xml:space="preserve">21509558</t>
  </si>
  <si>
    <t xml:space="preserve">000033607801</t>
  </si>
  <si>
    <t xml:space="preserve">INCIARTE INCIARTE</t>
  </si>
  <si>
    <t xml:space="preserve">04261625596</t>
  </si>
  <si>
    <t xml:space="preserve">18284190</t>
  </si>
  <si>
    <t xml:space="preserve">000033729360</t>
  </si>
  <si>
    <t xml:space="preserve">YELIANNY VANESA</t>
  </si>
  <si>
    <t xml:space="preserve">AV. PRINCIPAL LAS JABILLITAS</t>
  </si>
  <si>
    <t xml:space="preserve">04162624120</t>
  </si>
  <si>
    <t xml:space="preserve">000032768584</t>
  </si>
  <si>
    <t xml:space="preserve">EMMANUELIS PAOLA</t>
  </si>
  <si>
    <t xml:space="preserve">04125142727</t>
  </si>
  <si>
    <t xml:space="preserve">000032897202</t>
  </si>
  <si>
    <t xml:space="preserve">SUAREZ AVILA</t>
  </si>
  <si>
    <t xml:space="preserve">04124739582</t>
  </si>
  <si>
    <t xml:space="preserve">17938234</t>
  </si>
  <si>
    <t xml:space="preserve">000032638682</t>
  </si>
  <si>
    <t xml:space="preserve">NESTOR ANDRES</t>
  </si>
  <si>
    <t xml:space="preserve">SANCHEZ JIMENEZ</t>
  </si>
  <si>
    <t xml:space="preserve">LA PAZ AV. PRINCIPAL</t>
  </si>
  <si>
    <t xml:space="preserve">04127757193</t>
  </si>
  <si>
    <t xml:space="preserve">000034638756</t>
  </si>
  <si>
    <t xml:space="preserve">RUANYELIS SUSEJ</t>
  </si>
  <si>
    <t xml:space="preserve">LA CONSQUISTA</t>
  </si>
  <si>
    <t xml:space="preserve">04126830231</t>
  </si>
  <si>
    <t xml:space="preserve">000032715290</t>
  </si>
  <si>
    <t xml:space="preserve">ANDREA ALEJANDRA</t>
  </si>
  <si>
    <t xml:space="preserve">CHACIN COLINA</t>
  </si>
  <si>
    <t xml:space="preserve">19767043</t>
  </si>
  <si>
    <t xml:space="preserve">000032715297</t>
  </si>
  <si>
    <t xml:space="preserve">YENNIFER KARINA</t>
  </si>
  <si>
    <t xml:space="preserve">000032008763</t>
  </si>
  <si>
    <t xml:space="preserve">000032705490</t>
  </si>
  <si>
    <t xml:space="preserve">LIXANDRO JOSE</t>
  </si>
  <si>
    <t xml:space="preserve">04125270298</t>
  </si>
  <si>
    <t xml:space="preserve">09736003</t>
  </si>
  <si>
    <t xml:space="preserve">000033129919</t>
  </si>
  <si>
    <t xml:space="preserve">06805760</t>
  </si>
  <si>
    <t xml:space="preserve">000034089259</t>
  </si>
  <si>
    <t xml:space="preserve">HILLARY MARIA</t>
  </si>
  <si>
    <t xml:space="preserve">RIVERO GAMEZ</t>
  </si>
  <si>
    <t xml:space="preserve">LAS JABILLITA</t>
  </si>
  <si>
    <t xml:space="preserve">04124726808</t>
  </si>
  <si>
    <t xml:space="preserve">010617566737</t>
  </si>
  <si>
    <t xml:space="preserve">DARVIS JESUS</t>
  </si>
  <si>
    <t xml:space="preserve">000038000029</t>
  </si>
  <si>
    <t xml:space="preserve">JEANNY DEL CARMEN</t>
  </si>
  <si>
    <t xml:space="preserve">04121726955</t>
  </si>
  <si>
    <t xml:space="preserve">010612803966</t>
  </si>
  <si>
    <t xml:space="preserve">KEINER JOSE</t>
  </si>
  <si>
    <t xml:space="preserve">MORENO ORDOÑEZ</t>
  </si>
  <si>
    <t xml:space="preserve">04267677455</t>
  </si>
  <si>
    <t xml:space="preserve">25239775</t>
  </si>
  <si>
    <t xml:space="preserve">000033913524</t>
  </si>
  <si>
    <t xml:space="preserve">04127647171</t>
  </si>
  <si>
    <t xml:space="preserve">14896372</t>
  </si>
  <si>
    <t xml:space="preserve">000032075944</t>
  </si>
  <si>
    <t xml:space="preserve">MARIA TERESA</t>
  </si>
  <si>
    <t xml:space="preserve">URDANETA REYES</t>
  </si>
  <si>
    <t xml:space="preserve">SECTOR CIENTO 15</t>
  </si>
  <si>
    <t xml:space="preserve">04127504294</t>
  </si>
  <si>
    <t xml:space="preserve">20059354</t>
  </si>
  <si>
    <t xml:space="preserve">000032718322</t>
  </si>
  <si>
    <t xml:space="preserve">ALEJANDRA VALENTINA</t>
  </si>
  <si>
    <t xml:space="preserve">LA PAZ SECTOR EL TAPARO</t>
  </si>
  <si>
    <t xml:space="preserve">04127514564</t>
  </si>
  <si>
    <t xml:space="preserve">000033500327</t>
  </si>
  <si>
    <t xml:space="preserve">LORENA DEL CARMEN</t>
  </si>
  <si>
    <t xml:space="preserve">HENRIQUEZ GONZALEZ</t>
  </si>
  <si>
    <t xml:space="preserve">04262639277</t>
  </si>
  <si>
    <t xml:space="preserve">20778206</t>
  </si>
  <si>
    <t xml:space="preserve">000033724642</t>
  </si>
  <si>
    <t xml:space="preserve">MIRIAINIS MARIA</t>
  </si>
  <si>
    <t xml:space="preserve">04246758353</t>
  </si>
  <si>
    <t xml:space="preserve">26276285</t>
  </si>
  <si>
    <t xml:space="preserve">000034336914</t>
  </si>
  <si>
    <t xml:space="preserve">LILIANGEL MARIA</t>
  </si>
  <si>
    <t xml:space="preserve">DIAZ PRIETO</t>
  </si>
  <si>
    <t xml:space="preserve">CAMPO COQUIVACOA 4 CALLE</t>
  </si>
  <si>
    <t xml:space="preserve">04124707255</t>
  </si>
  <si>
    <t xml:space="preserve">15748756</t>
  </si>
  <si>
    <t xml:space="preserve">000032062338</t>
  </si>
  <si>
    <t xml:space="preserve">LUIS EDUARDO</t>
  </si>
  <si>
    <t xml:space="preserve">000032891264</t>
  </si>
  <si>
    <t xml:space="preserve">04125804878</t>
  </si>
  <si>
    <t xml:space="preserve">000032002840</t>
  </si>
  <si>
    <t xml:space="preserve">RICHAR SEGUNDO</t>
  </si>
  <si>
    <t xml:space="preserve">000036367443</t>
  </si>
  <si>
    <t xml:space="preserve">SIMON CAMILO</t>
  </si>
  <si>
    <t xml:space="preserve">15260054</t>
  </si>
  <si>
    <t xml:space="preserve">000038000028</t>
  </si>
  <si>
    <t xml:space="preserve">YONEXI CHIQUINQUIRA</t>
  </si>
  <si>
    <t xml:space="preserve">22146021</t>
  </si>
  <si>
    <t xml:space="preserve">000033608238</t>
  </si>
  <si>
    <t xml:space="preserve">04262651017</t>
  </si>
  <si>
    <t xml:space="preserve">000038000030</t>
  </si>
  <si>
    <t xml:space="preserve">KEVIN ALEJANDRO</t>
  </si>
  <si>
    <t xml:space="preserve">CHIMA CUADRADO</t>
  </si>
  <si>
    <t xml:space="preserve">04129658456</t>
  </si>
  <si>
    <t xml:space="preserve">18662113</t>
  </si>
  <si>
    <t xml:space="preserve">000035046939</t>
  </si>
  <si>
    <t xml:space="preserve">VIVIANA CAROLINA</t>
  </si>
  <si>
    <t xml:space="preserve">000032038470</t>
  </si>
  <si>
    <t xml:space="preserve">FRANK ANYELBEN</t>
  </si>
  <si>
    <t xml:space="preserve">04246659797</t>
  </si>
  <si>
    <t xml:space="preserve">20279486</t>
  </si>
  <si>
    <t xml:space="preserve">000032839676</t>
  </si>
  <si>
    <t xml:space="preserve">DEILIMAR PAOLA</t>
  </si>
  <si>
    <t xml:space="preserve">04125467907</t>
  </si>
  <si>
    <t xml:space="preserve">000032002839</t>
  </si>
  <si>
    <t xml:space="preserve">YAMILETH YOVANA</t>
  </si>
  <si>
    <t xml:space="preserve">000032024218</t>
  </si>
  <si>
    <t xml:space="preserve">EULIANY DEL CARMEN</t>
  </si>
  <si>
    <t xml:space="preserve">FUENMAYOR FERREIRA</t>
  </si>
  <si>
    <t xml:space="preserve">04120764197</t>
  </si>
  <si>
    <t xml:space="preserve">17833751</t>
  </si>
  <si>
    <t xml:space="preserve">000038000027</t>
  </si>
  <si>
    <t xml:space="preserve">ADRIANA DEL CARMEN</t>
  </si>
  <si>
    <t xml:space="preserve">CAUSADO CONTRERAS</t>
  </si>
  <si>
    <t xml:space="preserve">21510152</t>
  </si>
  <si>
    <t xml:space="preserve">000031787939</t>
  </si>
  <si>
    <t xml:space="preserve">NELLYS PAOLA</t>
  </si>
  <si>
    <t xml:space="preserve">LOAIZA AGUILAR</t>
  </si>
  <si>
    <t xml:space="preserve">SAN CARLOS</t>
  </si>
  <si>
    <t xml:space="preserve">26145744</t>
  </si>
  <si>
    <t xml:space="preserve">000038000020</t>
  </si>
  <si>
    <t xml:space="preserve">DEILIANA THAIS</t>
  </si>
  <si>
    <t xml:space="preserve">000031070114</t>
  </si>
  <si>
    <t xml:space="preserve">YENNY DEL CARMEN</t>
  </si>
  <si>
    <t xml:space="preserve">000031105576</t>
  </si>
  <si>
    <t xml:space="preserve">LAURA ELENA</t>
  </si>
  <si>
    <t xml:space="preserve">04262629277</t>
  </si>
  <si>
    <t xml:space="preserve">000033464910</t>
  </si>
  <si>
    <t xml:space="preserve">JOSE IGNACIO</t>
  </si>
  <si>
    <t xml:space="preserve">04269304911</t>
  </si>
  <si>
    <t xml:space="preserve">23466447</t>
  </si>
  <si>
    <t xml:space="preserve">000038000012</t>
  </si>
  <si>
    <t xml:space="preserve">YORMARY DE JESUS</t>
  </si>
  <si>
    <t xml:space="preserve">GONZALEZ NAVA</t>
  </si>
  <si>
    <t xml:space="preserve">18662035</t>
  </si>
  <si>
    <t xml:space="preserve">000032466232</t>
  </si>
  <si>
    <t xml:space="preserve">ABEL MOISES</t>
  </si>
  <si>
    <t xml:space="preserve">0412174781</t>
  </si>
  <si>
    <t xml:space="preserve">000038000022</t>
  </si>
  <si>
    <t xml:space="preserve">000034649713</t>
  </si>
  <si>
    <t xml:space="preserve">041266503007</t>
  </si>
  <si>
    <t xml:space="preserve">000015987341</t>
  </si>
  <si>
    <t xml:space="preserve">ALBERTO JOSE</t>
  </si>
  <si>
    <t xml:space="preserve">000025979166</t>
  </si>
  <si>
    <t xml:space="preserve">MONTIEL RAMIREZ</t>
  </si>
  <si>
    <t xml:space="preserve">000017634158</t>
  </si>
  <si>
    <t xml:space="preserve">ANGIEBELT</t>
  </si>
  <si>
    <t xml:space="preserve">SUARES OLIVERO</t>
  </si>
  <si>
    <t xml:space="preserve">000032410262</t>
  </si>
  <si>
    <t xml:space="preserve">KEIBER JAVIER</t>
  </si>
  <si>
    <t xml:space="preserve">marimonda</t>
  </si>
  <si>
    <t xml:space="preserve">04127505987</t>
  </si>
  <si>
    <t xml:space="preserve">000032410261</t>
  </si>
  <si>
    <t xml:space="preserve">KEIBELYN PAOLA</t>
  </si>
  <si>
    <t xml:space="preserve">URDANETA PACHECO</t>
  </si>
  <si>
    <t xml:space="preserve">000032410259</t>
  </si>
  <si>
    <t xml:space="preserve">ORIANNY CHIQUINQUIRA</t>
  </si>
  <si>
    <t xml:space="preserve">QUIBA URDANETA</t>
  </si>
  <si>
    <t xml:space="preserve">000033123516</t>
  </si>
  <si>
    <t xml:space="preserve">JERY ALBERTO</t>
  </si>
  <si>
    <t xml:space="preserve">avenida principal</t>
  </si>
  <si>
    <t xml:space="preserve">04146270852</t>
  </si>
  <si>
    <t xml:space="preserve">16689297</t>
  </si>
  <si>
    <t xml:space="preserve">000031097182</t>
  </si>
  <si>
    <t xml:space="preserve">ARGENIS DE JESUS</t>
  </si>
  <si>
    <t xml:space="preserve">000033575753</t>
  </si>
  <si>
    <t xml:space="preserve">JOELIS DE LOS ANGELES</t>
  </si>
  <si>
    <t xml:space="preserve">VEGA CUARTT</t>
  </si>
  <si>
    <t xml:space="preserve">parada de los buses</t>
  </si>
  <si>
    <t xml:space="preserve">04121285918</t>
  </si>
  <si>
    <t xml:space="preserve">19484209</t>
  </si>
  <si>
    <t xml:space="preserve">000032749837</t>
  </si>
  <si>
    <t xml:space="preserve">MARCOS JUNIOR</t>
  </si>
  <si>
    <t xml:space="preserve">04121726007</t>
  </si>
  <si>
    <t xml:space="preserve">000034939637</t>
  </si>
  <si>
    <t xml:space="preserve">YENNIRETH DEL CARMEN</t>
  </si>
  <si>
    <t xml:space="preserve">VILLALOBOS CORREA</t>
  </si>
  <si>
    <t xml:space="preserve">04121460892</t>
  </si>
  <si>
    <t xml:space="preserve">30299310</t>
  </si>
  <si>
    <t xml:space="preserve">010618662192</t>
  </si>
  <si>
    <t xml:space="preserve">RAFAEL SEBASTIAN</t>
  </si>
  <si>
    <t xml:space="preserve">ESCANDELA BERRUETA</t>
  </si>
  <si>
    <t xml:space="preserve">barrio san benito</t>
  </si>
  <si>
    <t xml:space="preserve">04126913836</t>
  </si>
  <si>
    <t xml:space="preserve">18662192</t>
  </si>
  <si>
    <t xml:space="preserve">000038000025</t>
  </si>
  <si>
    <t xml:space="preserve">GREISY ISABEL</t>
  </si>
  <si>
    <t xml:space="preserve">04121474972</t>
  </si>
  <si>
    <t xml:space="preserve">000032600614</t>
  </si>
  <si>
    <t xml:space="preserve">PULGAR SUAREZ</t>
  </si>
  <si>
    <t xml:space="preserve">19210770</t>
  </si>
  <si>
    <t xml:space="preserve">000031565900</t>
  </si>
  <si>
    <t xml:space="preserve">ANYIBEL DEL CARMEN</t>
  </si>
  <si>
    <t xml:space="preserve">28103529</t>
  </si>
  <si>
    <t xml:space="preserve">000032894368</t>
  </si>
  <si>
    <t xml:space="preserve">ROSIMAR DEL VALLE</t>
  </si>
  <si>
    <t xml:space="preserve">BELTRAN ROMERO</t>
  </si>
  <si>
    <t xml:space="preserve">10451646</t>
  </si>
  <si>
    <t xml:space="preserve">000032617243</t>
  </si>
  <si>
    <t xml:space="preserve">CHACIN FERRER</t>
  </si>
  <si>
    <t xml:space="preserve">04167626496</t>
  </si>
  <si>
    <t xml:space="preserve">14306902</t>
  </si>
  <si>
    <t xml:space="preserve">000034397348</t>
  </si>
  <si>
    <t xml:space="preserve">JOHANGEL EZEQUIEL</t>
  </si>
  <si>
    <t xml:space="preserve">RAMIREZ VILCHEZ</t>
  </si>
  <si>
    <t xml:space="preserve">20069757</t>
  </si>
  <si>
    <t xml:space="preserve">000031342597</t>
  </si>
  <si>
    <t xml:space="preserve">EDEIVIS DEL CARMEN</t>
  </si>
  <si>
    <t xml:space="preserve">BENITEZ SANCHEZ</t>
  </si>
  <si>
    <t xml:space="preserve">04121744697</t>
  </si>
  <si>
    <t xml:space="preserve">19766628</t>
  </si>
  <si>
    <t xml:space="preserve">010720276561</t>
  </si>
  <si>
    <t xml:space="preserve">000038000013</t>
  </si>
  <si>
    <t xml:space="preserve">ALEXANDER ANTONIO</t>
  </si>
  <si>
    <t xml:space="preserve">PACHECO PINEDA</t>
  </si>
  <si>
    <t xml:space="preserve">sector el pueblo</t>
  </si>
  <si>
    <t xml:space="preserve">000034767453</t>
  </si>
  <si>
    <t xml:space="preserve">GEREMI ENRIQUE</t>
  </si>
  <si>
    <t xml:space="preserve">000029996382</t>
  </si>
  <si>
    <t xml:space="preserve">OSMERY KARINA</t>
  </si>
  <si>
    <t xml:space="preserve">OLIVEROS MAPARI</t>
  </si>
  <si>
    <t xml:space="preserve">04262623352</t>
  </si>
  <si>
    <t xml:space="preserve">12445156</t>
  </si>
  <si>
    <t xml:space="preserve">000033576436</t>
  </si>
  <si>
    <t xml:space="preserve">YOHENNI PAOLA</t>
  </si>
  <si>
    <t xml:space="preserve">04125496585</t>
  </si>
  <si>
    <t xml:space="preserve">010719810980</t>
  </si>
  <si>
    <t xml:space="preserve">YESIRETH PAOLA</t>
  </si>
  <si>
    <t xml:space="preserve">04121003075</t>
  </si>
  <si>
    <t xml:space="preserve">000030319307</t>
  </si>
  <si>
    <t xml:space="preserve">GENESIS JOSEFINA</t>
  </si>
  <si>
    <t xml:space="preserve">16151589</t>
  </si>
  <si>
    <t xml:space="preserve">000025041230</t>
  </si>
  <si>
    <t xml:space="preserve">KATIELIS DANIELA</t>
  </si>
  <si>
    <t xml:space="preserve">HERRERA VALBUENA</t>
  </si>
  <si>
    <t xml:space="preserve">000019838556</t>
  </si>
  <si>
    <t xml:space="preserve">MIRANDA MONTIEL</t>
  </si>
  <si>
    <t xml:space="preserve">000034463334</t>
  </si>
  <si>
    <t xml:space="preserve">BARRIO URDANETA</t>
  </si>
  <si>
    <t xml:space="preserve">07801231</t>
  </si>
  <si>
    <t xml:space="preserve">000034482696</t>
  </si>
  <si>
    <t xml:space="preserve">YULIANGEL KAROLAY</t>
  </si>
  <si>
    <t xml:space="preserve">000032551341</t>
  </si>
  <si>
    <t xml:space="preserve">JEANLEIVIS YOSELIN</t>
  </si>
  <si>
    <t xml:space="preserve">SALAS OCHOA</t>
  </si>
  <si>
    <t xml:space="preserve">19988797</t>
  </si>
  <si>
    <t xml:space="preserve">010715887354</t>
  </si>
  <si>
    <t xml:space="preserve">ALVI JOSE</t>
  </si>
  <si>
    <t xml:space="preserve">RINCON PEÑA</t>
  </si>
  <si>
    <t xml:space="preserve">15887354</t>
  </si>
  <si>
    <t xml:space="preserve">000031285389</t>
  </si>
  <si>
    <t xml:space="preserve">JOSELIS NAZARETH</t>
  </si>
  <si>
    <t xml:space="preserve">HERNANDEZ BRIÑEZ</t>
  </si>
  <si>
    <t xml:space="preserve">CAMPO BOYACA CASA 83B CALLE7</t>
  </si>
  <si>
    <t xml:space="preserve">000018201453</t>
  </si>
  <si>
    <t xml:space="preserve">ANA KARELIS</t>
  </si>
  <si>
    <t xml:space="preserve">000017940624</t>
  </si>
  <si>
    <t xml:space="preserve">EDRIANI CAROLINA</t>
  </si>
  <si>
    <t xml:space="preserve">000032511888</t>
  </si>
  <si>
    <t xml:space="preserve">ROMERO GAMEZ</t>
  </si>
  <si>
    <t xml:space="preserve">SECTOR LAS CASITAS</t>
  </si>
  <si>
    <t xml:space="preserve">000024250410</t>
  </si>
  <si>
    <t xml:space="preserve">BAIVELIS KARINA</t>
  </si>
  <si>
    <t xml:space="preserve">000038000019</t>
  </si>
  <si>
    <t xml:space="preserve">JHON ANGEL</t>
  </si>
  <si>
    <t xml:space="preserve">MONTES GONZALEZ</t>
  </si>
  <si>
    <t xml:space="preserve">000033570361</t>
  </si>
  <si>
    <t xml:space="preserve">ODEIMER JESUS</t>
  </si>
  <si>
    <t xml:space="preserve">04121234912</t>
  </si>
  <si>
    <t xml:space="preserve">18704922</t>
  </si>
  <si>
    <t xml:space="preserve">000032895008</t>
  </si>
  <si>
    <t xml:space="preserve">NEURBENIS ANTONIO</t>
  </si>
  <si>
    <t xml:space="preserve">LABARCA URDANTA</t>
  </si>
  <si>
    <t xml:space="preserve">19837118</t>
  </si>
  <si>
    <t xml:space="preserve">000033608318</t>
  </si>
  <si>
    <t xml:space="preserve">DARIANA LUCIA</t>
  </si>
  <si>
    <t xml:space="preserve">VALBUENA LABARCA</t>
  </si>
  <si>
    <t xml:space="preserve">04126643353</t>
  </si>
  <si>
    <t xml:space="preserve">20508742</t>
  </si>
  <si>
    <t xml:space="preserve">NEIDIS ALEJANDRA</t>
  </si>
  <si>
    <t xml:space="preserve">19016811</t>
  </si>
  <si>
    <t xml:space="preserve">000032851180</t>
  </si>
  <si>
    <t xml:space="preserve">ACOSTA OJEDA</t>
  </si>
  <si>
    <t xml:space="preserve">04121203324</t>
  </si>
  <si>
    <t xml:space="preserve">12380786</t>
  </si>
  <si>
    <t xml:space="preserve">000034408095</t>
  </si>
  <si>
    <t xml:space="preserve">YORLEY DEL CARMEN</t>
  </si>
  <si>
    <t xml:space="preserve">ROMERO MAYOR</t>
  </si>
  <si>
    <t xml:space="preserve">000033575790</t>
  </si>
  <si>
    <t xml:space="preserve">ALBENINGER JOSE</t>
  </si>
  <si>
    <t xml:space="preserve">FINOL VALBUENA</t>
  </si>
  <si>
    <t xml:space="preserve">04125803567</t>
  </si>
  <si>
    <t xml:space="preserve">19906262</t>
  </si>
  <si>
    <t xml:space="preserve">000033724668</t>
  </si>
  <si>
    <t xml:space="preserve">JOINER JOSE</t>
  </si>
  <si>
    <t xml:space="preserve">FERNANDEZ BERRUETA</t>
  </si>
  <si>
    <t xml:space="preserve">04125807514</t>
  </si>
  <si>
    <t xml:space="preserve">17416591</t>
  </si>
  <si>
    <t xml:space="preserve">000033724388</t>
  </si>
  <si>
    <t xml:space="preserve">JOHIBER JOSE</t>
  </si>
  <si>
    <t xml:space="preserve">CASTRO BERRUETA</t>
  </si>
  <si>
    <t xml:space="preserve">04121734019</t>
  </si>
  <si>
    <t xml:space="preserve">19810991</t>
  </si>
  <si>
    <t xml:space="preserve">000033431577</t>
  </si>
  <si>
    <t xml:space="preserve">LIDIMAR ISABEL</t>
  </si>
  <si>
    <t xml:space="preserve">000033118439</t>
  </si>
  <si>
    <t xml:space="preserve">ANGELICA ALEJANDRA</t>
  </si>
  <si>
    <t xml:space="preserve">04124721064</t>
  </si>
  <si>
    <t xml:space="preserve">15888513</t>
  </si>
  <si>
    <t xml:space="preserve">000033500486</t>
  </si>
  <si>
    <t xml:space="preserve">HARRINSON ARGONIS</t>
  </si>
  <si>
    <t xml:space="preserve">GOMEZ FERNANDEZ</t>
  </si>
  <si>
    <t xml:space="preserve">04125298400</t>
  </si>
  <si>
    <t xml:space="preserve">19989803</t>
  </si>
  <si>
    <t xml:space="preserve">000032891255</t>
  </si>
  <si>
    <t xml:space="preserve">MARIANA BELEN</t>
  </si>
  <si>
    <t xml:space="preserve">LABARCA CHACIN</t>
  </si>
  <si>
    <t xml:space="preserve">04121207152</t>
  </si>
  <si>
    <t xml:space="preserve">25423764</t>
  </si>
  <si>
    <t xml:space="preserve">000033608046</t>
  </si>
  <si>
    <t xml:space="preserve">YOANYER JESUS</t>
  </si>
  <si>
    <t xml:space="preserve">04163668415</t>
  </si>
  <si>
    <t xml:space="preserve">000033500690</t>
  </si>
  <si>
    <t xml:space="preserve">MIGUEL JOSE</t>
  </si>
  <si>
    <t xml:space="preserve">PORTILLO PADRON</t>
  </si>
  <si>
    <t xml:space="preserve">04124724865</t>
  </si>
  <si>
    <t xml:space="preserve">10432182</t>
  </si>
  <si>
    <t xml:space="preserve">000033809217</t>
  </si>
  <si>
    <t xml:space="preserve">LENIREN SOFIA</t>
  </si>
  <si>
    <t xml:space="preserve">VILLAROEL SANCHEZ</t>
  </si>
  <si>
    <t xml:space="preserve">000033532424</t>
  </si>
  <si>
    <t xml:space="preserve">ORIANA ALEJANDRA</t>
  </si>
  <si>
    <t xml:space="preserve">04120660690</t>
  </si>
  <si>
    <t xml:space="preserve">18286630</t>
  </si>
  <si>
    <t xml:space="preserve">000033129933</t>
  </si>
  <si>
    <t xml:space="preserve">DEMERLING SOFIA</t>
  </si>
  <si>
    <t xml:space="preserve">+5732355379750</t>
  </si>
  <si>
    <t xml:space="preserve">000036422628</t>
  </si>
  <si>
    <t xml:space="preserve">QUIVA FONSECA</t>
  </si>
  <si>
    <t xml:space="preserve">04125130278</t>
  </si>
  <si>
    <t xml:space="preserve">000033811157</t>
  </si>
  <si>
    <t xml:space="preserve">QUIVA FERRER</t>
  </si>
  <si>
    <t xml:space="preserve">04121067919</t>
  </si>
  <si>
    <t xml:space="preserve">17568509</t>
  </si>
  <si>
    <t xml:space="preserve">000033793531</t>
  </si>
  <si>
    <t xml:space="preserve">ESNEIDER RAFAEL</t>
  </si>
  <si>
    <t xml:space="preserve">04121735445</t>
  </si>
  <si>
    <t xml:space="preserve">24249407</t>
  </si>
  <si>
    <t xml:space="preserve">010720686031</t>
  </si>
  <si>
    <t xml:space="preserve">EDY VIVIANA</t>
  </si>
  <si>
    <t xml:space="preserve">010817565337</t>
  </si>
  <si>
    <t xml:space="preserve">FABIOLA ESTEFANI</t>
  </si>
  <si>
    <t xml:space="preserve">04127512850</t>
  </si>
  <si>
    <t xml:space="preserve">000034243364</t>
  </si>
  <si>
    <t xml:space="preserve">ANABEL ISABEL</t>
  </si>
  <si>
    <t xml:space="preserve">MORAN CUBILLAN</t>
  </si>
  <si>
    <t xml:space="preserve">04127504024</t>
  </si>
  <si>
    <t xml:space="preserve">000033294495</t>
  </si>
  <si>
    <t xml:space="preserve">NOLBERTO JOSE</t>
  </si>
  <si>
    <t xml:space="preserve">MONTIEL BRAVO</t>
  </si>
  <si>
    <t xml:space="preserve">04121659659</t>
  </si>
  <si>
    <t xml:space="preserve">000032722861</t>
  </si>
  <si>
    <t xml:space="preserve">STEPHANY ALEJANDRA</t>
  </si>
  <si>
    <t xml:space="preserve">ROMERO SOTURNO</t>
  </si>
  <si>
    <t xml:space="preserve">04126659681</t>
  </si>
  <si>
    <t xml:space="preserve">17565077</t>
  </si>
  <si>
    <t xml:space="preserve">000033729347</t>
  </si>
  <si>
    <t xml:space="preserve">YOSKENYERLY PAOLA</t>
  </si>
  <si>
    <t xml:space="preserve">041266443217</t>
  </si>
  <si>
    <t xml:space="preserve">000033435648</t>
  </si>
  <si>
    <t xml:space="preserve">LEILANIS DEL CARMEN</t>
  </si>
  <si>
    <t xml:space="preserve">000032831002</t>
  </si>
  <si>
    <t xml:space="preserve">NELSON ENRIQUE</t>
  </si>
  <si>
    <t xml:space="preserve">000033549811</t>
  </si>
  <si>
    <t xml:space="preserve">JAIDELY VALENTINA</t>
  </si>
  <si>
    <t xml:space="preserve">DE ARMAS ROMERO</t>
  </si>
  <si>
    <t xml:space="preserve">04126751419</t>
  </si>
  <si>
    <t xml:space="preserve">20835588</t>
  </si>
  <si>
    <t xml:space="preserve">000033576446</t>
  </si>
  <si>
    <t xml:space="preserve">ANGELI ESTER</t>
  </si>
  <si>
    <t xml:space="preserve">04121049182</t>
  </si>
  <si>
    <t xml:space="preserve">15524168</t>
  </si>
  <si>
    <t xml:space="preserve">010809757394</t>
  </si>
  <si>
    <t xml:space="preserve">LORIANNY DANIELA</t>
  </si>
  <si>
    <t xml:space="preserve">04126641119</t>
  </si>
  <si>
    <t xml:space="preserve">09757394</t>
  </si>
  <si>
    <t xml:space="preserve">ELIANNY DANIELA</t>
  </si>
  <si>
    <t xml:space="preserve">000032767364</t>
  </si>
  <si>
    <t xml:space="preserve">BELKIS ZORENA</t>
  </si>
  <si>
    <t xml:space="preserve">04126501265</t>
  </si>
  <si>
    <t xml:space="preserve">000033141753</t>
  </si>
  <si>
    <t xml:space="preserve">SELENA COROMOTO</t>
  </si>
  <si>
    <t xml:space="preserve">04124279342</t>
  </si>
  <si>
    <t xml:space="preserve">000031501461</t>
  </si>
  <si>
    <t xml:space="preserve">YOHANDER ANDRES</t>
  </si>
  <si>
    <t xml:space="preserve">000034372630</t>
  </si>
  <si>
    <t xml:space="preserve">04120668446</t>
  </si>
  <si>
    <t xml:space="preserve">14208009</t>
  </si>
  <si>
    <t xml:space="preserve">000031097146</t>
  </si>
  <si>
    <t xml:space="preserve">YOVANCLEN ENRIQUE</t>
  </si>
  <si>
    <t xml:space="preserve">04120608835</t>
  </si>
  <si>
    <t xml:space="preserve">15944714</t>
  </si>
  <si>
    <t xml:space="preserve">000029963406</t>
  </si>
  <si>
    <t xml:space="preserve">YINERY PAOLA</t>
  </si>
  <si>
    <t xml:space="preserve">BERMUDEZ GONZALEZ</t>
  </si>
  <si>
    <t xml:space="preserve">04126645512</t>
  </si>
  <si>
    <t xml:space="preserve">000036954808</t>
  </si>
  <si>
    <t xml:space="preserve">HECTOR MANUEL</t>
  </si>
  <si>
    <t xml:space="preserve">04160676787</t>
  </si>
  <si>
    <t xml:space="preserve">20146713</t>
  </si>
  <si>
    <t xml:space="preserve">000033723985</t>
  </si>
  <si>
    <t xml:space="preserve">JOHANNY YINETH</t>
  </si>
  <si>
    <t xml:space="preserve">CAMPO BOYACA CALLE #8 CASA 92A</t>
  </si>
  <si>
    <t xml:space="preserve">04121025887</t>
  </si>
  <si>
    <t xml:space="preserve">000033152763</t>
  </si>
  <si>
    <t xml:space="preserve">DIOBERTO SEGUNDO</t>
  </si>
  <si>
    <t xml:space="preserve">PARRA DIAZ</t>
  </si>
  <si>
    <t xml:space="preserve">04146501035</t>
  </si>
  <si>
    <t xml:space="preserve">20686519</t>
  </si>
  <si>
    <t xml:space="preserve">010817827701</t>
  </si>
  <si>
    <t xml:space="preserve">DANIELIS KARINA</t>
  </si>
  <si>
    <t xml:space="preserve">04127860549</t>
  </si>
  <si>
    <t xml:space="preserve">000034407194</t>
  </si>
  <si>
    <t xml:space="preserve">BOSCAN CASTILLO</t>
  </si>
  <si>
    <t xml:space="preserve">04129653357</t>
  </si>
  <si>
    <t xml:space="preserve">18394487</t>
  </si>
  <si>
    <t xml:space="preserve">000032783604</t>
  </si>
  <si>
    <t xml:space="preserve">ANTHONY DE JESUS</t>
  </si>
  <si>
    <t xml:space="preserve">INCIARTE ZARRAGA</t>
  </si>
  <si>
    <t xml:space="preserve">04124260722</t>
  </si>
  <si>
    <t xml:space="preserve">17098772</t>
  </si>
  <si>
    <t xml:space="preserve">000032429360</t>
  </si>
  <si>
    <t xml:space="preserve">SAIBELYS MARIANA</t>
  </si>
  <si>
    <t xml:space="preserve">ARRIETA FINOL</t>
  </si>
  <si>
    <t xml:space="preserve">04125349872</t>
  </si>
  <si>
    <t xml:space="preserve">18822924</t>
  </si>
  <si>
    <t xml:space="preserve">000032830974</t>
  </si>
  <si>
    <t xml:space="preserve">000033675172</t>
  </si>
  <si>
    <t xml:space="preserve">04126508350</t>
  </si>
  <si>
    <t xml:space="preserve">22163097</t>
  </si>
  <si>
    <t xml:space="preserve">000032782626</t>
  </si>
  <si>
    <t xml:space="preserve">JESUS ENRIQUE LOSSADA </t>
  </si>
  <si>
    <t xml:space="preserve">04266684129</t>
  </si>
  <si>
    <t xml:space="preserve">18394494</t>
  </si>
  <si>
    <t xml:space="preserve">000033500332</t>
  </si>
  <si>
    <t xml:space="preserve">DANIEL JUNIOR</t>
  </si>
  <si>
    <t xml:space="preserve">04124732148</t>
  </si>
  <si>
    <t xml:space="preserve">13879720</t>
  </si>
  <si>
    <t xml:space="preserve">000034470923</t>
  </si>
  <si>
    <t xml:space="preserve">YOELIS CAROLINA</t>
  </si>
  <si>
    <t xml:space="preserve">JIMENEZ MACHADO</t>
  </si>
  <si>
    <t xml:space="preserve">000017938138</t>
  </si>
  <si>
    <t xml:space="preserve">PABLO DEL CARMEN</t>
  </si>
  <si>
    <t xml:space="preserve">000032894329</t>
  </si>
  <si>
    <t xml:space="preserve">EUKARIS CHIQUINQUIRA</t>
  </si>
  <si>
    <t xml:space="preserve">BARCO  MONTIEL</t>
  </si>
  <si>
    <t xml:space="preserve">04124280385</t>
  </si>
  <si>
    <t xml:space="preserve">18662200</t>
  </si>
  <si>
    <t xml:space="preserve">000033608000</t>
  </si>
  <si>
    <t xml:space="preserve">SARAY DEL VALLE</t>
  </si>
  <si>
    <t xml:space="preserve">VILLALOBOS BLANCO</t>
  </si>
  <si>
    <t xml:space="preserve">04126649442</t>
  </si>
  <si>
    <t xml:space="preserve">000033599853</t>
  </si>
  <si>
    <t xml:space="preserve">DANIELIS CAROLINA</t>
  </si>
  <si>
    <t xml:space="preserve">04127716229</t>
  </si>
  <si>
    <t xml:space="preserve">000034845301</t>
  </si>
  <si>
    <t xml:space="preserve">YOKLEIDY KARINA</t>
  </si>
  <si>
    <t xml:space="preserve">VALBUENA NEGRETTE</t>
  </si>
  <si>
    <t xml:space="preserve">04163162942</t>
  </si>
  <si>
    <t xml:space="preserve">14738118</t>
  </si>
  <si>
    <t xml:space="preserve">000033811168</t>
  </si>
  <si>
    <t xml:space="preserve">KATHAERIN KALELIS</t>
  </si>
  <si>
    <t xml:space="preserve">000033724802</t>
  </si>
  <si>
    <t xml:space="preserve">ANGELIMAR PAOLA</t>
  </si>
  <si>
    <t xml:space="preserve">COLINA NEGRETTE</t>
  </si>
  <si>
    <t xml:space="preserve">04126503724</t>
  </si>
  <si>
    <t xml:space="preserve">17183893</t>
  </si>
  <si>
    <t xml:space="preserve">000032557522</t>
  </si>
  <si>
    <t xml:space="preserve">04126610904</t>
  </si>
  <si>
    <t xml:space="preserve">84476565</t>
  </si>
  <si>
    <t xml:space="preserve">010215478152</t>
  </si>
  <si>
    <t xml:space="preserve">LISNELLY PAOLA</t>
  </si>
  <si>
    <t xml:space="preserve">DOMINGUEZ AÑEZ</t>
  </si>
  <si>
    <t xml:space="preserve">04127508938</t>
  </si>
  <si>
    <t xml:space="preserve">15478152</t>
  </si>
  <si>
    <t xml:space="preserve">000032600602</t>
  </si>
  <si>
    <t xml:space="preserve">KEILIBER DEL CARMEN</t>
  </si>
  <si>
    <t xml:space="preserve">04262657191</t>
  </si>
  <si>
    <t xml:space="preserve">000033546023</t>
  </si>
  <si>
    <t xml:space="preserve">URDANETA  ATENCIO</t>
  </si>
  <si>
    <t xml:space="preserve">04121274747</t>
  </si>
  <si>
    <t xml:space="preserve">000035099273</t>
  </si>
  <si>
    <t xml:space="preserve">EDIXSON JUNIOR</t>
  </si>
  <si>
    <t xml:space="preserve">04122662584</t>
  </si>
  <si>
    <t xml:space="preserve">000033152522</t>
  </si>
  <si>
    <t xml:space="preserve">YULIANY DEL CARMEN</t>
  </si>
  <si>
    <t xml:space="preserve">000033316622</t>
  </si>
  <si>
    <t xml:space="preserve">ERNESTO LUIS</t>
  </si>
  <si>
    <t xml:space="preserve">000032768509</t>
  </si>
  <si>
    <t xml:space="preserve">YULIETH CAROLINA</t>
  </si>
  <si>
    <t xml:space="preserve">04126608615</t>
  </si>
  <si>
    <t xml:space="preserve">000036388665</t>
  </si>
  <si>
    <t xml:space="preserve">YELEANNY LUCIA</t>
  </si>
  <si>
    <t xml:space="preserve">MOLERO CARVAJAL</t>
  </si>
  <si>
    <t xml:space="preserve">04126654339</t>
  </si>
  <si>
    <t xml:space="preserve">000033201129</t>
  </si>
  <si>
    <t xml:space="preserve">NILYERBETH JOSE</t>
  </si>
  <si>
    <t xml:space="preserve">04120612695</t>
  </si>
  <si>
    <t xml:space="preserve">000035093584</t>
  </si>
  <si>
    <t xml:space="preserve">YOHENDRIAN DAVID</t>
  </si>
  <si>
    <t xml:space="preserve">04129656049</t>
  </si>
  <si>
    <t xml:space="preserve">000034576934</t>
  </si>
  <si>
    <t xml:space="preserve">YORKEILYS MILAGROS</t>
  </si>
  <si>
    <t xml:space="preserve">MEDINA ROJAS</t>
  </si>
  <si>
    <t xml:space="preserve">04121664185</t>
  </si>
  <si>
    <t xml:space="preserve">000033809214</t>
  </si>
  <si>
    <t xml:space="preserve">REISBELIS ESTHER</t>
  </si>
  <si>
    <t xml:space="preserve">04123807915</t>
  </si>
  <si>
    <t xml:space="preserve">010815889661</t>
  </si>
  <si>
    <t xml:space="preserve">RUTH DANIS</t>
  </si>
  <si>
    <t xml:space="preserve">04120748776</t>
  </si>
  <si>
    <t xml:space="preserve">13830922</t>
  </si>
  <si>
    <t xml:space="preserve">000034474999</t>
  </si>
  <si>
    <t xml:space="preserve">FUENMAYOR SALAS</t>
  </si>
  <si>
    <t xml:space="preserve">21510341</t>
  </si>
  <si>
    <t xml:space="preserve">04126535619</t>
  </si>
  <si>
    <t xml:space="preserve">000033809247</t>
  </si>
  <si>
    <t xml:space="preserve">ROSANGELA MARIA</t>
  </si>
  <si>
    <t xml:space="preserve">SAN FRANCISCO </t>
  </si>
  <si>
    <t xml:space="preserve">04262658586</t>
  </si>
  <si>
    <t xml:space="preserve">000033431535</t>
  </si>
  <si>
    <t xml:space="preserve">FREIDIMAR PAOLA</t>
  </si>
  <si>
    <t xml:space="preserve">QUIVA GONZALEZ</t>
  </si>
  <si>
    <t xml:space="preserve">04120756363</t>
  </si>
  <si>
    <t xml:space="preserve">15466866</t>
  </si>
  <si>
    <t xml:space="preserve">IRACENIA DEL CARMEN</t>
  </si>
  <si>
    <t xml:space="preserve">04124731392</t>
  </si>
  <si>
    <t xml:space="preserve">010216017193</t>
  </si>
  <si>
    <t xml:space="preserve">JIMENEZ MORALES</t>
  </si>
  <si>
    <t xml:space="preserve">04121732207</t>
  </si>
  <si>
    <t xml:space="preserve">010823466542</t>
  </si>
  <si>
    <t xml:space="preserve">ALEXANDER MIGUEL</t>
  </si>
  <si>
    <t xml:space="preserve">04125149779</t>
  </si>
  <si>
    <t xml:space="preserve">23466542</t>
  </si>
  <si>
    <t xml:space="preserve">010820508649</t>
  </si>
  <si>
    <t xml:space="preserve">YUNAIDI CAROLINA</t>
  </si>
  <si>
    <t xml:space="preserve">04124431949</t>
  </si>
  <si>
    <t xml:space="preserve">20508649</t>
  </si>
  <si>
    <t xml:space="preserve">000032831222</t>
  </si>
  <si>
    <t xml:space="preserve">MARIANGEL CAROLINA</t>
  </si>
  <si>
    <t xml:space="preserve">MACHADO LEON</t>
  </si>
  <si>
    <t xml:space="preserve">04126886301</t>
  </si>
  <si>
    <t xml:space="preserve">20686047</t>
  </si>
  <si>
    <t xml:space="preserve">010915559008</t>
  </si>
  <si>
    <t xml:space="preserve">KIMBERLIN PAOLA</t>
  </si>
  <si>
    <t xml:space="preserve">04120685308</t>
  </si>
  <si>
    <t xml:space="preserve">000032773048</t>
  </si>
  <si>
    <t xml:space="preserve">ANDREANYULI PAOLA</t>
  </si>
  <si>
    <t xml:space="preserve">04121736127</t>
  </si>
  <si>
    <t xml:space="preserve">000036679630</t>
  </si>
  <si>
    <t xml:space="preserve">ELIUX ELIZABETH</t>
  </si>
  <si>
    <t xml:space="preserve">000033500510</t>
  </si>
  <si>
    <t xml:space="preserve">CAMPO BOYACA, CALLE #7, CASA 79-A, LA PAZ, MCPIO. JESUS ENRIQUE LOSSADA</t>
  </si>
  <si>
    <t xml:space="preserve">04126865055</t>
  </si>
  <si>
    <t xml:space="preserve">24250412</t>
  </si>
  <si>
    <t xml:space="preserve">000034558075</t>
  </si>
  <si>
    <t xml:space="preserve">MARIANGEL VALERIA</t>
  </si>
  <si>
    <t xml:space="preserve">DURAN GONZALEZ</t>
  </si>
  <si>
    <t xml:space="preserve">CAMPO CALIZA, CALLE PRINCIPAL, CASA #39, LA PAZ, MCPIO. JESUS E. LOSSADA</t>
  </si>
  <si>
    <t xml:space="preserve">04124732621</t>
  </si>
  <si>
    <t xml:space="preserve">12100164</t>
  </si>
  <si>
    <t xml:space="preserve">000036446951</t>
  </si>
  <si>
    <t xml:space="preserve">ISABELA SOFIA</t>
  </si>
  <si>
    <t xml:space="preserve">04124722631</t>
  </si>
  <si>
    <t xml:space="preserve">20778514</t>
  </si>
  <si>
    <t xml:space="preserve">000032481220</t>
  </si>
  <si>
    <t xml:space="preserve">ARGENYER JOSUE</t>
  </si>
  <si>
    <t xml:space="preserve">20276525</t>
  </si>
  <si>
    <t xml:space="preserve">000034414498</t>
  </si>
  <si>
    <t xml:space="preserve">FREIDER JOSE</t>
  </si>
  <si>
    <t xml:space="preserve">04120746616</t>
  </si>
  <si>
    <t xml:space="preserve">000030843693</t>
  </si>
  <si>
    <t xml:space="preserve">DEIVY ENRRIQUE</t>
  </si>
  <si>
    <t xml:space="preserve">000032383941</t>
  </si>
  <si>
    <t xml:space="preserve">Roberto Fuenmayor</t>
  </si>
  <si>
    <t xml:space="preserve">000033123787</t>
  </si>
  <si>
    <t xml:space="preserve">04120119655</t>
  </si>
  <si>
    <t xml:space="preserve">17070061</t>
  </si>
  <si>
    <t xml:space="preserve">010719989280</t>
  </si>
  <si>
    <t xml:space="preserve">MORALES GUERRA</t>
  </si>
  <si>
    <t xml:space="preserve">000033152448</t>
  </si>
  <si>
    <t xml:space="preserve">JOEL OMAR</t>
  </si>
  <si>
    <t xml:space="preserve">04125286707</t>
  </si>
  <si>
    <t xml:space="preserve">010722964623</t>
  </si>
  <si>
    <t xml:space="preserve">BEIKER MANUEL</t>
  </si>
  <si>
    <t xml:space="preserve">MELENDREZ VILLALBA</t>
  </si>
  <si>
    <t xml:space="preserve">la gran parada # 202</t>
  </si>
  <si>
    <t xml:space="preserve">04129692813</t>
  </si>
  <si>
    <t xml:space="preserve">22964623</t>
  </si>
  <si>
    <t xml:space="preserve">000033121394</t>
  </si>
  <si>
    <t xml:space="preserve">DALIER JOSE</t>
  </si>
  <si>
    <t xml:space="preserve">04126612174</t>
  </si>
  <si>
    <t xml:space="preserve">18662112</t>
  </si>
  <si>
    <t xml:space="preserve">000033809223</t>
  </si>
  <si>
    <t xml:space="preserve">000033575740</t>
  </si>
  <si>
    <t xml:space="preserve">MAUREISI CHIQUINQUIRA</t>
  </si>
  <si>
    <t xml:space="preserve">000033809245</t>
  </si>
  <si>
    <t xml:space="preserve">VIOLMAR ROSA</t>
  </si>
  <si>
    <t xml:space="preserve">YAJURE NUÑEZ</t>
  </si>
  <si>
    <t xml:space="preserve">04121050403</t>
  </si>
  <si>
    <t xml:space="preserve">000034840924</t>
  </si>
  <si>
    <t xml:space="preserve">AILEEN AILSA</t>
  </si>
  <si>
    <t xml:space="preserve">FERNANDEZ PERALTA</t>
  </si>
  <si>
    <t xml:space="preserve">04120658711</t>
  </si>
  <si>
    <t xml:space="preserve">93010128</t>
  </si>
  <si>
    <t xml:space="preserve">000033500250</t>
  </si>
  <si>
    <t xml:space="preserve">ADRIANA LUCIA</t>
  </si>
  <si>
    <t xml:space="preserve">sector villa salas</t>
  </si>
  <si>
    <t xml:space="preserve">04122027496</t>
  </si>
  <si>
    <t xml:space="preserve">000033729408</t>
  </si>
  <si>
    <t xml:space="preserve">MANUEL ANDRES</t>
  </si>
  <si>
    <t xml:space="preserve">BARRIOS CUADRADO</t>
  </si>
  <si>
    <t xml:space="preserve">04120762156</t>
  </si>
  <si>
    <t xml:space="preserve">010616018560</t>
  </si>
  <si>
    <t xml:space="preserve">OSVEL DANIEL</t>
  </si>
  <si>
    <t xml:space="preserve">04125624609</t>
  </si>
  <si>
    <t xml:space="preserve">000033555630</t>
  </si>
  <si>
    <t xml:space="preserve">ANDRES ALEJANDRO</t>
  </si>
  <si>
    <t xml:space="preserve">PULGAR INCIARTE</t>
  </si>
  <si>
    <t xml:space="preserve">BARRIO MARIO URDANETA CALLE 2, CASA #23</t>
  </si>
  <si>
    <t xml:space="preserve">04121068772</t>
  </si>
  <si>
    <t xml:space="preserve">20508868</t>
  </si>
  <si>
    <t xml:space="preserve">010819624183</t>
  </si>
  <si>
    <t xml:space="preserve">04265666604</t>
  </si>
  <si>
    <t xml:space="preserve">19624183</t>
  </si>
  <si>
    <t xml:space="preserve">000032699650</t>
  </si>
  <si>
    <t xml:space="preserve">ODALVIS JOSE</t>
  </si>
  <si>
    <t xml:space="preserve">JIMENEZ SOTURNO</t>
  </si>
  <si>
    <t xml:space="preserve">04126046128</t>
  </si>
  <si>
    <t xml:space="preserve">17294713</t>
  </si>
  <si>
    <t xml:space="preserve">010717833718</t>
  </si>
  <si>
    <t xml:space="preserve">ARIANGINETH PAOLA</t>
  </si>
  <si>
    <t xml:space="preserve">OLIVERO FUENMAYOR</t>
  </si>
  <si>
    <t xml:space="preserve">04121048243</t>
  </si>
  <si>
    <t xml:space="preserve">17833718</t>
  </si>
  <si>
    <t xml:space="preserve">000034576937</t>
  </si>
  <si>
    <t xml:space="preserve">YEILIMAR SARAY</t>
  </si>
  <si>
    <t xml:space="preserve">MORALES MOLERO</t>
  </si>
  <si>
    <t xml:space="preserve">+573132510570</t>
  </si>
  <si>
    <t xml:space="preserve">000033630852</t>
  </si>
  <si>
    <t xml:space="preserve">RAILIEL ESTHER</t>
  </si>
  <si>
    <t xml:space="preserve">04169607095</t>
  </si>
  <si>
    <t xml:space="preserve">000035182565</t>
  </si>
  <si>
    <t xml:space="preserve">ANGELICA ELENA</t>
  </si>
  <si>
    <t xml:space="preserve">000032890545</t>
  </si>
  <si>
    <t xml:space="preserve">MAIRA MARIA</t>
  </si>
  <si>
    <t xml:space="preserve">04126570840</t>
  </si>
  <si>
    <t xml:space="preserve">000032890540</t>
  </si>
  <si>
    <t xml:space="preserve">FRANCISCO JOSE</t>
  </si>
  <si>
    <t xml:space="preserve">000033294459</t>
  </si>
  <si>
    <t xml:space="preserve">PAULA KALENIS</t>
  </si>
  <si>
    <t xml:space="preserve">DURAN OLIVEROS</t>
  </si>
  <si>
    <t xml:space="preserve">04124603438</t>
  </si>
  <si>
    <t xml:space="preserve">19844133</t>
  </si>
  <si>
    <t xml:space="preserve">010931769949</t>
  </si>
  <si>
    <t xml:space="preserve">YESICA JULIETH</t>
  </si>
  <si>
    <t xml:space="preserve">ARRIETA MARTINEZ</t>
  </si>
  <si>
    <t xml:space="preserve">04121666632</t>
  </si>
  <si>
    <t xml:space="preserve">10823503</t>
  </si>
  <si>
    <t xml:space="preserve">000033124404</t>
  </si>
  <si>
    <t xml:space="preserve">ALEJANDRA LUCIA</t>
  </si>
  <si>
    <t xml:space="preserve">04126642267</t>
  </si>
  <si>
    <t xml:space="preserve">000033388176</t>
  </si>
  <si>
    <t xml:space="preserve">DANIELA VALENTINA</t>
  </si>
  <si>
    <t xml:space="preserve">04126705298</t>
  </si>
  <si>
    <t xml:space="preserve">010925039927</t>
  </si>
  <si>
    <t xml:space="preserve">VICTORIA ALEJANDRA</t>
  </si>
  <si>
    <t xml:space="preserve">04120691688</t>
  </si>
  <si>
    <t xml:space="preserve">14007125</t>
  </si>
  <si>
    <t xml:space="preserve">000033724345</t>
  </si>
  <si>
    <t xml:space="preserve">NATALIA VALENTINA</t>
  </si>
  <si>
    <t xml:space="preserve">BRACH MEDINA</t>
  </si>
  <si>
    <t xml:space="preserve">04120719150</t>
  </si>
  <si>
    <t xml:space="preserve">010818874421</t>
  </si>
  <si>
    <t xml:space="preserve">LEIDIMAR DEL CARMEN</t>
  </si>
  <si>
    <t xml:space="preserve">000033608393</t>
  </si>
  <si>
    <t xml:space="preserve">CELIANY MARIA</t>
  </si>
  <si>
    <t xml:space="preserve">FINOL CARRASQUERO</t>
  </si>
  <si>
    <t xml:space="preserve">19016812</t>
  </si>
  <si>
    <t xml:space="preserve">000033546005</t>
  </si>
  <si>
    <t xml:space="preserve">ANGEL ELIAS</t>
  </si>
  <si>
    <t xml:space="preserve">FINOL CARRAQUERO</t>
  </si>
  <si>
    <t xml:space="preserve">la gran parada</t>
  </si>
  <si>
    <t xml:space="preserve">04167663479</t>
  </si>
  <si>
    <t xml:space="preserve">18626390</t>
  </si>
  <si>
    <t xml:space="preserve">000032383948</t>
  </si>
  <si>
    <t xml:space="preserve">LUNA MENDEZ</t>
  </si>
  <si>
    <t xml:space="preserve">12306073</t>
  </si>
  <si>
    <t xml:space="preserve">000033145903</t>
  </si>
  <si>
    <t xml:space="preserve">NERIANGEL</t>
  </si>
  <si>
    <t xml:space="preserve">FERNANDEZ VARGAS</t>
  </si>
  <si>
    <t xml:space="preserve">19210980</t>
  </si>
  <si>
    <t xml:space="preserve">000032830975</t>
  </si>
  <si>
    <t xml:space="preserve">NELKALIS PAOLA</t>
  </si>
  <si>
    <t xml:space="preserve">000033500703</t>
  </si>
  <si>
    <t xml:space="preserve">VALERIA DE LOS ANGELES</t>
  </si>
  <si>
    <t xml:space="preserve">URDANETA ALVARADO</t>
  </si>
  <si>
    <t xml:space="preserve">la paz campo caliza</t>
  </si>
  <si>
    <t xml:space="preserve">04120632502</t>
  </si>
  <si>
    <t xml:space="preserve">21421333</t>
  </si>
  <si>
    <t xml:space="preserve">GABRIELA MERCEDES</t>
  </si>
  <si>
    <t xml:space="preserve">Sector la conquista</t>
  </si>
  <si>
    <t xml:space="preserve">04121255161</t>
  </si>
  <si>
    <t xml:space="preserve">000034474778</t>
  </si>
  <si>
    <t xml:space="preserve">YIXIBETH ANDREA</t>
  </si>
  <si>
    <t xml:space="preserve">GOMEZ OLIVERO</t>
  </si>
  <si>
    <t xml:space="preserve">04127501635</t>
  </si>
  <si>
    <t xml:space="preserve">23454895</t>
  </si>
  <si>
    <t xml:space="preserve">CHAVEZ ORTIZ</t>
  </si>
  <si>
    <t xml:space="preserve">La paz</t>
  </si>
  <si>
    <t xml:space="preserve">04161946899</t>
  </si>
  <si>
    <t xml:space="preserve">20987921</t>
  </si>
  <si>
    <t xml:space="preserve">000033724407</t>
  </si>
  <si>
    <t xml:space="preserve">SANTIAGO JAVIER</t>
  </si>
  <si>
    <t xml:space="preserve">04121701746</t>
  </si>
  <si>
    <t xml:space="preserve">000032768493</t>
  </si>
  <si>
    <t xml:space="preserve">DEIVI FRANK</t>
  </si>
  <si>
    <t xml:space="preserve">Sector las gracielas, via la fragua</t>
  </si>
  <si>
    <t xml:space="preserve">04126681009</t>
  </si>
  <si>
    <t xml:space="preserve">000034845299</t>
  </si>
  <si>
    <t xml:space="preserve">LEIDER RAUL</t>
  </si>
  <si>
    <t xml:space="preserve">CORREA ROCHA</t>
  </si>
  <si>
    <t xml:space="preserve">04126604616</t>
  </si>
  <si>
    <t xml:space="preserve">000032891287</t>
  </si>
  <si>
    <t xml:space="preserve">GEOMAR JOSE</t>
  </si>
  <si>
    <t xml:space="preserve">GONZALEZ CUADRADO</t>
  </si>
  <si>
    <t xml:space="preserve">04124721118</t>
  </si>
  <si>
    <t xml:space="preserve">18662130</t>
  </si>
  <si>
    <t xml:space="preserve">000032891289</t>
  </si>
  <si>
    <t xml:space="preserve">NIXON JOSE</t>
  </si>
  <si>
    <t xml:space="preserve">19811505</t>
  </si>
  <si>
    <t xml:space="preserve">000032750100</t>
  </si>
  <si>
    <t xml:space="preserve">SANTIAGO JOSE</t>
  </si>
  <si>
    <t xml:space="preserve">04146406040</t>
  </si>
  <si>
    <t xml:space="preserve">21078150</t>
  </si>
  <si>
    <t xml:space="preserve">000033500711</t>
  </si>
  <si>
    <t xml:space="preserve">ELIANGEL JESUS</t>
  </si>
  <si>
    <t xml:space="preserve">04120614224</t>
  </si>
  <si>
    <t xml:space="preserve">000032895018</t>
  </si>
  <si>
    <t xml:space="preserve">04262896417</t>
  </si>
  <si>
    <t xml:space="preserve">000033463232</t>
  </si>
  <si>
    <t xml:space="preserve">KEVIN MANUEL</t>
  </si>
  <si>
    <t xml:space="preserve">FUENMAYOR BRAVO</t>
  </si>
  <si>
    <t xml:space="preserve">04123556444</t>
  </si>
  <si>
    <t xml:space="preserve">21039153</t>
  </si>
  <si>
    <t xml:space="preserve">000032839705</t>
  </si>
  <si>
    <t xml:space="preserve">FUENMAYOR PAREDES</t>
  </si>
  <si>
    <t xml:space="preserve">04164635734</t>
  </si>
  <si>
    <t xml:space="preserve">19336736</t>
  </si>
  <si>
    <t xml:space="preserve">010725325388</t>
  </si>
  <si>
    <t xml:space="preserve">FRANGER JOSE</t>
  </si>
  <si>
    <t xml:space="preserve">RAMIREZ CORDOVA</t>
  </si>
  <si>
    <t xml:space="preserve">04124727516</t>
  </si>
  <si>
    <t xml:space="preserve">25325388</t>
  </si>
  <si>
    <t xml:space="preserve">000033807041</t>
  </si>
  <si>
    <t xml:space="preserve">DAYBER DAVID</t>
  </si>
  <si>
    <t xml:space="preserve">04127517229</t>
  </si>
  <si>
    <t xml:space="preserve">17567001</t>
  </si>
  <si>
    <t xml:space="preserve">000032632388</t>
  </si>
  <si>
    <t xml:space="preserve">EVERT JOSE</t>
  </si>
  <si>
    <t xml:space="preserve">ZABALETA DIAZ</t>
  </si>
  <si>
    <t xml:space="preserve">04126549212</t>
  </si>
  <si>
    <t xml:space="preserve">GERSON ISAI</t>
  </si>
  <si>
    <t xml:space="preserve">CASTILLO DELGADO</t>
  </si>
  <si>
    <t xml:space="preserve">19906306</t>
  </si>
  <si>
    <t xml:space="preserve">010720441900</t>
  </si>
  <si>
    <t xml:space="preserve">CHACIN RODRIGUEZ</t>
  </si>
  <si>
    <t xml:space="preserve">04128662042</t>
  </si>
  <si>
    <t xml:space="preserve">000033122352</t>
  </si>
  <si>
    <t xml:space="preserve">ELIO ALFONSO</t>
  </si>
  <si>
    <t xml:space="preserve">04126451644</t>
  </si>
  <si>
    <t xml:space="preserve">000034407989</t>
  </si>
  <si>
    <t xml:space="preserve">DANGER JOSE</t>
  </si>
  <si>
    <t xml:space="preserve">04167239683</t>
  </si>
  <si>
    <t xml:space="preserve">000033034839</t>
  </si>
  <si>
    <t xml:space="preserve">ALBERT JOSE</t>
  </si>
  <si>
    <t xml:space="preserve">19937209</t>
  </si>
  <si>
    <t xml:space="preserve">000036357677</t>
  </si>
  <si>
    <t xml:space="preserve">04246932711</t>
  </si>
  <si>
    <t xml:space="preserve">000033724803</t>
  </si>
  <si>
    <t xml:space="preserve">DAVIANNY JULIETH</t>
  </si>
  <si>
    <t xml:space="preserve">MELEAN CUADRADO</t>
  </si>
  <si>
    <t xml:space="preserve">000036636780</t>
  </si>
  <si>
    <t xml:space="preserve">ORIAILIS DEL CARMEN</t>
  </si>
  <si>
    <t xml:space="preserve">LABARCA BRAVO</t>
  </si>
  <si>
    <t xml:space="preserve">BARRIO SIMON BOLIVAR,CALLE 5 , CASA #72</t>
  </si>
  <si>
    <t xml:space="preserve">04126648597</t>
  </si>
  <si>
    <t xml:space="preserve">19392624</t>
  </si>
  <si>
    <t xml:space="preserve">010919811113</t>
  </si>
  <si>
    <t xml:space="preserve">YILIALVIS VALERIA</t>
  </si>
  <si>
    <t xml:space="preserve">OLIVEROS PULGAR</t>
  </si>
  <si>
    <t xml:space="preserve">04121713549</t>
  </si>
  <si>
    <t xml:space="preserve">19811113</t>
  </si>
  <si>
    <t xml:space="preserve">MARIANNE DEL CARMEN</t>
  </si>
  <si>
    <t xml:space="preserve">04124207911</t>
  </si>
  <si>
    <t xml:space="preserve">21509559</t>
  </si>
  <si>
    <t xml:space="preserve">000032782536</t>
  </si>
  <si>
    <t xml:space="preserve">04121735383</t>
  </si>
  <si>
    <t xml:space="preserve">000031969639</t>
  </si>
  <si>
    <t xml:space="preserve">KILMAN JUNIOR</t>
  </si>
  <si>
    <t xml:space="preserve">04120685309</t>
  </si>
  <si>
    <t xml:space="preserve">000032062329</t>
  </si>
  <si>
    <t xml:space="preserve">EDDAVID JOSUE</t>
  </si>
  <si>
    <t xml:space="preserve">BERRIO CASTRO</t>
  </si>
  <si>
    <t xml:space="preserve">04127518534</t>
  </si>
  <si>
    <t xml:space="preserve">21228281</t>
  </si>
  <si>
    <t xml:space="preserve">010712948024</t>
  </si>
  <si>
    <t xml:space="preserve">JAIRISBEL</t>
  </si>
  <si>
    <t xml:space="preserve">BRIÑEZ</t>
  </si>
  <si>
    <t xml:space="preserve">SECTOR LAS PARCELAS DE LA PAZ</t>
  </si>
  <si>
    <t xml:space="preserve">04121736509</t>
  </si>
  <si>
    <t xml:space="preserve">12948024</t>
  </si>
  <si>
    <t xml:space="preserve">000033607943</t>
  </si>
  <si>
    <t xml:space="preserve">LISBERYS DEL VALLE</t>
  </si>
  <si>
    <t xml:space="preserve">04126465218</t>
  </si>
  <si>
    <t xml:space="preserve">15524170</t>
  </si>
  <si>
    <t xml:space="preserve">010520059356</t>
  </si>
  <si>
    <t xml:space="preserve">JEISON JAVIER</t>
  </si>
  <si>
    <t xml:space="preserve">04126660468</t>
  </si>
  <si>
    <t xml:space="preserve">20059356</t>
  </si>
  <si>
    <t xml:space="preserve">000034461267</t>
  </si>
  <si>
    <t xml:space="preserve">YOELIS DEL CARMEN</t>
  </si>
  <si>
    <t xml:space="preserve">000034474959</t>
  </si>
  <si>
    <t xml:space="preserve">YENDRIS MANUEL</t>
  </si>
  <si>
    <t xml:space="preserve">010720508883</t>
  </si>
  <si>
    <t xml:space="preserve">LUIYENBER JAVIER</t>
  </si>
  <si>
    <t xml:space="preserve">VERA SEVILLA</t>
  </si>
  <si>
    <t xml:space="preserve">SECTOR BARRIO SIMON BOLIVAR</t>
  </si>
  <si>
    <t xml:space="preserve">04124568152</t>
  </si>
  <si>
    <t xml:space="preserve">20508883</t>
  </si>
  <si>
    <t xml:space="preserve">000034130172</t>
  </si>
  <si>
    <t xml:space="preserve">BRIÑEZ FERRER</t>
  </si>
  <si>
    <t xml:space="preserve">04127712456</t>
  </si>
  <si>
    <t xml:space="preserve">20508824</t>
  </si>
  <si>
    <t xml:space="preserve">010721421753</t>
  </si>
  <si>
    <t xml:space="preserve">RODRIGO JOSE</t>
  </si>
  <si>
    <t xml:space="preserve">SOTURNO COLINA</t>
  </si>
  <si>
    <t xml:space="preserve">04125635695</t>
  </si>
  <si>
    <t xml:space="preserve">000030985922</t>
  </si>
  <si>
    <t xml:space="preserve">FERNANDO ROBERTO</t>
  </si>
  <si>
    <t xml:space="preserve">FERNANDEZ FERRER</t>
  </si>
  <si>
    <t xml:space="preserve">YALBENIS LUCIA</t>
  </si>
  <si>
    <t xml:space="preserve">COLINA HERRERA</t>
  </si>
  <si>
    <t xml:space="preserve">04129999999</t>
  </si>
  <si>
    <t xml:space="preserve">11824969</t>
  </si>
  <si>
    <t xml:space="preserve">NEURIMAR ANDREA</t>
  </si>
  <si>
    <t xml:space="preserve">000031220936</t>
  </si>
  <si>
    <t xml:space="preserve">JHONJEIBER JESUS</t>
  </si>
  <si>
    <t xml:space="preserve">04120669831</t>
  </si>
  <si>
    <t xml:space="preserve">000031259280</t>
  </si>
  <si>
    <t xml:space="preserve">JOHANDRY MANUEL</t>
  </si>
  <si>
    <t xml:space="preserve">BOSCAN MONTIEL</t>
  </si>
  <si>
    <t xml:space="preserve">04126029233</t>
  </si>
  <si>
    <t xml:space="preserve">19153698</t>
  </si>
  <si>
    <t xml:space="preserve">000031220937</t>
  </si>
  <si>
    <t xml:space="preserve">YOELVIS JESUS</t>
  </si>
  <si>
    <t xml:space="preserve">000032461490</t>
  </si>
  <si>
    <t xml:space="preserve">JONAIKER ENRIQUE</t>
  </si>
  <si>
    <t xml:space="preserve">04126606788</t>
  </si>
  <si>
    <t xml:space="preserve">19408883</t>
  </si>
  <si>
    <t xml:space="preserve">000038000063</t>
  </si>
  <si>
    <t xml:space="preserve">DAVIANA MARIA</t>
  </si>
  <si>
    <t xml:space="preserve">04126524795</t>
  </si>
  <si>
    <t xml:space="preserve">001089778821</t>
  </si>
  <si>
    <t xml:space="preserve">OCHOA NEGRETTE</t>
  </si>
  <si>
    <t xml:space="preserve">04126681593</t>
  </si>
  <si>
    <t xml:space="preserve">000033124410</t>
  </si>
  <si>
    <t xml:space="preserve">DERYIMAR KARINA</t>
  </si>
  <si>
    <t xml:space="preserve">04126817293</t>
  </si>
  <si>
    <t xml:space="preserve">000036580562</t>
  </si>
  <si>
    <t xml:space="preserve">MARIANYELI PAOLA</t>
  </si>
  <si>
    <t xml:space="preserve">BARRIO DE ENERO</t>
  </si>
  <si>
    <t xml:space="preserve">04127754397</t>
  </si>
  <si>
    <t xml:space="preserve">23466424</t>
  </si>
  <si>
    <t xml:space="preserve">010817566995</t>
  </si>
  <si>
    <t xml:space="preserve">DAYARIANNIS DEL CARMEN</t>
  </si>
  <si>
    <t xml:space="preserve">SIVIRA URDANETA</t>
  </si>
  <si>
    <t xml:space="preserve">NO TIENE</t>
  </si>
  <si>
    <t xml:space="preserve">15566995</t>
  </si>
  <si>
    <t xml:space="preserve">000034743582</t>
  </si>
  <si>
    <t xml:space="preserve">GLENDYS ALEJANDRA</t>
  </si>
  <si>
    <t xml:space="preserve">04123308796</t>
  </si>
  <si>
    <t xml:space="preserve">12867704</t>
  </si>
  <si>
    <t xml:space="preserve">000032772475</t>
  </si>
  <si>
    <t xml:space="preserve">NERVIS ENRIQUE</t>
  </si>
  <si>
    <t xml:space="preserve">VILLALOBOS VARGAS</t>
  </si>
  <si>
    <t xml:space="preserve">000032831012</t>
  </si>
  <si>
    <t xml:space="preserve">JOLIANNY BEATRIZ</t>
  </si>
  <si>
    <t xml:space="preserve">CASTILLO OVIEDO</t>
  </si>
  <si>
    <t xml:space="preserve">CAMPO BOYACA CASA # 16-A</t>
  </si>
  <si>
    <t xml:space="preserve">04124720540</t>
  </si>
  <si>
    <t xml:space="preserve">000031683569</t>
  </si>
  <si>
    <t xml:space="preserve">REINALDO DANIEL</t>
  </si>
  <si>
    <t xml:space="preserve">PULGAR FERRER</t>
  </si>
  <si>
    <t xml:space="preserve">04126547944</t>
  </si>
  <si>
    <t xml:space="preserve">000033601722</t>
  </si>
  <si>
    <t xml:space="preserve">REINALDO ANTONIO</t>
  </si>
  <si>
    <t xml:space="preserve">PIÑA JIMENEZ</t>
  </si>
  <si>
    <t xml:space="preserve">LA JABILLITA</t>
  </si>
  <si>
    <t xml:space="preserve">04120621346</t>
  </si>
  <si>
    <t xml:space="preserve">000032892568</t>
  </si>
  <si>
    <t xml:space="preserve">ANA VALERIA</t>
  </si>
  <si>
    <t xml:space="preserve">VALBUENA MORAN</t>
  </si>
  <si>
    <t xml:space="preserve">04129653107</t>
  </si>
  <si>
    <t xml:space="preserve">15193764</t>
  </si>
  <si>
    <t xml:space="preserve">000031969645</t>
  </si>
  <si>
    <t xml:space="preserve">LUISANA ALEJANDRA</t>
  </si>
  <si>
    <t xml:space="preserve">04125636589</t>
  </si>
  <si>
    <t xml:space="preserve">23466581</t>
  </si>
  <si>
    <t xml:space="preserve">000032890548</t>
  </si>
  <si>
    <t xml:space="preserve">GABRIELA ISABEL</t>
  </si>
  <si>
    <t xml:space="preserve">PALMAR REYES</t>
  </si>
  <si>
    <t xml:space="preserve">15260626</t>
  </si>
  <si>
    <t xml:space="preserve">000031696219</t>
  </si>
  <si>
    <t xml:space="preserve">04126536598</t>
  </si>
  <si>
    <t xml:space="preserve">000034463103</t>
  </si>
  <si>
    <t xml:space="preserve">ELIO ANFONSO</t>
  </si>
  <si>
    <t xml:space="preserve">04126446553</t>
  </si>
  <si>
    <t xml:space="preserve">11607841</t>
  </si>
  <si>
    <t xml:space="preserve">CHAVEZ OLIVERO</t>
  </si>
  <si>
    <t xml:space="preserve">04120751876</t>
  </si>
  <si>
    <t xml:space="preserve">17087302</t>
  </si>
  <si>
    <t xml:space="preserve">ELANYELI DANIELA</t>
  </si>
  <si>
    <t xml:space="preserve">04121027579</t>
  </si>
  <si>
    <t xml:space="preserve">ORIANNIS ANTHONELLA</t>
  </si>
  <si>
    <t xml:space="preserve">VILCHEZ GUANIPA</t>
  </si>
  <si>
    <t xml:space="preserve">04121667263</t>
  </si>
  <si>
    <t xml:space="preserve">10445081</t>
  </si>
  <si>
    <t xml:space="preserve">ADARVIS JOSE</t>
  </si>
  <si>
    <t xml:space="preserve">010923753333</t>
  </si>
  <si>
    <t xml:space="preserve">FLAVIO JOSUE</t>
  </si>
  <si>
    <t xml:space="preserve">20508734</t>
  </si>
  <si>
    <t xml:space="preserve">RIOS FERRER</t>
  </si>
  <si>
    <t xml:space="preserve">04126503830</t>
  </si>
  <si>
    <t xml:space="preserve">17543271</t>
  </si>
  <si>
    <t xml:space="preserve">EDIOMAR JOSE</t>
  </si>
  <si>
    <t xml:space="preserve">FERNANDEZ JIMENEZ</t>
  </si>
  <si>
    <t xml:space="preserve">04127684246</t>
  </si>
  <si>
    <t xml:space="preserve">20370833</t>
  </si>
  <si>
    <t xml:space="preserve">SCARLET SOFIA</t>
  </si>
  <si>
    <t xml:space="preserve">JARAMILLO PEREZ</t>
  </si>
  <si>
    <t xml:space="preserve">04121043674</t>
  </si>
  <si>
    <t xml:space="preserve">YORMAN YAIR</t>
  </si>
  <si>
    <t xml:space="preserve">sector las parcelas</t>
  </si>
  <si>
    <t xml:space="preserve">0412-1266003</t>
  </si>
  <si>
    <t xml:space="preserve">57107147</t>
  </si>
  <si>
    <t xml:space="preserve">GONZALEZ PEÑATE</t>
  </si>
  <si>
    <t xml:space="preserve">LEONELVIS DANIEL</t>
  </si>
  <si>
    <t xml:space="preserve">GABRIELA STEFANY</t>
  </si>
  <si>
    <t xml:space="preserve">AÑEZ BRACHO</t>
  </si>
  <si>
    <t xml:space="preserve">0412-7305769</t>
  </si>
  <si>
    <t xml:space="preserve">18318835</t>
  </si>
  <si>
    <t xml:space="preserve">000033634125</t>
  </si>
  <si>
    <t xml:space="preserve">MONICA MAGDALENA</t>
  </si>
  <si>
    <t xml:space="preserve">010616836190</t>
  </si>
  <si>
    <t xml:space="preserve">*****</t>
  </si>
  <si>
    <t xml:space="preserve">ENYIMARIS DEL VALLE</t>
  </si>
  <si>
    <t xml:space="preserve">BERMUDEZ FUENMAYOR</t>
  </si>
  <si>
    <t xml:space="preserve">16919877</t>
  </si>
  <si>
    <t xml:space="preserve">ANDREANNY PAOLA</t>
  </si>
  <si>
    <t xml:space="preserve">ANDRU JOSE</t>
  </si>
  <si>
    <t xml:space="preserve">NEOMER ENRIQUE</t>
  </si>
  <si>
    <t xml:space="preserve">VILLALOBOS AZUAJE</t>
  </si>
  <si>
    <t xml:space="preserve">20778482</t>
  </si>
  <si>
    <t xml:space="preserve">ANABEL SOFIA</t>
  </si>
  <si>
    <t xml:space="preserve">GONZALEZ RIVERO</t>
  </si>
  <si>
    <t xml:space="preserve">21228270</t>
  </si>
  <si>
    <t xml:space="preserve">DIANGELA VALERIA</t>
  </si>
  <si>
    <t xml:space="preserve">RONALDO DAVID</t>
  </si>
  <si>
    <t xml:space="preserve">BRAVO MORAN</t>
  </si>
  <si>
    <t xml:space="preserve">sector doble r</t>
  </si>
  <si>
    <t xml:space="preserve">18005368</t>
  </si>
  <si>
    <t xml:space="preserve">JOSE FELIX</t>
  </si>
  <si>
    <t xml:space="preserve">21685671</t>
  </si>
  <si>
    <t xml:space="preserve">ALEJANDRO JESUS</t>
  </si>
  <si>
    <t xml:space="preserve">callejon los morochos</t>
  </si>
  <si>
    <t xml:space="preserve">CALDERON CASTILLO</t>
  </si>
  <si>
    <t xml:space="preserve">BERRUETA URDANETA</t>
  </si>
  <si>
    <t xml:space="preserve">18633005</t>
  </si>
  <si>
    <t xml:space="preserve">FABIAN JESUS</t>
  </si>
  <si>
    <t xml:space="preserve">18874422</t>
  </si>
  <si>
    <t xml:space="preserve">010917566688</t>
  </si>
  <si>
    <t xml:space="preserve">SARA SOFIA</t>
  </si>
  <si>
    <t xml:space="preserve">SUAREZ CHIMA</t>
  </si>
  <si>
    <t xml:space="preserve">17566688</t>
  </si>
  <si>
    <t xml:space="preserve">HERRERA FERNANDEZ</t>
  </si>
  <si>
    <t xml:space="preserve">GRISELY MASSIEL</t>
  </si>
  <si>
    <t xml:space="preserve">RUBER MIGUEL</t>
  </si>
  <si>
    <t xml:space="preserve">15252431</t>
  </si>
  <si>
    <t xml:space="preserve">FRANYELIS ALEJANDRA</t>
  </si>
  <si>
    <t xml:space="preserve">20274486</t>
  </si>
  <si>
    <t xml:space="preserve">010915011988</t>
  </si>
  <si>
    <t xml:space="preserve">YOHASLIN DEL CARMEN</t>
  </si>
  <si>
    <t xml:space="preserve">FERNANDEZ MAYOR</t>
  </si>
  <si>
    <t xml:space="preserve">sector las cabrias</t>
  </si>
  <si>
    <t xml:space="preserve">15011988</t>
  </si>
  <si>
    <t xml:space="preserve">010616729347</t>
  </si>
  <si>
    <t xml:space="preserve">DANILO ANGEL</t>
  </si>
  <si>
    <t xml:space="preserve">sector las casitas</t>
  </si>
  <si>
    <t xml:space="preserve">DUGLIANA SOFIA</t>
  </si>
  <si>
    <t xml:space="preserve">18281218</t>
  </si>
  <si>
    <t xml:space="preserve">ZAMBRANO RINCON</t>
  </si>
  <si>
    <t xml:space="preserve">campo cpquivacoa</t>
  </si>
  <si>
    <t xml:space="preserve">FRANSHESCA MARIA</t>
  </si>
  <si>
    <t xml:space="preserve">ANGELY PAOLA</t>
  </si>
  <si>
    <t xml:space="preserve">DEILIMAR ELISA</t>
  </si>
  <si>
    <t xml:space="preserve">20032555</t>
  </si>
  <si>
    <t xml:space="preserve">YUNIOR DAVID</t>
  </si>
  <si>
    <t xml:space="preserve">MARIA GUADALUPE</t>
  </si>
  <si>
    <t xml:space="preserve">RODRIGUEZ SANCHEZ</t>
  </si>
  <si>
    <t xml:space="preserve">29859855</t>
  </si>
  <si>
    <t xml:space="preserve">NEOMAR ANDRES</t>
  </si>
  <si>
    <t xml:space="preserve">ADA LUZ PAOLA</t>
  </si>
  <si>
    <t xml:space="preserve">CASTILLO SUAREZ</t>
  </si>
  <si>
    <t xml:space="preserve">campo bayaca</t>
  </si>
  <si>
    <t xml:space="preserve">ADRIANGEL JESUS</t>
  </si>
  <si>
    <t xml:space="preserve">23769204</t>
  </si>
  <si>
    <t xml:space="preserve">CLAUDELY PAOLA</t>
  </si>
  <si>
    <t xml:space="preserve">AZUAJE RODRIGUEZ</t>
  </si>
  <si>
    <t xml:space="preserve">20834413</t>
  </si>
  <si>
    <t xml:space="preserve">000033294420</t>
  </si>
  <si>
    <t xml:space="preserve">ALBEIKER JOSE</t>
  </si>
  <si>
    <t xml:space="preserve">26481113</t>
  </si>
  <si>
    <t xml:space="preserve">CHIQUINQUIRA MARIA</t>
  </si>
  <si>
    <t xml:space="preserve">PEÑA GONZALEZ</t>
  </si>
  <si>
    <t xml:space="preserve">25439345</t>
  </si>
  <si>
    <t xml:space="preserve">NAIVELYN PAOLA</t>
  </si>
  <si>
    <t xml:space="preserve">sector el nazareno</t>
  </si>
  <si>
    <t xml:space="preserve">WINIFER HAILYN</t>
  </si>
  <si>
    <t xml:space="preserve">SIBIRA VILLASMIL</t>
  </si>
  <si>
    <t xml:space="preserve">04125466785</t>
  </si>
  <si>
    <t xml:space="preserve">20948162</t>
  </si>
  <si>
    <t xml:space="preserve">000035023751</t>
  </si>
  <si>
    <t xml:space="preserve">NAYERLIN CHIQUINQUIRA</t>
  </si>
  <si>
    <t xml:space="preserve">04121713926</t>
  </si>
  <si>
    <t xml:space="preserve">ANDRY ENRRIQUE</t>
  </si>
  <si>
    <t xml:space="preserve">CAMACARO FERNANDEZ</t>
  </si>
  <si>
    <t xml:space="preserve">04123800069</t>
  </si>
  <si>
    <t xml:space="preserve">000033500674</t>
  </si>
  <si>
    <t xml:space="preserve">CAMILA SOFIA</t>
  </si>
  <si>
    <t xml:space="preserve">04126556540</t>
  </si>
  <si>
    <t xml:space="preserve">YONERVIS JESUS</t>
  </si>
  <si>
    <t xml:space="preserve">000033608202</t>
  </si>
  <si>
    <t xml:space="preserve">JOSE ABRAHAM</t>
  </si>
  <si>
    <t xml:space="preserve">ORTIZ CASTRO</t>
  </si>
  <si>
    <t xml:space="preserve">04126673829</t>
  </si>
  <si>
    <t xml:space="preserve">10432912</t>
  </si>
  <si>
    <t xml:space="preserve">010817293826</t>
  </si>
  <si>
    <t xml:space="preserve">MERVIN WILLIAMS</t>
  </si>
  <si>
    <t xml:space="preserve">SOFIA PAOLA</t>
  </si>
  <si>
    <t xml:space="preserve">LORIANNY CHIQUINQUIRA</t>
  </si>
  <si>
    <t xml:space="preserve">04263229971</t>
  </si>
  <si>
    <t xml:space="preserve">FABRICIO JESUS</t>
  </si>
  <si>
    <t xml:space="preserve">PARRA FUIENMAYOR</t>
  </si>
  <si>
    <t xml:space="preserve">04126448972</t>
  </si>
  <si>
    <t xml:space="preserve">18384547</t>
  </si>
  <si>
    <t xml:space="preserve">010923466406</t>
  </si>
  <si>
    <t xml:space="preserve">RINCON FERNANDEZ</t>
  </si>
  <si>
    <t xml:space="preserve">23466406</t>
  </si>
  <si>
    <t xml:space="preserve">ARANZA ESTEFANIA</t>
  </si>
  <si>
    <t xml:space="preserve">VILLLOBOS ROMERO</t>
  </si>
  <si>
    <t xml:space="preserve">04126915939</t>
  </si>
  <si>
    <t xml:space="preserve">16353618</t>
  </si>
  <si>
    <t xml:space="preserve">JHONNY ANDRES</t>
  </si>
  <si>
    <t xml:space="preserve">04122666586</t>
  </si>
  <si>
    <t xml:space="preserve">JHUVANA PAOLA</t>
  </si>
  <si>
    <t xml:space="preserve">12868835</t>
  </si>
  <si>
    <t xml:space="preserve">LENIN DANIEL</t>
  </si>
  <si>
    <t xml:space="preserve">ALEXANDRA CHIQUINQUIRA</t>
  </si>
  <si>
    <t xml:space="preserve">ARCAYA PORTILLO</t>
  </si>
  <si>
    <t xml:space="preserve">04120202792</t>
  </si>
  <si>
    <t xml:space="preserve">DEIXON ANTONIO</t>
  </si>
  <si>
    <t xml:space="preserve">YETZIMAR DEL CARMEN</t>
  </si>
  <si>
    <t xml:space="preserve">04121737462</t>
  </si>
  <si>
    <t xml:space="preserve">KERLIMAR IRAIDA</t>
  </si>
  <si>
    <t xml:space="preserve">BANDA MERCADO</t>
  </si>
  <si>
    <t xml:space="preserve">04124223172</t>
  </si>
  <si>
    <t xml:space="preserve">17953650</t>
  </si>
  <si>
    <t xml:space="preserve">18662017</t>
  </si>
  <si>
    <t xml:space="preserve">MATOS ROCHA</t>
  </si>
  <si>
    <t xml:space="preserve">04126662087</t>
  </si>
  <si>
    <t xml:space="preserve">18394101</t>
  </si>
  <si>
    <t xml:space="preserve">000033601918</t>
  </si>
  <si>
    <t xml:space="preserve">BIANCA MARIA</t>
  </si>
  <si>
    <t xml:space="preserve">GUANIPA SOTURNO</t>
  </si>
  <si>
    <t xml:space="preserve">09799336</t>
  </si>
  <si>
    <t xml:space="preserve">000034298918</t>
  </si>
  <si>
    <t xml:space="preserve">URDANETA BERNAL</t>
  </si>
  <si>
    <t xml:space="preserve">04127500915</t>
  </si>
  <si>
    <t xml:space="preserve">20148525</t>
  </si>
  <si>
    <t xml:space="preserve">MIGUEL NAZARIO</t>
  </si>
  <si>
    <t xml:space="preserve">ACOSTA LEAL</t>
  </si>
  <si>
    <t xml:space="preserve">04127754326</t>
  </si>
  <si>
    <t xml:space="preserve">NAILYMAR ESTEFANY</t>
  </si>
  <si>
    <t xml:space="preserve">DE LA ROSA BRACHO</t>
  </si>
  <si>
    <t xml:space="preserve">04121712105</t>
  </si>
  <si>
    <t xml:space="preserve">14497413</t>
  </si>
  <si>
    <t xml:space="preserve">000032831435</t>
  </si>
  <si>
    <t xml:space="preserve">NOVOA PARRA</t>
  </si>
  <si>
    <t xml:space="preserve">04261223695</t>
  </si>
  <si>
    <t xml:space="preserve">PADRON MARQUEZ</t>
  </si>
  <si>
    <t xml:space="preserve">04127772475</t>
  </si>
  <si>
    <t xml:space="preserve">10432180</t>
  </si>
  <si>
    <t xml:space="preserve">GABRIELA CAROLINA</t>
  </si>
  <si>
    <t xml:space="preserve">25596408</t>
  </si>
  <si>
    <t xml:space="preserve">000034470917</t>
  </si>
  <si>
    <t xml:space="preserve">FRAIROLVIS KATIUSCA</t>
  </si>
  <si>
    <t xml:space="preserve">0412100897</t>
  </si>
  <si>
    <t xml:space="preserve">18662010</t>
  </si>
  <si>
    <t xml:space="preserve">ORIANA DE LOS ANGELES</t>
  </si>
  <si>
    <t xml:space="preserve">GUTIERREZ LIZARAZO</t>
  </si>
  <si>
    <t xml:space="preserve">04122451189</t>
  </si>
  <si>
    <t xml:space="preserve">25039929</t>
  </si>
  <si>
    <t xml:space="preserve">000033809207</t>
  </si>
  <si>
    <t xml:space="preserve">CAMILA ALEXANDRA</t>
  </si>
  <si>
    <t xml:space="preserve">04127862171</t>
  </si>
  <si>
    <t xml:space="preserve">14946876</t>
  </si>
  <si>
    <t xml:space="preserve">STHEFANIA DE LOS ANGELES</t>
  </si>
  <si>
    <t xml:space="preserve">ANGELICA PAOLA</t>
  </si>
  <si>
    <t xml:space="preserve">04121256537</t>
  </si>
  <si>
    <t xml:space="preserve">17565451</t>
  </si>
  <si>
    <t xml:space="preserve">000031537725</t>
  </si>
  <si>
    <t xml:space="preserve">ELIMAR PAOLA</t>
  </si>
  <si>
    <t xml:space="preserve">04167220962</t>
  </si>
  <si>
    <t xml:space="preserve">010616836935</t>
  </si>
  <si>
    <t xml:space="preserve">AUDRY GREGORIO</t>
  </si>
  <si>
    <t xml:space="preserve">FINOL MENDEZ</t>
  </si>
  <si>
    <t xml:space="preserve">ROJAS RINCON</t>
  </si>
  <si>
    <t xml:space="preserve">04121052159</t>
  </si>
  <si>
    <t xml:space="preserve">21511040</t>
  </si>
  <si>
    <t xml:space="preserve">DAVIANNYS JOSEFINA</t>
  </si>
  <si>
    <t xml:space="preserve">010918662113</t>
  </si>
  <si>
    <t xml:space="preserve">JOAN JOSE</t>
  </si>
  <si>
    <t xml:space="preserve">04121444751</t>
  </si>
  <si>
    <t xml:space="preserve">000033724382</t>
  </si>
  <si>
    <t xml:space="preserve">VALERIA SOFIA</t>
  </si>
  <si>
    <t xml:space="preserve">CASTRO FERNANDEZ</t>
  </si>
  <si>
    <t xml:space="preserve">19988689</t>
  </si>
  <si>
    <t xml:space="preserve">000034463146</t>
  </si>
  <si>
    <t xml:space="preserve">RAQUEL NOHEMI</t>
  </si>
  <si>
    <t xml:space="preserve">COLINA CASTILLO</t>
  </si>
  <si>
    <t xml:space="preserve">LAGUNILLA</t>
  </si>
  <si>
    <t xml:space="preserve">SECTOR LA VEGA</t>
  </si>
  <si>
    <t xml:space="preserve">12782813</t>
  </si>
  <si>
    <t xml:space="preserve">YOELVIS JOSUE</t>
  </si>
  <si>
    <t xml:space="preserve">04121025029</t>
  </si>
  <si>
    <t xml:space="preserve">ANGELICA CHIQUINQUIRA</t>
  </si>
  <si>
    <t xml:space="preserve">04120779552</t>
  </si>
  <si>
    <t xml:space="preserve">000032088369</t>
  </si>
  <si>
    <t xml:space="preserve">LUSYENNY PAOLA</t>
  </si>
  <si>
    <t xml:space="preserve">VENEZOLANA</t>
  </si>
  <si>
    <t xml:space="preserve">La PAZ</t>
  </si>
  <si>
    <t xml:space="preserve">ANA CAMILA</t>
  </si>
  <si>
    <t xml:space="preserve">FUENMAYOR PARRA</t>
  </si>
  <si>
    <t xml:space="preserve">20508352</t>
  </si>
  <si>
    <t xml:space="preserve">NEURIN JOSE</t>
  </si>
  <si>
    <t xml:space="preserve">OLIVERO VERA</t>
  </si>
  <si>
    <t xml:space="preserve">04124737546</t>
  </si>
  <si>
    <t xml:space="preserve">17566997</t>
  </si>
  <si>
    <t xml:space="preserve">000033458689</t>
  </si>
  <si>
    <t xml:space="preserve">JENNYRUTH RUBY</t>
  </si>
  <si>
    <t xml:space="preserve">04120660097</t>
  </si>
  <si>
    <t xml:space="preserve">010917736090</t>
  </si>
  <si>
    <t xml:space="preserve">STEFANIA CAROLINA</t>
  </si>
  <si>
    <t xml:space="preserve">CASTRO URDANETA</t>
  </si>
  <si>
    <t xml:space="preserve">04127672706</t>
  </si>
  <si>
    <t xml:space="preserve">21511087</t>
  </si>
  <si>
    <t xml:space="preserve">109221866201</t>
  </si>
  <si>
    <t xml:space="preserve">ELIANA PAOLA</t>
  </si>
  <si>
    <t xml:space="preserve">04123561608</t>
  </si>
  <si>
    <t xml:space="preserve">000032894188</t>
  </si>
  <si>
    <t xml:space="preserve">KARLA PAOLA</t>
  </si>
  <si>
    <t xml:space="preserve">000032600619</t>
  </si>
  <si>
    <t xml:space="preserve">PIRELA FINOL</t>
  </si>
  <si>
    <t xml:space="preserve">20835589</t>
  </si>
  <si>
    <t xml:space="preserve">LEIDY SOFIA</t>
  </si>
  <si>
    <t xml:space="preserve">INCIARTE HERRERA</t>
  </si>
  <si>
    <t xml:space="preserve">04163636264</t>
  </si>
  <si>
    <t xml:space="preserve">24249416</t>
  </si>
  <si>
    <t xml:space="preserve">010220686605</t>
  </si>
  <si>
    <t xml:space="preserve">NEIDIBETH JOHALIS</t>
  </si>
  <si>
    <t xml:space="preserve">VARGAS FERRER</t>
  </si>
  <si>
    <t xml:space="preserve">20686605</t>
  </si>
  <si>
    <t xml:space="preserve">NERVA MARIA</t>
  </si>
  <si>
    <t xml:space="preserve">RODRIGUEZ OVIEDO</t>
  </si>
  <si>
    <t xml:space="preserve">010922163418</t>
  </si>
  <si>
    <t xml:space="preserve">MIGUEL ANGEL ENRIQUE</t>
  </si>
  <si>
    <t xml:space="preserve">04121718664</t>
  </si>
  <si>
    <t xml:space="preserve">FRANCHESCA CAROLINA</t>
  </si>
  <si>
    <t xml:space="preserve">04126885594</t>
  </si>
  <si>
    <t xml:space="preserve">010807886204</t>
  </si>
  <si>
    <t xml:space="preserve">REILIANY SOFIA</t>
  </si>
  <si>
    <t xml:space="preserve">04120629158</t>
  </si>
  <si>
    <t xml:space="preserve">07886204</t>
  </si>
  <si>
    <t xml:space="preserve">000031252585</t>
  </si>
  <si>
    <t xml:space="preserve">ENDERSON JOSUE</t>
  </si>
  <si>
    <t xml:space="preserve">GONZALEZ MISSERY</t>
  </si>
  <si>
    <t xml:space="preserve">GUAJIRA</t>
  </si>
  <si>
    <t xml:space="preserve">04121001807</t>
  </si>
  <si>
    <t xml:space="preserve">16186524</t>
  </si>
  <si>
    <t xml:space="preserve">000032383938</t>
  </si>
  <si>
    <t xml:space="preserve">BRAVO CASTILLO</t>
  </si>
  <si>
    <t xml:space="preserve">barrio simon bilovar</t>
  </si>
  <si>
    <t xml:space="preserve">04124276066</t>
  </si>
  <si>
    <t xml:space="preserve">18319284</t>
  </si>
  <si>
    <t xml:space="preserve">000031969655</t>
  </si>
  <si>
    <t xml:space="preserve">04127118080</t>
  </si>
  <si>
    <t xml:space="preserve">RIXABETH ESTRELLA</t>
  </si>
  <si>
    <t xml:space="preserve">FERRER CASTRO</t>
  </si>
  <si>
    <t xml:space="preserve">SECTOR HORQUETA DE LEON</t>
  </si>
  <si>
    <t xml:space="preserve">04126502648</t>
  </si>
  <si>
    <t xml:space="preserve">17568960</t>
  </si>
  <si>
    <t xml:space="preserve">000024413244</t>
  </si>
  <si>
    <t xml:space="preserve">000034921006</t>
  </si>
  <si>
    <t xml:space="preserve">JOSE DE LA CRUZ</t>
  </si>
  <si>
    <t xml:space="preserve">04124725698</t>
  </si>
  <si>
    <t xml:space="preserve">24725897</t>
  </si>
  <si>
    <t xml:space="preserve">010520659764</t>
  </si>
  <si>
    <t xml:space="preserve">ANGEL JAVIER</t>
  </si>
  <si>
    <t xml:space="preserve">BRAVO PEROZO</t>
  </si>
  <si>
    <t xml:space="preserve">20659764</t>
  </si>
  <si>
    <t xml:space="preserve">000019810697</t>
  </si>
  <si>
    <t xml:space="preserve">VALBUENA ALVARADO</t>
  </si>
  <si>
    <t xml:space="preserve">000018626987</t>
  </si>
  <si>
    <t xml:space="preserve">TAHIS GORETTI</t>
  </si>
  <si>
    <t xml:space="preserve">EUNICE CAROLINA</t>
  </si>
  <si>
    <t xml:space="preserve">+++</t>
  </si>
  <si>
    <t xml:space="preserve">000033121839</t>
  </si>
  <si>
    <t xml:space="preserve">ELEXANDRY JOSE</t>
  </si>
  <si>
    <t xml:space="preserve">MOLINA BOZO</t>
  </si>
  <si>
    <t xml:space="preserve">SECTOR EL PUEBLO 242</t>
  </si>
  <si>
    <t xml:space="preserve">04126880382</t>
  </si>
  <si>
    <t xml:space="preserve">15889023</t>
  </si>
  <si>
    <t xml:space="preserve">000034266564</t>
  </si>
  <si>
    <t xml:space="preserve">MIGUEL ANDRES</t>
  </si>
  <si>
    <t xml:space="preserve">GONZALEZ SANCHEZ</t>
  </si>
  <si>
    <t xml:space="preserve">04121717662</t>
  </si>
  <si>
    <t xml:space="preserve">18662084</t>
  </si>
  <si>
    <t xml:space="preserve">000034792267</t>
  </si>
  <si>
    <t xml:space="preserve">YULIE ELIANA</t>
  </si>
  <si>
    <t xml:space="preserve">04121741109</t>
  </si>
  <si>
    <t xml:space="preserve">000020274485</t>
  </si>
  <si>
    <t xml:space="preserve">ANYI LUZ</t>
  </si>
  <si>
    <t xml:space="preserve">OLIVEROS MARTINEZ</t>
  </si>
  <si>
    <t xml:space="preserve">000022455209</t>
  </si>
  <si>
    <t xml:space="preserve">DARKEILY ROXANA</t>
  </si>
  <si>
    <t xml:space="preserve">000021510643</t>
  </si>
  <si>
    <t xml:space="preserve">ANDREINA DANIELA</t>
  </si>
  <si>
    <t xml:space="preserve">MOLERO CASTRO</t>
  </si>
  <si>
    <t xml:space="preserve">000022141198</t>
  </si>
  <si>
    <t xml:space="preserve">000016017312</t>
  </si>
  <si>
    <t xml:space="preserve">DONNY JESUS</t>
  </si>
  <si>
    <t xml:space="preserve">RODRIGUEZ PIÑA</t>
  </si>
  <si>
    <t xml:space="preserve">000019906311</t>
  </si>
  <si>
    <t xml:space="preserve">CAMILA VIRGINIA</t>
  </si>
  <si>
    <t xml:space="preserve">MENDEZ GONZALEZ</t>
  </si>
  <si>
    <t xml:space="preserve">12379592</t>
  </si>
  <si>
    <t xml:space="preserve">NEGRETTE AVENDAÑO</t>
  </si>
  <si>
    <t xml:space="preserve">12344435</t>
  </si>
  <si>
    <t xml:space="preserve">010912411903</t>
  </si>
  <si>
    <t xml:space="preserve">HABRAHAM DANIEL</t>
  </si>
  <si>
    <t xml:space="preserve">barrio arca de noe</t>
  </si>
  <si>
    <t xml:space="preserve">12441903</t>
  </si>
  <si>
    <t xml:space="preserve">000033724689</t>
  </si>
  <si>
    <t xml:space="preserve">JOHAN ALEXANDER</t>
  </si>
  <si>
    <t xml:space="preserve">MAIVIS SARAIH</t>
  </si>
  <si>
    <t xml:space="preserve">16212116</t>
  </si>
  <si>
    <t xml:space="preserve">PINEDA PORTILLO</t>
  </si>
  <si>
    <t xml:space="preserve">19906304</t>
  </si>
  <si>
    <t xml:space="preserve">YEILIMAR DEL CARMEN</t>
  </si>
  <si>
    <t xml:space="preserve">MARIAN SOFIA</t>
  </si>
  <si>
    <t xml:space="preserve">FARIA MORALES</t>
  </si>
  <si>
    <t xml:space="preserve">JUAN MANUEL</t>
  </si>
  <si>
    <t xml:space="preserve">010923448214</t>
  </si>
  <si>
    <t xml:space="preserve">VICTORIA DE LOS ANGELES</t>
  </si>
  <si>
    <t xml:space="preserve">DUQUE VILLALOBOS</t>
  </si>
  <si>
    <t xml:space="preserve">23448214</t>
  </si>
  <si>
    <t xml:space="preserve">010915624147</t>
  </si>
  <si>
    <t xml:space="preserve">ZULEINY CHIQUINQUIRA</t>
  </si>
  <si>
    <t xml:space="preserve">VILCHEZ HERRERA</t>
  </si>
  <si>
    <t xml:space="preserve">sector las javillitas</t>
  </si>
  <si>
    <t xml:space="preserve">15624147</t>
  </si>
  <si>
    <t xml:space="preserve">ENDERLY WILMAR</t>
  </si>
  <si>
    <t xml:space="preserve">000032343763</t>
  </si>
  <si>
    <t xml:space="preserve">SERGIO ANGEL</t>
  </si>
  <si>
    <t xml:space="preserve">barrio caucaguita</t>
  </si>
  <si>
    <t xml:space="preserve">JHON ENRIQUE</t>
  </si>
  <si>
    <t xml:space="preserve">18875290</t>
  </si>
  <si>
    <t xml:space="preserve">COLINA URDANETA</t>
  </si>
  <si>
    <t xml:space="preserve">EVELYN LUCIA</t>
  </si>
  <si>
    <t xml:space="preserve">NAVARRO MORALES</t>
  </si>
  <si>
    <t xml:space="preserve">04120233192</t>
  </si>
  <si>
    <t xml:space="preserve">19989570</t>
  </si>
  <si>
    <t xml:space="preserve">ANDRY JOSUE</t>
  </si>
  <si>
    <t xml:space="preserve">MORALES RODRIGUEZ</t>
  </si>
  <si>
    <t xml:space="preserve">23466481</t>
  </si>
  <si>
    <t xml:space="preserve">000033931340</t>
  </si>
  <si>
    <t xml:space="preserve">JELISMAR CAROLINA</t>
  </si>
  <si>
    <t xml:space="preserve">19845555</t>
  </si>
  <si>
    <t xml:space="preserve">04121704393</t>
  </si>
  <si>
    <t xml:space="preserve">15565071</t>
  </si>
  <si>
    <t xml:space="preserve">000033152362</t>
  </si>
  <si>
    <t xml:space="preserve">VERA BRIÑEZ</t>
  </si>
  <si>
    <t xml:space="preserve">04121279665</t>
  </si>
  <si>
    <t xml:space="preserve">12589747</t>
  </si>
  <si>
    <t xml:space="preserve">000033123728</t>
  </si>
  <si>
    <t xml:space="preserve">000034610691</t>
  </si>
  <si>
    <t xml:space="preserve">DARIANNY FABIOLA</t>
  </si>
  <si>
    <t xml:space="preserve">04127856767</t>
  </si>
  <si>
    <t xml:space="preserve">17736267</t>
  </si>
  <si>
    <t xml:space="preserve">ALVARO ANDRES</t>
  </si>
  <si>
    <t xml:space="preserve">SIERRA FERRER</t>
  </si>
  <si>
    <t xml:space="preserve">21039457</t>
  </si>
  <si>
    <t xml:space="preserve">SABASTIAN ANDRES</t>
  </si>
  <si>
    <t xml:space="preserve">YOEILIS PAOLA</t>
  </si>
  <si>
    <t xml:space="preserve">26906339</t>
  </si>
  <si>
    <t xml:space="preserve">000033555673</t>
  </si>
  <si>
    <t xml:space="preserve">KEIBER ANDRES</t>
  </si>
  <si>
    <t xml:space="preserve">04120774590</t>
  </si>
  <si>
    <t xml:space="preserve">20835909</t>
  </si>
  <si>
    <t xml:space="preserve">000032839865</t>
  </si>
  <si>
    <t xml:space="preserve">YOANYELIS DEL CARMEN</t>
  </si>
  <si>
    <t xml:space="preserve">04126805401</t>
  </si>
  <si>
    <t xml:space="preserve">ANDREANY CHIQUINQUIRA</t>
  </si>
  <si>
    <t xml:space="preserve">VALLES VILLALOBOS</t>
  </si>
  <si>
    <t xml:space="preserve">LA PÀZ</t>
  </si>
  <si>
    <t xml:space="preserve">04126888482</t>
  </si>
  <si>
    <t xml:space="preserve">17565205</t>
  </si>
  <si>
    <t xml:space="preserve">000033724411</t>
  </si>
  <si>
    <t xml:space="preserve">MAYOR FERNANDEZ</t>
  </si>
  <si>
    <t xml:space="preserve">04126904649</t>
  </si>
  <si>
    <t xml:space="preserve">20147990</t>
  </si>
  <si>
    <t xml:space="preserve">HENDRY JOSE</t>
  </si>
  <si>
    <t xml:space="preserve">HERNANDEZ LOBATO</t>
  </si>
  <si>
    <t xml:space="preserve">04121700934</t>
  </si>
  <si>
    <t xml:space="preserve">20685030</t>
  </si>
  <si>
    <t xml:space="preserve">000033662468</t>
  </si>
  <si>
    <t xml:space="preserve">ANDRY DANIEL</t>
  </si>
  <si>
    <t xml:space="preserve">PULGAR ROMERO</t>
  </si>
  <si>
    <t xml:space="preserve">04126653368</t>
  </si>
  <si>
    <t xml:space="preserve">19844138</t>
  </si>
  <si>
    <t xml:space="preserve">000019810649</t>
  </si>
  <si>
    <t xml:space="preserve">CASTILLO FERRER</t>
  </si>
  <si>
    <t xml:space="preserve">000026169595</t>
  </si>
  <si>
    <t xml:space="preserve">NEIRIBEL DEL CARMEN</t>
  </si>
  <si>
    <t xml:space="preserve">NEGLIMAR DEL CARMEN</t>
  </si>
  <si>
    <t xml:space="preserve">PARRA MORENO</t>
  </si>
  <si>
    <t xml:space="preserve">04127259979</t>
  </si>
  <si>
    <t xml:space="preserve">19988724</t>
  </si>
  <si>
    <t xml:space="preserve">000014522153</t>
  </si>
  <si>
    <t xml:space="preserve">RIGOR RAMON</t>
  </si>
  <si>
    <t xml:space="preserve">000015195850</t>
  </si>
  <si>
    <t xml:space="preserve">MAIRA ALEJANDRA</t>
  </si>
  <si>
    <t xml:space="preserve">000022141588</t>
  </si>
  <si>
    <t xml:space="preserve">GREGORIA RAMONA</t>
  </si>
  <si>
    <t xml:space="preserve">COLINA GALVIS</t>
  </si>
  <si>
    <t xml:space="preserve">000021510682</t>
  </si>
  <si>
    <t xml:space="preserve">JHON KERVI</t>
  </si>
  <si>
    <t xml:space="preserve">000021510143</t>
  </si>
  <si>
    <t xml:space="preserve">ZULIBETH CHIQUINQUIRA</t>
  </si>
  <si>
    <t xml:space="preserve">JESUS E LOSSADA</t>
  </si>
  <si>
    <t xml:space="preserve">17565963</t>
  </si>
  <si>
    <t xml:space="preserve">NEURIMAR VICTORIA</t>
  </si>
  <si>
    <t xml:space="preserve">0412789811</t>
  </si>
  <si>
    <t xml:space="preserve">JONELLA ALEJANDRA</t>
  </si>
  <si>
    <t xml:space="preserve">04126418935</t>
  </si>
  <si>
    <t xml:space="preserve">18281237</t>
  </si>
  <si>
    <t xml:space="preserve">MIGUEL ERNESTO</t>
  </si>
  <si>
    <t xml:space="preserve">LA PAZ / SECTOR EL MATADERO</t>
  </si>
  <si>
    <t xml:space="preserve">04126023338</t>
  </si>
  <si>
    <t xml:space="preserve">CAMPO BOYACA #52 A CALLE 05</t>
  </si>
  <si>
    <t xml:space="preserve">04163620206</t>
  </si>
  <si>
    <t xml:space="preserve">04538001</t>
  </si>
  <si>
    <t xml:space="preserve">JANNIEL JOSE</t>
  </si>
  <si>
    <t xml:space="preserve">04124739710</t>
  </si>
  <si>
    <t xml:space="preserve">000034471253</t>
  </si>
  <si>
    <t xml:space="preserve">NERVIS ANDRES</t>
  </si>
  <si>
    <t xml:space="preserve">ORTEGA OSORIO</t>
  </si>
  <si>
    <t xml:space="preserve">04122866440</t>
  </si>
  <si>
    <t xml:space="preserve">09753407</t>
  </si>
  <si>
    <t xml:space="preserve">000034179311</t>
  </si>
  <si>
    <t xml:space="preserve">16729353</t>
  </si>
  <si>
    <t xml:space="preserve">BRIÑEZ CARVAJAL</t>
  </si>
  <si>
    <t xml:space="preserve">SECTOR VILLA SALAS LA PAZ</t>
  </si>
  <si>
    <t xml:space="preserve">17294679</t>
  </si>
  <si>
    <t xml:space="preserve">YANEILIS CAROLINA</t>
  </si>
  <si>
    <t xml:space="preserve">BRIÑEZ BOSCAN</t>
  </si>
  <si>
    <t xml:space="preserve">SECTOR EL 90</t>
  </si>
  <si>
    <t xml:space="preserve">04126889063</t>
  </si>
  <si>
    <t xml:space="preserve">18662073</t>
  </si>
  <si>
    <t xml:space="preserve">ASDREILY MICHELL</t>
  </si>
  <si>
    <t xml:space="preserve">04125148993</t>
  </si>
  <si>
    <t xml:space="preserve">000033438561</t>
  </si>
  <si>
    <t xml:space="preserve">MARTINEZ BRIÑEZ</t>
  </si>
  <si>
    <t xml:space="preserve">04121747476</t>
  </si>
  <si>
    <t xml:space="preserve">23753190</t>
  </si>
  <si>
    <t xml:space="preserve">YOJENDRY  JOSE</t>
  </si>
  <si>
    <t xml:space="preserve">04124720995</t>
  </si>
  <si>
    <t xml:space="preserve">DAISON DE JESUS</t>
  </si>
  <si>
    <t xml:space="preserve">04120607081</t>
  </si>
  <si>
    <t xml:space="preserve">000033724325</t>
  </si>
  <si>
    <t xml:space="preserve">PAULA SOFIA</t>
  </si>
  <si>
    <t xml:space="preserve">BOHORQUEZ MAYOR</t>
  </si>
  <si>
    <t xml:space="preserve">Barrio 5 de Enero</t>
  </si>
  <si>
    <t xml:space="preserve">04121063961</t>
  </si>
  <si>
    <t xml:space="preserve">20987938</t>
  </si>
  <si>
    <t xml:space="preserve">LUIS GERARDO</t>
  </si>
  <si>
    <t xml:space="preserve">04129654128</t>
  </si>
  <si>
    <t xml:space="preserve">ISABEL CAROLINA</t>
  </si>
  <si>
    <t xml:space="preserve">13414449</t>
  </si>
  <si>
    <t xml:space="preserve">AVIANHA THAIS</t>
  </si>
  <si>
    <t xml:space="preserve">000023770206</t>
  </si>
  <si>
    <t xml:space="preserve">BEXSABEL BEATRIZ</t>
  </si>
  <si>
    <t xml:space="preserve">000032782562</t>
  </si>
  <si>
    <t xml:space="preserve">MISAEL YARET</t>
  </si>
  <si>
    <t xml:space="preserve">MOLERO GONZALEZ</t>
  </si>
  <si>
    <t xml:space="preserve">+++++</t>
  </si>
  <si>
    <t xml:space="preserve">14207623</t>
  </si>
  <si>
    <t xml:space="preserve">ENDERBERTH ENRIQUE</t>
  </si>
  <si>
    <t xml:space="preserve">URDANETA OLIVERO</t>
  </si>
  <si>
    <t xml:space="preserve">04124094082</t>
  </si>
  <si>
    <t xml:space="preserve">21152657</t>
  </si>
  <si>
    <t xml:space="preserve">000033172654</t>
  </si>
  <si>
    <t xml:space="preserve">ADALIS JOSEFINA</t>
  </si>
  <si>
    <t xml:space="preserve">HERRERA RUBIO</t>
  </si>
  <si>
    <t xml:space="preserve">04267613192</t>
  </si>
  <si>
    <t xml:space="preserve">23272795</t>
  </si>
  <si>
    <t xml:space="preserve">010915937923</t>
  </si>
  <si>
    <t xml:space="preserve">EDIBETH ALEJANDRA</t>
  </si>
  <si>
    <t xml:space="preserve">04161736621</t>
  </si>
  <si>
    <t xml:space="preserve">15937923</t>
  </si>
  <si>
    <t xml:space="preserve">RODOLFO JESUS</t>
  </si>
  <si>
    <t xml:space="preserve">BARRIO DE 5 ENERO</t>
  </si>
  <si>
    <t xml:space="preserve">04124280942</t>
  </si>
  <si>
    <t xml:space="preserve">19989237</t>
  </si>
  <si>
    <t xml:space="preserve">000033811161</t>
  </si>
  <si>
    <t xml:space="preserve">ADRIANA ABIGAIL</t>
  </si>
  <si>
    <t xml:space="preserve">VERGARA PACHECO</t>
  </si>
  <si>
    <t xml:space="preserve">04120614701</t>
  </si>
  <si>
    <t xml:space="preserve">13846866</t>
  </si>
  <si>
    <t xml:space="preserve">VALERIA CHIQUINQUIRA</t>
  </si>
  <si>
    <t xml:space="preserve">000036152712</t>
  </si>
  <si>
    <t xml:space="preserve">RIANYIBETH SOFIA</t>
  </si>
  <si>
    <t xml:space="preserve">GARCIA VILCHEZ</t>
  </si>
  <si>
    <t xml:space="preserve">SECTOR LA PAZ AV PRINCIPAL LA JAVILLA</t>
  </si>
  <si>
    <t xml:space="preserve">04126444119</t>
  </si>
  <si>
    <t xml:space="preserve">16836752</t>
  </si>
  <si>
    <t xml:space="preserve">000034399064</t>
  </si>
  <si>
    <t xml:space="preserve">XAVIER JOSE</t>
  </si>
  <si>
    <t xml:space="preserve">04121057003</t>
  </si>
  <si>
    <t xml:space="preserve">23737203</t>
  </si>
  <si>
    <t xml:space="preserve">31016232</t>
  </si>
  <si>
    <t xml:space="preserve">04121269505</t>
  </si>
  <si>
    <t xml:space="preserve">ELVI JAVIER</t>
  </si>
  <si>
    <t xml:space="preserve">04121027475</t>
  </si>
  <si>
    <t xml:space="preserve">06805845</t>
  </si>
  <si>
    <t xml:space="preserve">ARIANNA ESTHER</t>
  </si>
  <si>
    <t xml:space="preserve">SECTOR CAMPO BOYACA</t>
  </si>
  <si>
    <t xml:space="preserve">04128708904</t>
  </si>
  <si>
    <t xml:space="preserve">ALBERT ANTONIO</t>
  </si>
  <si>
    <t xml:space="preserve">04129650819</t>
  </si>
  <si>
    <t xml:space="preserve">000034089159</t>
  </si>
  <si>
    <t xml:space="preserve">ELIEZER JOSE</t>
  </si>
  <si>
    <t xml:space="preserve">MOLLEJA SANCHEZ</t>
  </si>
  <si>
    <t xml:space="preserve">04129608799</t>
  </si>
  <si>
    <t xml:space="preserve">18317648</t>
  </si>
  <si>
    <t xml:space="preserve">DORIAGNIS ALEJANDRA</t>
  </si>
  <si>
    <t xml:space="preserve">VILLALOBOS SANCHEZ</t>
  </si>
  <si>
    <t xml:space="preserve">JOHANIS PAOLA</t>
  </si>
  <si>
    <t xml:space="preserve">04126541660</t>
  </si>
  <si>
    <t xml:space="preserve">23466538</t>
  </si>
  <si>
    <t xml:space="preserve">DAIRELY CAROLINA</t>
  </si>
  <si>
    <t xml:space="preserve">BARRIO 5 DE ENERO PRIMERA CALLE</t>
  </si>
  <si>
    <t xml:space="preserve">011018319284</t>
  </si>
  <si>
    <t xml:space="preserve">JAIMELY SOFIA</t>
  </si>
  <si>
    <t xml:space="preserve">MOLERO CASTILLO</t>
  </si>
  <si>
    <t xml:space="preserve">010921568140</t>
  </si>
  <si>
    <t xml:space="preserve">MORAN RUIZ</t>
  </si>
  <si>
    <t xml:space="preserve">04127504722</t>
  </si>
  <si>
    <t xml:space="preserve">21568140</t>
  </si>
  <si>
    <t xml:space="preserve">YELISMAR DE LOS ANGELES</t>
  </si>
  <si>
    <t xml:space="preserve">VERA MORAN</t>
  </si>
  <si>
    <t xml:space="preserve">04120777836</t>
  </si>
  <si>
    <t xml:space="preserve">18662195</t>
  </si>
  <si>
    <t xml:space="preserve">NESTOR ANGEL</t>
  </si>
  <si>
    <t xml:space="preserve">04126646120</t>
  </si>
  <si>
    <t xml:space="preserve">000034415601</t>
  </si>
  <si>
    <t xml:space="preserve">YELVIS ADIHEL</t>
  </si>
  <si>
    <t xml:space="preserve">04121747781</t>
  </si>
  <si>
    <t xml:space="preserve">VILCHEZ SANCHEZ</t>
  </si>
  <si>
    <t xml:space="preserve">04126811792</t>
  </si>
  <si>
    <t xml:space="preserve">11262416</t>
  </si>
  <si>
    <t xml:space="preserve">011026308158</t>
  </si>
  <si>
    <t xml:space="preserve">KERLYS YULIETH</t>
  </si>
  <si>
    <t xml:space="preserve">FUENMAYOR BARRIOS</t>
  </si>
  <si>
    <t xml:space="preserve">04120711610</t>
  </si>
  <si>
    <t xml:space="preserve">26308158</t>
  </si>
  <si>
    <t xml:space="preserve">000035031481</t>
  </si>
  <si>
    <t xml:space="preserve">DANIEL ALFONSO</t>
  </si>
  <si>
    <t xml:space="preserve">04267248445</t>
  </si>
  <si>
    <t xml:space="preserve">21510643</t>
  </si>
  <si>
    <t xml:space="preserve">YOEINALIS DEL CARMEN</t>
  </si>
  <si>
    <t xml:space="preserve">SCETOR LA CONQUISTA</t>
  </si>
  <si>
    <t xml:space="preserve">04126646570</t>
  </si>
  <si>
    <t xml:space="preserve">21510679</t>
  </si>
  <si>
    <t xml:space="preserve">ENMANUEL</t>
  </si>
  <si>
    <t xml:space="preserve">SCETOR VILLAS SALAS AV. PRINCIPAL</t>
  </si>
  <si>
    <t xml:space="preserve">04127501270</t>
  </si>
  <si>
    <t xml:space="preserve">11608658</t>
  </si>
  <si>
    <t xml:space="preserve">000034590688</t>
  </si>
  <si>
    <t xml:space="preserve">ALINGER JOSE</t>
  </si>
  <si>
    <t xml:space="preserve">PARDO BOSCAN</t>
  </si>
  <si>
    <t xml:space="preserve">04126935747</t>
  </si>
  <si>
    <t xml:space="preserve">21354548</t>
  </si>
  <si>
    <t xml:space="preserve">RUT ESTHER</t>
  </si>
  <si>
    <t xml:space="preserve">ALBERTH SEBASTIAN</t>
  </si>
  <si>
    <t xml:space="preserve">PULGAR PULGAR</t>
  </si>
  <si>
    <t xml:space="preserve">AV PRINCIPAL SECTOR EL REGATON</t>
  </si>
  <si>
    <t xml:space="preserve">19017548</t>
  </si>
  <si>
    <t xml:space="preserve">011116121574</t>
  </si>
  <si>
    <t xml:space="preserve">EMILIANY PAOLA</t>
  </si>
  <si>
    <t xml:space="preserve">04129692496</t>
  </si>
  <si>
    <t xml:space="preserve">INELVYS ENRIQUE</t>
  </si>
  <si>
    <t xml:space="preserve">19811183</t>
  </si>
  <si>
    <t xml:space="preserve">ADRIANA ISABEL</t>
  </si>
  <si>
    <t xml:space="preserve">FERRER FINOL</t>
  </si>
  <si>
    <t xml:space="preserve">CAMPO CALITZA CASA #24</t>
  </si>
  <si>
    <t xml:space="preserve">19906318</t>
  </si>
  <si>
    <t xml:space="preserve">000034620638</t>
  </si>
  <si>
    <t xml:space="preserve">DELANY RUTSELL</t>
  </si>
  <si>
    <t xml:space="preserve">AV. PRINCIPAL SECTOR CHINITO RAFAEL</t>
  </si>
  <si>
    <t xml:space="preserve">04127105232</t>
  </si>
  <si>
    <t xml:space="preserve">000034620850</t>
  </si>
  <si>
    <t xml:space="preserve">VALERIA SOPHIA</t>
  </si>
  <si>
    <t xml:space="preserve">TROCONIS LEAL</t>
  </si>
  <si>
    <t xml:space="preserve">CAMPO BOYACA CASA #54 A</t>
  </si>
  <si>
    <t xml:space="preserve">04126574508</t>
  </si>
  <si>
    <t xml:space="preserve">17568326</t>
  </si>
  <si>
    <t xml:space="preserve">000034528735</t>
  </si>
  <si>
    <t xml:space="preserve">DILIANNY SOFIA</t>
  </si>
  <si>
    <t xml:space="preserve">CAMPO CALITZA</t>
  </si>
  <si>
    <t xml:space="preserve">04121662625</t>
  </si>
  <si>
    <t xml:space="preserve">19811173</t>
  </si>
  <si>
    <t xml:space="preserve">LA PAZ BARRIO SIMON BOLIVAR</t>
  </si>
  <si>
    <t xml:space="preserve">04124282656</t>
  </si>
  <si>
    <t xml:space="preserve">14256016</t>
  </si>
  <si>
    <t xml:space="preserve">ZAMBRANO ZAMBRANO</t>
  </si>
  <si>
    <t xml:space="preserve">CAMPO COQUIVACOA CASA 13B</t>
  </si>
  <si>
    <t xml:space="preserve">17565201</t>
  </si>
  <si>
    <t xml:space="preserve">CAMILA ALEJANDAR</t>
  </si>
  <si>
    <t xml:space="preserve">ALVARADO MARIN</t>
  </si>
  <si>
    <t xml:space="preserve">04122156670</t>
  </si>
  <si>
    <t xml:space="preserve">14458717</t>
  </si>
  <si>
    <t xml:space="preserve">000034539254</t>
  </si>
  <si>
    <t xml:space="preserve">LA PAZ, CAMPO COQUIVACOA</t>
  </si>
  <si>
    <t xml:space="preserve">04121610166</t>
  </si>
  <si>
    <t xml:space="preserve">23466422</t>
  </si>
  <si>
    <t xml:space="preserve">000034420563</t>
  </si>
  <si>
    <t xml:space="preserve">VALERIA ERILUZ</t>
  </si>
  <si>
    <t xml:space="preserve">HERNANDEZ RINCON</t>
  </si>
  <si>
    <t xml:space="preserve">17938233</t>
  </si>
  <si>
    <t xml:space="preserve">LEONELA VALENTINA</t>
  </si>
  <si>
    <t xml:space="preserve">04120642206</t>
  </si>
  <si>
    <t xml:space="preserve">24250428</t>
  </si>
  <si>
    <t xml:space="preserve">ANNIELYS VELIXA</t>
  </si>
  <si>
    <t xml:space="preserve">LA PAZ CAMPO CALIZA</t>
  </si>
  <si>
    <t xml:space="preserve">AMANDA SOFIA</t>
  </si>
  <si>
    <t xml:space="preserve">AVENIDA PRINCIPAL SECTOR EL PUEBLO</t>
  </si>
  <si>
    <t xml:space="preserve">04127689718</t>
  </si>
  <si>
    <t xml:space="preserve">ANGELIS MARIA</t>
  </si>
  <si>
    <t xml:space="preserve">011019811113</t>
  </si>
  <si>
    <t xml:space="preserve">YILBERTH DAVID</t>
  </si>
  <si>
    <t xml:space="preserve">OLIVERO PULGAR</t>
  </si>
  <si>
    <t xml:space="preserve">JEAN POOL</t>
  </si>
  <si>
    <t xml:space="preserve">FUENMAYOR</t>
  </si>
  <si>
    <t xml:space="preserve">21039137</t>
  </si>
  <si>
    <t xml:space="preserve">011123747555</t>
  </si>
  <si>
    <t xml:space="preserve">MENCO FERRER</t>
  </si>
  <si>
    <t xml:space="preserve">041273332628</t>
  </si>
  <si>
    <t xml:space="preserve">23747555</t>
  </si>
  <si>
    <t xml:space="preserve">20058819</t>
  </si>
  <si>
    <t xml:space="preserve">000034886449</t>
  </si>
  <si>
    <t xml:space="preserve">FREIDER ANDRES</t>
  </si>
  <si>
    <t xml:space="preserve">PRADO MONTIEL</t>
  </si>
  <si>
    <t xml:space="preserve">04123604404</t>
  </si>
  <si>
    <t xml:space="preserve">11865337</t>
  </si>
  <si>
    <t xml:space="preserve">000034645881</t>
  </si>
  <si>
    <t xml:space="preserve">FRAIKER GABRIEL</t>
  </si>
  <si>
    <t xml:space="preserve">LA PAZ MARIMONDA 3</t>
  </si>
  <si>
    <t xml:space="preserve">04121648882</t>
  </si>
  <si>
    <t xml:space="preserve">LEANYELY CHIQUINQUIRA</t>
  </si>
  <si>
    <t xml:space="preserve">FINOL RIVERA</t>
  </si>
  <si>
    <t xml:space="preserve">AV PRINCIPAL</t>
  </si>
  <si>
    <t xml:space="preserve">04124707155</t>
  </si>
  <si>
    <t xml:space="preserve">19810133</t>
  </si>
  <si>
    <t xml:space="preserve">JOSE ANTONIO</t>
  </si>
  <si>
    <t xml:space="preserve">FERNANDEZ DORIA</t>
  </si>
  <si>
    <t xml:space="preserve">LA PAZ SECTOR 5 DE ENERO</t>
  </si>
  <si>
    <t xml:space="preserve">04121659494</t>
  </si>
  <si>
    <t xml:space="preserve">11626444</t>
  </si>
  <si>
    <t xml:space="preserve">ESTEAINI DEL CARMEN</t>
  </si>
  <si>
    <t xml:space="preserve">WILLIANIS CHIQUINQUIRA</t>
  </si>
  <si>
    <t xml:space="preserve">04121265135</t>
  </si>
  <si>
    <t xml:space="preserve">22455102</t>
  </si>
  <si>
    <t xml:space="preserve">MARIA CHUIQUINQUIRA</t>
  </si>
  <si>
    <t xml:space="preserve">04128222689</t>
  </si>
  <si>
    <t xml:space="preserve">15193788</t>
  </si>
  <si>
    <t xml:space="preserve">010913847833</t>
  </si>
  <si>
    <t xml:space="preserve">SERGIO DANIEL</t>
  </si>
  <si>
    <t xml:space="preserve">04161482874</t>
  </si>
  <si>
    <t xml:space="preserve">13847833</t>
  </si>
  <si>
    <t xml:space="preserve">19837648</t>
  </si>
  <si>
    <t xml:space="preserve">ADRIANGELYS ESTHER</t>
  </si>
  <si>
    <t xml:space="preserve">DARWIN XAVIER</t>
  </si>
  <si>
    <t xml:space="preserve">SOTO INCIARTE</t>
  </si>
  <si>
    <t xml:space="preserve">SECTRO PARADA LOS BUSES</t>
  </si>
  <si>
    <t xml:space="preserve">04125476060</t>
  </si>
  <si>
    <t xml:space="preserve">20778378</t>
  </si>
  <si>
    <t xml:space="preserve">KARIANNY LUCIA</t>
  </si>
  <si>
    <t xml:space="preserve">04146556564</t>
  </si>
  <si>
    <t xml:space="preserve">26872294</t>
  </si>
  <si>
    <t xml:space="preserve">DE AVILA FERNANDEZ</t>
  </si>
  <si>
    <t xml:space="preserve">04121706553</t>
  </si>
  <si>
    <t xml:space="preserve">000034407990</t>
  </si>
  <si>
    <t xml:space="preserve">NOELVIS JOSE</t>
  </si>
  <si>
    <t xml:space="preserve">RODRIGUEZ VILLALOBOS</t>
  </si>
  <si>
    <t xml:space="preserve">04127261582</t>
  </si>
  <si>
    <t xml:space="preserve">ANGEL SANTIAGO</t>
  </si>
  <si>
    <t xml:space="preserve">BABILONIA RAMIREZ</t>
  </si>
  <si>
    <t xml:space="preserve">04121263529</t>
  </si>
  <si>
    <t xml:space="preserve">20146118</t>
  </si>
  <si>
    <t xml:space="preserve">000033743848</t>
  </si>
  <si>
    <t xml:space="preserve">GABRIELA MARIA</t>
  </si>
  <si>
    <t xml:space="preserve">04127518755</t>
  </si>
  <si>
    <t xml:space="preserve">04127537720</t>
  </si>
  <si>
    <t xml:space="preserve">ANGELES DE JESUS</t>
  </si>
  <si>
    <t xml:space="preserve">VALBUENA VERA</t>
  </si>
  <si>
    <t xml:space="preserve">04127508828</t>
  </si>
  <si>
    <t xml:space="preserve">19811168</t>
  </si>
  <si>
    <t xml:space="preserve">001079728537</t>
  </si>
  <si>
    <t xml:space="preserve">KARLIANIS VICTORIA</t>
  </si>
  <si>
    <t xml:space="preserve">VALENTINA RUTH</t>
  </si>
  <si>
    <t xml:space="preserve">LA PAZ SECTOR CHINITO RAFAEL</t>
  </si>
  <si>
    <t xml:space="preserve">04165297376</t>
  </si>
  <si>
    <t xml:space="preserve">04267691851</t>
  </si>
  <si>
    <t xml:space="preserve">20204594</t>
  </si>
  <si>
    <t xml:space="preserve">000034525881</t>
  </si>
  <si>
    <t xml:space="preserve">DAILYN ANAIS</t>
  </si>
  <si>
    <t xml:space="preserve">SOTURNO ARDILLA</t>
  </si>
  <si>
    <t xml:space="preserve">SECTOR CACAGUITA</t>
  </si>
  <si>
    <t xml:space="preserve">04121051099</t>
  </si>
  <si>
    <t xml:space="preserve">KEIDIMAR SARHAY</t>
  </si>
  <si>
    <t xml:space="preserve">LA PAZ SECTOR LOS PANTALLAS</t>
  </si>
  <si>
    <t xml:space="preserve">04123519938</t>
  </si>
  <si>
    <t xml:space="preserve">23706797</t>
  </si>
  <si>
    <t xml:space="preserve">JEANDRIMAR DEL CARMEN</t>
  </si>
  <si>
    <t xml:space="preserve">VARGAS VELAZQUEZ</t>
  </si>
  <si>
    <t xml:space="preserve">04127331442</t>
  </si>
  <si>
    <t xml:space="preserve">YASMELY SOFIA</t>
  </si>
  <si>
    <t xml:space="preserve">HERRERA</t>
  </si>
  <si>
    <t xml:space="preserve">BARRIO EL CORITO</t>
  </si>
  <si>
    <t xml:space="preserve">25680354</t>
  </si>
  <si>
    <t xml:space="preserve">SECTOR LAS JAVILLITAS FRENTE AL PRIVADO</t>
  </si>
  <si>
    <t xml:space="preserve">04127569945</t>
  </si>
  <si>
    <t xml:space="preserve">011015053986</t>
  </si>
  <si>
    <t xml:space="preserve">ALEXIS JUNIOR</t>
  </si>
  <si>
    <t xml:space="preserve">04121002394</t>
  </si>
  <si>
    <t xml:space="preserve">15053986</t>
  </si>
  <si>
    <t xml:space="preserve">ELIAN JESUS</t>
  </si>
  <si>
    <t xml:space="preserve">ESTRADA CASTILLO</t>
  </si>
  <si>
    <t xml:space="preserve">JESUS RAUL</t>
  </si>
  <si>
    <t xml:space="preserve">SANTIAGO FRANCISCO</t>
  </si>
  <si>
    <t xml:space="preserve">MOLINA FERNANDEZ</t>
  </si>
  <si>
    <t xml:space="preserve">04126601511</t>
  </si>
  <si>
    <t xml:space="preserve">19459272</t>
  </si>
  <si>
    <t xml:space="preserve">MARIA ELVIRA</t>
  </si>
  <si>
    <t xml:space="preserve">04129790471</t>
  </si>
  <si>
    <t xml:space="preserve">EDUANYERBETH JOSE</t>
  </si>
  <si>
    <t xml:space="preserve">FUENMAYOR MALDONADO</t>
  </si>
  <si>
    <t xml:space="preserve">20370250</t>
  </si>
  <si>
    <t xml:space="preserve">ANGEL JOSUE</t>
  </si>
  <si>
    <t xml:space="preserve">ROMERO MEJIA</t>
  </si>
  <si>
    <t xml:space="preserve">04124709105</t>
  </si>
  <si>
    <t xml:space="preserve">000034406914</t>
  </si>
  <si>
    <t xml:space="preserve">JEHANCARLOS ARISTIDES</t>
  </si>
  <si>
    <t xml:space="preserve">PEREIRA RAMIREZ</t>
  </si>
  <si>
    <t xml:space="preserve">SECTOR EL BATACAZO AL FONDO D ELA PLANTA DE GAS</t>
  </si>
  <si>
    <t xml:space="preserve">04120777327</t>
  </si>
  <si>
    <t xml:space="preserve">13005232</t>
  </si>
  <si>
    <t xml:space="preserve">ISABEL DANIELA</t>
  </si>
  <si>
    <t xml:space="preserve">LA PAZ CAMPO BOYACA CASA #4</t>
  </si>
  <si>
    <t xml:space="preserve">04122368183</t>
  </si>
  <si>
    <t xml:space="preserve">GUISNEIDIS PAOLA</t>
  </si>
  <si>
    <t xml:space="preserve">FERNANDEZ CASTRO</t>
  </si>
  <si>
    <t xml:space="preserve">04120649184</t>
  </si>
  <si>
    <t xml:space="preserve">20508293</t>
  </si>
  <si>
    <t xml:space="preserve">ANDERSON GREGORIO</t>
  </si>
  <si>
    <t xml:space="preserve">MAYOR CUADROS</t>
  </si>
  <si>
    <t xml:space="preserve">04121651526</t>
  </si>
  <si>
    <t xml:space="preserve">GADIEL DAVID</t>
  </si>
  <si>
    <t xml:space="preserve">20508654</t>
  </si>
  <si>
    <t xml:space="preserve">ENRIQUE JESUS</t>
  </si>
  <si>
    <t xml:space="preserve">04125148522</t>
  </si>
  <si>
    <t xml:space="preserve">17130079</t>
  </si>
  <si>
    <t xml:space="preserve">ANDRY REINER</t>
  </si>
  <si>
    <t xml:space="preserve">DENNY WULIANS</t>
  </si>
  <si>
    <t xml:space="preserve">AVENDAÑO MAS Y RUBI</t>
  </si>
  <si>
    <t xml:space="preserve">04128261944</t>
  </si>
  <si>
    <t xml:space="preserve">000034801397</t>
  </si>
  <si>
    <t xml:space="preserve">COLINA DIAZ</t>
  </si>
  <si>
    <t xml:space="preserve">04123489137</t>
  </si>
  <si>
    <t xml:space="preserve">20686029</t>
  </si>
  <si>
    <t xml:space="preserve">010820070947</t>
  </si>
  <si>
    <t xml:space="preserve">WILMARY MILAGROS</t>
  </si>
  <si>
    <t xml:space="preserve">SANCHEZ BENITEZ</t>
  </si>
  <si>
    <t xml:space="preserve">04125135682</t>
  </si>
  <si>
    <t xml:space="preserve">20070947</t>
  </si>
  <si>
    <t xml:space="preserve">000034528747</t>
  </si>
  <si>
    <t xml:space="preserve">MARIELIS DEISIBEL</t>
  </si>
  <si>
    <t xml:space="preserve">RIVAS CASTAÑO</t>
  </si>
  <si>
    <t xml:space="preserve">NERKENDRY JESUS</t>
  </si>
  <si>
    <t xml:space="preserve">LA PAZ CALLE LA ENVIDIA</t>
  </si>
  <si>
    <t xml:space="preserve">04166816219</t>
  </si>
  <si>
    <t xml:space="preserve">YDER JAVIER</t>
  </si>
  <si>
    <t xml:space="preserve">AVENIDA PRINCIPAL LAS JAVILLITAS</t>
  </si>
  <si>
    <t xml:space="preserve">04126605386</t>
  </si>
  <si>
    <t xml:space="preserve">17938300</t>
  </si>
  <si>
    <t xml:space="preserve">GABRIEL ADANYER</t>
  </si>
  <si>
    <t xml:space="preserve">04123888544</t>
  </si>
  <si>
    <t xml:space="preserve">000034565902</t>
  </si>
  <si>
    <t xml:space="preserve">RIOS MORALES</t>
  </si>
  <si>
    <t xml:space="preserve">SECTOR CIUDAD COMUNAL</t>
  </si>
  <si>
    <t xml:space="preserve">19450653</t>
  </si>
  <si>
    <t xml:space="preserve">000032309994</t>
  </si>
  <si>
    <t xml:space="preserve">YULIANA VANESSA</t>
  </si>
  <si>
    <t xml:space="preserve">LAMADRID MORALES</t>
  </si>
  <si>
    <t xml:space="preserve">SECTOR LA TAGUARA</t>
  </si>
  <si>
    <t xml:space="preserve">000033141727</t>
  </si>
  <si>
    <t xml:space="preserve">CAMPO BOYACA CASA #52 A</t>
  </si>
  <si>
    <t xml:space="preserve">04163633672</t>
  </si>
  <si>
    <t xml:space="preserve">YOERMARIS CAMILA</t>
  </si>
  <si>
    <t xml:space="preserve">BARRIO SIMON BOLIVARCALLE # 5 CASA #81</t>
  </si>
  <si>
    <t xml:space="preserve">04121732136</t>
  </si>
  <si>
    <t xml:space="preserve">JOELIMAR ALEXANDRA</t>
  </si>
  <si>
    <t xml:space="preserve">PRIMERA MORALES</t>
  </si>
  <si>
    <t xml:space="preserve">ROBERT STIVER</t>
  </si>
  <si>
    <t xml:space="preserve">DUQUE AVENDAÑO</t>
  </si>
  <si>
    <t xml:space="preserve">04127105238</t>
  </si>
  <si>
    <t xml:space="preserve">000032891380</t>
  </si>
  <si>
    <t xml:space="preserve">DENNIS ENMANUEL</t>
  </si>
  <si>
    <t xml:space="preserve">ZULETA SUAREZ</t>
  </si>
  <si>
    <t xml:space="preserve">04126447036</t>
  </si>
  <si>
    <t xml:space="preserve">18838893</t>
  </si>
  <si>
    <t xml:space="preserve">000033172608</t>
  </si>
  <si>
    <t xml:space="preserve">ADELINA DEL CARMEN</t>
  </si>
  <si>
    <t xml:space="preserve">HERNANDEZ RUBIO</t>
  </si>
  <si>
    <t xml:space="preserve">000036696325</t>
  </si>
  <si>
    <t xml:space="preserve">KARLA VANESSA</t>
  </si>
  <si>
    <t xml:space="preserve">04126788789</t>
  </si>
  <si>
    <t xml:space="preserve">000024725888</t>
  </si>
  <si>
    <t xml:space="preserve">IRANIA PATRICIA</t>
  </si>
  <si>
    <t xml:space="preserve">011025276119</t>
  </si>
  <si>
    <t xml:space="preserve">YORGELIS CHIQUINQUIRA</t>
  </si>
  <si>
    <t xml:space="preserve">Sector Parcelamiento II al fondo de la planta de gas de PDVSA</t>
  </si>
  <si>
    <t xml:space="preserve">011012620909</t>
  </si>
  <si>
    <t xml:space="preserve">YUBEILYS MAIRY</t>
  </si>
  <si>
    <t xml:space="preserve">sector chinita rafael</t>
  </si>
  <si>
    <t xml:space="preserve">04124735996</t>
  </si>
  <si>
    <t xml:space="preserve">000033316620</t>
  </si>
  <si>
    <t xml:space="preserve">YOHALVIS JOSE</t>
  </si>
  <si>
    <t xml:space="preserve">PEÑÁ VILLALOBOS</t>
  </si>
  <si>
    <t xml:space="preserve">04126829503</t>
  </si>
  <si>
    <t xml:space="preserve">000020147981</t>
  </si>
  <si>
    <t xml:space="preserve">JACKSON JOSE</t>
  </si>
  <si>
    <t xml:space="preserve">MORAN CARRUYO</t>
  </si>
  <si>
    <t xml:space="preserve">JIOHALBER ENRIQUE</t>
  </si>
  <si>
    <t xml:space="preserve">la paz barrio 5 de enero</t>
  </si>
  <si>
    <t xml:space="preserve">CRISANYELI CAROLINA</t>
  </si>
  <si>
    <t xml:space="preserve">VILLAREAL RIVERA</t>
  </si>
  <si>
    <t xml:space="preserve">LA PAZ CALLE SAN VALENTIN</t>
  </si>
  <si>
    <t xml:space="preserve">04126480754</t>
  </si>
  <si>
    <t xml:space="preserve">15889490</t>
  </si>
  <si>
    <t xml:space="preserve">LA PAZ SIMON BOLIVAR</t>
  </si>
  <si>
    <t xml:space="preserve">041227503403</t>
  </si>
  <si>
    <t xml:space="preserve">16080202</t>
  </si>
  <si>
    <t xml:space="preserve">011014921932</t>
  </si>
  <si>
    <t xml:space="preserve">NERVIS GREGORIO</t>
  </si>
  <si>
    <t xml:space="preserve">INCIARTE OLIVERO</t>
  </si>
  <si>
    <t xml:space="preserve">04267698177</t>
  </si>
  <si>
    <t xml:space="preserve">000033809246</t>
  </si>
  <si>
    <t xml:space="preserve">YUDEISY FABIANA</t>
  </si>
  <si>
    <t xml:space="preserve">CHAPARRO CHACON</t>
  </si>
  <si>
    <t xml:space="preserve">GRANABELL SARON</t>
  </si>
  <si>
    <t xml:space="preserve">04123481266</t>
  </si>
  <si>
    <t xml:space="preserve">BRAVO FUENMAYOR</t>
  </si>
  <si>
    <t xml:space="preserve">04261223024</t>
  </si>
  <si>
    <t xml:space="preserve">15766186</t>
  </si>
  <si>
    <t xml:space="preserve">011015195852</t>
  </si>
  <si>
    <t xml:space="preserve">YURIANI ESTER</t>
  </si>
  <si>
    <t xml:space="preserve">FINOL URDANETA</t>
  </si>
  <si>
    <t xml:space="preserve">04120660753</t>
  </si>
  <si>
    <t xml:space="preserve">15195852</t>
  </si>
  <si>
    <t xml:space="preserve">ELIANGE ANTONIO</t>
  </si>
  <si>
    <t xml:space="preserve">04126619522</t>
  </si>
  <si>
    <t xml:space="preserve">000034408043</t>
  </si>
  <si>
    <t xml:space="preserve">04127894940</t>
  </si>
  <si>
    <t xml:space="preserve">19308113</t>
  </si>
  <si>
    <t xml:space="preserve">GUANIPA GONZALEZ</t>
  </si>
  <si>
    <t xml:space="preserve">04127753046</t>
  </si>
  <si>
    <t xml:space="preserve">LEONEURIS DE JESUS</t>
  </si>
  <si>
    <t xml:space="preserve">FONSECA JIMENEZ</t>
  </si>
  <si>
    <t xml:space="preserve">04121001206</t>
  </si>
  <si>
    <t xml:space="preserve">15747320</t>
  </si>
  <si>
    <t xml:space="preserve">ALEX GABRIEL</t>
  </si>
  <si>
    <t xml:space="preserve">SECTOR MLAS VEGAS</t>
  </si>
  <si>
    <t xml:space="preserve">04122983795</t>
  </si>
  <si>
    <t xml:space="preserve">FERNANDA SOFIA</t>
  </si>
  <si>
    <t xml:space="preserve">URDANETA PULGAR</t>
  </si>
  <si>
    <t xml:space="preserve">04127856814</t>
  </si>
  <si>
    <t xml:space="preserve">17938271</t>
  </si>
  <si>
    <t xml:space="preserve">DARIANNY GABRIELA</t>
  </si>
  <si>
    <t xml:space="preserve">04126566240</t>
  </si>
  <si>
    <t xml:space="preserve">20686019</t>
  </si>
  <si>
    <t xml:space="preserve">ANDUYTH JOSUE</t>
  </si>
  <si>
    <t xml:space="preserve">FERNANDEZ CHAVEZ</t>
  </si>
  <si>
    <t xml:space="preserve">LA PAZ CHINITO RAFAEL</t>
  </si>
  <si>
    <t xml:space="preserve">04121046979</t>
  </si>
  <si>
    <t xml:space="preserve">21354520</t>
  </si>
  <si>
    <t xml:space="preserve">000033811159</t>
  </si>
  <si>
    <t xml:space="preserve">CHRISTIAN EDUARDO</t>
  </si>
  <si>
    <t xml:space="preserve">RANGEL ARAUJO</t>
  </si>
  <si>
    <t xml:space="preserve">TRUJILLO</t>
  </si>
  <si>
    <t xml:space="preserve">04129578113</t>
  </si>
  <si>
    <t xml:space="preserve">21063341</t>
  </si>
  <si>
    <t xml:space="preserve">000034525874</t>
  </si>
  <si>
    <t xml:space="preserve">YULIANA CAROLINA</t>
  </si>
  <si>
    <t xml:space="preserve">HERRERA RODELO</t>
  </si>
  <si>
    <t xml:space="preserve">04121743396</t>
  </si>
  <si>
    <t xml:space="preserve">010917938282</t>
  </si>
  <si>
    <t xml:space="preserve">AVENIDA PRINCIPAL LA PAZ CALLE LA ENVIDIA</t>
  </si>
  <si>
    <t xml:space="preserve">04169687436</t>
  </si>
  <si>
    <t xml:space="preserve">17938282</t>
  </si>
  <si>
    <t xml:space="preserve">GREGORIS ANTONIO</t>
  </si>
  <si>
    <t xml:space="preserve">04120793913</t>
  </si>
  <si>
    <t xml:space="preserve">000034726299</t>
  </si>
  <si>
    <t xml:space="preserve">YUCELYN DEL VALLE</t>
  </si>
  <si>
    <t xml:space="preserve">LA PAZ SECTOR LOS MARANOS</t>
  </si>
  <si>
    <t xml:space="preserve">04120774058</t>
  </si>
  <si>
    <t xml:space="preserve">FRANYELI VIRGINIA</t>
  </si>
  <si>
    <t xml:space="preserve">SECTOR LOS PANTALLAS</t>
  </si>
  <si>
    <t xml:space="preserve">04126573338</t>
  </si>
  <si>
    <t xml:space="preserve">000032831009</t>
  </si>
  <si>
    <t xml:space="preserve">04121736000</t>
  </si>
  <si>
    <t xml:space="preserve">000034715460</t>
  </si>
  <si>
    <t xml:space="preserve">REINALDO JOSE</t>
  </si>
  <si>
    <t xml:space="preserve">GERARDO ANTONIO</t>
  </si>
  <si>
    <t xml:space="preserve">04124725309</t>
  </si>
  <si>
    <t xml:space="preserve">12945688</t>
  </si>
  <si>
    <t xml:space="preserve">011215053923</t>
  </si>
  <si>
    <t xml:space="preserve">ELVIS JOSE</t>
  </si>
  <si>
    <t xml:space="preserve">PEÑA RINCON</t>
  </si>
  <si>
    <t xml:space="preserve">15053923</t>
  </si>
  <si>
    <t xml:space="preserve">000034638755</t>
  </si>
  <si>
    <t xml:space="preserve">RUENGLY JOSE</t>
  </si>
  <si>
    <t xml:space="preserve">GUSNAUDY ALEXANDRA</t>
  </si>
  <si>
    <t xml:space="preserve">000032343775</t>
  </si>
  <si>
    <t xml:space="preserve">MANUEL ANTONIO</t>
  </si>
  <si>
    <t xml:space="preserve">04165645833</t>
  </si>
  <si>
    <t xml:space="preserve">000035026729</t>
  </si>
  <si>
    <t xml:space="preserve">DANINGER DANILO</t>
  </si>
  <si>
    <t xml:space="preserve">04121771640</t>
  </si>
  <si>
    <t xml:space="preserve">19906361</t>
  </si>
  <si>
    <t xml:space="preserve">000032768576</t>
  </si>
  <si>
    <t xml:space="preserve">CHAVEZ SOTO</t>
  </si>
  <si>
    <t xml:space="preserve">04126917064</t>
  </si>
  <si>
    <t xml:space="preserve">09733938</t>
  </si>
  <si>
    <t xml:space="preserve">000017565392</t>
  </si>
  <si>
    <t xml:space="preserve">GUTIERREZ RODRIGUEZ</t>
  </si>
  <si>
    <t xml:space="preserve">000033601636</t>
  </si>
  <si>
    <t xml:space="preserve">ANYIBEL CHIQUINQUIRA</t>
  </si>
  <si>
    <t xml:space="preserve">04128264464</t>
  </si>
  <si>
    <t xml:space="preserve">000033601631</t>
  </si>
  <si>
    <t xml:space="preserve">ANYELIN CHIQUINQUIRA</t>
  </si>
  <si>
    <t xml:space="preserve">000025596335</t>
  </si>
  <si>
    <t xml:space="preserve">DIELYMAR MARIA</t>
  </si>
  <si>
    <t xml:space="preserve">000019392609</t>
  </si>
  <si>
    <t xml:space="preserve">SONIA CAROLINA</t>
  </si>
  <si>
    <t xml:space="preserve">PINILLA OLIVEROS</t>
  </si>
  <si>
    <t xml:space="preserve">000020148525</t>
  </si>
  <si>
    <t xml:space="preserve">JOELY DAYANA</t>
  </si>
  <si>
    <t xml:space="preserve">BERNAL URDANETA</t>
  </si>
  <si>
    <t xml:space="preserve">000016689294</t>
  </si>
  <si>
    <t xml:space="preserve">JERALDIN CHIQUINQUIRA</t>
  </si>
  <si>
    <t xml:space="preserve">CASTILLO GONZALEZ</t>
  </si>
  <si>
    <t xml:space="preserve">000033729431</t>
  </si>
  <si>
    <t xml:space="preserve">MAYOR HERNANDEZ</t>
  </si>
  <si>
    <t xml:space="preserve">ANGIE LUCIA</t>
  </si>
  <si>
    <t xml:space="preserve">04129238066</t>
  </si>
  <si>
    <t xml:space="preserve">04121206224</t>
  </si>
  <si>
    <t xml:space="preserve">17735893</t>
  </si>
  <si>
    <t xml:space="preserve">ELIDES JESUAC</t>
  </si>
  <si>
    <t xml:space="preserve">MELEAN ALBAN</t>
  </si>
  <si>
    <t xml:space="preserve">SECTROR CAMPO BOYACA</t>
  </si>
  <si>
    <t xml:space="preserve">04120711013</t>
  </si>
  <si>
    <t xml:space="preserve">18517987</t>
  </si>
  <si>
    <t xml:space="preserve">GUSTAVO ARMANDO</t>
  </si>
  <si>
    <t xml:space="preserve">GUTIERREZ FUENMAYOR</t>
  </si>
  <si>
    <t xml:space="preserve">SECTRO CAMPO CALIZA</t>
  </si>
  <si>
    <t xml:space="preserve">04125294362</t>
  </si>
  <si>
    <t xml:space="preserve">17634574</t>
  </si>
  <si>
    <t xml:space="preserve">MARQUEZ ALVARADO</t>
  </si>
  <si>
    <t xml:space="preserve">04127753786</t>
  </si>
  <si>
    <t xml:space="preserve">23770242</t>
  </si>
  <si>
    <t xml:space="preserve">000034859926</t>
  </si>
  <si>
    <t xml:space="preserve">KARINETH NEILIANY</t>
  </si>
  <si>
    <t xml:space="preserve">SOTO FUENMAYOR</t>
  </si>
  <si>
    <t xml:space="preserve">04126809238</t>
  </si>
  <si>
    <t xml:space="preserve">URDANETA MEDINA</t>
  </si>
  <si>
    <t xml:space="preserve">04126917063</t>
  </si>
  <si>
    <t xml:space="preserve">04126683373</t>
  </si>
  <si>
    <t xml:space="preserve">NINOSKA ANDREA</t>
  </si>
  <si>
    <t xml:space="preserve">04123478328</t>
  </si>
  <si>
    <t xml:space="preserve">ADREANNY VALENTINA</t>
  </si>
  <si>
    <t xml:space="preserve">04127233785</t>
  </si>
  <si>
    <t xml:space="preserve">NEIRIBER PAOLA</t>
  </si>
  <si>
    <t xml:space="preserve">04127104884</t>
  </si>
  <si>
    <t xml:space="preserve">JEDRIANLY MARIA</t>
  </si>
  <si>
    <t xml:space="preserve">04120648600</t>
  </si>
  <si>
    <t xml:space="preserve">SOFIA VALENTINA</t>
  </si>
  <si>
    <t xml:space="preserve">EYPRIL PAMELA</t>
  </si>
  <si>
    <t xml:space="preserve">04126430258</t>
  </si>
  <si>
    <t xml:space="preserve">000035116978</t>
  </si>
  <si>
    <t xml:space="preserve">EMILI NICOLE</t>
  </si>
  <si>
    <t xml:space="preserve">CARDOZO PERCHE</t>
  </si>
  <si>
    <t xml:space="preserve">04121586661</t>
  </si>
  <si>
    <t xml:space="preserve">20778213</t>
  </si>
  <si>
    <t xml:space="preserve">000036418780</t>
  </si>
  <si>
    <t xml:space="preserve">RICHEEL FRANSHESCA</t>
  </si>
  <si>
    <t xml:space="preserve">URDANETA FONTALVO</t>
  </si>
  <si>
    <t xml:space="preserve">011020058312</t>
  </si>
  <si>
    <t xml:space="preserve">JAIDER LUIS</t>
  </si>
  <si>
    <t xml:space="preserve">04126145943</t>
  </si>
  <si>
    <t xml:space="preserve">011119307174</t>
  </si>
  <si>
    <t xml:space="preserve">NATALY SOFIA</t>
  </si>
  <si>
    <t xml:space="preserve">04120777213</t>
  </si>
  <si>
    <t xml:space="preserve">011017634624</t>
  </si>
  <si>
    <t xml:space="preserve">04262437814</t>
  </si>
  <si>
    <t xml:space="preserve">20030555</t>
  </si>
  <si>
    <t xml:space="preserve">ALEXANDRA DANIELA</t>
  </si>
  <si>
    <t xml:space="preserve">DURAN SOTO</t>
  </si>
  <si>
    <t xml:space="preserve">04125286309</t>
  </si>
  <si>
    <t xml:space="preserve">000035116975</t>
  </si>
  <si>
    <t xml:space="preserve">ADRIAN ALEJANDRO</t>
  </si>
  <si>
    <t xml:space="preserve">CHIVICO CUBILLAN</t>
  </si>
  <si>
    <t xml:space="preserve">04127518517</t>
  </si>
  <si>
    <t xml:space="preserve">ENMANUEL ANTONIO</t>
  </si>
  <si>
    <t xml:space="preserve">PALMAR BUSTILLO</t>
  </si>
  <si>
    <t xml:space="preserve">04127067066</t>
  </si>
  <si>
    <t xml:space="preserve">LUIFER DANIEL</t>
  </si>
  <si>
    <t xml:space="preserve">OLIVEROS ESCORCIA</t>
  </si>
  <si>
    <t xml:space="preserve">+573015643929</t>
  </si>
  <si>
    <t xml:space="preserve">10424340</t>
  </si>
  <si>
    <t xml:space="preserve">SECTOR CAMPO COQUIVACOA</t>
  </si>
  <si>
    <t xml:space="preserve">04120746879</t>
  </si>
  <si>
    <t xml:space="preserve">04126504566</t>
  </si>
  <si>
    <t xml:space="preserve">FREIZER JOSE</t>
  </si>
  <si>
    <t xml:space="preserve">SECTOR EL SUR</t>
  </si>
  <si>
    <t xml:space="preserve">04126411031</t>
  </si>
  <si>
    <t xml:space="preserve">IVAN DE JESUS</t>
  </si>
  <si>
    <t xml:space="preserve">VERGARA FUENMAYOR</t>
  </si>
  <si>
    <t xml:space="preserve">SECTRO CAMPO BOYACA</t>
  </si>
  <si>
    <t xml:space="preserve">04126607474</t>
  </si>
  <si>
    <t xml:space="preserve">04121777628</t>
  </si>
  <si>
    <t xml:space="preserve">PEREZ AVILA</t>
  </si>
  <si>
    <t xml:space="preserve">04127628290</t>
  </si>
  <si>
    <t xml:space="preserve">VAZQUEZ GONZALEZ</t>
  </si>
  <si>
    <t xml:space="preserve">04123689398</t>
  </si>
  <si>
    <t xml:space="preserve">000035121927</t>
  </si>
  <si>
    <t xml:space="preserve">LAURA VALENTINA</t>
  </si>
  <si>
    <t xml:space="preserve">URDANETA BRITO</t>
  </si>
  <si>
    <t xml:space="preserve">04125474683</t>
  </si>
  <si>
    <t xml:space="preserve">PULGAR MARQUEZ</t>
  </si>
  <si>
    <t xml:space="preserve">JANIEL JOSE</t>
  </si>
  <si>
    <t xml:space="preserve">VIDES NAVAS</t>
  </si>
  <si>
    <t xml:space="preserve">04126504457</t>
  </si>
  <si>
    <t xml:space="preserve">UDENIS ARTURO</t>
  </si>
  <si>
    <t xml:space="preserve">BRIÑEZ CHAVEZ</t>
  </si>
  <si>
    <t xml:space="preserve">04120707913</t>
  </si>
  <si>
    <t xml:space="preserve">NATALIA ISABEL</t>
  </si>
  <si>
    <t xml:space="preserve">04126693134</t>
  </si>
  <si>
    <t xml:space="preserve">04125467704</t>
  </si>
  <si>
    <t xml:space="preserve">000034883216</t>
  </si>
  <si>
    <t xml:space="preserve">04127855347</t>
  </si>
  <si>
    <t xml:space="preserve">13005145</t>
  </si>
  <si>
    <t xml:space="preserve">OLEOMAR DAVID</t>
  </si>
  <si>
    <t xml:space="preserve">SECTOR RTOBERTO FUENMAYOR</t>
  </si>
  <si>
    <t xml:space="preserve">04122036812</t>
  </si>
  <si>
    <t xml:space="preserve">ESTEFANIA DEL CARMEN</t>
  </si>
  <si>
    <t xml:space="preserve">MORAN VILLALOBOS</t>
  </si>
  <si>
    <t xml:space="preserve">04127632450</t>
  </si>
  <si>
    <t xml:space="preserve">YORKELY PAOLA</t>
  </si>
  <si>
    <t xml:space="preserve">SECTOR LA BOMBA</t>
  </si>
  <si>
    <t xml:space="preserve">04121057994</t>
  </si>
  <si>
    <t xml:space="preserve">OLIVEROS BOSCAN</t>
  </si>
  <si>
    <t xml:space="preserve">04126647389</t>
  </si>
  <si>
    <t xml:space="preserve">ALVARADO BRAVO</t>
  </si>
  <si>
    <t xml:space="preserve">04120617919</t>
  </si>
  <si>
    <t xml:space="preserve">04125977850</t>
  </si>
  <si>
    <t xml:space="preserve">MARLO ANTONIO</t>
  </si>
  <si>
    <t xml:space="preserve">NAVA LIZARAZO</t>
  </si>
  <si>
    <t xml:space="preserve">04127006727</t>
  </si>
  <si>
    <t xml:space="preserve">MATOS ZAMBRANO</t>
  </si>
  <si>
    <t xml:space="preserve">04121063691</t>
  </si>
  <si>
    <t xml:space="preserve">CRISTIAN JESUS</t>
  </si>
  <si>
    <t xml:space="preserve">04127750218</t>
  </si>
  <si>
    <t xml:space="preserve">ISAI DAVID</t>
  </si>
  <si>
    <t xml:space="preserve">JORDANY JESUS</t>
  </si>
  <si>
    <t xml:space="preserve">BERRUETA PORTILLO</t>
  </si>
  <si>
    <t xml:space="preserve">04124721634</t>
  </si>
  <si>
    <t xml:space="preserve">04127751595</t>
  </si>
  <si>
    <t xml:space="preserve">ELIO JOSE</t>
  </si>
  <si>
    <t xml:space="preserve">04127563542</t>
  </si>
  <si>
    <t xml:space="preserve">ARANSA SOFIA</t>
  </si>
  <si>
    <t xml:space="preserve">PORTILLO FERNANDEZ</t>
  </si>
  <si>
    <t xml:space="preserve">04127060770</t>
  </si>
  <si>
    <t xml:space="preserve">ANDREA DE LOS ANGELES</t>
  </si>
  <si>
    <t xml:space="preserve">BETZABETH SARIN</t>
  </si>
  <si>
    <t xml:space="preserve">PEREZ GONZALEZ</t>
  </si>
  <si>
    <t xml:space="preserve">04267664185</t>
  </si>
  <si>
    <t xml:space="preserve">ELEANNYS ANGELICA</t>
  </si>
  <si>
    <t xml:space="preserve">04121025080</t>
  </si>
  <si>
    <t xml:space="preserve">LUSKIANI CAROLINA</t>
  </si>
  <si>
    <t xml:space="preserve">04126695955</t>
  </si>
  <si>
    <t xml:space="preserve">010820835067</t>
  </si>
  <si>
    <t xml:space="preserve">ORLEAN JOSE</t>
  </si>
  <si>
    <t xml:space="preserve">04126684259</t>
  </si>
  <si>
    <t xml:space="preserve">NEUDIMER JESUS</t>
  </si>
  <si>
    <t xml:space="preserve">ABREU LABARCA</t>
  </si>
  <si>
    <t xml:space="preserve">04124736303</t>
  </si>
  <si>
    <t xml:space="preserve">ESTEBAN ANTONIO</t>
  </si>
  <si>
    <t xml:space="preserve">04126555976</t>
  </si>
  <si>
    <t xml:space="preserve">RENIEL DAVID</t>
  </si>
  <si>
    <t xml:space="preserve">RAMIREZ BRAVO</t>
  </si>
  <si>
    <t xml:space="preserve">04124787790</t>
  </si>
  <si>
    <t xml:space="preserve">ISABEL CRISTINA</t>
  </si>
  <si>
    <t xml:space="preserve">CASTRO TIGRERA</t>
  </si>
  <si>
    <t xml:space="preserve">04129064653</t>
  </si>
  <si>
    <t xml:space="preserve">NAFER DAVID</t>
  </si>
  <si>
    <t xml:space="preserve">BENITEZ VILLALOBOS</t>
  </si>
  <si>
    <t xml:space="preserve">04125254563</t>
  </si>
  <si>
    <t xml:space="preserve">DANIEL RAFAEL</t>
  </si>
  <si>
    <t xml:space="preserve">VILCHEZ GARCIA</t>
  </si>
  <si>
    <t xml:space="preserve">04121622906</t>
  </si>
  <si>
    <t xml:space="preserve">DAIME JESUS</t>
  </si>
  <si>
    <t xml:space="preserve">PITALUA MONTIEL</t>
  </si>
  <si>
    <t xml:space="preserve">04124525077</t>
  </si>
  <si>
    <t xml:space="preserve">RONANGEL EDUARDO</t>
  </si>
  <si>
    <t xml:space="preserve">VARGAS RINCON</t>
  </si>
  <si>
    <t xml:space="preserve">04126961883</t>
  </si>
  <si>
    <t xml:space="preserve">FRAINIER PAUL</t>
  </si>
  <si>
    <t xml:space="preserve">04123601456</t>
  </si>
  <si>
    <t xml:space="preserve">ROSANGELIS ISABEL</t>
  </si>
  <si>
    <t xml:space="preserve">PEREZ QUIBA</t>
  </si>
  <si>
    <t xml:space="preserve">04124784456</t>
  </si>
  <si>
    <t xml:space="preserve">JOSUE DANIEL</t>
  </si>
  <si>
    <t xml:space="preserve">04125687401</t>
  </si>
  <si>
    <t xml:space="preserve">DAYANA VICTORIA</t>
  </si>
  <si>
    <t xml:space="preserve">VALERA CUADRADO</t>
  </si>
  <si>
    <t xml:space="preserve">0414723546</t>
  </si>
  <si>
    <t xml:space="preserve">000034779374</t>
  </si>
  <si>
    <t xml:space="preserve">JOENDRIS JOSE</t>
  </si>
  <si>
    <t xml:space="preserve">04123979333</t>
  </si>
  <si>
    <t xml:space="preserve">YITZABETH SARAY</t>
  </si>
  <si>
    <t xml:space="preserve">CASTILLO BARRIOS</t>
  </si>
  <si>
    <t xml:space="preserve">04124726885</t>
  </si>
  <si>
    <t xml:space="preserve">000035095027</t>
  </si>
  <si>
    <t xml:space="preserve">DYLAN STEVAN</t>
  </si>
  <si>
    <t xml:space="preserve">04126149353</t>
  </si>
  <si>
    <t xml:space="preserve">DANIELA VICTORIA</t>
  </si>
  <si>
    <t xml:space="preserve">000034886420</t>
  </si>
  <si>
    <t xml:space="preserve">04126603250</t>
  </si>
  <si>
    <t xml:space="preserve">GUANIPA AZUAJE</t>
  </si>
  <si>
    <t xml:space="preserve">04126649795</t>
  </si>
  <si>
    <t xml:space="preserve">ESTEBAN JOSE</t>
  </si>
  <si>
    <t xml:space="preserve">04140119655</t>
  </si>
  <si>
    <t xml:space="preserve">JOHLEXIS CHIQUINQUIRA</t>
  </si>
  <si>
    <t xml:space="preserve">FARIA RONDON</t>
  </si>
  <si>
    <t xml:space="preserve">04124425346</t>
  </si>
  <si>
    <t xml:space="preserve">KEIVER JESUS</t>
  </si>
  <si>
    <t xml:space="preserve">ROMERO INCIARTE</t>
  </si>
  <si>
    <t xml:space="preserve">04161123095</t>
  </si>
  <si>
    <t xml:space="preserve">ELIMAR JOSEFINA</t>
  </si>
  <si>
    <t xml:space="preserve">SECTOR LA COQUISTA</t>
  </si>
  <si>
    <t xml:space="preserve">04120667159</t>
  </si>
  <si>
    <t xml:space="preserve">000034742361</t>
  </si>
  <si>
    <t xml:space="preserve">GONZALEZ FLORES</t>
  </si>
  <si>
    <t xml:space="preserve">04126500686</t>
  </si>
  <si>
    <t xml:space="preserve">DANA VANESA</t>
  </si>
  <si>
    <t xml:space="preserve">04126627507</t>
  </si>
  <si>
    <t xml:space="preserve">ENDERLIS DEL VALLE</t>
  </si>
  <si>
    <t xml:space="preserve">GONZALEZ JARAMILLO</t>
  </si>
  <si>
    <t xml:space="preserve">04123972095</t>
  </si>
  <si>
    <t xml:space="preserve">AVILA PORTILLO</t>
  </si>
  <si>
    <t xml:space="preserve">04126021352</t>
  </si>
  <si>
    <t xml:space="preserve">YENNY ELISA</t>
  </si>
  <si>
    <t xml:space="preserve">04127906773</t>
  </si>
  <si>
    <t xml:space="preserve">IGNABEL DE LOS ANGELIES</t>
  </si>
  <si>
    <t xml:space="preserve">CASTILLO SANCHEZ</t>
  </si>
  <si>
    <t xml:space="preserve">04125134804</t>
  </si>
  <si>
    <t xml:space="preserve">BRIANA DE LOS ANGELES</t>
  </si>
  <si>
    <t xml:space="preserve">VILLASMIL MACHADO</t>
  </si>
  <si>
    <t xml:space="preserve">04121673963</t>
  </si>
  <si>
    <t xml:space="preserve">FRANSIMAR MILAGRO</t>
  </si>
  <si>
    <t xml:space="preserve">04121382493</t>
  </si>
  <si>
    <t xml:space="preserve">YOELBIS ANDRES</t>
  </si>
  <si>
    <t xml:space="preserve">RAMIREZ ARRIETA</t>
  </si>
  <si>
    <t xml:space="preserve">SECTOR ROBERTO FUEMNMAYOR</t>
  </si>
  <si>
    <t xml:space="preserve">04264601325</t>
  </si>
  <si>
    <t xml:space="preserve">YOALBIS ANDRES</t>
  </si>
  <si>
    <t xml:space="preserve">000034642074</t>
  </si>
  <si>
    <t xml:space="preserve">JEREMIAS JOSE</t>
  </si>
  <si>
    <t xml:space="preserve">BRIÑEZ BRAVO</t>
  </si>
  <si>
    <t xml:space="preserve">04120652508</t>
  </si>
  <si>
    <t xml:space="preserve">LEOYAIRIS VALERIA</t>
  </si>
  <si>
    <t xml:space="preserve">FARIAS URDANETA</t>
  </si>
  <si>
    <t xml:space="preserve">04121416248</t>
  </si>
  <si>
    <t xml:space="preserve">MIGUELANGEL</t>
  </si>
  <si>
    <t xml:space="preserve">ANDRES ENRIQUE</t>
  </si>
  <si>
    <t xml:space="preserve">04127515438</t>
  </si>
  <si>
    <t xml:space="preserve">011124249957</t>
  </si>
  <si>
    <t xml:space="preserve">NORMARIS CAROLINA</t>
  </si>
  <si>
    <t xml:space="preserve">GUZMAN URDANETA</t>
  </si>
  <si>
    <t xml:space="preserve">04121997744</t>
  </si>
  <si>
    <t xml:space="preserve">24249957</t>
  </si>
  <si>
    <t xml:space="preserve">ANDRES JESUS</t>
  </si>
  <si>
    <t xml:space="preserve">000034422338</t>
  </si>
  <si>
    <t xml:space="preserve">AISKEL VALENTINA</t>
  </si>
  <si>
    <t xml:space="preserve">VILLAOBOS URDANETA</t>
  </si>
  <si>
    <t xml:space="preserve">011020147977</t>
  </si>
  <si>
    <t xml:space="preserve">VALENTINA DEL CARMEN</t>
  </si>
  <si>
    <t xml:space="preserve">CASTELLANO MOLERO</t>
  </si>
  <si>
    <t xml:space="preserve">PERCHE MORALES</t>
  </si>
  <si>
    <t xml:space="preserve">04125140073</t>
  </si>
  <si>
    <t xml:space="preserve">010823759830</t>
  </si>
  <si>
    <t xml:space="preserve">ANDREA CHIQUINQUIRA</t>
  </si>
  <si>
    <t xml:space="preserve">URDANETA NAVARRO</t>
  </si>
  <si>
    <t xml:space="preserve">MAIKER JOSE</t>
  </si>
  <si>
    <t xml:space="preserve">CAMPO CACAGUITA</t>
  </si>
  <si>
    <t xml:space="preserve">04121755287</t>
  </si>
  <si>
    <t xml:space="preserve">000034298710</t>
  </si>
  <si>
    <t xml:space="preserve">MAIKY DAVID</t>
  </si>
  <si>
    <t xml:space="preserve">000034423626</t>
  </si>
  <si>
    <t xml:space="preserve">VALERIA CAROLINA</t>
  </si>
  <si>
    <t xml:space="preserve">WILFREIBER ALEJANDRO</t>
  </si>
  <si>
    <t xml:space="preserve">04120608148</t>
  </si>
  <si>
    <t xml:space="preserve">EDILSON MANUEL</t>
  </si>
  <si>
    <t xml:space="preserve">04124717115</t>
  </si>
  <si>
    <t xml:space="preserve">SANTIAGO JESUS</t>
  </si>
  <si>
    <t xml:space="preserve">04126964934</t>
  </si>
  <si>
    <t xml:space="preserve">16561577</t>
  </si>
  <si>
    <t xml:space="preserve">SIDNEYDIS PAOLA</t>
  </si>
  <si>
    <t xml:space="preserve">RESTREPO RESTREPO</t>
  </si>
  <si>
    <t xml:space="preserve">04164625202</t>
  </si>
  <si>
    <t xml:space="preserve">ALFREDY ANDRES</t>
  </si>
  <si>
    <t xml:space="preserve">CHAMORRO URDANETA</t>
  </si>
  <si>
    <t xml:space="preserve">04121740356</t>
  </si>
  <si>
    <t xml:space="preserve">DAIBELIS CAROLINA</t>
  </si>
  <si>
    <t xml:space="preserve">MEDINA MONTENEGRO</t>
  </si>
  <si>
    <t xml:space="preserve">04120611993</t>
  </si>
  <si>
    <t xml:space="preserve">JOSUE SALVADOR</t>
  </si>
  <si>
    <t xml:space="preserve">04124315102</t>
  </si>
  <si>
    <t xml:space="preserve">GUISLLELI DEL CARMEN</t>
  </si>
  <si>
    <t xml:space="preserve">011115764590</t>
  </si>
  <si>
    <t xml:space="preserve">NUÑEZ CHACIN</t>
  </si>
  <si>
    <t xml:space="preserve">LA PRIMERA BOMBA</t>
  </si>
  <si>
    <t xml:space="preserve">04128905033</t>
  </si>
  <si>
    <t xml:space="preserve">04124787495</t>
  </si>
  <si>
    <t xml:space="preserve">000034525855</t>
  </si>
  <si>
    <t xml:space="preserve">SANTIAGO DE JESUS</t>
  </si>
  <si>
    <t xml:space="preserve">0412-7331758</t>
  </si>
  <si>
    <t xml:space="preserve">04120756746</t>
  </si>
  <si>
    <t xml:space="preserve">GREIZON JOSE</t>
  </si>
  <si>
    <t xml:space="preserve">04120633830</t>
  </si>
  <si>
    <t xml:space="preserve">YOHANDRY JESUS</t>
  </si>
  <si>
    <t xml:space="preserve">MORILLO ARIZA</t>
  </si>
  <si>
    <t xml:space="preserve">LEIVER JESUS</t>
  </si>
  <si>
    <t xml:space="preserve">QUIROZ OLIVERO</t>
  </si>
  <si>
    <t xml:space="preserve">04127515993</t>
  </si>
  <si>
    <t xml:space="preserve">JHONATAN JOSE</t>
  </si>
  <si>
    <t xml:space="preserve">04121242149</t>
  </si>
  <si>
    <t xml:space="preserve">ADALUZ CHIQUINQUIRA</t>
  </si>
  <si>
    <t xml:space="preserve">SECTOR JAVILLITA</t>
  </si>
  <si>
    <t xml:space="preserve">000035190749</t>
  </si>
  <si>
    <t xml:space="preserve">YERIS DAVID</t>
  </si>
  <si>
    <t xml:space="preserve">ALVARADO MACIAS</t>
  </si>
  <si>
    <t xml:space="preserve">DARIANNY MARIA</t>
  </si>
  <si>
    <t xml:space="preserve">04124760531</t>
  </si>
  <si>
    <t xml:space="preserve">MARIELIS GREGORIA</t>
  </si>
  <si>
    <t xml:space="preserve">DIAZ BERRUETA</t>
  </si>
  <si>
    <t xml:space="preserve">04120640193</t>
  </si>
  <si>
    <t xml:space="preserve">MARWIN MANUEL</t>
  </si>
  <si>
    <t xml:space="preserve">04121039308</t>
  </si>
  <si>
    <t xml:space="preserve">JEGSABETH PAOLA</t>
  </si>
  <si>
    <t xml:space="preserve">GARCIA MAPARI</t>
  </si>
  <si>
    <t xml:space="preserve">04126882515</t>
  </si>
  <si>
    <t xml:space="preserve">SARAI YULIE</t>
  </si>
  <si>
    <t xml:space="preserve">04127516102</t>
  </si>
  <si>
    <t xml:space="preserve">04121000163</t>
  </si>
  <si>
    <t xml:space="preserve">ALEX JOSE</t>
  </si>
  <si>
    <t xml:space="preserve">04128649329</t>
  </si>
  <si>
    <t xml:space="preserve">KEINNER MANUEL</t>
  </si>
  <si>
    <t xml:space="preserve">URDANETA LEON</t>
  </si>
  <si>
    <t xml:space="preserve">04120666992</t>
  </si>
  <si>
    <t xml:space="preserve">KELLISBER VANESSA</t>
  </si>
  <si>
    <t xml:space="preserve">SECTOR SIMON BOLIVAR</t>
  </si>
  <si>
    <t xml:space="preserve">04126500655</t>
  </si>
  <si>
    <t xml:space="preserve">0412-4708175</t>
  </si>
  <si>
    <t xml:space="preserve">010917545891</t>
  </si>
  <si>
    <t xml:space="preserve">ANGEL MOISES</t>
  </si>
  <si>
    <t xml:space="preserve">04121744906</t>
  </si>
  <si>
    <t xml:space="preserve">YOIRELIN PAOLA</t>
  </si>
  <si>
    <t xml:space="preserve">HERNANDEZ CASTRO</t>
  </si>
  <si>
    <t xml:space="preserve">04120273796</t>
  </si>
  <si>
    <t xml:space="preserve">19810644</t>
  </si>
  <si>
    <t xml:space="preserve">ANGELIMAR DE LOS ANGELES</t>
  </si>
  <si>
    <t xml:space="preserve">000034895418</t>
  </si>
  <si>
    <t xml:space="preserve">JANGELVIS DAVID</t>
  </si>
  <si>
    <t xml:space="preserve">04127854649</t>
  </si>
  <si>
    <t xml:space="preserve">000018317150</t>
  </si>
  <si>
    <t xml:space="preserve">NORKELIS LEONOR</t>
  </si>
  <si>
    <t xml:space="preserve">BRAVO GUANIPA</t>
  </si>
  <si>
    <t xml:space="preserve">04125637852</t>
  </si>
  <si>
    <t xml:space="preserve">EMILY BEATRIZ</t>
  </si>
  <si>
    <t xml:space="preserve">GARCIA HERNANDEZ</t>
  </si>
  <si>
    <t xml:space="preserve">20277168</t>
  </si>
  <si>
    <t xml:space="preserve">ANDREA FERNANDA</t>
  </si>
  <si>
    <t xml:space="preserve">LEON ROA</t>
  </si>
  <si>
    <t xml:space="preserve">04161465727</t>
  </si>
  <si>
    <t xml:space="preserve">19988704</t>
  </si>
  <si>
    <t xml:space="preserve">000034087452</t>
  </si>
  <si>
    <t xml:space="preserve">KATHY LUZ</t>
  </si>
  <si>
    <t xml:space="preserve">VALENCIA FERNANDEZ</t>
  </si>
  <si>
    <t xml:space="preserve">04124548113</t>
  </si>
  <si>
    <t xml:space="preserve">27998262</t>
  </si>
  <si>
    <t xml:space="preserve">000011866633</t>
  </si>
  <si>
    <t xml:space="preserve">ROMERO</t>
  </si>
  <si>
    <t xml:space="preserve">000031969618</t>
  </si>
  <si>
    <t xml:space="preserve">MARIANYELY SAIRE</t>
  </si>
  <si>
    <t xml:space="preserve">FERNANDEZ CORONADO</t>
  </si>
  <si>
    <t xml:space="preserve">BARRIO MARIO URDANETA I</t>
  </si>
  <si>
    <t xml:space="preserve">+573136507295</t>
  </si>
  <si>
    <t xml:space="preserve">YENDIMAR PAOLA</t>
  </si>
  <si>
    <t xml:space="preserve">21229635</t>
  </si>
  <si>
    <t xml:space="preserve">011018988940</t>
  </si>
  <si>
    <t xml:space="preserve">YONELIS PAOLA</t>
  </si>
  <si>
    <t xml:space="preserve">URDANETA PALMA</t>
  </si>
  <si>
    <t xml:space="preserve">18988940</t>
  </si>
  <si>
    <t xml:space="preserve">000036571187</t>
  </si>
  <si>
    <t xml:space="preserve">IVANESKA MARIA</t>
  </si>
  <si>
    <t xml:space="preserve">+573015410558</t>
  </si>
  <si>
    <t xml:space="preserve">011117294699</t>
  </si>
  <si>
    <t xml:space="preserve">YANIOR LUIS</t>
  </si>
  <si>
    <t xml:space="preserve">MOLERO JIMENEZ</t>
  </si>
  <si>
    <t xml:space="preserve">SECTOR LA CONQISTA</t>
  </si>
  <si>
    <t xml:space="preserve">+573162872728</t>
  </si>
  <si>
    <t xml:space="preserve">17294699</t>
  </si>
  <si>
    <t xml:space="preserve">000033549987</t>
  </si>
  <si>
    <t xml:space="preserve">MONTIEL FARIA</t>
  </si>
  <si>
    <t xml:space="preserve">04121952752</t>
  </si>
  <si>
    <t xml:space="preserve">15726407</t>
  </si>
  <si>
    <t xml:space="preserve">NEUBELIS DEL VALLE</t>
  </si>
  <si>
    <t xml:space="preserve">04121229315</t>
  </si>
  <si>
    <t xml:space="preserve">19016788</t>
  </si>
  <si>
    <t xml:space="preserve">ALEJANDRO MANUEL</t>
  </si>
  <si>
    <t xml:space="preserve">LIZARAZO PIRELA</t>
  </si>
  <si>
    <t xml:space="preserve">04127854173</t>
  </si>
  <si>
    <t xml:space="preserve">000023770189</t>
  </si>
  <si>
    <t xml:space="preserve">ISNEIDY CAROLINA</t>
  </si>
  <si>
    <t xml:space="preserve">011120274485</t>
  </si>
  <si>
    <t xml:space="preserve">CHRYSTIAN DANIEL</t>
  </si>
  <si>
    <t xml:space="preserve">04262432200</t>
  </si>
  <si>
    <t xml:space="preserve">20274485</t>
  </si>
  <si>
    <t xml:space="preserve">000033500193</t>
  </si>
  <si>
    <t xml:space="preserve">ELIANGIE CRYSTAL</t>
  </si>
  <si>
    <t xml:space="preserve">ENDER GREGORIO</t>
  </si>
  <si>
    <t xml:space="preserve">ROMERO LOPEZ</t>
  </si>
  <si>
    <t xml:space="preserve">04126535986</t>
  </si>
  <si>
    <t xml:space="preserve">000035012876</t>
  </si>
  <si>
    <t xml:space="preserve">ELWIS JOSE.</t>
  </si>
  <si>
    <t xml:space="preserve">CARDENAS CHAVEZ</t>
  </si>
  <si>
    <t xml:space="preserve">SECTOR EL SUR II</t>
  </si>
  <si>
    <t xml:space="preserve">04129118169</t>
  </si>
  <si>
    <t xml:space="preserve">21355036</t>
  </si>
  <si>
    <t xml:space="preserve">000015053916</t>
  </si>
  <si>
    <t xml:space="preserve">YALISBETH DEL CARMEN</t>
  </si>
  <si>
    <t xml:space="preserve">000033221310</t>
  </si>
  <si>
    <t xml:space="preserve">ROSMARY DEL CARMEN</t>
  </si>
  <si>
    <t xml:space="preserve">IGUARAN PALMAR</t>
  </si>
  <si>
    <t xml:space="preserve">BARIO 5 DE ENERO</t>
  </si>
  <si>
    <t xml:space="preserve">18394677</t>
  </si>
  <si>
    <t xml:space="preserve">000036306494</t>
  </si>
  <si>
    <t xml:space="preserve">GABRIELY SARAY</t>
  </si>
  <si>
    <t xml:space="preserve">HERNANDEZ ORTIZ</t>
  </si>
  <si>
    <t xml:space="preserve">VIA 4 BOCAS SECTOR EL BATACAZO</t>
  </si>
  <si>
    <t xml:space="preserve">04127389172</t>
  </si>
  <si>
    <t xml:space="preserve">19963525</t>
  </si>
  <si>
    <t xml:space="preserve">000020610316</t>
  </si>
  <si>
    <t xml:space="preserve">000015261662</t>
  </si>
  <si>
    <t xml:space="preserve">YITZELY CAROLINA</t>
  </si>
  <si>
    <t xml:space="preserve">BERMUDEZ SANCHEZ</t>
  </si>
  <si>
    <t xml:space="preserve">04122033754</t>
  </si>
  <si>
    <t xml:space="preserve">000018394494</t>
  </si>
  <si>
    <t xml:space="preserve">BERYI CAROLINA</t>
  </si>
  <si>
    <t xml:space="preserve">MUNICIPIO JESUS ENRIQUE LOSSADA, PARROQUIA JOSE RAMON YEPEZ, LA PAZ, BARRIO SIMON BOLIVAR</t>
  </si>
  <si>
    <t xml:space="preserve">04121280119</t>
  </si>
  <si>
    <t xml:space="preserve">000017565205</t>
  </si>
  <si>
    <t xml:space="preserve">DANIELA DEL CARMEN</t>
  </si>
  <si>
    <t xml:space="preserve">04126683562</t>
  </si>
  <si>
    <t xml:space="preserve">000019211028</t>
  </si>
  <si>
    <t xml:space="preserve">VALLES FUENMAYOR</t>
  </si>
  <si>
    <t xml:space="preserve">000025309321</t>
  </si>
  <si>
    <t xml:space="preserve">YESLIANY KAROLAY</t>
  </si>
  <si>
    <t xml:space="preserve">ARRIETA CUMPLIDO</t>
  </si>
  <si>
    <t xml:space="preserve">000020441900</t>
  </si>
  <si>
    <t xml:space="preserve">JOHANNA DEL VALLE</t>
  </si>
  <si>
    <t xml:space="preserve">000020835057</t>
  </si>
  <si>
    <t xml:space="preserve">ILANDY DEL CARMEN</t>
  </si>
  <si>
    <t xml:space="preserve">URDANETA MONTIEL</t>
  </si>
  <si>
    <t xml:space="preserve">000015839284</t>
  </si>
  <si>
    <t xml:space="preserve">KARILIN CONSUELO</t>
  </si>
  <si>
    <t xml:space="preserve">MARTINEZ FERNANDEZ</t>
  </si>
  <si>
    <t xml:space="preserve">OCTAVIO ANDRES</t>
  </si>
  <si>
    <t xml:space="preserve">04125290501</t>
  </si>
  <si>
    <t xml:space="preserve">21228973</t>
  </si>
  <si>
    <t xml:space="preserve">YONAIKER ENRIQUE</t>
  </si>
  <si>
    <t xml:space="preserve">LA PAZ, SECTOR PARADA DE LOS BUSES</t>
  </si>
  <si>
    <t xml:space="preserve">0412-6645991</t>
  </si>
  <si>
    <t xml:space="preserve">SAMUEL JOSE</t>
  </si>
  <si>
    <t xml:space="preserve">VILLARREAL RIVERA</t>
  </si>
  <si>
    <t xml:space="preserve">LA PAZ, SECTOR SAN VALENTIN</t>
  </si>
  <si>
    <t xml:space="preserve">0412-6480754</t>
  </si>
  <si>
    <t xml:space="preserve">LA PAZ, SECTOR EL HONDITO</t>
  </si>
  <si>
    <t xml:space="preserve">0416-9576356</t>
  </si>
  <si>
    <t xml:space="preserve">LA PAZ SECTOR SAN VALENTIN</t>
  </si>
  <si>
    <t xml:space="preserve">0412-9957428</t>
  </si>
  <si>
    <t xml:space="preserve">JESUS ANDRES</t>
  </si>
  <si>
    <t xml:space="preserve">LA PAZ, BARRIO SIMON BOLIVAR</t>
  </si>
  <si>
    <t xml:space="preserve">0412-4738335</t>
  </si>
  <si>
    <t xml:space="preserve">EDWIN ALEJANDRO</t>
  </si>
  <si>
    <t xml:space="preserve">CASTRO BANDA</t>
  </si>
  <si>
    <t xml:space="preserve">LA PAZ, SECTOR ROBERTO FUENMAYOR</t>
  </si>
  <si>
    <t xml:space="preserve">0412-1252706</t>
  </si>
  <si>
    <t xml:space="preserve">19989279</t>
  </si>
  <si>
    <t xml:space="preserve">MORALES CASTILLO</t>
  </si>
  <si>
    <t xml:space="preserve">0424-6295636</t>
  </si>
  <si>
    <t xml:space="preserve">0416-1857015</t>
  </si>
  <si>
    <t xml:space="preserve">GABRIEL JUVEL</t>
  </si>
  <si>
    <t xml:space="preserve">LA PAZ, CALLE LAS FLORES</t>
  </si>
  <si>
    <t xml:space="preserve">0412-5346473</t>
  </si>
  <si>
    <t xml:space="preserve">05035278</t>
  </si>
  <si>
    <t xml:space="preserve">RIVERA ROMAY</t>
  </si>
  <si>
    <t xml:space="preserve">0416-1680120</t>
  </si>
  <si>
    <t xml:space="preserve">15162243</t>
  </si>
  <si>
    <t xml:space="preserve">LA PAZ, CAMPO BOYACA</t>
  </si>
  <si>
    <t xml:space="preserve">0412-7203144</t>
  </si>
  <si>
    <t xml:space="preserve">DEINER DE JESUS</t>
  </si>
  <si>
    <t xml:space="preserve">PORTILLO VILLALOBOS</t>
  </si>
  <si>
    <t xml:space="preserve">LA PAZ, BARRIO MARIO URDANETA II</t>
  </si>
  <si>
    <t xml:space="preserve">0424-6460879</t>
  </si>
  <si>
    <t xml:space="preserve">17634587</t>
  </si>
  <si>
    <t xml:space="preserve">EUDIMAR CAROLINA</t>
  </si>
  <si>
    <t xml:space="preserve">041-1264612</t>
  </si>
  <si>
    <t xml:space="preserve">07526670</t>
  </si>
  <si>
    <t xml:space="preserve">ALEX DAVID</t>
  </si>
  <si>
    <t xml:space="preserve">0412-7633911</t>
  </si>
  <si>
    <t xml:space="preserve">15466865</t>
  </si>
  <si>
    <t xml:space="preserve">000036008813</t>
  </si>
  <si>
    <t xml:space="preserve">HERIANYELIS SOFIA</t>
  </si>
  <si>
    <t xml:space="preserve">LA PAZ, SECTOR EL PUEBLO</t>
  </si>
  <si>
    <t xml:space="preserve">0412-0602645</t>
  </si>
  <si>
    <t xml:space="preserve">20147988</t>
  </si>
  <si>
    <t xml:space="preserve">ALVANIS VIRGINIA</t>
  </si>
  <si>
    <t xml:space="preserve">0412-5806619</t>
  </si>
  <si>
    <t xml:space="preserve">ARIANGEL PAOLA</t>
  </si>
  <si>
    <t xml:space="preserve">LA PAZ, BARRIO MARIO URDANETA</t>
  </si>
  <si>
    <t xml:space="preserve">0412-6762777</t>
  </si>
  <si>
    <t xml:space="preserve">21511084</t>
  </si>
  <si>
    <t xml:space="preserve">JENNIFER PAOLA</t>
  </si>
  <si>
    <t xml:space="preserve">GOMEZ MAS Y RUBI</t>
  </si>
  <si>
    <t xml:space="preserve">0412-3974105</t>
  </si>
  <si>
    <t xml:space="preserve">24725382</t>
  </si>
  <si>
    <t xml:space="preserve">LA PAZ, SECTOR VILLA SALAS</t>
  </si>
  <si>
    <t xml:space="preserve">0412-3478328</t>
  </si>
  <si>
    <t xml:space="preserve">12620111</t>
  </si>
  <si>
    <t xml:space="preserve">CAMILA PAOLA</t>
  </si>
  <si>
    <t xml:space="preserve">LA PAZ, AVENIDA PRINCIPAL</t>
  </si>
  <si>
    <t xml:space="preserve">0412-6504566</t>
  </si>
  <si>
    <t xml:space="preserve">YONAIRY SARAI</t>
  </si>
  <si>
    <t xml:space="preserve">0412-6536399</t>
  </si>
  <si>
    <t xml:space="preserve">000035028565</t>
  </si>
  <si>
    <t xml:space="preserve">YOHANYELIS SOFIA</t>
  </si>
  <si>
    <t xml:space="preserve">DIAZ PELEY</t>
  </si>
  <si>
    <t xml:space="preserve">0412-4738767</t>
  </si>
  <si>
    <t xml:space="preserve">17565080</t>
  </si>
  <si>
    <t xml:space="preserve">ANNIBELYS DANIELA</t>
  </si>
  <si>
    <t xml:space="preserve">0412-2033754</t>
  </si>
  <si>
    <t xml:space="preserve">15261662</t>
  </si>
  <si>
    <t xml:space="preserve">MILAGROS VALERIA</t>
  </si>
  <si>
    <t xml:space="preserve">LA PAZ, SECTOR CHINITO RAFAEL</t>
  </si>
  <si>
    <t xml:space="preserve">0412-4652167</t>
  </si>
  <si>
    <t xml:space="preserve">LILEIDIS DANIELA</t>
  </si>
  <si>
    <t xml:space="preserve">0412-7628204</t>
  </si>
  <si>
    <t xml:space="preserve">JENNIFER MILAGRO</t>
  </si>
  <si>
    <t xml:space="preserve">MONTILLA VILLASMIL</t>
  </si>
  <si>
    <t xml:space="preserve">AVENIDA PRINCIPAL LA PAZ</t>
  </si>
  <si>
    <t xml:space="preserve">0412-8311442</t>
  </si>
  <si>
    <t xml:space="preserve">20834399</t>
  </si>
  <si>
    <t xml:space="preserve">YECSIBEL SOFIA</t>
  </si>
  <si>
    <t xml:space="preserve">BRAVO QUINTERO</t>
  </si>
  <si>
    <t xml:space="preserve">0412-1661316</t>
  </si>
  <si>
    <t xml:space="preserve">20833993</t>
  </si>
  <si>
    <t xml:space="preserve">ORIANA ESTER</t>
  </si>
  <si>
    <t xml:space="preserve">0412-2293010</t>
  </si>
  <si>
    <t xml:space="preserve">0416-1537500</t>
  </si>
  <si>
    <t xml:space="preserve">YOHALI ISABEL</t>
  </si>
  <si>
    <t xml:space="preserve">0412-0663033</t>
  </si>
  <si>
    <t xml:space="preserve">14207344</t>
  </si>
  <si>
    <t xml:space="preserve">JORGE XAVIER</t>
  </si>
  <si>
    <t xml:space="preserve">0412-6093793</t>
  </si>
  <si>
    <t xml:space="preserve">JOEL ANDRES</t>
  </si>
  <si>
    <t xml:space="preserve">0412-1846252</t>
  </si>
  <si>
    <t xml:space="preserve">NEDUIN ENRIQUE</t>
  </si>
  <si>
    <t xml:space="preserve">0412-8182672</t>
  </si>
  <si>
    <t xml:space="preserve">07773194</t>
  </si>
  <si>
    <t xml:space="preserve">VALBUENA PEREZ</t>
  </si>
  <si>
    <t xml:space="preserve">0412-6641119</t>
  </si>
  <si>
    <t xml:space="preserve">20204606</t>
  </si>
  <si>
    <t xml:space="preserve">0412-1700934</t>
  </si>
  <si>
    <t xml:space="preserve">LOBATO CHARRIS</t>
  </si>
  <si>
    <t xml:space="preserve">0412-0678812</t>
  </si>
  <si>
    <t xml:space="preserve">20442234</t>
  </si>
  <si>
    <t xml:space="preserve">SANTIAGO ALEJANDRO</t>
  </si>
  <si>
    <t xml:space="preserve">PEÑA PEÑA</t>
  </si>
  <si>
    <t xml:space="preserve">0412-0668591</t>
  </si>
  <si>
    <t xml:space="preserve">17566807</t>
  </si>
  <si>
    <t xml:space="preserve">BRANYULIS CAROLINA</t>
  </si>
  <si>
    <t xml:space="preserve">0412-5347170</t>
  </si>
  <si>
    <t xml:space="preserve">YOKERVIS JESUS</t>
  </si>
  <si>
    <t xml:space="preserve">FERNANDEZ CHIRINOS</t>
  </si>
  <si>
    <t xml:space="preserve">0412-3888196</t>
  </si>
  <si>
    <t xml:space="preserve">22152681</t>
  </si>
  <si>
    <t xml:space="preserve">RUSBELIS SOFIA</t>
  </si>
  <si>
    <t xml:space="preserve">0412-3807915</t>
  </si>
  <si>
    <t xml:space="preserve">LUZMARI DEL CARMEN</t>
  </si>
  <si>
    <t xml:space="preserve">0412-1052159</t>
  </si>
  <si>
    <t xml:space="preserve">LUCIAINNYS SOFIA</t>
  </si>
  <si>
    <t xml:space="preserve">CORONADO SANDOVAL</t>
  </si>
  <si>
    <t xml:space="preserve">0412-6684259</t>
  </si>
  <si>
    <t xml:space="preserve">24250421</t>
  </si>
  <si>
    <t xml:space="preserve">DANIELA ISABEL</t>
  </si>
  <si>
    <t xml:space="preserve">AÑEZ HERRERA</t>
  </si>
  <si>
    <t xml:space="preserve">0412-1504485</t>
  </si>
  <si>
    <t xml:space="preserve">24249414</t>
  </si>
  <si>
    <t xml:space="preserve">011017565193</t>
  </si>
  <si>
    <t xml:space="preserve">LIZARAZO VILLALOBOS</t>
  </si>
  <si>
    <t xml:space="preserve">0412-2707347</t>
  </si>
  <si>
    <t xml:space="preserve">17565193</t>
  </si>
  <si>
    <t xml:space="preserve">YERBELIN DEL CARMEN</t>
  </si>
  <si>
    <t xml:space="preserve">MOYEJA PEREIRA</t>
  </si>
  <si>
    <t xml:space="preserve">0412-6947776</t>
  </si>
  <si>
    <t xml:space="preserve">24413275</t>
  </si>
  <si>
    <t xml:space="preserve">MARYORIS JOSEFINA</t>
  </si>
  <si>
    <t xml:space="preserve">0412-6574726</t>
  </si>
  <si>
    <t xml:space="preserve">21509628</t>
  </si>
  <si>
    <t xml:space="preserve">ARANZA SOFIA</t>
  </si>
  <si>
    <t xml:space="preserve">0412-1777628</t>
  </si>
  <si>
    <t xml:space="preserve">ANGELES MARIA</t>
  </si>
  <si>
    <t xml:space="preserve">0412-1734014</t>
  </si>
  <si>
    <t xml:space="preserve">ANDRES LUIS</t>
  </si>
  <si>
    <t xml:space="preserve">0412-7894940</t>
  </si>
  <si>
    <t xml:space="preserve">ORIMAR AURORA</t>
  </si>
  <si>
    <t xml:space="preserve">0412-7569122</t>
  </si>
  <si>
    <t xml:space="preserve">BELIANY AURORA</t>
  </si>
  <si>
    <t xml:space="preserve">PEREZ CHAVEZ</t>
  </si>
  <si>
    <t xml:space="preserve">0416-2622641</t>
  </si>
  <si>
    <t xml:space="preserve">17565051</t>
  </si>
  <si>
    <t xml:space="preserve">GLEIDIMAR PAOLA</t>
  </si>
  <si>
    <t xml:space="preserve">0412-2027496</t>
  </si>
  <si>
    <t xml:space="preserve">17099213</t>
  </si>
  <si>
    <t xml:space="preserve">ANYILUZ CAROLINA</t>
  </si>
  <si>
    <t xml:space="preserve">CASTELLANO SUAREZ</t>
  </si>
  <si>
    <t xml:space="preserve">0412-9653357</t>
  </si>
  <si>
    <t xml:space="preserve">20779211</t>
  </si>
  <si>
    <t xml:space="preserve">0426-6137411</t>
  </si>
  <si>
    <t xml:space="preserve">13001467</t>
  </si>
  <si>
    <t xml:space="preserve">ISMAEL ENRIQUE</t>
  </si>
  <si>
    <t xml:space="preserve">19178251</t>
  </si>
  <si>
    <t xml:space="preserve">YORLEIDER DE JESUS</t>
  </si>
  <si>
    <t xml:space="preserve">URDANETA LUQUEZ</t>
  </si>
  <si>
    <t xml:space="preserve">0412-8631025</t>
  </si>
  <si>
    <t xml:space="preserve">15983770</t>
  </si>
  <si>
    <t xml:space="preserve">PEÑATE DORIA</t>
  </si>
  <si>
    <t xml:space="preserve">0412-1659494</t>
  </si>
  <si>
    <t xml:space="preserve">16298401</t>
  </si>
  <si>
    <t xml:space="preserve">LEOMAR JOSE</t>
  </si>
  <si>
    <t xml:space="preserve">0412-6699572</t>
  </si>
  <si>
    <t xml:space="preserve">21039462</t>
  </si>
  <si>
    <t xml:space="preserve">RICHARD RAFAEL</t>
  </si>
  <si>
    <t xml:space="preserve">0412-7854894</t>
  </si>
  <si>
    <t xml:space="preserve">19810694</t>
  </si>
  <si>
    <t xml:space="preserve">CARVAJAL VARGAS</t>
  </si>
  <si>
    <t xml:space="preserve">0412-1206859</t>
  </si>
  <si>
    <t xml:space="preserve">23466488</t>
  </si>
  <si>
    <t xml:space="preserve">0412-1007252</t>
  </si>
  <si>
    <t xml:space="preserve">YONAIKER GREGORIO</t>
  </si>
  <si>
    <t xml:space="preserve">COLINA PERCHE</t>
  </si>
  <si>
    <t xml:space="preserve">0412-0662200</t>
  </si>
  <si>
    <t xml:space="preserve">19016978</t>
  </si>
  <si>
    <t xml:space="preserve">0412-0745061</t>
  </si>
  <si>
    <t xml:space="preserve">ARAQUE URDANETA</t>
  </si>
  <si>
    <t xml:space="preserve">0412-5498831</t>
  </si>
  <si>
    <t xml:space="preserve">20034718</t>
  </si>
  <si>
    <t xml:space="preserve">LUZ MILAGROS</t>
  </si>
  <si>
    <t xml:space="preserve">0412-0756746</t>
  </si>
  <si>
    <t xml:space="preserve">KIMBERLIN MICHEL</t>
  </si>
  <si>
    <t xml:space="preserve">0414-1002875</t>
  </si>
  <si>
    <t xml:space="preserve">23752051</t>
  </si>
  <si>
    <t xml:space="preserve">MAURIELIS ESTEFANIA</t>
  </si>
  <si>
    <t xml:space="preserve">FERERIRA HENRIQUEZ</t>
  </si>
  <si>
    <t xml:space="preserve">RICHELL IRAIDA</t>
  </si>
  <si>
    <t xml:space="preserve">BARRIO CAUGUITA</t>
  </si>
  <si>
    <t xml:space="preserve">04127854894</t>
  </si>
  <si>
    <t xml:space="preserve">04124544170</t>
  </si>
  <si>
    <t xml:space="preserve">18518970</t>
  </si>
  <si>
    <t xml:space="preserve">ALBANYELA SOFIA</t>
  </si>
  <si>
    <t xml:space="preserve">0412-0717478</t>
  </si>
  <si>
    <t xml:space="preserve">ALIANYELA SOFIA</t>
  </si>
  <si>
    <t xml:space="preserve">NUBIELIS ANDIMAR</t>
  </si>
  <si>
    <t xml:space="preserve">COLINA FERNANDEZ</t>
  </si>
  <si>
    <t xml:space="preserve">0412-2390613</t>
  </si>
  <si>
    <t xml:space="preserve">JAVIELIS VIRGINIA</t>
  </si>
  <si>
    <t xml:space="preserve">SOTURNO BRACHO</t>
  </si>
  <si>
    <t xml:space="preserve">0412-7713719</t>
  </si>
  <si>
    <t xml:space="preserve">07813088</t>
  </si>
  <si>
    <t xml:space="preserve">DANIEILY LUCIA</t>
  </si>
  <si>
    <t xml:space="preserve">GAMEZ GONZALEZ</t>
  </si>
  <si>
    <t xml:space="preserve">0412-7240021</t>
  </si>
  <si>
    <t xml:space="preserve">20495466</t>
  </si>
  <si>
    <t xml:space="preserve">AREANGELES CHIQUINQUIRA</t>
  </si>
  <si>
    <t xml:space="preserve">0412-7854173</t>
  </si>
  <si>
    <t xml:space="preserve">MARIANA YAILET</t>
  </si>
  <si>
    <t xml:space="preserve">0412-0255747</t>
  </si>
  <si>
    <t xml:space="preserve">CAMILA ALEJANDRA</t>
  </si>
  <si>
    <t xml:space="preserve">0412-7699961</t>
  </si>
  <si>
    <t xml:space="preserve">GENESIS CAMILA</t>
  </si>
  <si>
    <t xml:space="preserve">0412-6023338</t>
  </si>
  <si>
    <t xml:space="preserve">JUBANNA VALENTINA</t>
  </si>
  <si>
    <t xml:space="preserve">0426-1223695</t>
  </si>
  <si>
    <t xml:space="preserve">GABRIELIS PAOLA</t>
  </si>
  <si>
    <t xml:space="preserve">FINOL CIVILA</t>
  </si>
  <si>
    <t xml:space="preserve">0412-8473136</t>
  </si>
  <si>
    <t xml:space="preserve">21511047</t>
  </si>
  <si>
    <t xml:space="preserve">JOHANYELIS SARAIS</t>
  </si>
  <si>
    <t xml:space="preserve">BARRIOS GONZALEZ</t>
  </si>
  <si>
    <t xml:space="preserve">0412-7112171</t>
  </si>
  <si>
    <t xml:space="preserve">14117787</t>
  </si>
  <si>
    <t xml:space="preserve">BETZABETH SOFIA</t>
  </si>
  <si>
    <t xml:space="preserve">04120753651</t>
  </si>
  <si>
    <t xml:space="preserve">YULEINIS PAOLA</t>
  </si>
  <si>
    <t xml:space="preserve">0416-7603134</t>
  </si>
  <si>
    <t xml:space="preserve">YOLEIDA LUS</t>
  </si>
  <si>
    <t xml:space="preserve">CASTILLO PERTUZ</t>
  </si>
  <si>
    <t xml:space="preserve">0412-4732869</t>
  </si>
  <si>
    <t xml:space="preserve">19408913</t>
  </si>
  <si>
    <t xml:space="preserve">VIRGINIA ROSA</t>
  </si>
  <si>
    <t xml:space="preserve">0414-9656960</t>
  </si>
  <si>
    <t xml:space="preserve">13001482</t>
  </si>
  <si>
    <t xml:space="preserve">YORBELIS MICHELL</t>
  </si>
  <si>
    <t xml:space="preserve">0412-6821919</t>
  </si>
  <si>
    <t xml:space="preserve">22449161</t>
  </si>
  <si>
    <t xml:space="preserve">011210452482</t>
  </si>
  <si>
    <t xml:space="preserve">CALLE LA ALEGRIA</t>
  </si>
  <si>
    <t xml:space="preserve">0424-6265993</t>
  </si>
  <si>
    <t xml:space="preserve">DARIANYELIS KARINA</t>
  </si>
  <si>
    <t xml:space="preserve">0412-0755894</t>
  </si>
  <si>
    <t xml:space="preserve">JOHELIS PAOLA</t>
  </si>
  <si>
    <t xml:space="preserve">VALBUENA ROMERO</t>
  </si>
  <si>
    <t xml:space="preserve">0412-6659687</t>
  </si>
  <si>
    <t xml:space="preserve">010919408913</t>
  </si>
  <si>
    <t xml:space="preserve">ARAIZ SOFIA</t>
  </si>
  <si>
    <t xml:space="preserve">020919408913</t>
  </si>
  <si>
    <t xml:space="preserve">ARANZA SIFIA</t>
  </si>
  <si>
    <t xml:space="preserve">AMANDA ISABEL</t>
  </si>
  <si>
    <t xml:space="preserve">0412-7856814</t>
  </si>
  <si>
    <t xml:space="preserve">DALIANGELY SOFIA</t>
  </si>
  <si>
    <t xml:space="preserve">0412-1263268</t>
  </si>
  <si>
    <t xml:space="preserve">ELVYS MANUEL</t>
  </si>
  <si>
    <t xml:space="preserve">0412-3556444</t>
  </si>
  <si>
    <t xml:space="preserve">0412-6654036</t>
  </si>
  <si>
    <t xml:space="preserve">21039265</t>
  </si>
  <si>
    <t xml:space="preserve">ADRIANYER JOSE</t>
  </si>
  <si>
    <t xml:space="preserve">MAZA MORAN</t>
  </si>
  <si>
    <t xml:space="preserve">0416-0182906</t>
  </si>
  <si>
    <t xml:space="preserve">20660263</t>
  </si>
  <si>
    <t xml:space="preserve">JESUS LEONARDO</t>
  </si>
  <si>
    <t xml:space="preserve">0416-3658513</t>
  </si>
  <si>
    <t xml:space="preserve">14208461</t>
  </si>
  <si>
    <t xml:space="preserve">000034870702</t>
  </si>
  <si>
    <t xml:space="preserve">DIAZ VILLALOBOS</t>
  </si>
  <si>
    <t xml:space="preserve">0412-7745629</t>
  </si>
  <si>
    <t xml:space="preserve">23466543</t>
  </si>
  <si>
    <t xml:space="preserve">000036480938</t>
  </si>
  <si>
    <t xml:space="preserve">RINCON FERNADEZ</t>
  </si>
  <si>
    <t xml:space="preserve">0426-2699065</t>
  </si>
  <si>
    <t xml:space="preserve">MONTES CASTEJON</t>
  </si>
  <si>
    <t xml:space="preserve">0412-1330730</t>
  </si>
  <si>
    <t xml:space="preserve">17071724</t>
  </si>
  <si>
    <t xml:space="preserve">FINOL ANDRADE</t>
  </si>
  <si>
    <t xml:space="preserve">04126648116</t>
  </si>
  <si>
    <t xml:space="preserve">ANTHONELLA ANAIS</t>
  </si>
  <si>
    <t xml:space="preserve">BARRIO EL COLORAO</t>
  </si>
  <si>
    <t xml:space="preserve">0412-1253516</t>
  </si>
  <si>
    <t xml:space="preserve">JAYVELIN DEL CARMEN</t>
  </si>
  <si>
    <t xml:space="preserve">VILCHEZ VILLALOBOS</t>
  </si>
  <si>
    <t xml:space="preserve">0424-6425210</t>
  </si>
  <si>
    <t xml:space="preserve">20834472</t>
  </si>
  <si>
    <t xml:space="preserve">DISLEIDY RUTH</t>
  </si>
  <si>
    <t xml:space="preserve">0412-0609119</t>
  </si>
  <si>
    <t xml:space="preserve">ADRIANA AGRIMILDA</t>
  </si>
  <si>
    <t xml:space="preserve">17260054</t>
  </si>
  <si>
    <t xml:space="preserve">011123770206</t>
  </si>
  <si>
    <t xml:space="preserve">SAMUEL ALFONSO</t>
  </si>
  <si>
    <t xml:space="preserve">GUERRERO PALMAR</t>
  </si>
  <si>
    <t xml:space="preserve">0412-6503090</t>
  </si>
  <si>
    <t xml:space="preserve">23770206</t>
  </si>
  <si>
    <t xml:space="preserve">DEINNERSON JOSE</t>
  </si>
  <si>
    <t xml:space="preserve">BLANCO MORALES</t>
  </si>
  <si>
    <t xml:space="preserve">0412-7611275</t>
  </si>
  <si>
    <t xml:space="preserve">20508650</t>
  </si>
  <si>
    <t xml:space="preserve">04126874354</t>
  </si>
  <si>
    <t xml:space="preserve">KEYLIMAR PAOLA</t>
  </si>
  <si>
    <t xml:space="preserve">MOLERO VILLALBOSO</t>
  </si>
  <si>
    <t xml:space="preserve">041266451119</t>
  </si>
  <si>
    <t xml:space="preserve">20778232</t>
  </si>
  <si>
    <t xml:space="preserve">000034416265</t>
  </si>
  <si>
    <t xml:space="preserve">KLEIMARYS DEL VALLE</t>
  </si>
  <si>
    <t xml:space="preserve">RUBIO FERNANDEZ</t>
  </si>
  <si>
    <t xml:space="preserve">SECTOR EL BARATILLO</t>
  </si>
  <si>
    <t xml:space="preserve">04128010689</t>
  </si>
  <si>
    <t xml:space="preserve">12442875</t>
  </si>
  <si>
    <t xml:space="preserve">YARIMAR PAOLA</t>
  </si>
  <si>
    <t xml:space="preserve">PERNET CASTILLO</t>
  </si>
  <si>
    <t xml:space="preserve">04123011751</t>
  </si>
  <si>
    <t xml:space="preserve">EUGENIO DANIEL</t>
  </si>
  <si>
    <t xml:space="preserve">SECTOR LA PAZ</t>
  </si>
  <si>
    <t xml:space="preserve">SARMIENTO CABALLERO</t>
  </si>
  <si>
    <t xml:space="preserve">04124516411</t>
  </si>
  <si>
    <t xml:space="preserve">000035049516</t>
  </si>
  <si>
    <t xml:space="preserve">ORIANNY DE LOS ANGELES</t>
  </si>
  <si>
    <t xml:space="preserve">barrio chinito rafael</t>
  </si>
  <si>
    <t xml:space="preserve">04128809120</t>
  </si>
  <si>
    <t xml:space="preserve">20069794</t>
  </si>
  <si>
    <t xml:space="preserve">ENAIRA ALEJANDRA</t>
  </si>
  <si>
    <t xml:space="preserve">BRIÑEZ CIVIRA</t>
  </si>
  <si>
    <t xml:space="preserve">0412-4264389</t>
  </si>
  <si>
    <t xml:space="preserve">19988695</t>
  </si>
  <si>
    <t xml:space="preserve">000034696175</t>
  </si>
  <si>
    <t xml:space="preserve">NEILYN MARIANYI</t>
  </si>
  <si>
    <t xml:space="preserve">0416-2270162</t>
  </si>
  <si>
    <t xml:space="preserve">11860422</t>
  </si>
  <si>
    <t xml:space="preserve">IVANA YOANA</t>
  </si>
  <si>
    <t xml:space="preserve">BOSCAN CASTEJON</t>
  </si>
  <si>
    <t xml:space="preserve">0412-2390881</t>
  </si>
  <si>
    <t xml:space="preserve">19838570</t>
  </si>
  <si>
    <t xml:space="preserve">041220233754</t>
  </si>
  <si>
    <t xml:space="preserve">ACOSTA COLINA</t>
  </si>
  <si>
    <t xml:space="preserve">0412-7309662</t>
  </si>
  <si>
    <t xml:space="preserve">23769891</t>
  </si>
  <si>
    <t xml:space="preserve">011217566763</t>
  </si>
  <si>
    <t xml:space="preserve">FUENMAYOR NAVARRO</t>
  </si>
  <si>
    <t xml:space="preserve">0412-5341813</t>
  </si>
  <si>
    <t xml:space="preserve">DAMARIS DEL CARMEN</t>
  </si>
  <si>
    <t xml:space="preserve">PERNIA CASTILLO</t>
  </si>
  <si>
    <t xml:space="preserve">0412-9368052</t>
  </si>
  <si>
    <t xml:space="preserve">21355038</t>
  </si>
  <si>
    <t xml:space="preserve">0412-9638052</t>
  </si>
  <si>
    <t xml:space="preserve">SANCHEZ LUZARDO</t>
  </si>
  <si>
    <t xml:space="preserve">0412-3736670</t>
  </si>
  <si>
    <t xml:space="preserve">19838596</t>
  </si>
  <si>
    <t xml:space="preserve">DARVIS JAVIER</t>
  </si>
  <si>
    <t xml:space="preserve">CASTILLO VERA</t>
  </si>
  <si>
    <t xml:space="preserve">0412-6648668</t>
  </si>
  <si>
    <t xml:space="preserve">0412-7503750</t>
  </si>
  <si>
    <t xml:space="preserve">17070774</t>
  </si>
  <si>
    <t xml:space="preserve">SANTIAGO WENCESLAO</t>
  </si>
  <si>
    <t xml:space="preserve">CASTILLO BRITO</t>
  </si>
  <si>
    <t xml:space="preserve">0412-1455188</t>
  </si>
  <si>
    <t xml:space="preserve">19016782</t>
  </si>
  <si>
    <t xml:space="preserve">SANTIAGO JOSUE</t>
  </si>
  <si>
    <t xml:space="preserve">0412-3745572</t>
  </si>
  <si>
    <t xml:space="preserve">09743297</t>
  </si>
  <si>
    <t xml:space="preserve">JOSE SANTIAGO</t>
  </si>
  <si>
    <t xml:space="preserve">0412-0755881</t>
  </si>
  <si>
    <t xml:space="preserve">MARCOS TULIO</t>
  </si>
  <si>
    <t xml:space="preserve">0412-3011751</t>
  </si>
  <si>
    <t xml:space="preserve">NAVARRO FINOL</t>
  </si>
  <si>
    <t xml:space="preserve">0412-3870180</t>
  </si>
  <si>
    <t xml:space="preserve">24249806</t>
  </si>
  <si>
    <t xml:space="preserve">WINYERBETH ANTONIO</t>
  </si>
  <si>
    <t xml:space="preserve">NEGRETTE OCHOA</t>
  </si>
  <si>
    <t xml:space="preserve">0412-7743292</t>
  </si>
  <si>
    <t xml:space="preserve">23466502</t>
  </si>
  <si>
    <t xml:space="preserve">011017565070</t>
  </si>
  <si>
    <t xml:space="preserve">0412-1704993</t>
  </si>
  <si>
    <t xml:space="preserve">ERID JAVIER</t>
  </si>
  <si>
    <t xml:space="preserve">0412-6503273</t>
  </si>
  <si>
    <t xml:space="preserve">17634629</t>
  </si>
  <si>
    <t xml:space="preserve">011024249076</t>
  </si>
  <si>
    <t xml:space="preserve">04126884341</t>
  </si>
  <si>
    <t xml:space="preserve">24249076</t>
  </si>
  <si>
    <t xml:space="preserve">ISRAEL JOSUE</t>
  </si>
  <si>
    <t xml:space="preserve">BRAVO INCIARTE</t>
  </si>
  <si>
    <t xml:space="preserve">0412-917227</t>
  </si>
  <si>
    <t xml:space="preserve">23769888</t>
  </si>
  <si>
    <t xml:space="preserve">ANDRES MIGUEL</t>
  </si>
  <si>
    <t xml:space="preserve">0412-5149779</t>
  </si>
  <si>
    <t xml:space="preserve">DAVID MANUEL</t>
  </si>
  <si>
    <t xml:space="preserve">CALLE LA AEGRIA</t>
  </si>
  <si>
    <t xml:space="preserve">0412-8010689</t>
  </si>
  <si>
    <t xml:space="preserve">ROSDEILYMAR DEL CARMEN</t>
  </si>
  <si>
    <t xml:space="preserve">0412-2041135</t>
  </si>
  <si>
    <t xml:space="preserve">20588337</t>
  </si>
  <si>
    <t xml:space="preserve">ROSELIMAR DEL CARMEN</t>
  </si>
  <si>
    <t xml:space="preserve">YUGLENIS KARINA</t>
  </si>
  <si>
    <t xml:space="preserve">21039598</t>
  </si>
  <si>
    <t xml:space="preserve">YULIANA ALEXANDRA</t>
  </si>
  <si>
    <t xml:space="preserve">LUZARDO BOZO</t>
  </si>
  <si>
    <t xml:space="preserve">0412-1392936</t>
  </si>
  <si>
    <t xml:space="preserve">19838568</t>
  </si>
  <si>
    <t xml:space="preserve">CANIZALEZ VASQUEZ</t>
  </si>
  <si>
    <t xml:space="preserve">0412-6272349</t>
  </si>
  <si>
    <t xml:space="preserve">19767949</t>
  </si>
  <si>
    <t xml:space="preserve">SEBASTIAN JOSE</t>
  </si>
  <si>
    <t xml:space="preserve">URDANETA RINCON</t>
  </si>
  <si>
    <t xml:space="preserve">04126850068</t>
  </si>
  <si>
    <t xml:space="preserve">07626287</t>
  </si>
  <si>
    <t xml:space="preserve">RICHARD MIGUEL</t>
  </si>
  <si>
    <t xml:space="preserve">04126689328</t>
  </si>
  <si>
    <t xml:space="preserve">12047056</t>
  </si>
  <si>
    <t xml:space="preserve">CRISTIAN DAVID</t>
  </si>
  <si>
    <t xml:space="preserve">04123781979</t>
  </si>
  <si>
    <t xml:space="preserve">23856424</t>
  </si>
  <si>
    <t xml:space="preserve">CHAVEZ LABARCA</t>
  </si>
  <si>
    <t xml:space="preserve">04121865556</t>
  </si>
  <si>
    <t xml:space="preserve">20605306</t>
  </si>
  <si>
    <t xml:space="preserve">GISETH PAOLA</t>
  </si>
  <si>
    <t xml:space="preserve">TOVAR REYES</t>
  </si>
  <si>
    <t xml:space="preserve">SAN JUAN</t>
  </si>
  <si>
    <t xml:space="preserve">04127648403</t>
  </si>
  <si>
    <t xml:space="preserve">23466358</t>
  </si>
  <si>
    <t xml:space="preserve">LUIS ANDRES</t>
  </si>
  <si>
    <t xml:space="preserve">04121144867</t>
  </si>
  <si>
    <t xml:space="preserve">14862697</t>
  </si>
  <si>
    <t xml:space="preserve">LEONARDO DANIEL</t>
  </si>
  <si>
    <t xml:space="preserve">04269698993</t>
  </si>
  <si>
    <t xml:space="preserve">LEANGELIZ FABIOLA</t>
  </si>
  <si>
    <t xml:space="preserve">INCIARTE FUENMAYOR</t>
  </si>
  <si>
    <t xml:space="preserve">04121664491</t>
  </si>
  <si>
    <t xml:space="preserve">EURIMAR YINETH</t>
  </si>
  <si>
    <t xml:space="preserve">BELLOSO SORONDO</t>
  </si>
  <si>
    <t xml:space="preserve">04126753510</t>
  </si>
  <si>
    <t xml:space="preserve">21078335</t>
  </si>
  <si>
    <t xml:space="preserve">MORENO CORONADO</t>
  </si>
  <si>
    <t xml:space="preserve">04146075503</t>
  </si>
  <si>
    <t xml:space="preserve">SANTIAGO ANDRES</t>
  </si>
  <si>
    <t xml:space="preserve">04124723172</t>
  </si>
  <si>
    <t xml:space="preserve">CAMILA VALENTINA</t>
  </si>
  <si>
    <t xml:space="preserve">04121266821</t>
  </si>
  <si>
    <t xml:space="preserve">000034620599</t>
  </si>
  <si>
    <t xml:space="preserve">NEUDIELIS CAROLINA</t>
  </si>
  <si>
    <t xml:space="preserve">SUAREZ ANDRADE</t>
  </si>
  <si>
    <t xml:space="preserve">+57 324749260</t>
  </si>
  <si>
    <t xml:space="preserve">23466575</t>
  </si>
  <si>
    <t xml:space="preserve">ANDRY DAVID</t>
  </si>
  <si>
    <t xml:space="preserve">MORALES SUAREZ</t>
  </si>
  <si>
    <t xml:space="preserve">0412-1682858</t>
  </si>
  <si>
    <t xml:space="preserve">23466333</t>
  </si>
  <si>
    <t xml:space="preserve">000036976756</t>
  </si>
  <si>
    <t xml:space="preserve">YURIANNYS DEL CARMEN</t>
  </si>
  <si>
    <t xml:space="preserve">04124542261</t>
  </si>
  <si>
    <t xml:space="preserve">13005249</t>
  </si>
  <si>
    <t xml:space="preserve">GENESIS EYLIN</t>
  </si>
  <si>
    <t xml:space="preserve">04264608257</t>
  </si>
  <si>
    <t xml:space="preserve">011014630152</t>
  </si>
  <si>
    <t xml:space="preserve">SARAY OLIANI</t>
  </si>
  <si>
    <t xml:space="preserve">0412-9650627</t>
  </si>
  <si>
    <t xml:space="preserve">KEINER LUIS</t>
  </si>
  <si>
    <t xml:space="preserve">POLO MORENO</t>
  </si>
  <si>
    <t xml:space="preserve">0412-8363408</t>
  </si>
  <si>
    <t xml:space="preserve">73228876</t>
  </si>
  <si>
    <t xml:space="preserve">VILLALOBOS HUERTA</t>
  </si>
  <si>
    <t xml:space="preserve">0412-9829598</t>
  </si>
  <si>
    <t xml:space="preserve">000034407015</t>
  </si>
  <si>
    <t xml:space="preserve">WILMARY DANIELA</t>
  </si>
  <si>
    <t xml:space="preserve">YENILETZY THALIA</t>
  </si>
  <si>
    <t xml:space="preserve">0412-1224806</t>
  </si>
  <si>
    <t xml:space="preserve">19906362</t>
  </si>
  <si>
    <t xml:space="preserve">000018394497</t>
  </si>
  <si>
    <t xml:space="preserve">NEIRELIN CHIQUINQUIRA</t>
  </si>
  <si>
    <t xml:space="preserve">OLIVEROS BRAVO</t>
  </si>
  <si>
    <t xml:space="preserve">YORGELIS VALENTINA</t>
  </si>
  <si>
    <t xml:space="preserve">DELGALO DAVILA</t>
  </si>
  <si>
    <t xml:space="preserve">sector el 90</t>
  </si>
  <si>
    <t xml:space="preserve">21229769</t>
  </si>
  <si>
    <t xml:space="preserve">sector san benito</t>
  </si>
  <si>
    <t xml:space="preserve">04120770508</t>
  </si>
  <si>
    <t xml:space="preserve">000036687999</t>
  </si>
  <si>
    <t xml:space="preserve">HECTOR EDUARDO</t>
  </si>
  <si>
    <t xml:space="preserve">04246490312</t>
  </si>
  <si>
    <t xml:space="preserve">14117527</t>
  </si>
  <si>
    <t xml:space="preserve">ZORIANGELYS NOHEMI</t>
  </si>
  <si>
    <t xml:space="preserve">ORTEGA MONTIEL</t>
  </si>
  <si>
    <t xml:space="preserve">04143104931</t>
  </si>
  <si>
    <t xml:space="preserve">LISANDRO DAVID</t>
  </si>
  <si>
    <t xml:space="preserve">PAZ POLANCO</t>
  </si>
  <si>
    <t xml:space="preserve">04122642793</t>
  </si>
  <si>
    <t xml:space="preserve">000033500215</t>
  </si>
  <si>
    <t xml:space="preserve">WINGER ADRIAN</t>
  </si>
  <si>
    <t xml:space="preserve">ABREU BRAVO</t>
  </si>
  <si>
    <t xml:space="preserve">18384544</t>
  </si>
  <si>
    <t xml:space="preserve">ALEXANDRA VANESSA</t>
  </si>
  <si>
    <t xml:space="preserve">04129829598</t>
  </si>
  <si>
    <t xml:space="preserve">000033118692</t>
  </si>
  <si>
    <t xml:space="preserve">ANARGELIA CHIQUINQUIRA</t>
  </si>
  <si>
    <t xml:space="preserve">ALVARADO LAZARO</t>
  </si>
  <si>
    <t xml:space="preserve">LA PAZ MARIMONDA III</t>
  </si>
  <si>
    <t xml:space="preserve">04162411852</t>
  </si>
  <si>
    <t xml:space="preserve">011015286449</t>
  </si>
  <si>
    <t xml:space="preserve">0412-5015088</t>
  </si>
  <si>
    <t xml:space="preserve">011112619930</t>
  </si>
  <si>
    <t xml:space="preserve">JHONDER JOSE</t>
  </si>
  <si>
    <t xml:space="preserve">CASTILLO FUENMAYOR</t>
  </si>
  <si>
    <t xml:space="preserve">0412-6881774</t>
  </si>
  <si>
    <t xml:space="preserve">000033194858</t>
  </si>
  <si>
    <t xml:space="preserve">DEIKER DAVID</t>
  </si>
  <si>
    <t xml:space="preserve">0426-8492686</t>
  </si>
  <si>
    <t xml:space="preserve">MELEAN ROJAS</t>
  </si>
  <si>
    <t xml:space="preserve">04121042848</t>
  </si>
  <si>
    <t xml:space="preserve">ELIANYELI CIBEL</t>
  </si>
  <si>
    <t xml:space="preserve">MELEAN INCIARTE</t>
  </si>
  <si>
    <t xml:space="preserve">0412-9772365</t>
  </si>
  <si>
    <t xml:space="preserve">000034641317</t>
  </si>
  <si>
    <t xml:space="preserve">BRACHO IGUARAN</t>
  </si>
  <si>
    <t xml:space="preserve">LA PAZ SECTOR EL NAZARENO</t>
  </si>
  <si>
    <t xml:space="preserve">04120719613</t>
  </si>
  <si>
    <t xml:space="preserve">GENESIS DE JESUS</t>
  </si>
  <si>
    <t xml:space="preserve">LA CONCEPCION SECTOR LOS RAMOS</t>
  </si>
  <si>
    <t xml:space="preserve">0426-4656731</t>
  </si>
  <si>
    <t xml:space="preserve">14544415</t>
  </si>
  <si>
    <t xml:space="preserve">EIKER DANIEL</t>
  </si>
  <si>
    <t xml:space="preserve">MERCADO BERRUETA</t>
  </si>
  <si>
    <t xml:space="preserve">04128356131</t>
  </si>
  <si>
    <t xml:space="preserve">23466372</t>
  </si>
  <si>
    <t xml:space="preserve">000034910060</t>
  </si>
  <si>
    <t xml:space="preserve">NEIDIMAR CAROLINA</t>
  </si>
  <si>
    <t xml:space="preserve">FERRER NIETO</t>
  </si>
  <si>
    <t xml:space="preserve">SECTOR SAN BENITO, CASA 36</t>
  </si>
  <si>
    <t xml:space="preserve">04126647178</t>
  </si>
  <si>
    <t xml:space="preserve">26239612</t>
  </si>
  <si>
    <t xml:space="preserve">ADANIELIS SOFIA</t>
  </si>
  <si>
    <t xml:space="preserve">EVELIANNY DEL VALLE</t>
  </si>
  <si>
    <t xml:space="preserve">04246392766</t>
  </si>
  <si>
    <t xml:space="preserve">21511030</t>
  </si>
  <si>
    <t xml:space="preserve">000018662203</t>
  </si>
  <si>
    <t xml:space="preserve">ERIKA PAOLA</t>
  </si>
  <si>
    <t xml:space="preserve">FREINER JOSE</t>
  </si>
  <si>
    <t xml:space="preserve">URDANETA CONTRERAS</t>
  </si>
  <si>
    <t xml:space="preserve">04125147057</t>
  </si>
  <si>
    <t xml:space="preserve">DAVID JULIO</t>
  </si>
  <si>
    <t xml:space="preserve">ARTEAGA OLIVEROS</t>
  </si>
  <si>
    <t xml:space="preserve">04123619318</t>
  </si>
  <si>
    <t xml:space="preserve">23466448</t>
  </si>
  <si>
    <t xml:space="preserve">DAVIAN JOSE</t>
  </si>
  <si>
    <t xml:space="preserve">DIANA PATRICIA</t>
  </si>
  <si>
    <t xml:space="preserve">PAZ MORALES</t>
  </si>
  <si>
    <t xml:space="preserve">CAMPO COQUIVACOA, LA PAZ</t>
  </si>
  <si>
    <t xml:space="preserve">04246234902</t>
  </si>
  <si>
    <t xml:space="preserve">23770194</t>
  </si>
  <si>
    <t xml:space="preserve">EDIERICK JOSE</t>
  </si>
  <si>
    <t xml:space="preserve">SECTOR EL PUEBLO, AVENIDA PRINCIPAL, LA PAZ</t>
  </si>
  <si>
    <t xml:space="preserve">000010407792</t>
  </si>
  <si>
    <t xml:space="preserve">ESMEIRA ROSA</t>
  </si>
  <si>
    <t xml:space="preserve">000033096019</t>
  </si>
  <si>
    <t xml:space="preserve">04124253599</t>
  </si>
  <si>
    <t xml:space="preserve">25883374</t>
  </si>
  <si>
    <t xml:space="preserve">000037375277</t>
  </si>
  <si>
    <t xml:space="preserve">JOSSELIN PAOLA</t>
  </si>
  <si>
    <t xml:space="preserve">OVIEDO MALDONADO</t>
  </si>
  <si>
    <t xml:space="preserve">0424-6810314</t>
  </si>
  <si>
    <t xml:space="preserve">20510277</t>
  </si>
  <si>
    <t xml:space="preserve">000021511078</t>
  </si>
  <si>
    <t xml:space="preserve">EMILIY DEL CARMEN</t>
  </si>
  <si>
    <t xml:space="preserve">12867906</t>
  </si>
  <si>
    <t xml:space="preserve">000027090269</t>
  </si>
  <si>
    <t xml:space="preserve">YAMILET DEL VALLE</t>
  </si>
  <si>
    <t xml:space="preserve">FUENTES RAMIREZ</t>
  </si>
  <si>
    <t xml:space="preserve">000013002947</t>
  </si>
  <si>
    <t xml:space="preserve">YESENIA DEL VALLE</t>
  </si>
  <si>
    <t xml:space="preserve">ELEUDIS LEANDRO</t>
  </si>
  <si>
    <t xml:space="preserve">04246205760</t>
  </si>
  <si>
    <t xml:space="preserve">000020440228</t>
  </si>
  <si>
    <t xml:space="preserve">CYNDIBETH CHIQUINQUIRA</t>
  </si>
  <si>
    <t xml:space="preserve">RIVERO RODRIGUEZ</t>
  </si>
  <si>
    <t xml:space="preserve">000017938259</t>
  </si>
  <si>
    <t xml:space="preserve">LUZBELYS RAMONA</t>
  </si>
  <si>
    <t xml:space="preserve">NAVARRO SUAREZ</t>
  </si>
  <si>
    <t xml:space="preserve">0412-0717555</t>
  </si>
  <si>
    <t xml:space="preserve">000023445926</t>
  </si>
  <si>
    <t xml:space="preserve">ROYER YOUSTIN</t>
  </si>
  <si>
    <t xml:space="preserve">0416-3635335</t>
  </si>
  <si>
    <t xml:space="preserve">000025039898</t>
  </si>
  <si>
    <t xml:space="preserve">VILLASMIL VILLASMIL</t>
  </si>
  <si>
    <t xml:space="preserve">000018662066</t>
  </si>
  <si>
    <t xml:space="preserve">PORTILLO SUAREZ</t>
  </si>
  <si>
    <t xml:space="preserve">FRANYERLY YULIETH</t>
  </si>
  <si>
    <t xml:space="preserve">IRIARTE VILLALOBOS</t>
  </si>
  <si>
    <t xml:space="preserve">SECTOR CHINO RAFAEL, LA PAZ</t>
  </si>
  <si>
    <t xml:space="preserve">04121648156</t>
  </si>
  <si>
    <t xml:space="preserve">04120677960</t>
  </si>
  <si>
    <t xml:space="preserve">JOANNA GABRIELA</t>
  </si>
  <si>
    <t xml:space="preserve">RINCON MEDINA</t>
  </si>
  <si>
    <t xml:space="preserve">04126308436</t>
  </si>
  <si>
    <t xml:space="preserve">20842771</t>
  </si>
  <si>
    <t xml:space="preserve">17566411</t>
  </si>
  <si>
    <t xml:space="preserve">RIVAS PADRON</t>
  </si>
  <si>
    <t xml:space="preserve">CASA 61-B, CAMPO BOYACA</t>
  </si>
  <si>
    <t xml:space="preserve">04146087926</t>
  </si>
  <si>
    <t xml:space="preserve">ENMANUEL ANDRES</t>
  </si>
  <si>
    <t xml:space="preserve">MARIANA LUCIA</t>
  </si>
  <si>
    <t xml:space="preserve">CASTELLANO FERRER</t>
  </si>
  <si>
    <t xml:space="preserve">04121734221</t>
  </si>
  <si>
    <t xml:space="preserve">12620121</t>
  </si>
  <si>
    <t xml:space="preserve">04121707587</t>
  </si>
  <si>
    <t xml:space="preserve">23466456</t>
  </si>
  <si>
    <t xml:space="preserve">ROSMARY LUCIA</t>
  </si>
  <si>
    <t xml:space="preserve">04126643997</t>
  </si>
  <si>
    <t xml:space="preserve">JOHENDRYS JOSE</t>
  </si>
  <si>
    <t xml:space="preserve">04126659687</t>
  </si>
  <si>
    <t xml:space="preserve">LEIRIANYS DEL CARMEN</t>
  </si>
  <si>
    <t xml:space="preserve">04126256031</t>
  </si>
  <si>
    <t xml:space="preserve">24725888</t>
  </si>
  <si>
    <t xml:space="preserve">DEIRE SUSEJ</t>
  </si>
  <si>
    <t xml:space="preserve">CASA #6, BARRIO MARIO URDANETA 2</t>
  </si>
  <si>
    <t xml:space="preserve">04121742308</t>
  </si>
  <si>
    <t xml:space="preserve">LILIANA HATHERINE</t>
  </si>
  <si>
    <t xml:space="preserve">04165527276</t>
  </si>
  <si>
    <t xml:space="preserve">22455212</t>
  </si>
  <si>
    <t xml:space="preserve">NELSON ALEJANDRO</t>
  </si>
  <si>
    <t xml:space="preserve">13005173</t>
  </si>
  <si>
    <t xml:space="preserve">BERRUETA MORALES</t>
  </si>
  <si>
    <t xml:space="preserve">04123218480</t>
  </si>
  <si>
    <t xml:space="preserve">24952916</t>
  </si>
  <si>
    <t xml:space="preserve">RICHARD SMITH</t>
  </si>
  <si>
    <t xml:space="preserve">RODAS MADUEÑO</t>
  </si>
  <si>
    <t xml:space="preserve">CASA #16B, CAMPO CALIZA</t>
  </si>
  <si>
    <t xml:space="preserve">04126483376</t>
  </si>
  <si>
    <t xml:space="preserve">11393842</t>
  </si>
  <si>
    <t xml:space="preserve">MATHIAS DE JESUS</t>
  </si>
  <si>
    <t xml:space="preserve">LABARCA MIRANDA</t>
  </si>
  <si>
    <t xml:space="preserve">04129444697</t>
  </si>
  <si>
    <t xml:space="preserve">10432371</t>
  </si>
  <si>
    <t xml:space="preserve">VAZQUEZ GONZÁLEZ</t>
  </si>
  <si>
    <t xml:space="preserve">BARRIO 5 DE ENERO, LA PAZ</t>
  </si>
  <si>
    <t xml:space="preserve">04120618459</t>
  </si>
  <si>
    <t xml:space="preserve">18662136</t>
  </si>
  <si>
    <t xml:space="preserve">ALBERT JOSÉ</t>
  </si>
  <si>
    <t xml:space="preserve">CARMONA URDANETA</t>
  </si>
  <si>
    <t xml:space="preserve">MARACIBO</t>
  </si>
  <si>
    <t xml:space="preserve">CAMPO BOYACA, CAS 97-B</t>
  </si>
  <si>
    <t xml:space="preserve">04120725719</t>
  </si>
  <si>
    <t xml:space="preserve">MORALES JIMENEZ</t>
  </si>
  <si>
    <t xml:space="preserve">BARRIOS SAN BENITO</t>
  </si>
  <si>
    <t xml:space="preserve">04126352802</t>
  </si>
  <si>
    <t xml:space="preserve">24249814</t>
  </si>
  <si>
    <t xml:space="preserve">YOSKEIDERLY PAOLA</t>
  </si>
  <si>
    <t xml:space="preserve">04126643217</t>
  </si>
  <si>
    <t xml:space="preserve">ALEYNES CAMILA</t>
  </si>
  <si>
    <t xml:space="preserve">QUIROZ OLVERO</t>
  </si>
  <si>
    <t xml:space="preserve">04</t>
  </si>
  <si>
    <t xml:space="preserve">LEANGELYS VANESSA</t>
  </si>
  <si>
    <t xml:space="preserve">04120778537</t>
  </si>
  <si>
    <t xml:space="preserve">29790969</t>
  </si>
  <si>
    <t xml:space="preserve">04124720131</t>
  </si>
  <si>
    <t xml:space="preserve">JURIANNY VALERIA</t>
  </si>
  <si>
    <t xml:space="preserve">ROMERO CATARÍ</t>
  </si>
  <si>
    <t xml:space="preserve">04126615690</t>
  </si>
  <si>
    <t xml:space="preserve">ALEXANDRA MARÍA</t>
  </si>
  <si>
    <t xml:space="preserve">SECTOR CHINO RAFAEL, CASA 58</t>
  </si>
  <si>
    <t xml:space="preserve">04124768618</t>
  </si>
  <si>
    <t xml:space="preserve">16080038</t>
  </si>
  <si>
    <t xml:space="preserve">04121464599</t>
  </si>
  <si>
    <t xml:space="preserve">CLEIBELIN SOFÍA</t>
  </si>
  <si>
    <t xml:space="preserve">04260488081</t>
  </si>
  <si>
    <t xml:space="preserve">21039596</t>
  </si>
  <si>
    <t xml:space="preserve">CARLOS ALFONSO</t>
  </si>
  <si>
    <t xml:space="preserve">ADRIANZA VILCHEZ</t>
  </si>
  <si>
    <t xml:space="preserve">15195481</t>
  </si>
  <si>
    <t xml:space="preserve">MARIANGELIC MILAGROS</t>
  </si>
  <si>
    <t xml:space="preserve">04121735648</t>
  </si>
  <si>
    <t xml:space="preserve">MARÍA DE LOS ANGELES</t>
  </si>
  <si>
    <t xml:space="preserve">JINMMARY DEL CARMEN</t>
  </si>
  <si>
    <t xml:space="preserve">04269466787</t>
  </si>
  <si>
    <t xml:space="preserve">GENDRY JAVIER</t>
  </si>
  <si>
    <t xml:space="preserve">CARDOZO FUENMAYOR</t>
  </si>
  <si>
    <t xml:space="preserve">04126307363</t>
  </si>
  <si>
    <t xml:space="preserve">17567011</t>
  </si>
  <si>
    <t xml:space="preserve">JUNEILY FRANSHESKA</t>
  </si>
  <si>
    <t xml:space="preserve">04126885642</t>
  </si>
  <si>
    <t xml:space="preserve">27735015</t>
  </si>
  <si>
    <t xml:space="preserve">ISABELLA VIRGINIA</t>
  </si>
  <si>
    <t xml:space="preserve">CAMPO CALIZA CASA Nº 7</t>
  </si>
  <si>
    <t xml:space="preserve">04124787341</t>
  </si>
  <si>
    <t xml:space="preserve">SAMANTHA VIRGINIA</t>
  </si>
  <si>
    <t xml:space="preserve">CAMPO CALIZA Nº 7</t>
  </si>
  <si>
    <t xml:space="preserve">CASTRO MORALES</t>
  </si>
  <si>
    <t xml:space="preserve">SECTOR SAN BENITO, LA PAZ</t>
  </si>
  <si>
    <t xml:space="preserve">23466443</t>
  </si>
  <si>
    <t xml:space="preserve">FARIA FARIAS</t>
  </si>
  <si>
    <t xml:space="preserve">04123769546</t>
  </si>
  <si>
    <t xml:space="preserve">21039789</t>
  </si>
  <si>
    <t xml:space="preserve">COLINA DE LAS AGUAS</t>
  </si>
  <si>
    <t xml:space="preserve">04126527899</t>
  </si>
  <si>
    <t xml:space="preserve">13174804</t>
  </si>
  <si>
    <t xml:space="preserve">04121770342</t>
  </si>
  <si>
    <t xml:space="preserve">19838591</t>
  </si>
  <si>
    <t xml:space="preserve">ARIANNA DE LOS ANGELES</t>
  </si>
  <si>
    <t xml:space="preserve">OLIANNYS SOFIA</t>
  </si>
  <si>
    <t xml:space="preserve">CAMPO BOYACA, CASA Nº 90-A</t>
  </si>
  <si>
    <t xml:space="preserve">04126601293</t>
  </si>
  <si>
    <t xml:space="preserve">NEURIANNY SARAY</t>
  </si>
  <si>
    <t xml:space="preserve">CAMPO YOCOIMA, CASA Nº 1</t>
  </si>
  <si>
    <t xml:space="preserve">DEIMARYS VICTORIA</t>
  </si>
  <si>
    <t xml:space="preserve">04126487692</t>
  </si>
  <si>
    <t xml:space="preserve">JOHENNY SOFIA</t>
  </si>
  <si>
    <t xml:space="preserve">VEGAS PEÑA</t>
  </si>
  <si>
    <t xml:space="preserve">04127850413</t>
  </si>
  <si>
    <t xml:space="preserve">22469544</t>
  </si>
  <si>
    <t xml:space="preserve">000036624444</t>
  </si>
  <si>
    <t xml:space="preserve">GENESIS YIRETH</t>
  </si>
  <si>
    <t xml:space="preserve">SECTOR MARIO URDANETA, CASA Nº 2</t>
  </si>
  <si>
    <t xml:space="preserve">04129650627</t>
  </si>
  <si>
    <t xml:space="preserve">SELEINIMAR PAOLA</t>
  </si>
  <si>
    <t xml:space="preserve">ALBANNY ESTHER</t>
  </si>
  <si>
    <t xml:space="preserve">CAMPO BOYACA, CASA Nº 77-B</t>
  </si>
  <si>
    <t xml:space="preserve">04124732798</t>
  </si>
  <si>
    <t xml:space="preserve">19016784</t>
  </si>
  <si>
    <t xml:space="preserve">DARIANNYS PAOLA</t>
  </si>
  <si>
    <t xml:space="preserve">04121672670</t>
  </si>
  <si>
    <t xml:space="preserve">YULIANIS DEL CARMEN</t>
  </si>
  <si>
    <t xml:space="preserve">04127222657</t>
  </si>
  <si>
    <t xml:space="preserve">MANUELI DEL CARMEN</t>
  </si>
  <si>
    <t xml:space="preserve">15719161</t>
  </si>
  <si>
    <t xml:space="preserve">SARANI SOFIA</t>
  </si>
  <si>
    <t xml:space="preserve">TORRES VARGAS</t>
  </si>
  <si>
    <t xml:space="preserve">04127902746</t>
  </si>
  <si>
    <t xml:space="preserve">STEFANY SOFIA</t>
  </si>
  <si>
    <t xml:space="preserve">FERNANDEZ NEGRETTE</t>
  </si>
  <si>
    <t xml:space="preserve">RAFAEL ALEJANDRO</t>
  </si>
  <si>
    <t xml:space="preserve">04127656895</t>
  </si>
  <si>
    <t xml:space="preserve">ESTEBAN RAFAEL</t>
  </si>
  <si>
    <t xml:space="preserve">ACUÑA OCHOA</t>
  </si>
  <si>
    <t xml:space="preserve">04120780085</t>
  </si>
  <si>
    <t xml:space="preserve">19988107</t>
  </si>
  <si>
    <t xml:space="preserve">ALFONSO ANDRES</t>
  </si>
  <si>
    <t xml:space="preserve">CAMPO BOYACA, CASA Nº 36-B</t>
  </si>
  <si>
    <t xml:space="preserve">13005153</t>
  </si>
  <si>
    <t xml:space="preserve">EDDY JOSE</t>
  </si>
  <si>
    <t xml:space="preserve">CAMPO BOYACA, CASA Nº 70-B</t>
  </si>
  <si>
    <t xml:space="preserve">04127339959</t>
  </si>
  <si>
    <t xml:space="preserve">20834391</t>
  </si>
  <si>
    <t xml:space="preserve">EGLIMAR SARAI</t>
  </si>
  <si>
    <t xml:space="preserve">04127333931</t>
  </si>
  <si>
    <t xml:space="preserve">EMILIANA SOFIA</t>
  </si>
  <si>
    <t xml:space="preserve">BELLOSO MORALES</t>
  </si>
  <si>
    <t xml:space="preserve">09783701</t>
  </si>
  <si>
    <t xml:space="preserve">29778632</t>
  </si>
  <si>
    <t xml:space="preserve">SECTOR LOS CHOURIOS</t>
  </si>
  <si>
    <t xml:space="preserve">04121309900</t>
  </si>
  <si>
    <t xml:space="preserve">EMILIANYELYS SOFIA</t>
  </si>
  <si>
    <t xml:space="preserve">GARCIA SANCHEZ</t>
  </si>
  <si>
    <t xml:space="preserve">+573011445410</t>
  </si>
  <si>
    <t xml:space="preserve">25596102</t>
  </si>
  <si>
    <t xml:space="preserve">MORALES MONTOYA</t>
  </si>
  <si>
    <t xml:space="preserve">04126520854</t>
  </si>
  <si>
    <t xml:space="preserve">23466308</t>
  </si>
  <si>
    <t xml:space="preserve">GELIANNYS VALENTNA</t>
  </si>
  <si>
    <t xml:space="preserve">ROJAS QUINTERO</t>
  </si>
  <si>
    <t xml:space="preserve">04122444265</t>
  </si>
  <si>
    <t xml:space="preserve">23466442</t>
  </si>
  <si>
    <t xml:space="preserve">YERIVER DAVID</t>
  </si>
  <si>
    <t xml:space="preserve">GOMEZ RIVAS</t>
  </si>
  <si>
    <t xml:space="preserve">04128330706</t>
  </si>
  <si>
    <t xml:space="preserve">18081273</t>
  </si>
  <si>
    <t xml:space="preserve">YEILIN NEYELIS</t>
  </si>
  <si>
    <t xml:space="preserve">URDANETA OLIVARES</t>
  </si>
  <si>
    <t xml:space="preserve">04128269277</t>
  </si>
  <si>
    <t xml:space="preserve">ADRIANA CAMILA</t>
  </si>
  <si>
    <t xml:space="preserve">FUENMAYOR VILCHEZ</t>
  </si>
  <si>
    <t xml:space="preserve">04127695906</t>
  </si>
  <si>
    <t xml:space="preserve">20686046</t>
  </si>
  <si>
    <t xml:space="preserve">NATHASHA DALIN</t>
  </si>
  <si>
    <t xml:space="preserve">MATOS OLIVEROS</t>
  </si>
  <si>
    <t xml:space="preserve">04120728324</t>
  </si>
  <si>
    <t xml:space="preserve">22141195</t>
  </si>
  <si>
    <t xml:space="preserve">URDANETA MACHADO</t>
  </si>
  <si>
    <t xml:space="preserve">sector marimonda</t>
  </si>
  <si>
    <t xml:space="preserve">04147372832</t>
  </si>
  <si>
    <t xml:space="preserve">22163949</t>
  </si>
  <si>
    <t xml:space="preserve">04124725303</t>
  </si>
  <si>
    <t xml:space="preserve">YOELIMAR</t>
  </si>
  <si>
    <t xml:space="preserve">CRISBEL ALEJANDRA</t>
  </si>
  <si>
    <t xml:space="preserve">SAMANTHA SMITH</t>
  </si>
  <si>
    <t xml:space="preserve">04127516753</t>
  </si>
  <si>
    <t xml:space="preserve">25439260</t>
  </si>
  <si>
    <t xml:space="preserve">BRENDA PAOLA</t>
  </si>
  <si>
    <t xml:space="preserve">CAMPO COQUIVACIOA</t>
  </si>
  <si>
    <t xml:space="preserve">04127513315</t>
  </si>
  <si>
    <t xml:space="preserve">ARIANYELIS DE LOS ANGELES</t>
  </si>
  <si>
    <t xml:space="preserve">0412</t>
  </si>
  <si>
    <t xml:space="preserve">ESTEBAN NAZARIO</t>
  </si>
  <si>
    <t xml:space="preserve">04121678325</t>
  </si>
  <si>
    <t xml:space="preserve">YOLIANNIS PAOLA</t>
  </si>
  <si>
    <t xml:space="preserve">04124430713</t>
  </si>
  <si>
    <t xml:space="preserve">ROSBELY SOPHIA</t>
  </si>
  <si>
    <t xml:space="preserve">RUSBEIDY ESPERANZA</t>
  </si>
  <si>
    <t xml:space="preserve">04128276023</t>
  </si>
  <si>
    <t xml:space="preserve">29645071</t>
  </si>
  <si>
    <t xml:space="preserve">MELENDEZ BRAVO</t>
  </si>
  <si>
    <t xml:space="preserve">RUTH NOHEMI</t>
  </si>
  <si>
    <t xml:space="preserve">PEÑA FUENTES</t>
  </si>
  <si>
    <t xml:space="preserve">barrio el colorao</t>
  </si>
  <si>
    <t xml:space="preserve">04246221209</t>
  </si>
  <si>
    <t xml:space="preserve">16120055</t>
  </si>
  <si>
    <t xml:space="preserve">KARLA SOFIA</t>
  </si>
  <si>
    <t xml:space="preserve">LOZANO FUENMAYOR</t>
  </si>
  <si>
    <t xml:space="preserve">04261618805</t>
  </si>
  <si>
    <t xml:space="preserve">23769228</t>
  </si>
  <si>
    <t xml:space="preserve">ARBELIS DEL CARMEN</t>
  </si>
  <si>
    <t xml:space="preserve">04225003843</t>
  </si>
  <si>
    <t xml:space="preserve">19706367</t>
  </si>
  <si>
    <t xml:space="preserve">RIVERA VILLALOBOS</t>
  </si>
  <si>
    <t xml:space="preserve">04123561735</t>
  </si>
  <si>
    <t xml:space="preserve">25883890</t>
  </si>
  <si>
    <t xml:space="preserve">04246621111</t>
  </si>
  <si>
    <t xml:space="preserve">DAIRELIS CAROLINA</t>
  </si>
  <si>
    <t xml:space="preserve">MORENO ROCHA</t>
  </si>
  <si>
    <t xml:space="preserve">04123888415</t>
  </si>
  <si>
    <t xml:space="preserve">LEANGELI SOFIA</t>
  </si>
  <si>
    <t xml:space="preserve">ELISMANUEL JOSE</t>
  </si>
  <si>
    <t xml:space="preserve">FUENMAYOR QUINTERO</t>
  </si>
  <si>
    <t xml:space="preserve">04125032624</t>
  </si>
  <si>
    <t xml:space="preserve">25979267</t>
  </si>
  <si>
    <t xml:space="preserve">ELISMARY PAOLA</t>
  </si>
  <si>
    <t xml:space="preserve">MARIANGEL SOFIA</t>
  </si>
  <si>
    <t xml:space="preserve">04129570471</t>
  </si>
  <si>
    <t xml:space="preserve">DENYER JOSE</t>
  </si>
  <si>
    <t xml:space="preserve">YENLIMAR ELIZA</t>
  </si>
  <si>
    <t xml:space="preserve">04128933801</t>
  </si>
  <si>
    <t xml:space="preserve">ANGELIS PAOLA</t>
  </si>
  <si>
    <t xml:space="preserve">04122288827</t>
  </si>
  <si>
    <t xml:space="preserve">YULEIDYS PAOLA</t>
  </si>
  <si>
    <t xml:space="preserve">POLO MACHADO</t>
  </si>
  <si>
    <t xml:space="preserve">04121278272</t>
  </si>
  <si>
    <t xml:space="preserve">23753792</t>
  </si>
  <si>
    <t xml:space="preserve">SILIETH BARRETO</t>
  </si>
  <si>
    <t xml:space="preserve">04127628871</t>
  </si>
  <si>
    <t xml:space="preserve">04126643039</t>
  </si>
  <si>
    <t xml:space="preserve">000016457754</t>
  </si>
  <si>
    <t xml:space="preserve">LISBANIA CHIQUINQUIRA</t>
  </si>
  <si>
    <t xml:space="preserve">000023769200</t>
  </si>
  <si>
    <t xml:space="preserve">MILANGEL JHOANA</t>
  </si>
  <si>
    <t xml:space="preserve">MICHEILIS DEL CARMEN</t>
  </si>
  <si>
    <t xml:space="preserve">PADRON OLIVEROS</t>
  </si>
  <si>
    <t xml:space="preserve">04124786820</t>
  </si>
  <si>
    <t xml:space="preserve">17938286</t>
  </si>
  <si>
    <t xml:space="preserve">LEORIANNYS SOFIA</t>
  </si>
  <si>
    <t xml:space="preserve">04127133875</t>
  </si>
  <si>
    <t xml:space="preserve">ARGELIANNY</t>
  </si>
  <si>
    <t xml:space="preserve">04127386423</t>
  </si>
  <si>
    <t xml:space="preserve">YULIETH VANESSA</t>
  </si>
  <si>
    <t xml:space="preserve">PELEY VILLALOBOS</t>
  </si>
  <si>
    <t xml:space="preserve">BARRIO MARIO URDANTEA</t>
  </si>
  <si>
    <t xml:space="preserve">20833989</t>
  </si>
  <si>
    <t xml:space="preserve">JHODELVIS MOISES</t>
  </si>
  <si>
    <t xml:space="preserve">20371881</t>
  </si>
  <si>
    <t xml:space="preserve">ADRIANNY SOFIA</t>
  </si>
  <si>
    <t xml:space="preserve">QUIVA URDANETA</t>
  </si>
  <si>
    <t xml:space="preserve">19811119</t>
  </si>
  <si>
    <t xml:space="preserve">PAOLA ANDREA</t>
  </si>
  <si>
    <t xml:space="preserve">FERRER ECHETO</t>
  </si>
  <si>
    <t xml:space="preserve">04123569779</t>
  </si>
  <si>
    <t xml:space="preserve">19988757</t>
  </si>
  <si>
    <t xml:space="preserve">BRISANA ISABEL</t>
  </si>
  <si>
    <t xml:space="preserve">VILLASMIL ZARRAGA</t>
  </si>
  <si>
    <t xml:space="preserve">04122062043</t>
  </si>
  <si>
    <t xml:space="preserve">19989239</t>
  </si>
  <si>
    <t xml:space="preserve">04246432152</t>
  </si>
  <si>
    <t xml:space="preserve">SARA MARIAN</t>
  </si>
  <si>
    <t xml:space="preserve">11287577</t>
  </si>
  <si>
    <t xml:space="preserve">GONZALEZ CASTEJON</t>
  </si>
  <si>
    <t xml:space="preserve">04125400296</t>
  </si>
  <si>
    <t xml:space="preserve">ANGELICA MASSIEL</t>
  </si>
  <si>
    <t xml:space="preserve">04121026871</t>
  </si>
  <si>
    <t xml:space="preserve">MARIANGELIS LISSETH</t>
  </si>
  <si>
    <t xml:space="preserve">04121744566</t>
  </si>
  <si>
    <t xml:space="preserve">12257478</t>
  </si>
  <si>
    <t xml:space="preserve">GILBELYS MICHELL</t>
  </si>
  <si>
    <t xml:space="preserve">PALMAR BRAVO</t>
  </si>
  <si>
    <t xml:space="preserve">04264680692</t>
  </si>
  <si>
    <t xml:space="preserve">15889860</t>
  </si>
  <si>
    <t xml:space="preserve">DARIANGELYS GISSEL</t>
  </si>
  <si>
    <t xml:space="preserve">04126566290</t>
  </si>
  <si>
    <t xml:space="preserve">ANYERBE JESUS</t>
  </si>
  <si>
    <t xml:space="preserve">04123562345</t>
  </si>
  <si>
    <t xml:space="preserve">ADRIANY SOFIA</t>
  </si>
  <si>
    <t xml:space="preserve">YA</t>
  </si>
  <si>
    <t xml:space="preserve">04121326071</t>
  </si>
  <si>
    <t xml:space="preserve">20685679</t>
  </si>
  <si>
    <t xml:space="preserve">DIEYMER MATHIAS</t>
  </si>
  <si>
    <t xml:space="preserve">GARRILLO VERA</t>
  </si>
  <si>
    <t xml:space="preserve">ROBERTO FUNEMAYOR</t>
  </si>
  <si>
    <t xml:space="preserve">04126588987</t>
  </si>
  <si>
    <t xml:space="preserve">19016818</t>
  </si>
  <si>
    <t xml:space="preserve">04124873668</t>
  </si>
  <si>
    <t xml:space="preserve">20835057</t>
  </si>
  <si>
    <t xml:space="preserve">CALLE LAS FLORES SECTOR LA BOMBA</t>
  </si>
  <si>
    <t xml:space="preserve">0412-1737462</t>
  </si>
  <si>
    <t xml:space="preserve">SOPHIA ESTHER</t>
  </si>
  <si>
    <t xml:space="preserve">BRACHO OLIVEROS</t>
  </si>
  <si>
    <t xml:space="preserve">LA PAZ, BARRIO 5 DE ENERO</t>
  </si>
  <si>
    <t xml:space="preserve">0412-1727416</t>
  </si>
  <si>
    <t xml:space="preserve">GRENYELIS SUSANA</t>
  </si>
  <si>
    <t xml:space="preserve">TIGRERA FINOL</t>
  </si>
  <si>
    <t xml:space="preserve">0412-6517493</t>
  </si>
  <si>
    <t xml:space="preserve">23770243</t>
  </si>
  <si>
    <t xml:space="preserve">VALERI SINAYTH</t>
  </si>
  <si>
    <t xml:space="preserve">ESCANDELA NAVARRO</t>
  </si>
  <si>
    <t xml:space="preserve">0412-1714758</t>
  </si>
  <si>
    <t xml:space="preserve">20508347</t>
  </si>
  <si>
    <t xml:space="preserve">ANGEL JOSÈ</t>
  </si>
  <si>
    <t xml:space="preserve">CHAVEZ OLIVEROS</t>
  </si>
  <si>
    <t xml:space="preserve">SANFRANCISCO</t>
  </si>
  <si>
    <t xml:space="preserve">SECTOR BARRIO MARIO URDANETA</t>
  </si>
  <si>
    <t xml:space="preserve">0412-4786820</t>
  </si>
  <si>
    <t xml:space="preserve">MILAGRO VICTORIA</t>
  </si>
  <si>
    <t xml:space="preserve">RIVAS NEGRETTE</t>
  </si>
  <si>
    <t xml:space="preserve">+56934595185</t>
  </si>
  <si>
    <t xml:space="preserve">ADRIANYELIS CAROLINA</t>
  </si>
  <si>
    <t xml:space="preserve">25680333</t>
  </si>
  <si>
    <t xml:space="preserve">FINOL FARIA</t>
  </si>
  <si>
    <t xml:space="preserve">+57 3127972650</t>
  </si>
  <si>
    <t xml:space="preserve">20834480</t>
  </si>
  <si>
    <t xml:space="preserve">JOHANI CHIQUINQUIRA</t>
  </si>
  <si>
    <t xml:space="preserve">AVENIDA PRINCIPAL SECTOR LA CONQUISTA</t>
  </si>
  <si>
    <t xml:space="preserve">0416-0696683</t>
  </si>
  <si>
    <t xml:space="preserve">ALAN ENRIQUE</t>
  </si>
  <si>
    <t xml:space="preserve">MACHADO URDANETA</t>
  </si>
  <si>
    <t xml:space="preserve">25596497</t>
  </si>
  <si>
    <t xml:space="preserve">YIRLETT</t>
  </si>
  <si>
    <t xml:space="preserve">BERRUETA BRACHO</t>
  </si>
  <si>
    <t xml:space="preserve">0412-4484930</t>
  </si>
  <si>
    <t xml:space="preserve">25855310</t>
  </si>
  <si>
    <t xml:space="preserve">JOHEL ANGEL</t>
  </si>
  <si>
    <t xml:space="preserve">SUAREZ BOSCAN</t>
  </si>
  <si>
    <t xml:space="preserve">0412-5080452</t>
  </si>
  <si>
    <t xml:space="preserve">25883743</t>
  </si>
  <si>
    <t xml:space="preserve">WILMEIDY MARIA</t>
  </si>
  <si>
    <t xml:space="preserve">JESUS ENRIQUE LOSSDA</t>
  </si>
  <si>
    <t xml:space="preserve">CARLA SOFIA</t>
  </si>
  <si>
    <t xml:space="preserve">0412-6569501</t>
  </si>
  <si>
    <t xml:space="preserve">0412-7853750</t>
  </si>
  <si>
    <t xml:space="preserve">19811180</t>
  </si>
  <si>
    <t xml:space="preserve">SANTIAGO ANTONIO</t>
  </si>
  <si>
    <t xml:space="preserve">0412-4393683</t>
  </si>
  <si>
    <t xml:space="preserve">DAYERLIN DANIELA</t>
  </si>
  <si>
    <t xml:space="preserve">BERRUETA NUÑEZ</t>
  </si>
  <si>
    <t xml:space="preserve">0412-2041069</t>
  </si>
  <si>
    <t xml:space="preserve">23770201</t>
  </si>
  <si>
    <t xml:space="preserve">JEDIAEL ISMAEL</t>
  </si>
  <si>
    <t xml:space="preserve">0416-6505093</t>
  </si>
  <si>
    <t xml:space="preserve">JESUS SANTIAGO</t>
  </si>
  <si>
    <t xml:space="preserve">0412-5807514</t>
  </si>
  <si>
    <t xml:space="preserve">DAYESLIN SOFIA</t>
  </si>
  <si>
    <t xml:space="preserve">+57 3022821794</t>
  </si>
  <si>
    <t xml:space="preserve">21037559</t>
  </si>
  <si>
    <t xml:space="preserve">0412-0708168</t>
  </si>
  <si>
    <t xml:space="preserve">DEILIANNYS DEL CARMEN</t>
  </si>
  <si>
    <t xml:space="preserve">04***</t>
  </si>
  <si>
    <t xml:space="preserve">30489586</t>
  </si>
  <si>
    <t xml:space="preserve">ARIANNY ANGELICA</t>
  </si>
  <si>
    <t xml:space="preserve">0426-2744065</t>
  </si>
  <si>
    <t xml:space="preserve">24510921</t>
  </si>
  <si>
    <t xml:space="preserve">NUÑEZ QUINTERO</t>
  </si>
  <si>
    <t xml:space="preserve">.</t>
  </si>
  <si>
    <t xml:space="preserve">JUAN JOSÉ</t>
  </si>
  <si>
    <t xml:space="preserve">MAYOR PALOMINO</t>
  </si>
  <si>
    <t xml:space="preserve">0412-1260947</t>
  </si>
  <si>
    <t xml:space="preserve">24250404</t>
  </si>
  <si>
    <t xml:space="preserve">JEIXIBEL CHIQUINQUIRA</t>
  </si>
  <si>
    <t xml:space="preserve">LA PAZ SECTOR MARIMONDA</t>
  </si>
  <si>
    <t xml:space="preserve">0412-1294360</t>
  </si>
  <si>
    <t xml:space="preserve">AYSKELL PAOLA</t>
  </si>
  <si>
    <t xml:space="preserve">GIRARDOT</t>
  </si>
  <si>
    <t xml:space="preserve">AVENIDA PRINCIPAL LA CONQUISTA</t>
  </si>
  <si>
    <t xml:space="preserve">+57 3148595318</t>
  </si>
  <si>
    <t xml:space="preserve">000017086404</t>
  </si>
  <si>
    <t xml:space="preserve">FERNANDEZ PARRA</t>
  </si>
  <si>
    <t xml:space="preserve">000017636743</t>
  </si>
  <si>
    <t xml:space="preserve">JOHAN RAMON</t>
  </si>
  <si>
    <t xml:space="preserve">BOHORQUEZ DELGADO</t>
  </si>
  <si>
    <t xml:space="preserve">LA CONCEPCIOÒN</t>
  </si>
  <si>
    <t xml:space="preserve">MARIA ISABEL</t>
  </si>
  <si>
    <t xml:space="preserve">NO POSEE</t>
  </si>
  <si>
    <t xml:space="preserve">000018874084</t>
  </si>
  <si>
    <t xml:space="preserve">YOANA KATERIN</t>
  </si>
  <si>
    <t xml:space="preserve">MAARACAIBO</t>
  </si>
  <si>
    <t xml:space="preserve">NELLYANGELA ESTHER</t>
  </si>
  <si>
    <t xml:space="preserve">ROMERO ZAMBRANO</t>
  </si>
  <si>
    <t xml:space="preserve">LEXIMAR ESTHER</t>
  </si>
  <si>
    <t xml:space="preserve">0412-6480744</t>
  </si>
  <si>
    <t xml:space="preserve">LABARCA CASTRO</t>
  </si>
  <si>
    <t xml:space="preserve">LA PAZ, SECTOR SAN BENITO</t>
  </si>
  <si>
    <t xml:space="preserve">0412-7385844</t>
  </si>
  <si>
    <t xml:space="preserve">21509560</t>
  </si>
  <si>
    <t xml:space="preserve">FRANYI PAOLA</t>
  </si>
  <si>
    <t xml:space="preserve">0412-8233731</t>
  </si>
  <si>
    <t xml:space="preserve">IDILANYS MARIA</t>
  </si>
  <si>
    <t xml:space="preserve">LA PAZ, SECTOR MARIO URDANETA</t>
  </si>
  <si>
    <t xml:space="preserve">JEAN JOSÈ</t>
  </si>
  <si>
    <t xml:space="preserve">0412-4715144</t>
  </si>
  <si>
    <t xml:space="preserve">0422-0018333</t>
  </si>
  <si>
    <t xml:space="preserve">ANGELIS GABRIELA</t>
  </si>
  <si>
    <t xml:space="preserve">+573234703938</t>
  </si>
  <si>
    <t xml:space="preserve">23460028</t>
  </si>
  <si>
    <t xml:space="preserve">FERNANDA CRISTINA</t>
  </si>
  <si>
    <t xml:space="preserve">0412-9602704</t>
  </si>
  <si>
    <t xml:space="preserve">18283604</t>
  </si>
  <si>
    <t xml:space="preserve">VICTORIA FERNANDA</t>
  </si>
  <si>
    <t xml:space="preserve">0412-6757255</t>
  </si>
  <si>
    <t xml:space="preserve">0412-6509804</t>
  </si>
  <si>
    <t xml:space="preserve">ECHEVERRIA ROMERO</t>
  </si>
  <si>
    <t xml:space="preserve">0412-4705998</t>
  </si>
  <si>
    <t xml:space="preserve">20834403</t>
  </si>
  <si>
    <t xml:space="preserve">DARWIN JUNIOR</t>
  </si>
  <si>
    <t xml:space="preserve">GONZALEZ PADRON</t>
  </si>
  <si>
    <t xml:space="preserve">0412-4296903</t>
  </si>
  <si>
    <t xml:space="preserve">18823628</t>
  </si>
  <si>
    <t xml:space="preserve">000016623632</t>
  </si>
  <si>
    <t xml:space="preserve">GERALINA DEL CARMEN</t>
  </si>
  <si>
    <t xml:space="preserve">SECTOR LA CONQUISTA, CASA S/N</t>
  </si>
  <si>
    <t xml:space="preserve">000015889487</t>
  </si>
  <si>
    <t xml:space="preserve">MAYELYN DEL CARMEN</t>
  </si>
  <si>
    <t xml:space="preserve">DEILIMAR KLARETH</t>
  </si>
  <si>
    <t xml:space="preserve">LA PAZ, SECTOR CHINITOP RAFAEL</t>
  </si>
  <si>
    <t xml:space="preserve">18662051</t>
  </si>
  <si>
    <t xml:space="preserve">REINA YOMARI</t>
  </si>
  <si>
    <t xml:space="preserve">OROZCO DIAZ</t>
  </si>
  <si>
    <t xml:space="preserve">04262008608</t>
  </si>
  <si>
    <t xml:space="preserve">21230514</t>
  </si>
  <si>
    <t xml:space="preserve">KEIVIS JOSUE</t>
  </si>
  <si>
    <t xml:space="preserve">000014544411</t>
  </si>
  <si>
    <t xml:space="preserve">JOSSELIN GREGORIA</t>
  </si>
  <si>
    <t xml:space="preserve">04246699276</t>
  </si>
  <si>
    <t xml:space="preserve">000020059365</t>
  </si>
  <si>
    <t xml:space="preserve">YONDRY JOSE</t>
  </si>
  <si>
    <t xml:space="preserve">PARCELAS DEL LABERINTO</t>
  </si>
  <si>
    <t xml:space="preserve">04127891896</t>
  </si>
  <si>
    <t xml:space="preserve">FERNANDEZ CASTILLO</t>
  </si>
  <si>
    <t xml:space="preserve">campo caucaguita</t>
  </si>
  <si>
    <t xml:space="preserve">05851418</t>
  </si>
  <si>
    <t xml:space="preserve">LUINYERBER JOSUE</t>
  </si>
  <si>
    <t xml:space="preserve">000023769887</t>
  </si>
  <si>
    <t xml:space="preserve">ELIANIS COROMOTO</t>
  </si>
  <si>
    <t xml:space="preserve">FERNANDEZ VILLAMIZAR</t>
  </si>
  <si>
    <t xml:space="preserve">LA PAZ, SECTOR 5 DE ENERO</t>
  </si>
  <si>
    <t xml:space="preserve">0412-3999843</t>
  </si>
  <si>
    <t xml:space="preserve">000023466447</t>
  </si>
  <si>
    <t xml:space="preserve">PAOLA CRISTINA</t>
  </si>
  <si>
    <t xml:space="preserve">CHAVEZ HERRERA</t>
  </si>
  <si>
    <t xml:space="preserve">JESUS ENRIQUE LOSSASA</t>
  </si>
  <si>
    <t xml:space="preserve">NARLENY DEL CARMEN</t>
  </si>
  <si>
    <t xml:space="preserve">000029169595</t>
  </si>
  <si>
    <t xml:space="preserve">0412*********</t>
  </si>
  <si>
    <t xml:space="preserve">000013627108</t>
  </si>
  <si>
    <t xml:space="preserve">WILLIAN ALBERTO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</si>
</sst>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#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Calibri"/>
      <family val="2"/>
      <charset val="1"/>
    </font>
    <font>
      <b val="true"/>
      <sz val="7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72"/>
  <sheetViews>
    <sheetView showFormulas="false" showGridLines="true" showRowColHeaders="true" showZeros="true" rightToLeft="false" tabSelected="true" showOutlineSymbols="true" defaultGridColor="true" view="normal" topLeftCell="K1" colorId="64" zoomScale="120" zoomScaleNormal="120" zoomScalePageLayoutView="100" workbookViewId="0">
      <selection pane="topLeft" activeCell="P2" activeCellId="0" sqref="P2:P67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4" min="4" style="0" width="16.69"/>
    <col collapsed="false" customWidth="true" hidden="false" outlineLevel="0" max="8" min="8" style="0" width="24.34"/>
  </cols>
  <sheetData>
    <row r="1" customFormat="false" ht="17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</row>
    <row r="2" s="10" customFormat="true" ht="14.9" hidden="false" customHeight="fals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6" t="n">
        <v>45922</v>
      </c>
      <c r="F2" s="2" t="n">
        <f aca="false">IFERROR(VLOOKUP(TRIM($D2), Hoja4_2!$A$2:$L$10000, 4, 0), "Revisar")</f>
        <v>41539</v>
      </c>
      <c r="G2" s="7" t="str">
        <f aca="false">IFERROR(VLOOKUP(TRIM($D2), Hoja4_2!$A$2:$L$10000, 5, 0), "Revisar")</f>
        <v>FEMENINO</v>
      </c>
      <c r="H2" s="7" t="str">
        <f aca="false">IFERROR(VLOOKUP(TRIM($D2), Hoja4_2!$A$2:$L$10000, 7, 0), "Revisar")</f>
        <v>MARACAIBO</v>
      </c>
      <c r="I2" s="7" t="str">
        <f aca="false">IFERROR(VLOOKUP(TRIM($D2), Hoja4_2!$A$2:$L$10000, 9, 0), "Revisar")</f>
        <v>ZU</v>
      </c>
      <c r="J2" s="7" t="str">
        <f aca="false">IFERROR(VLOOKUP(TRIM($D2), Hoja4_2!$A$2:$L$10000, 12, 0), "Revisar")</f>
        <v>16080038</v>
      </c>
      <c r="K2" s="8" t="str">
        <f aca="false">TEXT(TRIM(D2),"0")</f>
        <v>34914190</v>
      </c>
      <c r="L2" s="1" t="str">
        <f aca="false">IF(F2="Revisar","NULL",CONCATENATE("'",TEXT(F2,"yyyy-mm-dd"),"'"))</f>
        <v>'2013-09-22'</v>
      </c>
      <c r="M2" s="9" t="str">
        <f aca="false">IF(G2="Revisar","NULL",CONCATENATE("'",MID(G2,1,1),"'"))</f>
        <v>'F'</v>
      </c>
      <c r="N2" s="9" t="str">
        <f aca="false">IF(H2="Revisar","NULL",CONCATENATE("'",H2,"'"))</f>
        <v>'MARACAIBO'</v>
      </c>
      <c r="O2" s="9" t="str">
        <f aca="false">IF(I2="Revisar","NULL",CONCATENATE("'",I2,"'"))</f>
        <v>'ZU'</v>
      </c>
      <c r="P2" s="1" t="str">
        <f aca="false">"UPDATE estudiantes SET fecha_nacimiento="&amp;L2&amp;", sexo="&amp;M2&amp;", lugar_nacimiento="&amp;N2&amp;", entidad_federal="&amp;O2&amp;" WHERE cedula='"&amp;K2&amp;"';"</f>
        <v>UPDATE estudiantes SET fecha_nacimiento='2013-09-22', sexo='F', lugar_nacimiento='MARACAIBO', entidad_federal='ZU' WHERE cedula='34914190';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14.9" hidden="false" customHeight="false" outlineLevel="0" collapsed="false">
      <c r="A3" s="1" t="s">
        <v>15</v>
      </c>
      <c r="B3" s="1" t="s">
        <v>16</v>
      </c>
      <c r="C3" s="1" t="s">
        <v>17</v>
      </c>
      <c r="D3" s="1" t="s">
        <v>19</v>
      </c>
      <c r="E3" s="2" t="n">
        <v>45922</v>
      </c>
      <c r="F3" s="2" t="n">
        <f aca="false">IFERROR(VLOOKUP(TRIM($D3), Hoja4_2!$A$2:$L$10000, 4, 0), "Revisar")</f>
        <v>41413</v>
      </c>
      <c r="G3" s="7" t="str">
        <f aca="false">IFERROR(VLOOKUP(TRIM($D3), Hoja4_2!$A$2:$L$10000, 5, 0), "Revisar")</f>
        <v>FEMENINO</v>
      </c>
      <c r="H3" s="7" t="str">
        <f aca="false">IFERROR(VLOOKUP(TRIM($D3), Hoja4_2!$A$2:$L$10000, 7, 0), "Revisar")</f>
        <v>MARACAIBO</v>
      </c>
      <c r="I3" s="7" t="str">
        <f aca="false">IFERROR(VLOOKUP(TRIM($D3), Hoja4_2!$A$2:$L$10000, 9, 0), "Revisar")</f>
        <v>ZU</v>
      </c>
      <c r="J3" s="7" t="str">
        <f aca="false">IFERROR(VLOOKUP(TRIM($D3), Hoja4_2!$A$2:$L$10000, 12, 0), "Revisar")</f>
        <v>21039596</v>
      </c>
      <c r="K3" s="8" t="str">
        <f aca="false">TEXT(TRIM(D3),"0")</f>
        <v>35178783</v>
      </c>
      <c r="L3" s="1" t="str">
        <f aca="false">IF(F3="Revisar","NULL",CONCATENATE("'",TEXT(F3,"yyyy-mm-dd"),"'"))</f>
        <v>'2013-05-19'</v>
      </c>
      <c r="M3" s="9" t="str">
        <f aca="false">IF(G3="Revisar","NULL",CONCATENATE("'",MID(G3,1,1),"'"))</f>
        <v>'F'</v>
      </c>
      <c r="N3" s="9" t="str">
        <f aca="false">IF(H3="Revisar","NULL",CONCATENATE("'",H3,"'"))</f>
        <v>'MARACAIBO'</v>
      </c>
      <c r="O3" s="9" t="str">
        <f aca="false">IF(I3="Revisar","NULL",CONCATENATE("'",I3,"'"))</f>
        <v>'ZU'</v>
      </c>
      <c r="P3" s="1" t="str">
        <f aca="false">"UPDATE estudiantes SET fecha_nacimiento="&amp;L3&amp;", sexo="&amp;M3&amp;", lugar_nacimiento="&amp;N3&amp;", entidad_federal="&amp;O3&amp;" WHERE cedula='"&amp;K3&amp;"';"</f>
        <v>UPDATE estudiantes SET fecha_nacimiento='2013-05-19', sexo='F', lugar_nacimiento='MARACAIBO', entidad_federal='ZU' WHERE cedula='35178783';</v>
      </c>
    </row>
    <row r="4" customFormat="false" ht="14.9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20</v>
      </c>
      <c r="E4" s="2" t="n">
        <v>45922</v>
      </c>
      <c r="F4" s="2" t="n">
        <f aca="false">IFERROR(VLOOKUP(TRIM($D4), Hoja4_2!$A$2:$L$10000, 4, 0), "Revisar")</f>
        <v>41492</v>
      </c>
      <c r="G4" s="7" t="str">
        <f aca="false">IFERROR(VLOOKUP(TRIM($D4), Hoja4_2!$A$2:$L$10000, 5, 0), "Revisar")</f>
        <v>MASCULINO</v>
      </c>
      <c r="H4" s="7" t="str">
        <f aca="false">IFERROR(VLOOKUP(TRIM($D4), Hoja4_2!$A$2:$L$10000, 7, 0), "Revisar")</f>
        <v>MARACAIBO</v>
      </c>
      <c r="I4" s="7" t="str">
        <f aca="false">IFERROR(VLOOKUP(TRIM($D4), Hoja4_2!$A$2:$L$10000, 9, 0), "Revisar")</f>
        <v>ZU</v>
      </c>
      <c r="J4" s="7" t="str">
        <f aca="false">IFERROR(VLOOKUP(TRIM($D4), Hoja4_2!$A$2:$L$10000, 12, 0), "Revisar")</f>
        <v>13005173</v>
      </c>
      <c r="K4" s="8" t="str">
        <f aca="false">TEXT(TRIM(D4),"0")</f>
        <v>35178802</v>
      </c>
      <c r="L4" s="1" t="str">
        <f aca="false">IF(F4="Revisar","NULL",CONCATENATE("'",TEXT(F4,"yyyy-mm-dd"),"'"))</f>
        <v>'2013-08-06'</v>
      </c>
      <c r="M4" s="9" t="str">
        <f aca="false">IF(G4="Revisar","NULL",CONCATENATE("'",MID(G4,1,1),"'"))</f>
        <v>'M'</v>
      </c>
      <c r="N4" s="9" t="str">
        <f aca="false">IF(H4="Revisar","NULL",CONCATENATE("'",H4,"'"))</f>
        <v>'MARACAIBO'</v>
      </c>
      <c r="O4" s="9" t="str">
        <f aca="false">IF(I4="Revisar","NULL",CONCATENATE("'",I4,"'"))</f>
        <v>'ZU'</v>
      </c>
      <c r="P4" s="1" t="str">
        <f aca="false">"UPDATE estudiantes SET fecha_nacimiento="&amp;L4&amp;", sexo="&amp;M4&amp;", lugar_nacimiento="&amp;N4&amp;", entidad_federal="&amp;O4&amp;" WHERE cedula='"&amp;K4&amp;"';"</f>
        <v>UPDATE estudiantes SET fecha_nacimiento='2013-08-06', sexo='M', lugar_nacimiento='MARACAIBO', entidad_federal='ZU' WHERE cedula='35178802';</v>
      </c>
    </row>
    <row r="5" customFormat="false" ht="14.9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21</v>
      </c>
      <c r="E5" s="2" t="n">
        <v>45922</v>
      </c>
      <c r="F5" s="2" t="n">
        <f aca="false">IFERROR(VLOOKUP(TRIM($D5), Hoja4_2!$A$2:$L$10000, 4, 0), "Revisar")</f>
        <v>41491</v>
      </c>
      <c r="G5" s="7" t="str">
        <f aca="false">IFERROR(VLOOKUP(TRIM($D5), Hoja4_2!$A$2:$L$10000, 5, 0), "Revisar")</f>
        <v>FEMENINO</v>
      </c>
      <c r="H5" s="7" t="str">
        <f aca="false">IFERROR(VLOOKUP(TRIM($D5), Hoja4_2!$A$2:$L$10000, 7, 0), "Revisar")</f>
        <v>MARACAIBO</v>
      </c>
      <c r="I5" s="7" t="str">
        <f aca="false">IFERROR(VLOOKUP(TRIM($D5), Hoja4_2!$A$2:$L$10000, 9, 0), "Revisar")</f>
        <v>ZU</v>
      </c>
      <c r="J5" s="7" t="str">
        <f aca="false">IFERROR(VLOOKUP(TRIM($D5), Hoja4_2!$A$2:$L$10000, 12, 0), "Revisar")</f>
        <v>16016439</v>
      </c>
      <c r="K5" s="8" t="str">
        <f aca="false">TEXT(TRIM(D5),"0")</f>
        <v>35182532</v>
      </c>
      <c r="L5" s="1" t="str">
        <f aca="false">IF(F5="Revisar","NULL",CONCATENATE("'",TEXT(F5,"yyyy-mm-dd"),"'"))</f>
        <v>'2013-08-05'</v>
      </c>
      <c r="M5" s="9" t="str">
        <f aca="false">IF(G5="Revisar","NULL",CONCATENATE("'",MID(G5,1,1),"'"))</f>
        <v>'F'</v>
      </c>
      <c r="N5" s="9" t="str">
        <f aca="false">IF(H5="Revisar","NULL",CONCATENATE("'",H5,"'"))</f>
        <v>'MARACAIBO'</v>
      </c>
      <c r="O5" s="9" t="str">
        <f aca="false">IF(I5="Revisar","NULL",CONCATENATE("'",I5,"'"))</f>
        <v>'ZU'</v>
      </c>
      <c r="P5" s="1" t="str">
        <f aca="false">"UPDATE estudiantes SET fecha_nacimiento="&amp;L5&amp;", sexo="&amp;M5&amp;", lugar_nacimiento="&amp;N5&amp;", entidad_federal="&amp;O5&amp;" WHERE cedula='"&amp;K5&amp;"';"</f>
        <v>UPDATE estudiantes SET fecha_nacimiento='2013-08-05', sexo='F', lugar_nacimiento='MARACAIBO', entidad_federal='ZU' WHERE cedula='35182532';</v>
      </c>
    </row>
    <row r="6" customFormat="false" ht="14.9" hidden="false" customHeight="false" outlineLevel="0" collapsed="false">
      <c r="A6" s="1" t="s">
        <v>15</v>
      </c>
      <c r="B6" s="1" t="s">
        <v>16</v>
      </c>
      <c r="C6" s="1" t="s">
        <v>17</v>
      </c>
      <c r="D6" s="1" t="s">
        <v>22</v>
      </c>
      <c r="E6" s="2" t="n">
        <v>45922</v>
      </c>
      <c r="F6" s="2" t="n">
        <f aca="false">IFERROR(VLOOKUP(TRIM($D6), Hoja4_2!$A$2:$L$10000, 4, 0), "Revisar")</f>
        <v>41529</v>
      </c>
      <c r="G6" s="7" t="str">
        <f aca="false">IFERROR(VLOOKUP(TRIM($D6), Hoja4_2!$A$2:$L$10000, 5, 0), "Revisar")</f>
        <v>FEMENINO</v>
      </c>
      <c r="H6" s="7" t="str">
        <f aca="false">IFERROR(VLOOKUP(TRIM($D6), Hoja4_2!$A$2:$L$10000, 7, 0), "Revisar")</f>
        <v>MARACAIBO</v>
      </c>
      <c r="I6" s="7" t="str">
        <f aca="false">IFERROR(VLOOKUP(TRIM($D6), Hoja4_2!$A$2:$L$10000, 9, 0), "Revisar")</f>
        <v>ZU</v>
      </c>
      <c r="J6" s="7" t="str">
        <f aca="false">IFERROR(VLOOKUP(TRIM($D6), Hoja4_2!$A$2:$L$10000, 12, 0), "Revisar")</f>
        <v>20842771</v>
      </c>
      <c r="K6" s="8" t="str">
        <f aca="false">TEXT(TRIM(D6),"0")</f>
        <v>36217814</v>
      </c>
      <c r="L6" s="1" t="str">
        <f aca="false">IF(F6="Revisar","NULL",CONCATENATE("'",TEXT(F6,"yyyy-mm-dd"),"'"))</f>
        <v>'2013-09-12'</v>
      </c>
      <c r="M6" s="9" t="str">
        <f aca="false">IF(G6="Revisar","NULL",CONCATENATE("'",MID(G6,1,1),"'"))</f>
        <v>'F'</v>
      </c>
      <c r="N6" s="9" t="str">
        <f aca="false">IF(H6="Revisar","NULL",CONCATENATE("'",H6,"'"))</f>
        <v>'MARACAIBO'</v>
      </c>
      <c r="O6" s="9" t="str">
        <f aca="false">IF(I6="Revisar","NULL",CONCATENATE("'",I6,"'"))</f>
        <v>'ZU'</v>
      </c>
      <c r="P6" s="1" t="str">
        <f aca="false">"UPDATE estudiantes SET fecha_nacimiento="&amp;L6&amp;", sexo="&amp;M6&amp;", lugar_nacimiento="&amp;N6&amp;", entidad_federal="&amp;O6&amp;" WHERE cedula='"&amp;K6&amp;"';"</f>
        <v>UPDATE estudiantes SET fecha_nacimiento='2013-09-12', sexo='F', lugar_nacimiento='MARACAIBO', entidad_federal='ZU' WHERE cedula='36217814';</v>
      </c>
    </row>
    <row r="7" customFormat="false" ht="14.9" hidden="false" customHeight="false" outlineLevel="0" collapsed="false">
      <c r="A7" s="1" t="s">
        <v>15</v>
      </c>
      <c r="B7" s="1" t="s">
        <v>16</v>
      </c>
      <c r="C7" s="1" t="s">
        <v>17</v>
      </c>
      <c r="D7" s="1" t="s">
        <v>23</v>
      </c>
      <c r="E7" s="2" t="n">
        <v>45922</v>
      </c>
      <c r="F7" s="2" t="n">
        <f aca="false">IFERROR(VLOOKUP(TRIM($D7), Hoja4_2!$A$2:$L$10000, 4, 0), "Revisar")</f>
        <v>41524</v>
      </c>
      <c r="G7" s="7" t="str">
        <f aca="false">IFERROR(VLOOKUP(TRIM($D7), Hoja4_2!$A$2:$L$10000, 5, 0), "Revisar")</f>
        <v>FEMENINO</v>
      </c>
      <c r="H7" s="7" t="str">
        <f aca="false">IFERROR(VLOOKUP(TRIM($D7), Hoja4_2!$A$2:$L$10000, 7, 0), "Revisar")</f>
        <v>MARACAIBO</v>
      </c>
      <c r="I7" s="7" t="str">
        <f aca="false">IFERROR(VLOOKUP(TRIM($D7), Hoja4_2!$A$2:$L$10000, 9, 0), "Revisar")</f>
        <v>ZU</v>
      </c>
      <c r="J7" s="7" t="str">
        <f aca="false">IFERROR(VLOOKUP(TRIM($D7), Hoja4_2!$A$2:$L$10000, 12, 0), "Revisar")</f>
        <v>15260609</v>
      </c>
      <c r="K7" s="8" t="str">
        <f aca="false">TEXT(TRIM(D7),"0")</f>
        <v>36233626</v>
      </c>
      <c r="L7" s="1" t="str">
        <f aca="false">IF(F7="Revisar","NULL",CONCATENATE("'",TEXT(F7,"yyyy-mm-dd"),"'"))</f>
        <v>'2013-09-07'</v>
      </c>
      <c r="M7" s="9" t="str">
        <f aca="false">IF(G7="Revisar","NULL",CONCATENATE("'",MID(G7,1,1),"'"))</f>
        <v>'F'</v>
      </c>
      <c r="N7" s="9" t="str">
        <f aca="false">IF(H7="Revisar","NULL",CONCATENATE("'",H7,"'"))</f>
        <v>'MARACAIBO'</v>
      </c>
      <c r="O7" s="9" t="str">
        <f aca="false">IF(I7="Revisar","NULL",CONCATENATE("'",I7,"'"))</f>
        <v>'ZU'</v>
      </c>
      <c r="P7" s="1" t="str">
        <f aca="false">"UPDATE estudiantes SET fecha_nacimiento="&amp;L7&amp;", sexo="&amp;M7&amp;", lugar_nacimiento="&amp;N7&amp;", entidad_federal="&amp;O7&amp;" WHERE cedula='"&amp;K7&amp;"';"</f>
        <v>UPDATE estudiantes SET fecha_nacimiento='2013-09-07', sexo='F', lugar_nacimiento='MARACAIBO', entidad_federal='ZU' WHERE cedula='36233626';</v>
      </c>
    </row>
    <row r="8" customFormat="false" ht="14.9" hidden="false" customHeight="false" outlineLevel="0" collapsed="false">
      <c r="A8" s="1" t="s">
        <v>15</v>
      </c>
      <c r="B8" s="1" t="s">
        <v>16</v>
      </c>
      <c r="C8" s="1" t="s">
        <v>17</v>
      </c>
      <c r="D8" s="1" t="s">
        <v>24</v>
      </c>
      <c r="E8" s="2" t="n">
        <v>45922</v>
      </c>
      <c r="F8" s="2" t="n">
        <f aca="false">IFERROR(VLOOKUP(TRIM($D8), Hoja4_2!$A$2:$L$10000, 4, 0), "Revisar")</f>
        <v>41349</v>
      </c>
      <c r="G8" s="7" t="str">
        <f aca="false">IFERROR(VLOOKUP(TRIM($D8), Hoja4_2!$A$2:$L$10000, 5, 0), "Revisar")</f>
        <v>FEMENINO</v>
      </c>
      <c r="H8" s="7" t="str">
        <f aca="false">IFERROR(VLOOKUP(TRIM($D8), Hoja4_2!$A$2:$L$10000, 7, 0), "Revisar")</f>
        <v>MARACAIBO</v>
      </c>
      <c r="I8" s="7" t="str">
        <f aca="false">IFERROR(VLOOKUP(TRIM($D8), Hoja4_2!$A$2:$L$10000, 9, 0), "Revisar")</f>
        <v>ZU</v>
      </c>
      <c r="J8" s="7" t="str">
        <f aca="false">IFERROR(VLOOKUP(TRIM($D8), Hoja4_2!$A$2:$L$10000, 12, 0), "Revisar")</f>
        <v>17634587</v>
      </c>
      <c r="K8" s="8" t="str">
        <f aca="false">TEXT(TRIM(D8),"0")</f>
        <v>36380491</v>
      </c>
      <c r="L8" s="1" t="str">
        <f aca="false">IF(F8="Revisar","NULL",CONCATENATE("'",TEXT(F8,"yyyy-mm-dd"),"'"))</f>
        <v>'2013-03-16'</v>
      </c>
      <c r="M8" s="9" t="str">
        <f aca="false">IF(G8="Revisar","NULL",CONCATENATE("'",MID(G8,1,1),"'"))</f>
        <v>'F'</v>
      </c>
      <c r="N8" s="9" t="str">
        <f aca="false">IF(H8="Revisar","NULL",CONCATENATE("'",H8,"'"))</f>
        <v>'MARACAIBO'</v>
      </c>
      <c r="O8" s="9" t="str">
        <f aca="false">IF(I8="Revisar","NULL",CONCATENATE("'",I8,"'"))</f>
        <v>'ZU'</v>
      </c>
      <c r="P8" s="1" t="str">
        <f aca="false">"UPDATE estudiantes SET fecha_nacimiento="&amp;L8&amp;", sexo="&amp;M8&amp;", lugar_nacimiento="&amp;N8&amp;", entidad_federal="&amp;O8&amp;" WHERE cedula='"&amp;K8&amp;"';"</f>
        <v>UPDATE estudiantes SET fecha_nacimiento='2013-03-16', sexo='F', lugar_nacimiento='MARACAIBO', entidad_federal='ZU' WHERE cedula='36380491';</v>
      </c>
    </row>
    <row r="9" customFormat="false" ht="14.9" hidden="false" customHeight="false" outlineLevel="0" collapsed="false">
      <c r="A9" s="1" t="s">
        <v>15</v>
      </c>
      <c r="B9" s="1" t="s">
        <v>16</v>
      </c>
      <c r="C9" s="1" t="s">
        <v>17</v>
      </c>
      <c r="D9" s="1" t="s">
        <v>25</v>
      </c>
      <c r="E9" s="2" t="n">
        <v>45922</v>
      </c>
      <c r="F9" s="2" t="n">
        <f aca="false">IFERROR(VLOOKUP(TRIM($D9), Hoja4_2!$A$2:$L$10000, 4, 0), "Revisar")</f>
        <v>41332</v>
      </c>
      <c r="G9" s="7" t="str">
        <f aca="false">IFERROR(VLOOKUP(TRIM($D9), Hoja4_2!$A$2:$L$10000, 5, 0), "Revisar")</f>
        <v>FEMENINO</v>
      </c>
      <c r="H9" s="7" t="str">
        <f aca="false">IFERROR(VLOOKUP(TRIM($D9), Hoja4_2!$A$2:$L$10000, 7, 0), "Revisar")</f>
        <v>MARACAIBO</v>
      </c>
      <c r="I9" s="7" t="str">
        <f aca="false">IFERROR(VLOOKUP(TRIM($D9), Hoja4_2!$A$2:$L$10000, 9, 0), "Revisar")</f>
        <v>ZU</v>
      </c>
      <c r="J9" s="7" t="str">
        <f aca="false">IFERROR(VLOOKUP(TRIM($D9), Hoja4_2!$A$2:$L$10000, 12, 0), "Revisar")</f>
        <v>29790969</v>
      </c>
      <c r="K9" s="8" t="str">
        <f aca="false">TEXT(TRIM(D9),"0")</f>
        <v>36426374</v>
      </c>
      <c r="L9" s="1" t="str">
        <f aca="false">IF(F9="Revisar","NULL",CONCATENATE("'",TEXT(F9,"yyyy-mm-dd"),"'"))</f>
        <v>'2013-02-27'</v>
      </c>
      <c r="M9" s="9" t="str">
        <f aca="false">IF(G9="Revisar","NULL",CONCATENATE("'",MID(G9,1,1),"'"))</f>
        <v>'F'</v>
      </c>
      <c r="N9" s="9" t="str">
        <f aca="false">IF(H9="Revisar","NULL",CONCATENATE("'",H9,"'"))</f>
        <v>'MARACAIBO'</v>
      </c>
      <c r="O9" s="9" t="str">
        <f aca="false">IF(I9="Revisar","NULL",CONCATENATE("'",I9,"'"))</f>
        <v>'ZU'</v>
      </c>
      <c r="P9" s="1" t="str">
        <f aca="false">"UPDATE estudiantes SET fecha_nacimiento="&amp;L9&amp;", sexo="&amp;M9&amp;", lugar_nacimiento="&amp;N9&amp;", entidad_federal="&amp;O9&amp;" WHERE cedula='"&amp;K9&amp;"';"</f>
        <v>UPDATE estudiantes SET fecha_nacimiento='2013-02-27', sexo='F', lugar_nacimiento='MARACAIBO', entidad_federal='ZU' WHERE cedula='36426374';</v>
      </c>
    </row>
    <row r="10" customFormat="false" ht="14.9" hidden="false" customHeight="false" outlineLevel="0" collapsed="false">
      <c r="A10" s="1" t="s">
        <v>15</v>
      </c>
      <c r="B10" s="1" t="s">
        <v>16</v>
      </c>
      <c r="C10" s="1" t="s">
        <v>17</v>
      </c>
      <c r="D10" s="1" t="s">
        <v>26</v>
      </c>
      <c r="E10" s="2" t="n">
        <v>45922</v>
      </c>
      <c r="F10" s="2" t="n">
        <f aca="false">IFERROR(VLOOKUP(TRIM($D10), Hoja4_2!$A$2:$L$10000, 4, 0), "Revisar")</f>
        <v>41614</v>
      </c>
      <c r="G10" s="7" t="str">
        <f aca="false">IFERROR(VLOOKUP(TRIM($D10), Hoja4_2!$A$2:$L$10000, 5, 0), "Revisar")</f>
        <v>FEMENINO</v>
      </c>
      <c r="H10" s="7" t="str">
        <f aca="false">IFERROR(VLOOKUP(TRIM($D10), Hoja4_2!$A$2:$L$10000, 7, 0), "Revisar")</f>
        <v>MARACAIBO</v>
      </c>
      <c r="I10" s="7" t="str">
        <f aca="false">IFERROR(VLOOKUP(TRIM($D10), Hoja4_2!$A$2:$L$10000, 9, 0), "Revisar")</f>
        <v>ZU</v>
      </c>
      <c r="J10" s="7" t="str">
        <f aca="false">IFERROR(VLOOKUP(TRIM($D10), Hoja4_2!$A$2:$L$10000, 12, 0), "Revisar")</f>
        <v>16494712</v>
      </c>
      <c r="K10" s="8" t="str">
        <f aca="false">TEXT(TRIM(D10),"0")</f>
        <v>36445996</v>
      </c>
      <c r="L10" s="1" t="str">
        <f aca="false">IF(F10="Revisar","NULL",CONCATENATE("'",TEXT(F10,"yyyy-mm-dd"),"'"))</f>
        <v>'2013-12-06'</v>
      </c>
      <c r="M10" s="9" t="str">
        <f aca="false">IF(G10="Revisar","NULL",CONCATENATE("'",MID(G10,1,1),"'"))</f>
        <v>'F'</v>
      </c>
      <c r="N10" s="9" t="str">
        <f aca="false">IF(H10="Revisar","NULL",CONCATENATE("'",H10,"'"))</f>
        <v>'MARACAIBO'</v>
      </c>
      <c r="O10" s="9" t="str">
        <f aca="false">IF(I10="Revisar","NULL",CONCATENATE("'",I10,"'"))</f>
        <v>'ZU'</v>
      </c>
      <c r="P10" s="1" t="str">
        <f aca="false">"UPDATE estudiantes SET fecha_nacimiento="&amp;L10&amp;", sexo="&amp;M10&amp;", lugar_nacimiento="&amp;N10&amp;", entidad_federal="&amp;O10&amp;" WHERE cedula='"&amp;K10&amp;"';"</f>
        <v>UPDATE estudiantes SET fecha_nacimiento='2013-12-06', sexo='F', lugar_nacimiento='MARACAIBO', entidad_federal='ZU' WHERE cedula='36445996';</v>
      </c>
    </row>
    <row r="11" customFormat="false" ht="14.9" hidden="false" customHeight="false" outlineLevel="0" collapsed="false">
      <c r="A11" s="1" t="s">
        <v>15</v>
      </c>
      <c r="B11" s="1" t="s">
        <v>16</v>
      </c>
      <c r="C11" s="1" t="s">
        <v>17</v>
      </c>
      <c r="D11" s="1" t="s">
        <v>27</v>
      </c>
      <c r="E11" s="2" t="n">
        <v>45922</v>
      </c>
      <c r="F11" s="2" t="n">
        <f aca="false">IFERROR(VLOOKUP(TRIM($D11), Hoja4_2!$A$2:$L$10000, 4, 0), "Revisar")</f>
        <v>41498</v>
      </c>
      <c r="G11" s="7" t="str">
        <f aca="false">IFERROR(VLOOKUP(TRIM($D11), Hoja4_2!$A$2:$L$10000, 5, 0), "Revisar")</f>
        <v>MASCULINO</v>
      </c>
      <c r="H11" s="7" t="str">
        <f aca="false">IFERROR(VLOOKUP(TRIM($D11), Hoja4_2!$A$2:$L$10000, 7, 0), "Revisar")</f>
        <v>MARACAIBO</v>
      </c>
      <c r="I11" s="7" t="str">
        <f aca="false">IFERROR(VLOOKUP(TRIM($D11), Hoja4_2!$A$2:$L$10000, 9, 0), "Revisar")</f>
        <v>ZU</v>
      </c>
      <c r="J11" s="7" t="str">
        <f aca="false">IFERROR(VLOOKUP(TRIM($D11), Hoja4_2!$A$2:$L$10000, 12, 0), "Revisar")</f>
        <v>10432371</v>
      </c>
      <c r="K11" s="8" t="str">
        <f aca="false">TEXT(TRIM(D11),"0")</f>
        <v>36523932</v>
      </c>
      <c r="L11" s="1" t="str">
        <f aca="false">IF(F11="Revisar","NULL",CONCATENATE("'",TEXT(F11,"yyyy-mm-dd"),"'"))</f>
        <v>'2013-08-12'</v>
      </c>
      <c r="M11" s="9" t="str">
        <f aca="false">IF(G11="Revisar","NULL",CONCATENATE("'",MID(G11,1,1),"'"))</f>
        <v>'M'</v>
      </c>
      <c r="N11" s="9" t="str">
        <f aca="false">IF(H11="Revisar","NULL",CONCATENATE("'",H11,"'"))</f>
        <v>'MARACAIBO'</v>
      </c>
      <c r="O11" s="9" t="str">
        <f aca="false">IF(I11="Revisar","NULL",CONCATENATE("'",I11,"'"))</f>
        <v>'ZU'</v>
      </c>
      <c r="P11" s="1" t="str">
        <f aca="false">"UPDATE estudiantes SET fecha_nacimiento="&amp;L11&amp;", sexo="&amp;M11&amp;", lugar_nacimiento="&amp;N11&amp;", entidad_federal="&amp;O11&amp;" WHERE cedula='"&amp;K11&amp;"';"</f>
        <v>UPDATE estudiantes SET fecha_nacimiento='2013-08-12', sexo='M', lugar_nacimiento='MARACAIBO', entidad_federal='ZU' WHERE cedula='36523932';</v>
      </c>
    </row>
    <row r="12" customFormat="false" ht="14.9" hidden="false" customHeight="false" outlineLevel="0" collapsed="false">
      <c r="A12" s="1" t="s">
        <v>15</v>
      </c>
      <c r="B12" s="1" t="s">
        <v>16</v>
      </c>
      <c r="C12" s="1" t="s">
        <v>17</v>
      </c>
      <c r="D12" s="1" t="s">
        <v>28</v>
      </c>
      <c r="E12" s="2" t="n">
        <v>45919</v>
      </c>
      <c r="F12" s="2" t="n">
        <f aca="false">IFERROR(VLOOKUP(TRIM($D12), Hoja4_2!$A$2:$L$10000, 4, 0), "Revisar")</f>
        <v>41811</v>
      </c>
      <c r="G12" s="7" t="str">
        <f aca="false">IFERROR(VLOOKUP(TRIM($D12), Hoja4_2!$A$2:$L$10000, 5, 0), "Revisar")</f>
        <v>FEMENINO</v>
      </c>
      <c r="H12" s="7" t="str">
        <f aca="false">IFERROR(VLOOKUP(TRIM($D12), Hoja4_2!$A$2:$L$10000, 7, 0), "Revisar")</f>
        <v>MARACAIBO</v>
      </c>
      <c r="I12" s="7" t="str">
        <f aca="false">IFERROR(VLOOKUP(TRIM($D12), Hoja4_2!$A$2:$L$10000, 9, 0), "Revisar")</f>
        <v>ZU</v>
      </c>
      <c r="J12" s="7" t="str">
        <f aca="false">IFERROR(VLOOKUP(TRIM($D12), Hoja4_2!$A$2:$L$10000, 12, 0), "Revisar")</f>
        <v>17634574</v>
      </c>
      <c r="K12" s="8" t="str">
        <f aca="false">TEXT(TRIM(D12),"0")</f>
        <v>36582440</v>
      </c>
      <c r="L12" s="1" t="str">
        <f aca="false">IF(F12="Revisar","NULL",CONCATENATE("'",TEXT(F12,"yyyy-mm-dd"),"'"))</f>
        <v>'2014-06-21'</v>
      </c>
      <c r="M12" s="9" t="str">
        <f aca="false">IF(G12="Revisar","NULL",CONCATENATE("'",MID(G12,1,1),"'"))</f>
        <v>'F'</v>
      </c>
      <c r="N12" s="9" t="str">
        <f aca="false">IF(H12="Revisar","NULL",CONCATENATE("'",H12,"'"))</f>
        <v>'MARACAIBO'</v>
      </c>
      <c r="O12" s="9" t="str">
        <f aca="false">IF(I12="Revisar","NULL",CONCATENATE("'",I12,"'"))</f>
        <v>'ZU'</v>
      </c>
      <c r="P12" s="1" t="str">
        <f aca="false">"UPDATE estudiantes SET fecha_nacimiento="&amp;L12&amp;", sexo="&amp;M12&amp;", lugar_nacimiento="&amp;N12&amp;", entidad_federal="&amp;O12&amp;" WHERE cedula='"&amp;K12&amp;"';"</f>
        <v>UPDATE estudiantes SET fecha_nacimiento='2014-06-21', sexo='F', lugar_nacimiento='MARACAIBO', entidad_federal='ZU' WHERE cedula='36582440';</v>
      </c>
    </row>
    <row r="13" customFormat="false" ht="14.9" hidden="false" customHeight="false" outlineLevel="0" collapsed="false">
      <c r="A13" s="1" t="s">
        <v>15</v>
      </c>
      <c r="B13" s="1" t="s">
        <v>16</v>
      </c>
      <c r="C13" s="1" t="s">
        <v>17</v>
      </c>
      <c r="D13" s="1" t="s">
        <v>29</v>
      </c>
      <c r="E13" s="2" t="n">
        <v>45922</v>
      </c>
      <c r="F13" s="2" t="n">
        <f aca="false">IFERROR(VLOOKUP(TRIM($D13), Hoja4_2!$A$2:$L$10000, 4, 0), "Revisar")</f>
        <v>41503</v>
      </c>
      <c r="G13" s="7" t="str">
        <f aca="false">IFERROR(VLOOKUP(TRIM($D13), Hoja4_2!$A$2:$L$10000, 5, 0), "Revisar")</f>
        <v>MASCULINO</v>
      </c>
      <c r="H13" s="7" t="str">
        <f aca="false">IFERROR(VLOOKUP(TRIM($D13), Hoja4_2!$A$2:$L$10000, 7, 0), "Revisar")</f>
        <v>MARACAIBO</v>
      </c>
      <c r="I13" s="7" t="str">
        <f aca="false">IFERROR(VLOOKUP(TRIM($D13), Hoja4_2!$A$2:$L$10000, 9, 0), "Revisar")</f>
        <v>ZU</v>
      </c>
      <c r="J13" s="7" t="str">
        <f aca="false">IFERROR(VLOOKUP(TRIM($D13), Hoja4_2!$A$2:$L$10000, 12, 0), "Revisar")</f>
        <v>18662136</v>
      </c>
      <c r="K13" s="8" t="str">
        <f aca="false">TEXT(TRIM(D13),"0")</f>
        <v>36698493</v>
      </c>
      <c r="L13" s="1" t="str">
        <f aca="false">IF(F13="Revisar","NULL",CONCATENATE("'",TEXT(F13,"yyyy-mm-dd"),"'"))</f>
        <v>'2013-08-17'</v>
      </c>
      <c r="M13" s="9" t="str">
        <f aca="false">IF(G13="Revisar","NULL",CONCATENATE("'",MID(G13,1,1),"'"))</f>
        <v>'M'</v>
      </c>
      <c r="N13" s="9" t="str">
        <f aca="false">IF(H13="Revisar","NULL",CONCATENATE("'",H13,"'"))</f>
        <v>'MARACAIBO'</v>
      </c>
      <c r="O13" s="9" t="str">
        <f aca="false">IF(I13="Revisar","NULL",CONCATENATE("'",I13,"'"))</f>
        <v>'ZU'</v>
      </c>
      <c r="P13" s="1" t="str">
        <f aca="false">"UPDATE estudiantes SET fecha_nacimiento="&amp;L13&amp;", sexo="&amp;M13&amp;", lugar_nacimiento="&amp;N13&amp;", entidad_federal="&amp;O13&amp;" WHERE cedula='"&amp;K13&amp;"';"</f>
        <v>UPDATE estudiantes SET fecha_nacimiento='2013-08-17', sexo='M', lugar_nacimiento='MARACAIBO', entidad_federal='ZU' WHERE cedula='36698493';</v>
      </c>
    </row>
    <row r="14" customFormat="false" ht="14.9" hidden="false" customHeight="false" outlineLevel="0" collapsed="false">
      <c r="A14" s="1" t="s">
        <v>15</v>
      </c>
      <c r="B14" s="1" t="s">
        <v>16</v>
      </c>
      <c r="C14" s="1" t="s">
        <v>17</v>
      </c>
      <c r="D14" s="1" t="s">
        <v>30</v>
      </c>
      <c r="E14" s="2" t="n">
        <v>45922</v>
      </c>
      <c r="F14" s="2" t="n">
        <f aca="false">IFERROR(VLOOKUP(TRIM($D14), Hoja4_2!$A$2:$L$10000, 4, 0), "Revisar")</f>
        <v>41646</v>
      </c>
      <c r="G14" s="7" t="str">
        <f aca="false">IFERROR(VLOOKUP(TRIM($D14), Hoja4_2!$A$2:$L$10000, 5, 0), "Revisar")</f>
        <v>MASCULINO</v>
      </c>
      <c r="H14" s="7" t="str">
        <f aca="false">IFERROR(VLOOKUP(TRIM($D14), Hoja4_2!$A$2:$L$10000, 7, 0), "Revisar")</f>
        <v>MARACAIBO</v>
      </c>
      <c r="I14" s="7" t="str">
        <f aca="false">IFERROR(VLOOKUP(TRIM($D14), Hoja4_2!$A$2:$L$10000, 9, 0), "Revisar")</f>
        <v>ZU</v>
      </c>
      <c r="J14" s="7" t="str">
        <f aca="false">IFERROR(VLOOKUP(TRIM($D14), Hoja4_2!$A$2:$L$10000, 12, 0), "Revisar")</f>
        <v>10432180</v>
      </c>
      <c r="K14" s="8" t="str">
        <f aca="false">TEXT(TRIM(D14),"0")</f>
        <v>36988319</v>
      </c>
      <c r="L14" s="1" t="str">
        <f aca="false">IF(F14="Revisar","NULL",CONCATENATE("'",TEXT(F14,"yyyy-mm-dd"),"'"))</f>
        <v>'2014-01-07'</v>
      </c>
      <c r="M14" s="9" t="str">
        <f aca="false">IF(G14="Revisar","NULL",CONCATENATE("'",MID(G14,1,1),"'"))</f>
        <v>'M'</v>
      </c>
      <c r="N14" s="9" t="str">
        <f aca="false">IF(H14="Revisar","NULL",CONCATENATE("'",H14,"'"))</f>
        <v>'MARACAIBO'</v>
      </c>
      <c r="O14" s="9" t="str">
        <f aca="false">IF(I14="Revisar","NULL",CONCATENATE("'",I14,"'"))</f>
        <v>'ZU'</v>
      </c>
      <c r="P14" s="1" t="str">
        <f aca="false">"UPDATE estudiantes SET fecha_nacimiento="&amp;L14&amp;", sexo="&amp;M14&amp;", lugar_nacimiento="&amp;N14&amp;", entidad_federal="&amp;O14&amp;" WHERE cedula='"&amp;K14&amp;"';"</f>
        <v>UPDATE estudiantes SET fecha_nacimiento='2014-01-07', sexo='M', lugar_nacimiento='MARACAIBO', entidad_federal='ZU' WHERE cedula='36988319';</v>
      </c>
    </row>
    <row r="15" customFormat="false" ht="14.9" hidden="false" customHeight="false" outlineLevel="0" collapsed="false">
      <c r="A15" s="1" t="s">
        <v>15</v>
      </c>
      <c r="B15" s="1" t="s">
        <v>16</v>
      </c>
      <c r="C15" s="1" t="s">
        <v>17</v>
      </c>
      <c r="D15" s="1" t="s">
        <v>31</v>
      </c>
      <c r="E15" s="2" t="n">
        <v>45922</v>
      </c>
      <c r="F15" s="2" t="n">
        <f aca="false">IFERROR(VLOOKUP(TRIM($D15), Hoja4_2!$A$2:$L$10000, 4, 0), "Revisar")</f>
        <v>41026</v>
      </c>
      <c r="G15" s="7" t="str">
        <f aca="false">IFERROR(VLOOKUP(TRIM($D15), Hoja4_2!$A$2:$L$10000, 5, 0), "Revisar")</f>
        <v>MASCULINO</v>
      </c>
      <c r="H15" s="7" t="str">
        <f aca="false">IFERROR(VLOOKUP(TRIM($D15), Hoja4_2!$A$2:$L$10000, 7, 0), "Revisar")</f>
        <v>MARACAIBO</v>
      </c>
      <c r="I15" s="7" t="str">
        <f aca="false">IFERROR(VLOOKUP(TRIM($D15), Hoja4_2!$A$2:$L$10000, 9, 0), "Revisar")</f>
        <v>ZU</v>
      </c>
      <c r="J15" s="7" t="str">
        <f aca="false">IFERROR(VLOOKUP(TRIM($D15), Hoja4_2!$A$2:$L$10000, 12, 0), "Revisar")</f>
        <v>10432180</v>
      </c>
      <c r="K15" s="8" t="str">
        <f aca="false">TEXT(TRIM(D15),"0")</f>
        <v>36988321</v>
      </c>
      <c r="L15" s="1" t="str">
        <f aca="false">IF(F15="Revisar","NULL",CONCATENATE("'",TEXT(F15,"yyyy-mm-dd"),"'"))</f>
        <v>'2012-04-27'</v>
      </c>
      <c r="M15" s="9" t="str">
        <f aca="false">IF(G15="Revisar","NULL",CONCATENATE("'",MID(G15,1,1),"'"))</f>
        <v>'M'</v>
      </c>
      <c r="N15" s="9" t="str">
        <f aca="false">IF(H15="Revisar","NULL",CONCATENATE("'",H15,"'"))</f>
        <v>'MARACAIBO'</v>
      </c>
      <c r="O15" s="9" t="str">
        <f aca="false">IF(I15="Revisar","NULL",CONCATENATE("'",I15,"'"))</f>
        <v>'ZU'</v>
      </c>
      <c r="P15" s="1" t="str">
        <f aca="false">"UPDATE estudiantes SET fecha_nacimiento="&amp;L15&amp;", sexo="&amp;M15&amp;", lugar_nacimiento="&amp;N15&amp;", entidad_federal="&amp;O15&amp;" WHERE cedula='"&amp;K15&amp;"';"</f>
        <v>UPDATE estudiantes SET fecha_nacimiento='2012-04-27', sexo='M', lugar_nacimiento='MARACAIBO', entidad_federal='ZU' WHERE cedula='36988321';</v>
      </c>
    </row>
    <row r="16" customFormat="false" ht="15.5" hidden="false" customHeight="true" outlineLevel="0" collapsed="false">
      <c r="A16" s="1" t="s">
        <v>15</v>
      </c>
      <c r="B16" s="1" t="s">
        <v>16</v>
      </c>
      <c r="C16" s="1" t="s">
        <v>17</v>
      </c>
      <c r="D16" s="1" t="s">
        <v>32</v>
      </c>
      <c r="E16" s="2" t="n">
        <v>45922</v>
      </c>
      <c r="F16" s="2" t="n">
        <f aca="false">IFERROR(VLOOKUP(TRIM($D16), Hoja4_2!$A$2:$L$10000, 4, 0), "Revisar")</f>
        <v>41563</v>
      </c>
      <c r="G16" s="7" t="str">
        <f aca="false">IFERROR(VLOOKUP(TRIM($D16), Hoja4_2!$A$2:$L$10000, 5, 0), "Revisar")</f>
        <v>MASCULINO</v>
      </c>
      <c r="H16" s="7" t="str">
        <f aca="false">IFERROR(VLOOKUP(TRIM($D16), Hoja4_2!$A$2:$L$10000, 7, 0), "Revisar")</f>
        <v>JESUS ENRIQUE LOSSADA</v>
      </c>
      <c r="I16" s="7" t="str">
        <f aca="false">IFERROR(VLOOKUP(TRIM($D16), Hoja4_2!$A$2:$L$10000, 9, 0), "Revisar")</f>
        <v>ZU</v>
      </c>
      <c r="J16" s="7" t="str">
        <f aca="false">IFERROR(VLOOKUP(TRIM($D16), Hoja4_2!$A$2:$L$10000, 12, 0), "Revisar")</f>
        <v>17566411</v>
      </c>
      <c r="K16" s="8" t="str">
        <f aca="false">TEXT(TRIM(D16),"0")</f>
        <v>37045767</v>
      </c>
      <c r="L16" s="1" t="str">
        <f aca="false">IF(F16="Revisar","NULL",CONCATENATE("'",TEXT(F16,"yyyy-mm-dd"),"'"))</f>
        <v>'2013-10-16'</v>
      </c>
      <c r="M16" s="9" t="str">
        <f aca="false">IF(G16="Revisar","NULL",CONCATENATE("'",MID(G16,1,1),"'"))</f>
        <v>'M'</v>
      </c>
      <c r="N16" s="9" t="str">
        <f aca="false">IF(H16="Revisar","NULL",CONCATENATE("'",H16,"'"))</f>
        <v>'JESUS ENRIQUE LOSSADA'</v>
      </c>
      <c r="O16" s="9" t="str">
        <f aca="false">IF(I16="Revisar","NULL",CONCATENATE("'",I16,"'"))</f>
        <v>'ZU'</v>
      </c>
      <c r="P16" s="1" t="str">
        <f aca="false">"UPDATE estudiantes SET fecha_nacimiento="&amp;L16&amp;", sexo="&amp;M16&amp;", lugar_nacimiento="&amp;N16&amp;", entidad_federal="&amp;O16&amp;" WHERE cedula='"&amp;K16&amp;"';"</f>
        <v>UPDATE estudiantes SET fecha_nacimiento='2013-10-16', sexo='M', lugar_nacimiento='JESUS ENRIQUE LOSSADA', entidad_federal='ZU' WHERE cedula='37045767';</v>
      </c>
    </row>
    <row r="17" customFormat="false" ht="14.9" hidden="false" customHeight="false" outlineLevel="0" collapsed="false">
      <c r="A17" s="1" t="s">
        <v>15</v>
      </c>
      <c r="B17" s="1" t="s">
        <v>16</v>
      </c>
      <c r="C17" s="1" t="s">
        <v>17</v>
      </c>
      <c r="D17" s="1" t="s">
        <v>33</v>
      </c>
      <c r="E17" s="2" t="n">
        <v>45922</v>
      </c>
      <c r="F17" s="2" t="n">
        <f aca="false">IFERROR(VLOOKUP(TRIM($D17), Hoja4_2!$A$2:$L$10000, 4, 0), "Revisar")</f>
        <v>41949</v>
      </c>
      <c r="G17" s="7" t="str">
        <f aca="false">IFERROR(VLOOKUP(TRIM($D17), Hoja4_2!$A$2:$L$10000, 5, 0), "Revisar")</f>
        <v>FEMENINO</v>
      </c>
      <c r="H17" s="7" t="str">
        <f aca="false">IFERROR(VLOOKUP(TRIM($D17), Hoja4_2!$A$2:$L$10000, 7, 0), "Revisar")</f>
        <v>MARACAIBO</v>
      </c>
      <c r="I17" s="7" t="str">
        <f aca="false">IFERROR(VLOOKUP(TRIM($D17), Hoja4_2!$A$2:$L$10000, 9, 0), "Revisar")</f>
        <v>ZU</v>
      </c>
      <c r="J17" s="7" t="str">
        <f aca="false">IFERROR(VLOOKUP(TRIM($D17), Hoja4_2!$A$2:$L$10000, 12, 0), "Revisar")</f>
        <v>99999999</v>
      </c>
      <c r="K17" s="8" t="str">
        <f aca="false">TEXT(TRIM(D17),"0")</f>
        <v>37116030</v>
      </c>
      <c r="L17" s="1" t="str">
        <f aca="false">IF(F17="Revisar","NULL",CONCATENATE("'",TEXT(F17,"yyyy-mm-dd"),"'"))</f>
        <v>'2014-11-06'</v>
      </c>
      <c r="M17" s="9" t="str">
        <f aca="false">IF(G17="Revisar","NULL",CONCATENATE("'",MID(G17,1,1),"'"))</f>
        <v>'F'</v>
      </c>
      <c r="N17" s="9" t="str">
        <f aca="false">IF(H17="Revisar","NULL",CONCATENATE("'",H17,"'"))</f>
        <v>'MARACAIBO'</v>
      </c>
      <c r="O17" s="9" t="str">
        <f aca="false">IF(I17="Revisar","NULL",CONCATENATE("'",I17,"'"))</f>
        <v>'ZU'</v>
      </c>
      <c r="P17" s="1" t="str">
        <f aca="false">"UPDATE estudiantes SET fecha_nacimiento="&amp;L17&amp;", sexo="&amp;M17&amp;", lugar_nacimiento="&amp;N17&amp;", entidad_federal="&amp;O17&amp;" WHERE cedula='"&amp;K17&amp;"';"</f>
        <v>UPDATE estudiantes SET fecha_nacimiento='2014-11-06', sexo='F', lugar_nacimiento='MARACAIBO', entidad_federal='ZU' WHERE cedula='37116030';</v>
      </c>
    </row>
    <row r="18" customFormat="false" ht="14.9" hidden="false" customHeight="false" outlineLevel="0" collapsed="false">
      <c r="A18" s="1" t="s">
        <v>15</v>
      </c>
      <c r="B18" s="1" t="s">
        <v>16</v>
      </c>
      <c r="C18" s="1" t="s">
        <v>17</v>
      </c>
      <c r="D18" s="1" t="s">
        <v>34</v>
      </c>
      <c r="E18" s="2" t="n">
        <v>45922</v>
      </c>
      <c r="F18" s="2" t="n">
        <f aca="false">IFERROR(VLOOKUP(TRIM($D18), Hoja4_2!$A$2:$L$10000, 4, 0), "Revisar")</f>
        <v>41488</v>
      </c>
      <c r="G18" s="7" t="str">
        <f aca="false">IFERROR(VLOOKUP(TRIM($D18), Hoja4_2!$A$2:$L$10000, 5, 0), "Revisar")</f>
        <v>MASCULINO</v>
      </c>
      <c r="H18" s="7" t="str">
        <f aca="false">IFERROR(VLOOKUP(TRIM($D18), Hoja4_2!$A$2:$L$10000, 7, 0), "Revisar")</f>
        <v>MARACAIBO</v>
      </c>
      <c r="I18" s="7" t="str">
        <f aca="false">IFERROR(VLOOKUP(TRIM($D18), Hoja4_2!$A$2:$L$10000, 9, 0), "Revisar")</f>
        <v>ZU</v>
      </c>
      <c r="J18" s="7" t="str">
        <f aca="false">IFERROR(VLOOKUP(TRIM($D18), Hoja4_2!$A$2:$L$10000, 12, 0), "Revisar")</f>
        <v>23769204</v>
      </c>
      <c r="K18" s="8" t="str">
        <f aca="false">TEXT(TRIM(D18),"0")</f>
        <v>37148269</v>
      </c>
      <c r="L18" s="1" t="str">
        <f aca="false">IF(F18="Revisar","NULL",CONCATENATE("'",TEXT(F18,"yyyy-mm-dd"),"'"))</f>
        <v>'2013-08-02'</v>
      </c>
      <c r="M18" s="9" t="str">
        <f aca="false">IF(G18="Revisar","NULL",CONCATENATE("'",MID(G18,1,1),"'"))</f>
        <v>'M'</v>
      </c>
      <c r="N18" s="9" t="str">
        <f aca="false">IF(H18="Revisar","NULL",CONCATENATE("'",H18,"'"))</f>
        <v>'MARACAIBO'</v>
      </c>
      <c r="O18" s="9" t="str">
        <f aca="false">IF(I18="Revisar","NULL",CONCATENATE("'",I18,"'"))</f>
        <v>'ZU'</v>
      </c>
      <c r="P18" s="1" t="str">
        <f aca="false">"UPDATE estudiantes SET fecha_nacimiento="&amp;L18&amp;", sexo="&amp;M18&amp;", lugar_nacimiento="&amp;N18&amp;", entidad_federal="&amp;O18&amp;" WHERE cedula='"&amp;K18&amp;"';"</f>
        <v>UPDATE estudiantes SET fecha_nacimiento='2013-08-02', sexo='M', lugar_nacimiento='MARACAIBO', entidad_federal='ZU' WHERE cedula='37148269';</v>
      </c>
    </row>
    <row r="19" customFormat="false" ht="14.9" hidden="false" customHeight="false" outlineLevel="0" collapsed="false">
      <c r="A19" s="1" t="s">
        <v>15</v>
      </c>
      <c r="B19" s="1" t="s">
        <v>16</v>
      </c>
      <c r="C19" s="1" t="s">
        <v>17</v>
      </c>
      <c r="D19" s="1" t="s">
        <v>35</v>
      </c>
      <c r="E19" s="2" t="n">
        <v>45922</v>
      </c>
      <c r="F19" s="2" t="n">
        <f aca="false">IFERROR(VLOOKUP(TRIM($D19), Hoja4_2!$A$2:$L$10000, 4, 0), "Revisar")</f>
        <v>41925</v>
      </c>
      <c r="G19" s="7" t="str">
        <f aca="false">IFERROR(VLOOKUP(TRIM($D19), Hoja4_2!$A$2:$L$10000, 5, 0), "Revisar")</f>
        <v>MASCULINO</v>
      </c>
      <c r="H19" s="7" t="str">
        <f aca="false">IFERROR(VLOOKUP(TRIM($D19), Hoja4_2!$A$2:$L$10000, 7, 0), "Revisar")</f>
        <v>MARACAIBO</v>
      </c>
      <c r="I19" s="7" t="str">
        <f aca="false">IFERROR(VLOOKUP(TRIM($D19), Hoja4_2!$A$2:$L$10000, 9, 0), "Revisar")</f>
        <v>ZU</v>
      </c>
      <c r="J19" s="7" t="str">
        <f aca="false">IFERROR(VLOOKUP(TRIM($D19), Hoja4_2!$A$2:$L$10000, 12, 0), "Revisar")</f>
        <v>23466456</v>
      </c>
      <c r="K19" s="8" t="str">
        <f aca="false">TEXT(TRIM(D19),"0")</f>
        <v>37295032</v>
      </c>
      <c r="L19" s="1" t="str">
        <f aca="false">IF(F19="Revisar","NULL",CONCATENATE("'",TEXT(F19,"yyyy-mm-dd"),"'"))</f>
        <v>'2014-10-13'</v>
      </c>
      <c r="M19" s="9" t="str">
        <f aca="false">IF(G19="Revisar","NULL",CONCATENATE("'",MID(G19,1,1),"'"))</f>
        <v>'M'</v>
      </c>
      <c r="N19" s="9" t="str">
        <f aca="false">IF(H19="Revisar","NULL",CONCATENATE("'",H19,"'"))</f>
        <v>'MARACAIBO'</v>
      </c>
      <c r="O19" s="9" t="str">
        <f aca="false">IF(I19="Revisar","NULL",CONCATENATE("'",I19,"'"))</f>
        <v>'ZU'</v>
      </c>
      <c r="P19" s="1" t="str">
        <f aca="false">"UPDATE estudiantes SET fecha_nacimiento="&amp;L19&amp;", sexo="&amp;M19&amp;", lugar_nacimiento="&amp;N19&amp;", entidad_federal="&amp;O19&amp;" WHERE cedula='"&amp;K19&amp;"';"</f>
        <v>UPDATE estudiantes SET fecha_nacimiento='2014-10-13', sexo='M', lugar_nacimiento='MARACAIBO', entidad_federal='ZU' WHERE cedula='37295032';</v>
      </c>
    </row>
    <row r="20" customFormat="false" ht="14.9" hidden="false" customHeight="false" outlineLevel="0" collapsed="false">
      <c r="A20" s="1" t="s">
        <v>15</v>
      </c>
      <c r="B20" s="1" t="s">
        <v>16</v>
      </c>
      <c r="C20" s="1" t="s">
        <v>17</v>
      </c>
      <c r="D20" s="1" t="s">
        <v>36</v>
      </c>
      <c r="E20" s="2" t="n">
        <v>45922</v>
      </c>
      <c r="F20" s="2" t="n">
        <f aca="false">IFERROR(VLOOKUP(TRIM($D20), Hoja4_2!$A$2:$L$10000, 4, 0), "Revisar")</f>
        <v>40595</v>
      </c>
      <c r="G20" s="7" t="str">
        <f aca="false">IFERROR(VLOOKUP(TRIM($D20), Hoja4_2!$A$2:$L$10000, 5, 0), "Revisar")</f>
        <v>FEMENINO</v>
      </c>
      <c r="H20" s="7" t="str">
        <f aca="false">IFERROR(VLOOKUP(TRIM($D20), Hoja4_2!$A$2:$L$10000, 7, 0), "Revisar")</f>
        <v>MARACAIBO</v>
      </c>
      <c r="I20" s="7" t="str">
        <f aca="false">IFERROR(VLOOKUP(TRIM($D20), Hoja4_2!$A$2:$L$10000, 9, 0), "Revisar")</f>
        <v>ZU</v>
      </c>
      <c r="J20" s="7" t="str">
        <f aca="false">IFERROR(VLOOKUP(TRIM($D20), Hoja4_2!$A$2:$L$10000, 12, 0), "Revisar")</f>
        <v>22455212</v>
      </c>
      <c r="K20" s="8" t="str">
        <f aca="false">TEXT(TRIM(D20),"0")</f>
        <v>1122465212</v>
      </c>
      <c r="L20" s="1" t="str">
        <f aca="false">IF(F20="Revisar","NULL",CONCATENATE("'",TEXT(F20,"yyyy-mm-dd"),"'"))</f>
        <v>'2011-02-21'</v>
      </c>
      <c r="M20" s="9" t="str">
        <f aca="false">IF(G20="Revisar","NULL",CONCATENATE("'",MID(G20,1,1),"'"))</f>
        <v>'F'</v>
      </c>
      <c r="N20" s="9" t="str">
        <f aca="false">IF(H20="Revisar","NULL",CONCATENATE("'",H20,"'"))</f>
        <v>'MARACAIBO'</v>
      </c>
      <c r="O20" s="9" t="str">
        <f aca="false">IF(I20="Revisar","NULL",CONCATENATE("'",I20,"'"))</f>
        <v>'ZU'</v>
      </c>
      <c r="P20" s="1" t="str">
        <f aca="false">"UPDATE estudiantes SET fecha_nacimiento="&amp;L20&amp;", sexo="&amp;M20&amp;", lugar_nacimiento="&amp;N20&amp;", entidad_federal="&amp;O20&amp;" WHERE cedula='"&amp;K20&amp;"';"</f>
        <v>UPDATE estudiantes SET fecha_nacimiento='2011-02-21', sexo='F', lugar_nacimiento='MARACAIBO', entidad_federal='ZU' WHERE cedula='1122465212';</v>
      </c>
    </row>
    <row r="21" customFormat="false" ht="14.9" hidden="false" customHeight="false" outlineLevel="0" collapsed="false">
      <c r="A21" s="1" t="s">
        <v>15</v>
      </c>
      <c r="B21" s="1" t="s">
        <v>16</v>
      </c>
      <c r="C21" s="1" t="s">
        <v>17</v>
      </c>
      <c r="D21" s="1" t="s">
        <v>37</v>
      </c>
      <c r="E21" s="2" t="n">
        <v>45922</v>
      </c>
      <c r="F21" s="2" t="n">
        <f aca="false">IFERROR(VLOOKUP(TRIM($D21), Hoja4_2!$A$2:$L$10000, 4, 0), "Revisar")</f>
        <v>41201</v>
      </c>
      <c r="G21" s="7" t="str">
        <f aca="false">IFERROR(VLOOKUP(TRIM($D21), Hoja4_2!$A$2:$L$10000, 5, 0), "Revisar")</f>
        <v>MASCULINO</v>
      </c>
      <c r="H21" s="7" t="str">
        <f aca="false">IFERROR(VLOOKUP(TRIM($D21), Hoja4_2!$A$2:$L$10000, 7, 0), "Revisar")</f>
        <v>MARACIBO</v>
      </c>
      <c r="I21" s="7" t="str">
        <f aca="false">IFERROR(VLOOKUP(TRIM($D21), Hoja4_2!$A$2:$L$10000, 9, 0), "Revisar")</f>
        <v>ZU</v>
      </c>
      <c r="J21" s="7" t="str">
        <f aca="false">IFERROR(VLOOKUP(TRIM($D21), Hoja4_2!$A$2:$L$10000, 12, 0), "Revisar")</f>
        <v>07708168</v>
      </c>
      <c r="K21" s="8" t="str">
        <f aca="false">TEXT(TRIM(D21),"0")</f>
        <v>11214356858</v>
      </c>
      <c r="L21" s="1" t="str">
        <f aca="false">IF(F21="Revisar","NULL",CONCATENATE("'",TEXT(F21,"yyyy-mm-dd"),"'"))</f>
        <v>'2012-10-19'</v>
      </c>
      <c r="M21" s="9" t="str">
        <f aca="false">IF(G21="Revisar","NULL",CONCATENATE("'",MID(G21,1,1),"'"))</f>
        <v>'M'</v>
      </c>
      <c r="N21" s="9" t="str">
        <f aca="false">IF(H21="Revisar","NULL",CONCATENATE("'",H21,"'"))</f>
        <v>'MARACIBO'</v>
      </c>
      <c r="O21" s="9" t="str">
        <f aca="false">IF(I21="Revisar","NULL",CONCATENATE("'",I21,"'"))</f>
        <v>'ZU'</v>
      </c>
      <c r="P21" s="1" t="str">
        <f aca="false">"UPDATE estudiantes SET fecha_nacimiento="&amp;L21&amp;", sexo="&amp;M21&amp;", lugar_nacimiento="&amp;N21&amp;", entidad_federal="&amp;O21&amp;" WHERE cedula='"&amp;K21&amp;"';"</f>
        <v>UPDATE estudiantes SET fecha_nacimiento='2012-10-19', sexo='M', lugar_nacimiento='MARACIBO', entidad_federal='ZU' WHERE cedula='11214356858';</v>
      </c>
    </row>
    <row r="22" customFormat="false" ht="14.9" hidden="false" customHeight="false" outlineLevel="0" collapsed="false">
      <c r="A22" s="1" t="s">
        <v>15</v>
      </c>
      <c r="B22" s="1" t="s">
        <v>16</v>
      </c>
      <c r="C22" s="1" t="s">
        <v>17</v>
      </c>
      <c r="D22" s="1" t="s">
        <v>38</v>
      </c>
      <c r="E22" s="2" t="n">
        <v>45922</v>
      </c>
      <c r="F22" s="2" t="n">
        <f aca="false">IFERROR(VLOOKUP(TRIM($D22), Hoja4_2!$A$2:$L$10000, 4, 0), "Revisar")</f>
        <v>41208</v>
      </c>
      <c r="G22" s="7" t="str">
        <f aca="false">IFERROR(VLOOKUP(TRIM($D22), Hoja4_2!$A$2:$L$10000, 5, 0), "Revisar")</f>
        <v>FEMENINO</v>
      </c>
      <c r="H22" s="7" t="str">
        <f aca="false">IFERROR(VLOOKUP(TRIM($D22), Hoja4_2!$A$2:$L$10000, 7, 0), "Revisar")</f>
        <v>MARACAIBO</v>
      </c>
      <c r="I22" s="7" t="str">
        <f aca="false">IFERROR(VLOOKUP(TRIM($D22), Hoja4_2!$A$2:$L$10000, 9, 0), "Revisar")</f>
        <v>ZU</v>
      </c>
      <c r="J22" s="7" t="str">
        <f aca="false">IFERROR(VLOOKUP(TRIM($D22), Hoja4_2!$A$2:$L$10000, 12, 0), "Revisar")</f>
        <v>23466442</v>
      </c>
      <c r="K22" s="8" t="str">
        <f aca="false">TEXT(TRIM(D22),"0")</f>
        <v>11223466442</v>
      </c>
      <c r="L22" s="1" t="str">
        <f aca="false">IF(F22="Revisar","NULL",CONCATENATE("'",TEXT(F22,"yyyy-mm-dd"),"'"))</f>
        <v>'2012-10-26'</v>
      </c>
      <c r="M22" s="9" t="str">
        <f aca="false">IF(G22="Revisar","NULL",CONCATENATE("'",MID(G22,1,1),"'"))</f>
        <v>'F'</v>
      </c>
      <c r="N22" s="9" t="str">
        <f aca="false">IF(H22="Revisar","NULL",CONCATENATE("'",H22,"'"))</f>
        <v>'MARACAIBO'</v>
      </c>
      <c r="O22" s="9" t="str">
        <f aca="false">IF(I22="Revisar","NULL",CONCATENATE("'",I22,"'"))</f>
        <v>'ZU'</v>
      </c>
      <c r="P22" s="1" t="str">
        <f aca="false">"UPDATE estudiantes SET fecha_nacimiento="&amp;L22&amp;", sexo="&amp;M22&amp;", lugar_nacimiento="&amp;N22&amp;", entidad_federal="&amp;O22&amp;" WHERE cedula='"&amp;K22&amp;"';"</f>
        <v>UPDATE estudiantes SET fecha_nacimiento='2012-10-26', sexo='F', lugar_nacimiento='MARACAIBO', entidad_federal='ZU' WHERE cedula='11223466442';</v>
      </c>
    </row>
    <row r="23" customFormat="false" ht="14.9" hidden="false" customHeight="false" outlineLevel="0" collapsed="false">
      <c r="A23" s="1" t="s">
        <v>15</v>
      </c>
      <c r="B23" s="1" t="s">
        <v>16</v>
      </c>
      <c r="C23" s="1" t="s">
        <v>17</v>
      </c>
      <c r="D23" s="1" t="s">
        <v>39</v>
      </c>
      <c r="E23" s="2" t="n">
        <v>45922</v>
      </c>
      <c r="F23" s="2" t="n">
        <f aca="false">IFERROR(VLOOKUP(TRIM($D23), Hoja4_2!$A$2:$L$10000, 4, 0), "Revisar")</f>
        <v>41549</v>
      </c>
      <c r="G23" s="7" t="str">
        <f aca="false">IFERROR(VLOOKUP(TRIM($D23), Hoja4_2!$A$2:$L$10000, 5, 0), "Revisar")</f>
        <v>MASCULINO</v>
      </c>
      <c r="H23" s="7" t="str">
        <f aca="false">IFERROR(VLOOKUP(TRIM($D23), Hoja4_2!$A$2:$L$10000, 7, 0), "Revisar")</f>
        <v>MARACAIBO</v>
      </c>
      <c r="I23" s="7" t="str">
        <f aca="false">IFERROR(VLOOKUP(TRIM($D23), Hoja4_2!$A$2:$L$10000, 9, 0), "Revisar")</f>
        <v>ZU</v>
      </c>
      <c r="J23" s="7" t="str">
        <f aca="false">IFERROR(VLOOKUP(TRIM($D23), Hoja4_2!$A$2:$L$10000, 12, 0), "Revisar")</f>
        <v>11393842</v>
      </c>
      <c r="K23" s="8" t="str">
        <f aca="false">TEXT(TRIM(D23),"0")</f>
        <v>11311393842</v>
      </c>
      <c r="L23" s="1" t="str">
        <f aca="false">IF(F23="Revisar","NULL",CONCATENATE("'",TEXT(F23,"yyyy-mm-dd"),"'"))</f>
        <v>'2013-10-02'</v>
      </c>
      <c r="M23" s="9" t="str">
        <f aca="false">IF(G23="Revisar","NULL",CONCATENATE("'",MID(G23,1,1),"'"))</f>
        <v>'M'</v>
      </c>
      <c r="N23" s="9" t="str">
        <f aca="false">IF(H23="Revisar","NULL",CONCATENATE("'",H23,"'"))</f>
        <v>'MARACAIBO'</v>
      </c>
      <c r="O23" s="9" t="str">
        <f aca="false">IF(I23="Revisar","NULL",CONCATENATE("'",I23,"'"))</f>
        <v>'ZU'</v>
      </c>
      <c r="P23" s="1" t="str">
        <f aca="false">"UPDATE estudiantes SET fecha_nacimiento="&amp;L23&amp;", sexo="&amp;M23&amp;", lugar_nacimiento="&amp;N23&amp;", entidad_federal="&amp;O23&amp;" WHERE cedula='"&amp;K23&amp;"';"</f>
        <v>UPDATE estudiantes SET fecha_nacimiento='2013-10-02', sexo='M', lugar_nacimiento='MARACAIBO', entidad_federal='ZU' WHERE cedula='11311393842';</v>
      </c>
    </row>
    <row r="24" customFormat="false" ht="14.9" hidden="false" customHeight="false" outlineLevel="0" collapsed="false">
      <c r="A24" s="1" t="s">
        <v>15</v>
      </c>
      <c r="B24" s="1" t="s">
        <v>16</v>
      </c>
      <c r="C24" s="1" t="s">
        <v>17</v>
      </c>
      <c r="D24" s="1" t="s">
        <v>40</v>
      </c>
      <c r="E24" s="2" t="n">
        <v>45922</v>
      </c>
      <c r="F24" s="2" t="n">
        <f aca="false">IFERROR(VLOOKUP(TRIM($D24), Hoja4_2!$A$2:$L$10000, 4, 0), "Revisar")</f>
        <v>41512</v>
      </c>
      <c r="G24" s="7" t="str">
        <f aca="false">IFERROR(VLOOKUP(TRIM($D24), Hoja4_2!$A$2:$L$10000, 5, 0), "Revisar")</f>
        <v>FEMENINO</v>
      </c>
      <c r="H24" s="7" t="str">
        <f aca="false">IFERROR(VLOOKUP(TRIM($D24), Hoja4_2!$A$2:$L$10000, 7, 0), "Revisar")</f>
        <v>MARA</v>
      </c>
      <c r="I24" s="7" t="str">
        <f aca="false">IFERROR(VLOOKUP(TRIM($D24), Hoja4_2!$A$2:$L$10000, 9, 0), "Revisar")</f>
        <v>ZU</v>
      </c>
      <c r="J24" s="7" t="str">
        <f aca="false">IFERROR(VLOOKUP(TRIM($D24), Hoja4_2!$A$2:$L$10000, 12, 0), "Revisar")</f>
        <v>12620121</v>
      </c>
      <c r="K24" s="8" t="str">
        <f aca="false">TEXT(TRIM(D24),"0")</f>
        <v>11312620121</v>
      </c>
      <c r="L24" s="1" t="str">
        <f aca="false">IF(F24="Revisar","NULL",CONCATENATE("'",TEXT(F24,"yyyy-mm-dd"),"'"))</f>
        <v>'2013-08-26'</v>
      </c>
      <c r="M24" s="9" t="str">
        <f aca="false">IF(G24="Revisar","NULL",CONCATENATE("'",MID(G24,1,1),"'"))</f>
        <v>'F'</v>
      </c>
      <c r="N24" s="9" t="str">
        <f aca="false">IF(H24="Revisar","NULL",CONCATENATE("'",H24,"'"))</f>
        <v>'MARA'</v>
      </c>
      <c r="O24" s="9" t="str">
        <f aca="false">IF(I24="Revisar","NULL",CONCATENATE("'",I24,"'"))</f>
        <v>'ZU'</v>
      </c>
      <c r="P24" s="1" t="str">
        <f aca="false">"UPDATE estudiantes SET fecha_nacimiento="&amp;L24&amp;", sexo="&amp;M24&amp;", lugar_nacimiento="&amp;N24&amp;", entidad_federal="&amp;O24&amp;" WHERE cedula='"&amp;K24&amp;"';"</f>
        <v>UPDATE estudiantes SET fecha_nacimiento='2013-08-26', sexo='F', lugar_nacimiento='MARA', entidad_federal='ZU' WHERE cedula='11312620121';</v>
      </c>
    </row>
    <row r="25" customFormat="false" ht="14.9" hidden="false" customHeight="false" outlineLevel="0" collapsed="false">
      <c r="A25" s="1" t="s">
        <v>15</v>
      </c>
      <c r="B25" s="1" t="s">
        <v>16</v>
      </c>
      <c r="C25" s="1" t="s">
        <v>17</v>
      </c>
      <c r="D25" s="1" t="s">
        <v>41</v>
      </c>
      <c r="E25" s="2" t="n">
        <v>45922</v>
      </c>
      <c r="F25" s="2" t="n">
        <f aca="false">IFERROR(VLOOKUP(TRIM($D25), Hoja4_2!$A$2:$L$10000, 4, 0), "Revisar")</f>
        <v>41542</v>
      </c>
      <c r="G25" s="7" t="str">
        <f aca="false">IFERROR(VLOOKUP(TRIM($D25), Hoja4_2!$A$2:$L$10000, 5, 0), "Revisar")</f>
        <v>MASCULINO</v>
      </c>
      <c r="H25" s="7" t="str">
        <f aca="false">IFERROR(VLOOKUP(TRIM($D25), Hoja4_2!$A$2:$L$10000, 7, 0), "Revisar")</f>
        <v>MARACAIBO</v>
      </c>
      <c r="I25" s="7" t="str">
        <f aca="false">IFERROR(VLOOKUP(TRIM($D25), Hoja4_2!$A$2:$L$10000, 9, 0), "Revisar")</f>
        <v>ZU</v>
      </c>
      <c r="J25" s="7" t="str">
        <f aca="false">IFERROR(VLOOKUP(TRIM($D25), Hoja4_2!$A$2:$L$10000, 12, 0), "Revisar")</f>
        <v>14497413</v>
      </c>
      <c r="K25" s="8" t="str">
        <f aca="false">TEXT(TRIM(D25),"0")</f>
        <v>11314497413</v>
      </c>
      <c r="L25" s="1" t="str">
        <f aca="false">IF(F25="Revisar","NULL",CONCATENATE("'",TEXT(F25,"yyyy-mm-dd"),"'"))</f>
        <v>'2013-09-25'</v>
      </c>
      <c r="M25" s="9" t="str">
        <f aca="false">IF(G25="Revisar","NULL",CONCATENATE("'",MID(G25,1,1),"'"))</f>
        <v>'M'</v>
      </c>
      <c r="N25" s="9" t="str">
        <f aca="false">IF(H25="Revisar","NULL",CONCATENATE("'",H25,"'"))</f>
        <v>'MARACAIBO'</v>
      </c>
      <c r="O25" s="9" t="str">
        <f aca="false">IF(I25="Revisar","NULL",CONCATENATE("'",I25,"'"))</f>
        <v>'ZU'</v>
      </c>
      <c r="P25" s="1" t="str">
        <f aca="false">"UPDATE estudiantes SET fecha_nacimiento="&amp;L25&amp;", sexo="&amp;M25&amp;", lugar_nacimiento="&amp;N25&amp;", entidad_federal="&amp;O25&amp;" WHERE cedula='"&amp;K25&amp;"';"</f>
        <v>UPDATE estudiantes SET fecha_nacimiento='2013-09-25', sexo='M', lugar_nacimiento='MARACAIBO', entidad_federal='ZU' WHERE cedula='11314497413';</v>
      </c>
    </row>
    <row r="26" customFormat="false" ht="14.9" hidden="false" customHeight="false" outlineLevel="0" collapsed="false">
      <c r="A26" s="1" t="s">
        <v>15</v>
      </c>
      <c r="B26" s="1" t="s">
        <v>16</v>
      </c>
      <c r="C26" s="1" t="s">
        <v>17</v>
      </c>
      <c r="D26" s="1" t="s">
        <v>42</v>
      </c>
      <c r="E26" s="2" t="n">
        <v>45922</v>
      </c>
      <c r="F26" s="2" t="n">
        <f aca="false">IFERROR(VLOOKUP(TRIM($D26), Hoja4_2!$A$2:$L$10000, 4, 0), "Revisar")</f>
        <v>41317</v>
      </c>
      <c r="G26" s="7" t="str">
        <f aca="false">IFERROR(VLOOKUP(TRIM($D26), Hoja4_2!$A$2:$L$10000, 5, 0), "Revisar")</f>
        <v>FEMENINO</v>
      </c>
      <c r="H26" s="7" t="str">
        <f aca="false">IFERROR(VLOOKUP(TRIM($D26), Hoja4_2!$A$2:$L$10000, 7, 0), "Revisar")</f>
        <v>MARACAIBO</v>
      </c>
      <c r="I26" s="7" t="str">
        <f aca="false">IFERROR(VLOOKUP(TRIM($D26), Hoja4_2!$A$2:$L$10000, 9, 0), "Revisar")</f>
        <v>ZU</v>
      </c>
      <c r="J26" s="7" t="str">
        <f aca="false">IFERROR(VLOOKUP(TRIM($D26), Hoja4_2!$A$2:$L$10000, 12, 0), "Revisar")</f>
        <v>17565179</v>
      </c>
      <c r="K26" s="8" t="str">
        <f aca="false">TEXT(TRIM(D26),"0")</f>
        <v>11317565179</v>
      </c>
      <c r="L26" s="1" t="str">
        <f aca="false">IF(F26="Revisar","NULL",CONCATENATE("'",TEXT(F26,"yyyy-mm-dd"),"'"))</f>
        <v>'2013-02-12'</v>
      </c>
      <c r="M26" s="9" t="str">
        <f aca="false">IF(G26="Revisar","NULL",CONCATENATE("'",MID(G26,1,1),"'"))</f>
        <v>'F'</v>
      </c>
      <c r="N26" s="9" t="str">
        <f aca="false">IF(H26="Revisar","NULL",CONCATENATE("'",H26,"'"))</f>
        <v>'MARACAIBO'</v>
      </c>
      <c r="O26" s="9" t="str">
        <f aca="false">IF(I26="Revisar","NULL",CONCATENATE("'",I26,"'"))</f>
        <v>'ZU'</v>
      </c>
      <c r="P26" s="1" t="str">
        <f aca="false">"UPDATE estudiantes SET fecha_nacimiento="&amp;L26&amp;", sexo="&amp;M26&amp;", lugar_nacimiento="&amp;N26&amp;", entidad_federal="&amp;O26&amp;" WHERE cedula='"&amp;K26&amp;"';"</f>
        <v>UPDATE estudiantes SET fecha_nacimiento='2013-02-12', sexo='F', lugar_nacimiento='MARACAIBO', entidad_federal='ZU' WHERE cedula='11317565179';</v>
      </c>
    </row>
    <row r="27" customFormat="false" ht="14.9" hidden="false" customHeight="false" outlineLevel="0" collapsed="false">
      <c r="A27" s="1" t="s">
        <v>15</v>
      </c>
      <c r="B27" s="1" t="s">
        <v>16</v>
      </c>
      <c r="C27" s="1" t="s">
        <v>17</v>
      </c>
      <c r="D27" s="1" t="s">
        <v>43</v>
      </c>
      <c r="E27" s="2" t="n">
        <v>45922</v>
      </c>
      <c r="F27" s="2" t="n">
        <f aca="false">IFERROR(VLOOKUP(TRIM($D27), Hoja4_2!$A$2:$L$10000, 4, 0), "Revisar")</f>
        <v>41626</v>
      </c>
      <c r="G27" s="7" t="str">
        <f aca="false">IFERROR(VLOOKUP(TRIM($D27), Hoja4_2!$A$2:$L$10000, 5, 0), "Revisar")</f>
        <v>FEMENINO</v>
      </c>
      <c r="H27" s="7" t="str">
        <f aca="false">IFERROR(VLOOKUP(TRIM($D27), Hoja4_2!$A$2:$L$10000, 7, 0), "Revisar")</f>
        <v>MARACAIBO</v>
      </c>
      <c r="I27" s="7" t="str">
        <f aca="false">IFERROR(VLOOKUP(TRIM($D27), Hoja4_2!$A$2:$L$10000, 9, 0), "Revisar")</f>
        <v>ZU</v>
      </c>
      <c r="J27" s="7" t="str">
        <f aca="false">IFERROR(VLOOKUP(TRIM($D27), Hoja4_2!$A$2:$L$10000, 12, 0), "Revisar")</f>
        <v>15553505</v>
      </c>
      <c r="K27" s="8" t="str">
        <f aca="false">TEXT(TRIM(D27),"0")</f>
        <v>11318382574</v>
      </c>
      <c r="L27" s="1" t="str">
        <f aca="false">IF(F27="Revisar","NULL",CONCATENATE("'",TEXT(F27,"yyyy-mm-dd"),"'"))</f>
        <v>'2013-12-18'</v>
      </c>
      <c r="M27" s="9" t="str">
        <f aca="false">IF(G27="Revisar","NULL",CONCATENATE("'",MID(G27,1,1),"'"))</f>
        <v>'F'</v>
      </c>
      <c r="N27" s="9" t="str">
        <f aca="false">IF(H27="Revisar","NULL",CONCATENATE("'",H27,"'"))</f>
        <v>'MARACAIBO'</v>
      </c>
      <c r="O27" s="9" t="str">
        <f aca="false">IF(I27="Revisar","NULL",CONCATENATE("'",I27,"'"))</f>
        <v>'ZU'</v>
      </c>
      <c r="P27" s="1" t="str">
        <f aca="false">"UPDATE estudiantes SET fecha_nacimiento="&amp;L27&amp;", sexo="&amp;M27&amp;", lugar_nacimiento="&amp;N27&amp;", entidad_federal="&amp;O27&amp;" WHERE cedula='"&amp;K27&amp;"';"</f>
        <v>UPDATE estudiantes SET fecha_nacimiento='2013-12-18', sexo='F', lugar_nacimiento='MARACAIBO', entidad_federal='ZU' WHERE cedula='11318382574';</v>
      </c>
    </row>
    <row r="28" customFormat="false" ht="14.9" hidden="false" customHeight="false" outlineLevel="0" collapsed="false">
      <c r="A28" s="1" t="s">
        <v>15</v>
      </c>
      <c r="B28" s="1" t="s">
        <v>16</v>
      </c>
      <c r="C28" s="1" t="s">
        <v>17</v>
      </c>
      <c r="D28" s="1" t="s">
        <v>44</v>
      </c>
      <c r="E28" s="2" t="n">
        <v>45922</v>
      </c>
      <c r="F28" s="2" t="n">
        <f aca="false">IFERROR(VLOOKUP(TRIM($D28), Hoja4_2!$A$2:$L$10000, 4, 0), "Revisar")</f>
        <v>41376</v>
      </c>
      <c r="G28" s="7" t="str">
        <f aca="false">IFERROR(VLOOKUP(TRIM($D28), Hoja4_2!$A$2:$L$10000, 5, 0), "Revisar")</f>
        <v>FEMENINO</v>
      </c>
      <c r="H28" s="7" t="str">
        <f aca="false">IFERROR(VLOOKUP(TRIM($D28), Hoja4_2!$A$2:$L$10000, 7, 0), "Revisar")</f>
        <v>MARACAIBO</v>
      </c>
      <c r="I28" s="7" t="str">
        <f aca="false">IFERROR(VLOOKUP(TRIM($D28), Hoja4_2!$A$2:$L$10000, 9, 0), "Revisar")</f>
        <v>ZU</v>
      </c>
      <c r="J28" s="7" t="str">
        <f aca="false">IFERROR(VLOOKUP(TRIM($D28), Hoja4_2!$A$2:$L$10000, 12, 0), "Revisar")</f>
        <v>20070916</v>
      </c>
      <c r="K28" s="8" t="str">
        <f aca="false">TEXT(TRIM(D28),"0")</f>
        <v>11320070096</v>
      </c>
      <c r="L28" s="1" t="str">
        <f aca="false">IF(F28="Revisar","NULL",CONCATENATE("'",TEXT(F28,"yyyy-mm-dd"),"'"))</f>
        <v>'2013-04-12'</v>
      </c>
      <c r="M28" s="9" t="str">
        <f aca="false">IF(G28="Revisar","NULL",CONCATENATE("'",MID(G28,1,1),"'"))</f>
        <v>'F'</v>
      </c>
      <c r="N28" s="9" t="str">
        <f aca="false">IF(H28="Revisar","NULL",CONCATENATE("'",H28,"'"))</f>
        <v>'MARACAIBO'</v>
      </c>
      <c r="O28" s="9" t="str">
        <f aca="false">IF(I28="Revisar","NULL",CONCATENATE("'",I28,"'"))</f>
        <v>'ZU'</v>
      </c>
      <c r="P28" s="1" t="str">
        <f aca="false">"UPDATE estudiantes SET fecha_nacimiento="&amp;L28&amp;", sexo="&amp;M28&amp;", lugar_nacimiento="&amp;N28&amp;", entidad_federal="&amp;O28&amp;" WHERE cedula='"&amp;K28&amp;"';"</f>
        <v>UPDATE estudiantes SET fecha_nacimiento='2013-04-12', sexo='F', lugar_nacimiento='MARACAIBO', entidad_federal='ZU' WHERE cedula='11320070096';</v>
      </c>
    </row>
    <row r="29" customFormat="false" ht="14.9" hidden="false" customHeight="false" outlineLevel="0" collapsed="false">
      <c r="A29" s="1" t="s">
        <v>15</v>
      </c>
      <c r="B29" s="1" t="s">
        <v>16</v>
      </c>
      <c r="C29" s="1" t="s">
        <v>17</v>
      </c>
      <c r="D29" s="1" t="s">
        <v>45</v>
      </c>
      <c r="E29" s="2" t="n">
        <v>45922</v>
      </c>
      <c r="F29" s="2" t="n">
        <f aca="false">IFERROR(VLOOKUP(TRIM($D29), Hoja4_2!$A$2:$L$10000, 4, 0), "Revisar")</f>
        <v>41307</v>
      </c>
      <c r="G29" s="7" t="str">
        <f aca="false">IFERROR(VLOOKUP(TRIM($D29), Hoja4_2!$A$2:$L$10000, 5, 0), "Revisar")</f>
        <v>FEMENINO</v>
      </c>
      <c r="H29" s="7" t="str">
        <f aca="false">IFERROR(VLOOKUP(TRIM($D29), Hoja4_2!$A$2:$L$10000, 7, 0), "Revisar")</f>
        <v>MARACAIBO</v>
      </c>
      <c r="I29" s="7" t="str">
        <f aca="false">IFERROR(VLOOKUP(TRIM($D29), Hoja4_2!$A$2:$L$10000, 9, 0), "Revisar")</f>
        <v>YA</v>
      </c>
      <c r="J29" s="7" t="str">
        <f aca="false">IFERROR(VLOOKUP(TRIM($D29), Hoja4_2!$A$2:$L$10000, 12, 0), "Revisar")</f>
        <v>20685679</v>
      </c>
      <c r="K29" s="8" t="str">
        <f aca="false">TEXT(TRIM(D29),"0")</f>
        <v>11320685679</v>
      </c>
      <c r="L29" s="1" t="str">
        <f aca="false">IF(F29="Revisar","NULL",CONCATENATE("'",TEXT(F29,"yyyy-mm-dd"),"'"))</f>
        <v>'2013-02-02'</v>
      </c>
      <c r="M29" s="9" t="str">
        <f aca="false">IF(G29="Revisar","NULL",CONCATENATE("'",MID(G29,1,1),"'"))</f>
        <v>'F'</v>
      </c>
      <c r="N29" s="9" t="str">
        <f aca="false">IF(H29="Revisar","NULL",CONCATENATE("'",H29,"'"))</f>
        <v>'MARACAIBO'</v>
      </c>
      <c r="O29" s="9" t="str">
        <f aca="false">IF(I29="Revisar","NULL",CONCATENATE("'",I29,"'"))</f>
        <v>'YA'</v>
      </c>
      <c r="P29" s="1" t="str">
        <f aca="false">"UPDATE estudiantes SET fecha_nacimiento="&amp;L29&amp;", sexo="&amp;M29&amp;", lugar_nacimiento="&amp;N29&amp;", entidad_federal="&amp;O29&amp;" WHERE cedula='"&amp;K29&amp;"';"</f>
        <v>UPDATE estudiantes SET fecha_nacimiento='2013-02-02', sexo='F', lugar_nacimiento='MARACAIBO', entidad_federal='YA' WHERE cedula='11320685679';</v>
      </c>
    </row>
    <row r="30" customFormat="false" ht="14.9" hidden="false" customHeight="false" outlineLevel="0" collapsed="false">
      <c r="A30" s="1" t="s">
        <v>15</v>
      </c>
      <c r="B30" s="1" t="s">
        <v>16</v>
      </c>
      <c r="C30" s="1" t="s">
        <v>17</v>
      </c>
      <c r="D30" s="1" t="s">
        <v>46</v>
      </c>
      <c r="E30" s="2" t="n">
        <v>45922</v>
      </c>
      <c r="F30" s="2" t="n">
        <f aca="false">IFERROR(VLOOKUP(TRIM($D30), Hoja4_2!$A$2:$L$10000, 4, 0), "Revisar")</f>
        <v>41311</v>
      </c>
      <c r="G30" s="7" t="str">
        <f aca="false">IFERROR(VLOOKUP(TRIM($D30), Hoja4_2!$A$2:$L$10000, 5, 0), "Revisar")</f>
        <v>MASCULINO</v>
      </c>
      <c r="H30" s="7" t="str">
        <f aca="false">IFERROR(VLOOKUP(TRIM($D30), Hoja4_2!$A$2:$L$10000, 7, 0), "Revisar")</f>
        <v>MARACAIBO</v>
      </c>
      <c r="I30" s="7" t="str">
        <f aca="false">IFERROR(VLOOKUP(TRIM($D30), Hoja4_2!$A$2:$L$10000, 9, 0), "Revisar")</f>
        <v>ZU</v>
      </c>
      <c r="J30" s="7" t="str">
        <f aca="false">IFERROR(VLOOKUP(TRIM($D30), Hoja4_2!$A$2:$L$10000, 12, 0), "Revisar")</f>
        <v>24249814</v>
      </c>
      <c r="K30" s="8" t="str">
        <f aca="false">TEXT(TRIM(D30),"0")</f>
        <v>11324249814</v>
      </c>
      <c r="L30" s="1" t="str">
        <f aca="false">IF(F30="Revisar","NULL",CONCATENATE("'",TEXT(F30,"yyyy-mm-dd"),"'"))</f>
        <v>'2013-02-06'</v>
      </c>
      <c r="M30" s="9" t="str">
        <f aca="false">IF(G30="Revisar","NULL",CONCATENATE("'",MID(G30,1,1),"'"))</f>
        <v>'M'</v>
      </c>
      <c r="N30" s="9" t="str">
        <f aca="false">IF(H30="Revisar","NULL",CONCATENATE("'",H30,"'"))</f>
        <v>'MARACAIBO'</v>
      </c>
      <c r="O30" s="9" t="str">
        <f aca="false">IF(I30="Revisar","NULL",CONCATENATE("'",I30,"'"))</f>
        <v>'ZU'</v>
      </c>
      <c r="P30" s="1" t="str">
        <f aca="false">"UPDATE estudiantes SET fecha_nacimiento="&amp;L30&amp;", sexo="&amp;M30&amp;", lugar_nacimiento="&amp;N30&amp;", entidad_federal="&amp;O30&amp;" WHERE cedula='"&amp;K30&amp;"';"</f>
        <v>UPDATE estudiantes SET fecha_nacimiento='2013-02-06', sexo='M', lugar_nacimiento='MARACAIBO', entidad_federal='ZU' WHERE cedula='11324249814';</v>
      </c>
    </row>
    <row r="31" customFormat="false" ht="14.9" hidden="false" customHeight="false" outlineLevel="0" collapsed="false">
      <c r="A31" s="1" t="s">
        <v>15</v>
      </c>
      <c r="B31" s="1" t="s">
        <v>16</v>
      </c>
      <c r="C31" s="1" t="s">
        <v>17</v>
      </c>
      <c r="D31" s="1" t="s">
        <v>47</v>
      </c>
      <c r="E31" s="2" t="n">
        <v>45922</v>
      </c>
      <c r="F31" s="2" t="n">
        <f aca="false">IFERROR(VLOOKUP(TRIM($D31), Hoja4_2!$A$2:$L$10000, 4, 0), "Revisar")</f>
        <v>41478</v>
      </c>
      <c r="G31" s="7" t="str">
        <f aca="false">IFERROR(VLOOKUP(TRIM($D31), Hoja4_2!$A$2:$L$10000, 5, 0), "Revisar")</f>
        <v>MASCULINO</v>
      </c>
      <c r="H31" s="7" t="str">
        <f aca="false">IFERROR(VLOOKUP(TRIM($D31), Hoja4_2!$A$2:$L$10000, 7, 0), "Revisar")</f>
        <v>MARACAIBO</v>
      </c>
      <c r="I31" s="7" t="str">
        <f aca="false">IFERROR(VLOOKUP(TRIM($D31), Hoja4_2!$A$2:$L$10000, 9, 0), "Revisar")</f>
        <v>ZU</v>
      </c>
      <c r="J31" s="7" t="str">
        <f aca="false">IFERROR(VLOOKUP(TRIM($D31), Hoja4_2!$A$2:$L$10000, 12, 0), "Revisar")</f>
        <v>14737126</v>
      </c>
      <c r="K31" s="8" t="str">
        <f aca="false">TEXT(TRIM(D31),"0")</f>
        <v>11325039665</v>
      </c>
      <c r="L31" s="1" t="str">
        <f aca="false">IF(F31="Revisar","NULL",CONCATENATE("'",TEXT(F31,"yyyy-mm-dd"),"'"))</f>
        <v>'2013-07-23'</v>
      </c>
      <c r="M31" s="9" t="str">
        <f aca="false">IF(G31="Revisar","NULL",CONCATENATE("'",MID(G31,1,1),"'"))</f>
        <v>'M'</v>
      </c>
      <c r="N31" s="9" t="str">
        <f aca="false">IF(H31="Revisar","NULL",CONCATENATE("'",H31,"'"))</f>
        <v>'MARACAIBO'</v>
      </c>
      <c r="O31" s="9" t="str">
        <f aca="false">IF(I31="Revisar","NULL",CONCATENATE("'",I31,"'"))</f>
        <v>'ZU'</v>
      </c>
      <c r="P31" s="1" t="str">
        <f aca="false">"UPDATE estudiantes SET fecha_nacimiento="&amp;L31&amp;", sexo="&amp;M31&amp;", lugar_nacimiento="&amp;N31&amp;", entidad_federal="&amp;O31&amp;" WHERE cedula='"&amp;K31&amp;"';"</f>
        <v>UPDATE estudiantes SET fecha_nacimiento='2013-07-23', sexo='M', lugar_nacimiento='MARACAIBO', entidad_federal='ZU' WHERE cedula='11325039665';</v>
      </c>
    </row>
    <row r="32" customFormat="false" ht="14.9" hidden="false" customHeight="false" outlineLevel="0" collapsed="false">
      <c r="A32" s="1" t="s">
        <v>15</v>
      </c>
      <c r="B32" s="1" t="s">
        <v>16</v>
      </c>
      <c r="C32" s="1" t="s">
        <v>17</v>
      </c>
      <c r="D32" s="1" t="s">
        <v>48</v>
      </c>
      <c r="E32" s="2" t="n">
        <v>45922</v>
      </c>
      <c r="F32" s="2" t="n">
        <f aca="false">IFERROR(VLOOKUP(TRIM($D32), Hoja4_2!$A$2:$L$10000, 4, 0), "Revisar")</f>
        <v>41556</v>
      </c>
      <c r="G32" s="7" t="str">
        <f aca="false">IFERROR(VLOOKUP(TRIM($D32), Hoja4_2!$A$2:$L$10000, 5, 0), "Revisar")</f>
        <v>MASCULINO</v>
      </c>
      <c r="H32" s="7" t="str">
        <f aca="false">IFERROR(VLOOKUP(TRIM($D32), Hoja4_2!$A$2:$L$10000, 7, 0), "Revisar")</f>
        <v>MARACAIBO</v>
      </c>
      <c r="I32" s="7" t="str">
        <f aca="false">IFERROR(VLOOKUP(TRIM($D32), Hoja4_2!$A$2:$L$10000, 9, 0), "Revisar")</f>
        <v>ZU</v>
      </c>
      <c r="J32" s="7" t="str">
        <f aca="false">IFERROR(VLOOKUP(TRIM($D32), Hoja4_2!$A$2:$L$10000, 12, 0), "Revisar")</f>
        <v>09741986</v>
      </c>
      <c r="K32" s="8" t="str">
        <f aca="false">TEXT(TRIM(D32),"0")</f>
        <v>11326169613</v>
      </c>
      <c r="L32" s="1" t="str">
        <f aca="false">IF(F32="Revisar","NULL",CONCATENATE("'",TEXT(F32,"yyyy-mm-dd"),"'"))</f>
        <v>'2013-10-09'</v>
      </c>
      <c r="M32" s="9" t="str">
        <f aca="false">IF(G32="Revisar","NULL",CONCATENATE("'",MID(G32,1,1),"'"))</f>
        <v>'M'</v>
      </c>
      <c r="N32" s="9" t="str">
        <f aca="false">IF(H32="Revisar","NULL",CONCATENATE("'",H32,"'"))</f>
        <v>'MARACAIBO'</v>
      </c>
      <c r="O32" s="9" t="str">
        <f aca="false">IF(I32="Revisar","NULL",CONCATENATE("'",I32,"'"))</f>
        <v>'ZU'</v>
      </c>
      <c r="P32" s="1" t="str">
        <f aca="false">"UPDATE estudiantes SET fecha_nacimiento="&amp;L32&amp;", sexo="&amp;M32&amp;", lugar_nacimiento="&amp;N32&amp;", entidad_federal="&amp;O32&amp;" WHERE cedula='"&amp;K32&amp;"';"</f>
        <v>UPDATE estudiantes SET fecha_nacimiento='2013-10-09', sexo='M', lugar_nacimiento='MARACAIBO', entidad_federal='ZU' WHERE cedula='11326169613';</v>
      </c>
    </row>
    <row r="33" customFormat="false" ht="14.9" hidden="false" customHeight="false" outlineLevel="0" collapsed="false">
      <c r="A33" s="1" t="s">
        <v>15</v>
      </c>
      <c r="B33" s="1" t="s">
        <v>16</v>
      </c>
      <c r="C33" s="1" t="s">
        <v>17</v>
      </c>
      <c r="D33" s="1" t="s">
        <v>49</v>
      </c>
      <c r="E33" s="2" t="n">
        <v>45922</v>
      </c>
      <c r="F33" s="2" t="n">
        <f aca="false">IFERROR(VLOOKUP(TRIM($D33), Hoja4_2!$A$2:$L$10000, 4, 0), "Revisar")</f>
        <v>41372</v>
      </c>
      <c r="G33" s="7" t="str">
        <f aca="false">IFERROR(VLOOKUP(TRIM($D33), Hoja4_2!$A$2:$L$10000, 5, 0), "Revisar")</f>
        <v>MASCULINO</v>
      </c>
      <c r="H33" s="7" t="str">
        <f aca="false">IFERROR(VLOOKUP(TRIM($D33), Hoja4_2!$A$2:$L$10000, 7, 0), "Revisar")</f>
        <v>MARACAIBO</v>
      </c>
      <c r="I33" s="7" t="str">
        <f aca="false">IFERROR(VLOOKUP(TRIM($D33), Hoja4_2!$A$2:$L$10000, 9, 0), "Revisar")</f>
        <v>ZU</v>
      </c>
      <c r="J33" s="7" t="str">
        <f aca="false">IFERROR(VLOOKUP(TRIM($D33), Hoja4_2!$A$2:$L$10000, 12, 0), "Revisar")</f>
        <v>24952916</v>
      </c>
      <c r="K33" s="8" t="str">
        <f aca="false">TEXT(TRIM(D33),"0")</f>
        <v>11334755573</v>
      </c>
      <c r="L33" s="1" t="str">
        <f aca="false">IF(F33="Revisar","NULL",CONCATENATE("'",TEXT(F33,"yyyy-mm-dd"),"'"))</f>
        <v>'2013-04-08'</v>
      </c>
      <c r="M33" s="9" t="str">
        <f aca="false">IF(G33="Revisar","NULL",CONCATENATE("'",MID(G33,1,1),"'"))</f>
        <v>'M'</v>
      </c>
      <c r="N33" s="9" t="str">
        <f aca="false">IF(H33="Revisar","NULL",CONCATENATE("'",H33,"'"))</f>
        <v>'MARACAIBO'</v>
      </c>
      <c r="O33" s="9" t="str">
        <f aca="false">IF(I33="Revisar","NULL",CONCATENATE("'",I33,"'"))</f>
        <v>'ZU'</v>
      </c>
      <c r="P33" s="1" t="str">
        <f aca="false">"UPDATE estudiantes SET fecha_nacimiento="&amp;L33&amp;", sexo="&amp;M33&amp;", lugar_nacimiento="&amp;N33&amp;", entidad_federal="&amp;O33&amp;" WHERE cedula='"&amp;K33&amp;"';"</f>
        <v>UPDATE estudiantes SET fecha_nacimiento='2013-04-08', sexo='M', lugar_nacimiento='MARACAIBO', entidad_federal='ZU' WHERE cedula='11334755573';</v>
      </c>
    </row>
    <row r="34" customFormat="false" ht="14.9" hidden="false" customHeight="false" outlineLevel="0" collapsed="false">
      <c r="A34" s="1" t="s">
        <v>15</v>
      </c>
      <c r="B34" s="1" t="s">
        <v>16</v>
      </c>
      <c r="C34" s="1" t="s">
        <v>17</v>
      </c>
      <c r="D34" s="1" t="s">
        <v>50</v>
      </c>
      <c r="E34" s="2" t="n">
        <v>45922</v>
      </c>
      <c r="F34" s="2" t="n">
        <f aca="false">IFERROR(VLOOKUP(TRIM($D34), Hoja4_2!$A$2:$L$10000, 4, 0), "Revisar")</f>
        <v>41658</v>
      </c>
      <c r="G34" s="7" t="str">
        <f aca="false">IFERROR(VLOOKUP(TRIM($D34), Hoja4_2!$A$2:$L$10000, 5, 0), "Revisar")</f>
        <v>FEMENINO</v>
      </c>
      <c r="H34" s="7" t="str">
        <f aca="false">IFERROR(VLOOKUP(TRIM($D34), Hoja4_2!$A$2:$L$10000, 7, 0), "Revisar")</f>
        <v>MARACAIBO</v>
      </c>
      <c r="I34" s="7" t="str">
        <f aca="false">IFERROR(VLOOKUP(TRIM($D34), Hoja4_2!$A$2:$L$10000, 9, 0), "Revisar")</f>
        <v>ZU</v>
      </c>
      <c r="J34" s="7" t="str">
        <f aca="false">IFERROR(VLOOKUP(TRIM($D34), Hoja4_2!$A$2:$L$10000, 12, 0), "Revisar")</f>
        <v>13005174</v>
      </c>
      <c r="K34" s="8" t="str">
        <f aca="false">TEXT(TRIM(D34),"0")</f>
        <v>11413005174</v>
      </c>
      <c r="L34" s="1" t="str">
        <f aca="false">IF(F34="Revisar","NULL",CONCATENATE("'",TEXT(F34,"yyyy-mm-dd"),"'"))</f>
        <v>'2014-01-19'</v>
      </c>
      <c r="M34" s="9" t="str">
        <f aca="false">IF(G34="Revisar","NULL",CONCATENATE("'",MID(G34,1,1),"'"))</f>
        <v>'F'</v>
      </c>
      <c r="N34" s="9" t="str">
        <f aca="false">IF(H34="Revisar","NULL",CONCATENATE("'",H34,"'"))</f>
        <v>'MARACAIBO'</v>
      </c>
      <c r="O34" s="9" t="str">
        <f aca="false">IF(I34="Revisar","NULL",CONCATENATE("'",I34,"'"))</f>
        <v>'ZU'</v>
      </c>
      <c r="P34" s="1" t="str">
        <f aca="false">"UPDATE estudiantes SET fecha_nacimiento="&amp;L34&amp;", sexo="&amp;M34&amp;", lugar_nacimiento="&amp;N34&amp;", entidad_federal="&amp;O34&amp;" WHERE cedula='"&amp;K34&amp;"';"</f>
        <v>UPDATE estudiantes SET fecha_nacimiento='2014-01-19', sexo='F', lugar_nacimiento='MARACAIBO', entidad_federal='ZU' WHERE cedula='11413005174';</v>
      </c>
    </row>
    <row r="35" customFormat="false" ht="14.9" hidden="false" customHeight="false" outlineLevel="0" collapsed="false">
      <c r="A35" s="1" t="s">
        <v>15</v>
      </c>
      <c r="B35" s="1" t="s">
        <v>16</v>
      </c>
      <c r="C35" s="1" t="s">
        <v>17</v>
      </c>
      <c r="D35" s="1" t="s">
        <v>51</v>
      </c>
      <c r="E35" s="2" t="n">
        <v>45922</v>
      </c>
      <c r="F35" s="2" t="n">
        <f aca="false">IFERROR(VLOOKUP(TRIM($D35), Hoja4_2!$A$2:$L$10000, 4, 0), "Revisar")</f>
        <v>41926</v>
      </c>
      <c r="G35" s="7" t="str">
        <f aca="false">IFERROR(VLOOKUP(TRIM($D35), Hoja4_2!$A$2:$L$10000, 5, 0), "Revisar")</f>
        <v>FEMENINO</v>
      </c>
      <c r="H35" s="7" t="str">
        <f aca="false">IFERROR(VLOOKUP(TRIM($D35), Hoja4_2!$A$2:$L$10000, 7, 0), "Revisar")</f>
        <v>MARACAIBO</v>
      </c>
      <c r="I35" s="7" t="str">
        <f aca="false">IFERROR(VLOOKUP(TRIM($D35), Hoja4_2!$A$2:$L$10000, 9, 0), "Revisar")</f>
        <v>ZU</v>
      </c>
      <c r="J35" s="7" t="str">
        <f aca="false">IFERROR(VLOOKUP(TRIM($D35), Hoja4_2!$A$2:$L$10000, 12, 0), "Revisar")</f>
        <v>24725888</v>
      </c>
      <c r="K35" s="8" t="str">
        <f aca="false">TEXT(TRIM(D35),"0")</f>
        <v>11424725888</v>
      </c>
      <c r="L35" s="1" t="str">
        <f aca="false">IF(F35="Revisar","NULL",CONCATENATE("'",TEXT(F35,"yyyy-mm-dd"),"'"))</f>
        <v>'2014-10-14'</v>
      </c>
      <c r="M35" s="9" t="str">
        <f aca="false">IF(G35="Revisar","NULL",CONCATENATE("'",MID(G35,1,1),"'"))</f>
        <v>'F'</v>
      </c>
      <c r="N35" s="9" t="str">
        <f aca="false">IF(H35="Revisar","NULL",CONCATENATE("'",H35,"'"))</f>
        <v>'MARACAIBO'</v>
      </c>
      <c r="O35" s="9" t="str">
        <f aca="false">IF(I35="Revisar","NULL",CONCATENATE("'",I35,"'"))</f>
        <v>'ZU'</v>
      </c>
      <c r="P35" s="1" t="str">
        <f aca="false">"UPDATE estudiantes SET fecha_nacimiento="&amp;L35&amp;", sexo="&amp;M35&amp;", lugar_nacimiento="&amp;N35&amp;", entidad_federal="&amp;O35&amp;" WHERE cedula='"&amp;K35&amp;"';"</f>
        <v>UPDATE estudiantes SET fecha_nacimiento='2014-10-14', sexo='F', lugar_nacimiento='MARACAIBO', entidad_federal='ZU' WHERE cedula='11424725888';</v>
      </c>
    </row>
    <row r="36" customFormat="false" ht="14.9" hidden="false" customHeight="false" outlineLevel="0" collapsed="false">
      <c r="A36" s="1" t="s">
        <v>15</v>
      </c>
      <c r="B36" s="1" t="s">
        <v>16</v>
      </c>
      <c r="C36" s="1" t="s">
        <v>17</v>
      </c>
      <c r="D36" s="1" t="s">
        <v>52</v>
      </c>
      <c r="E36" s="2" t="n">
        <v>45922</v>
      </c>
      <c r="F36" s="2" t="n">
        <f aca="false">IFERROR(VLOOKUP(TRIM($D36), Hoja4_2!$A$2:$L$10000, 4, 0), "Revisar")</f>
        <v>42030</v>
      </c>
      <c r="G36" s="7" t="str">
        <f aca="false">IFERROR(VLOOKUP(TRIM($D36), Hoja4_2!$A$2:$L$10000, 5, 0), "Revisar")</f>
        <v>MASCULINO</v>
      </c>
      <c r="H36" s="7" t="str">
        <f aca="false">IFERROR(VLOOKUP(TRIM($D36), Hoja4_2!$A$2:$L$10000, 7, 0), "Revisar")</f>
        <v>MARACAIBO</v>
      </c>
      <c r="I36" s="7" t="str">
        <f aca="false">IFERROR(VLOOKUP(TRIM($D36), Hoja4_2!$A$2:$L$10000, 9, 0), "Revisar")</f>
        <v>ZU</v>
      </c>
      <c r="J36" s="7" t="str">
        <f aca="false">IFERROR(VLOOKUP(TRIM($D36), Hoja4_2!$A$2:$L$10000, 12, 0), "Revisar")</f>
        <v>15195481</v>
      </c>
      <c r="K36" s="8" t="str">
        <f aca="false">TEXT(TRIM(D36),"0")</f>
        <v>11515195481</v>
      </c>
      <c r="L36" s="1" t="str">
        <f aca="false">IF(F36="Revisar","NULL",CONCATENATE("'",TEXT(F36,"yyyy-mm-dd"),"'"))</f>
        <v>'2015-01-26'</v>
      </c>
      <c r="M36" s="9" t="str">
        <f aca="false">IF(G36="Revisar","NULL",CONCATENATE("'",MID(G36,1,1),"'"))</f>
        <v>'M'</v>
      </c>
      <c r="N36" s="9" t="str">
        <f aca="false">IF(H36="Revisar","NULL",CONCATENATE("'",H36,"'"))</f>
        <v>'MARACAIBO'</v>
      </c>
      <c r="O36" s="9" t="str">
        <f aca="false">IF(I36="Revisar","NULL",CONCATENATE("'",I36,"'"))</f>
        <v>'ZU'</v>
      </c>
      <c r="P36" s="1" t="str">
        <f aca="false">"UPDATE estudiantes SET fecha_nacimiento="&amp;L36&amp;", sexo="&amp;M36&amp;", lugar_nacimiento="&amp;N36&amp;", entidad_federal="&amp;O36&amp;" WHERE cedula='"&amp;K36&amp;"';"</f>
        <v>UPDATE estudiantes SET fecha_nacimiento='2015-01-26', sexo='M', lugar_nacimiento='MARACAIBO', entidad_federal='ZU' WHERE cedula='11515195481';</v>
      </c>
    </row>
    <row r="37" customFormat="false" ht="14.9" hidden="false" customHeight="false" outlineLevel="0" collapsed="false">
      <c r="A37" s="1" t="s">
        <v>15</v>
      </c>
      <c r="B37" s="1" t="s">
        <v>16</v>
      </c>
      <c r="C37" s="1" t="s">
        <v>53</v>
      </c>
      <c r="D37" s="1" t="s">
        <v>54</v>
      </c>
      <c r="E37" s="2" t="n">
        <v>45922</v>
      </c>
      <c r="F37" s="2" t="n">
        <f aca="false">IFERROR(VLOOKUP(TRIM($D37), Hoja4_2!$A$2:$L$10000, 4, 0), "Revisar")</f>
        <v>40953</v>
      </c>
      <c r="G37" s="7" t="str">
        <f aca="false">IFERROR(VLOOKUP(TRIM($D37), Hoja4_2!$A$2:$L$10000, 5, 0), "Revisar")</f>
        <v>MASCULINO</v>
      </c>
      <c r="H37" s="7" t="str">
        <f aca="false">IFERROR(VLOOKUP(TRIM($D37), Hoja4_2!$A$2:$L$10000, 7, 0), "Revisar")</f>
        <v>MARACAIBO</v>
      </c>
      <c r="I37" s="7" t="str">
        <f aca="false">IFERROR(VLOOKUP(TRIM($D37), Hoja4_2!$A$2:$L$10000, 9, 0), "Revisar")</f>
        <v>ZU</v>
      </c>
      <c r="J37" s="7" t="str">
        <f aca="false">IFERROR(VLOOKUP(TRIM($D37), Hoja4_2!$A$2:$L$10000, 12, 0), "Revisar")</f>
        <v>16607458</v>
      </c>
      <c r="K37" s="8" t="str">
        <f aca="false">TEXT(TRIM(D37),"0")</f>
        <v>34399638</v>
      </c>
      <c r="L37" s="1" t="str">
        <f aca="false">IF(F37="Revisar","NULL",CONCATENATE("'",TEXT(F37,"yyyy-mm-dd"),"'"))</f>
        <v>'2012-02-14'</v>
      </c>
      <c r="M37" s="9" t="str">
        <f aca="false">IF(G37="Revisar","NULL",CONCATENATE("'",MID(G37,1,1),"'"))</f>
        <v>'M'</v>
      </c>
      <c r="N37" s="9" t="str">
        <f aca="false">IF(H37="Revisar","NULL",CONCATENATE("'",H37,"'"))</f>
        <v>'MARACAIBO'</v>
      </c>
      <c r="O37" s="9" t="str">
        <f aca="false">IF(I37="Revisar","NULL",CONCATENATE("'",I37,"'"))</f>
        <v>'ZU'</v>
      </c>
      <c r="P37" s="1" t="str">
        <f aca="false">"UPDATE estudiantes SET fecha_nacimiento="&amp;L37&amp;", sexo="&amp;M37&amp;", lugar_nacimiento="&amp;N37&amp;", entidad_federal="&amp;O37&amp;" WHERE cedula='"&amp;K37&amp;"';"</f>
        <v>UPDATE estudiantes SET fecha_nacimiento='2012-02-14', sexo='M', lugar_nacimiento='MARACAIBO', entidad_federal='ZU' WHERE cedula='34399638';</v>
      </c>
    </row>
    <row r="38" customFormat="false" ht="14.9" hidden="false" customHeight="false" outlineLevel="0" collapsed="false">
      <c r="A38" s="1" t="s">
        <v>15</v>
      </c>
      <c r="B38" s="1" t="s">
        <v>16</v>
      </c>
      <c r="C38" s="1" t="s">
        <v>53</v>
      </c>
      <c r="D38" s="1" t="s">
        <v>55</v>
      </c>
      <c r="E38" s="2" t="n">
        <v>45922</v>
      </c>
      <c r="F38" s="2" t="n">
        <f aca="false">IFERROR(VLOOKUP(TRIM($D38), Hoja4_2!$A$2:$L$10000, 4, 0), "Revisar")</f>
        <v>40504</v>
      </c>
      <c r="G38" s="7" t="str">
        <f aca="false">IFERROR(VLOOKUP(TRIM($D38), Hoja4_2!$A$2:$L$10000, 5, 0), "Revisar")</f>
        <v>FEMENINO</v>
      </c>
      <c r="H38" s="7" t="str">
        <f aca="false">IFERROR(VLOOKUP(TRIM($D38), Hoja4_2!$A$2:$L$10000, 7, 0), "Revisar")</f>
        <v>JESUS ENRIQUE LOSSADA</v>
      </c>
      <c r="I38" s="7" t="str">
        <f aca="false">IFERROR(VLOOKUP(TRIM($D38), Hoja4_2!$A$2:$L$10000, 9, 0), "Revisar")</f>
        <v>ZU</v>
      </c>
      <c r="J38" s="7" t="str">
        <f aca="false">IFERROR(VLOOKUP(TRIM($D38), Hoja4_2!$A$2:$L$10000, 12, 0), "Revisar")</f>
        <v>19838591</v>
      </c>
      <c r="K38" s="8" t="str">
        <f aca="false">TEXT(TRIM(D38),"0")</f>
        <v>34550840</v>
      </c>
      <c r="L38" s="1" t="str">
        <f aca="false">IF(F38="Revisar","NULL",CONCATENATE("'",TEXT(F38,"yyyy-mm-dd"),"'"))</f>
        <v>'2010-11-22'</v>
      </c>
      <c r="M38" s="9" t="str">
        <f aca="false">IF(G38="Revisar","NULL",CONCATENATE("'",MID(G38,1,1),"'"))</f>
        <v>'F'</v>
      </c>
      <c r="N38" s="9" t="str">
        <f aca="false">IF(H38="Revisar","NULL",CONCATENATE("'",H38,"'"))</f>
        <v>'JESUS ENRIQUE LOSSADA'</v>
      </c>
      <c r="O38" s="9" t="str">
        <f aca="false">IF(I38="Revisar","NULL",CONCATENATE("'",I38,"'"))</f>
        <v>'ZU'</v>
      </c>
      <c r="P38" s="1" t="str">
        <f aca="false">"UPDATE estudiantes SET fecha_nacimiento="&amp;L38&amp;", sexo="&amp;M38&amp;", lugar_nacimiento="&amp;N38&amp;", entidad_federal="&amp;O38&amp;" WHERE cedula='"&amp;K38&amp;"';"</f>
        <v>UPDATE estudiantes SET fecha_nacimiento='2010-11-22', sexo='F', lugar_nacimiento='JESUS ENRIQUE LOSSADA', entidad_federal='ZU' WHERE cedula='34550840';</v>
      </c>
    </row>
    <row r="39" customFormat="false" ht="14.9" hidden="false" customHeight="false" outlineLevel="0" collapsed="false">
      <c r="A39" s="1" t="s">
        <v>15</v>
      </c>
      <c r="B39" s="1" t="s">
        <v>16</v>
      </c>
      <c r="C39" s="1" t="s">
        <v>53</v>
      </c>
      <c r="D39" s="1" t="s">
        <v>56</v>
      </c>
      <c r="E39" s="2" t="n">
        <v>45922</v>
      </c>
      <c r="F39" s="2" t="n">
        <f aca="false">IFERROR(VLOOKUP(TRIM($D39), Hoja4_2!$A$2:$L$10000, 4, 0), "Revisar")</f>
        <v>41372</v>
      </c>
      <c r="G39" s="7" t="str">
        <f aca="false">IFERROR(VLOOKUP(TRIM($D39), Hoja4_2!$A$2:$L$10000, 5, 0), "Revisar")</f>
        <v>MASCULINO</v>
      </c>
      <c r="H39" s="7" t="str">
        <f aca="false">IFERROR(VLOOKUP(TRIM($D39), Hoja4_2!$A$2:$L$10000, 7, 0), "Revisar")</f>
        <v>MARACAIBO</v>
      </c>
      <c r="I39" s="7" t="str">
        <f aca="false">IFERROR(VLOOKUP(TRIM($D39), Hoja4_2!$A$2:$L$10000, 9, 0), "Revisar")</f>
        <v>ZU</v>
      </c>
      <c r="J39" s="7" t="str">
        <f aca="false">IFERROR(VLOOKUP(TRIM($D39), Hoja4_2!$A$2:$L$10000, 12, 0), "Revisar")</f>
        <v>19988107</v>
      </c>
      <c r="K39" s="8" t="str">
        <f aca="false">TEXT(TRIM(D39),"0")</f>
        <v>34835260</v>
      </c>
      <c r="L39" s="1" t="str">
        <f aca="false">IF(F39="Revisar","NULL",CONCATENATE("'",TEXT(F39,"yyyy-mm-dd"),"'"))</f>
        <v>'2013-04-08'</v>
      </c>
      <c r="M39" s="9" t="str">
        <f aca="false">IF(G39="Revisar","NULL",CONCATENATE("'",MID(G39,1,1),"'"))</f>
        <v>'M'</v>
      </c>
      <c r="N39" s="9" t="str">
        <f aca="false">IF(H39="Revisar","NULL",CONCATENATE("'",H39,"'"))</f>
        <v>'MARACAIBO'</v>
      </c>
      <c r="O39" s="9" t="str">
        <f aca="false">IF(I39="Revisar","NULL",CONCATENATE("'",I39,"'"))</f>
        <v>'ZU'</v>
      </c>
      <c r="P39" s="1" t="str">
        <f aca="false">"UPDATE estudiantes SET fecha_nacimiento="&amp;L39&amp;", sexo="&amp;M39&amp;", lugar_nacimiento="&amp;N39&amp;", entidad_federal="&amp;O39&amp;" WHERE cedula='"&amp;K39&amp;"';"</f>
        <v>UPDATE estudiantes SET fecha_nacimiento='2013-04-08', sexo='M', lugar_nacimiento='MARACAIBO', entidad_federal='ZU' WHERE cedula='34835260';</v>
      </c>
    </row>
    <row r="40" customFormat="false" ht="14.9" hidden="false" customHeight="false" outlineLevel="0" collapsed="false">
      <c r="A40" s="1" t="s">
        <v>15</v>
      </c>
      <c r="B40" s="1" t="s">
        <v>16</v>
      </c>
      <c r="C40" s="1" t="s">
        <v>53</v>
      </c>
      <c r="D40" s="1" t="s">
        <v>57</v>
      </c>
      <c r="E40" s="2" t="n">
        <v>45922</v>
      </c>
      <c r="F40" s="2" t="n">
        <f aca="false">IFERROR(VLOOKUP(TRIM($D40), Hoja4_2!$A$2:$L$10000, 4, 0), "Revisar")</f>
        <v>41287</v>
      </c>
      <c r="G40" s="7" t="str">
        <f aca="false">IFERROR(VLOOKUP(TRIM($D40), Hoja4_2!$A$2:$L$10000, 5, 0), "Revisar")</f>
        <v>FEMENINO</v>
      </c>
      <c r="H40" s="7" t="str">
        <f aca="false">IFERROR(VLOOKUP(TRIM($D40), Hoja4_2!$A$2:$L$10000, 7, 0), "Revisar")</f>
        <v>JESUS ENRIQUE LOSSADA</v>
      </c>
      <c r="I40" s="7" t="str">
        <f aca="false">IFERROR(VLOOKUP(TRIM($D40), Hoja4_2!$A$2:$L$10000, 9, 0), "Revisar")</f>
        <v>ZU</v>
      </c>
      <c r="J40" s="7" t="str">
        <f aca="false">IFERROR(VLOOKUP(TRIM($D40), Hoja4_2!$A$2:$L$10000, 12, 0), "Revisar")</f>
        <v>25489890</v>
      </c>
      <c r="K40" s="8" t="str">
        <f aca="false">TEXT(TRIM(D40),"0")</f>
        <v>34845285</v>
      </c>
      <c r="L40" s="1" t="str">
        <f aca="false">IF(F40="Revisar","NULL",CONCATENATE("'",TEXT(F40,"yyyy-mm-dd"),"'"))</f>
        <v>'2013-01-13'</v>
      </c>
      <c r="M40" s="9" t="str">
        <f aca="false">IF(G40="Revisar","NULL",CONCATENATE("'",MID(G40,1,1),"'"))</f>
        <v>'F'</v>
      </c>
      <c r="N40" s="9" t="str">
        <f aca="false">IF(H40="Revisar","NULL",CONCATENATE("'",H40,"'"))</f>
        <v>'JESUS ENRIQUE LOSSADA'</v>
      </c>
      <c r="O40" s="9" t="str">
        <f aca="false">IF(I40="Revisar","NULL",CONCATENATE("'",I40,"'"))</f>
        <v>'ZU'</v>
      </c>
      <c r="P40" s="1" t="str">
        <f aca="false">"UPDATE estudiantes SET fecha_nacimiento="&amp;L40&amp;", sexo="&amp;M40&amp;", lugar_nacimiento="&amp;N40&amp;", entidad_federal="&amp;O40&amp;" WHERE cedula='"&amp;K40&amp;"';"</f>
        <v>UPDATE estudiantes SET fecha_nacimiento='2013-01-13', sexo='F', lugar_nacimiento='JESUS ENRIQUE LOSSADA', entidad_federal='ZU' WHERE cedula='34845285';</v>
      </c>
    </row>
    <row r="41" customFormat="false" ht="14.9" hidden="false" customHeight="false" outlineLevel="0" collapsed="false">
      <c r="A41" s="1" t="s">
        <v>15</v>
      </c>
      <c r="B41" s="1" t="s">
        <v>16</v>
      </c>
      <c r="C41" s="1" t="s">
        <v>53</v>
      </c>
      <c r="D41" s="1" t="s">
        <v>58</v>
      </c>
      <c r="E41" s="2" t="n">
        <v>45922</v>
      </c>
      <c r="F41" s="2" t="n">
        <f aca="false">IFERROR(VLOOKUP(TRIM($D41), Hoja4_2!$A$2:$L$10000, 4, 0), "Revisar")</f>
        <v>41147</v>
      </c>
      <c r="G41" s="7" t="str">
        <f aca="false">IFERROR(VLOOKUP(TRIM($D41), Hoja4_2!$A$2:$L$10000, 5, 0), "Revisar")</f>
        <v>MASCULINO</v>
      </c>
      <c r="H41" s="7" t="str">
        <f aca="false">IFERROR(VLOOKUP(TRIM($D41), Hoja4_2!$A$2:$L$10000, 7, 0), "Revisar")</f>
        <v>JESUS ENRIQUE LOSSADA</v>
      </c>
      <c r="I41" s="7" t="str">
        <f aca="false">IFERROR(VLOOKUP(TRIM($D41), Hoja4_2!$A$2:$L$10000, 9, 0), "Revisar")</f>
        <v>ZU</v>
      </c>
      <c r="J41" s="7" t="str">
        <f aca="false">IFERROR(VLOOKUP(TRIM($D41), Hoja4_2!$A$2:$L$10000, 12, 0), "Revisar")</f>
        <v>19811507</v>
      </c>
      <c r="K41" s="8" t="str">
        <f aca="false">TEXT(TRIM(D41),"0")</f>
        <v>35073621</v>
      </c>
      <c r="L41" s="1" t="str">
        <f aca="false">IF(F41="Revisar","NULL",CONCATENATE("'",TEXT(F41,"yyyy-mm-dd"),"'"))</f>
        <v>'2012-08-26'</v>
      </c>
      <c r="M41" s="9" t="str">
        <f aca="false">IF(G41="Revisar","NULL",CONCATENATE("'",MID(G41,1,1),"'"))</f>
        <v>'M'</v>
      </c>
      <c r="N41" s="9" t="str">
        <f aca="false">IF(H41="Revisar","NULL",CONCATENATE("'",H41,"'"))</f>
        <v>'JESUS ENRIQUE LOSSADA'</v>
      </c>
      <c r="O41" s="9" t="str">
        <f aca="false">IF(I41="Revisar","NULL",CONCATENATE("'",I41,"'"))</f>
        <v>'ZU'</v>
      </c>
      <c r="P41" s="1" t="str">
        <f aca="false">"UPDATE estudiantes SET fecha_nacimiento="&amp;L41&amp;", sexo="&amp;M41&amp;", lugar_nacimiento="&amp;N41&amp;", entidad_federal="&amp;O41&amp;" WHERE cedula='"&amp;K41&amp;"';"</f>
        <v>UPDATE estudiantes SET fecha_nacimiento='2012-08-26', sexo='M', lugar_nacimiento='JESUS ENRIQUE LOSSADA', entidad_federal='ZU' WHERE cedula='35073621';</v>
      </c>
    </row>
    <row r="42" customFormat="false" ht="14.9" hidden="false" customHeight="false" outlineLevel="0" collapsed="false">
      <c r="A42" s="1" t="s">
        <v>15</v>
      </c>
      <c r="B42" s="1" t="s">
        <v>16</v>
      </c>
      <c r="C42" s="1" t="s">
        <v>53</v>
      </c>
      <c r="D42" s="1" t="s">
        <v>59</v>
      </c>
      <c r="E42" s="2" t="n">
        <v>45922</v>
      </c>
      <c r="F42" s="2" t="n">
        <f aca="false">IFERROR(VLOOKUP(TRIM($D42), Hoja4_2!$A$2:$L$10000, 4, 0), "Revisar")</f>
        <v>41559</v>
      </c>
      <c r="G42" s="7" t="str">
        <f aca="false">IFERROR(VLOOKUP(TRIM($D42), Hoja4_2!$A$2:$L$10000, 5, 0), "Revisar")</f>
        <v>FEMENINO</v>
      </c>
      <c r="H42" s="7" t="str">
        <f aca="false">IFERROR(VLOOKUP(TRIM($D42), Hoja4_2!$A$2:$L$10000, 7, 0), "Revisar")</f>
        <v>MARACAIBO</v>
      </c>
      <c r="I42" s="7" t="str">
        <f aca="false">IFERROR(VLOOKUP(TRIM($D42), Hoja4_2!$A$2:$L$10000, 9, 0), "Revisar")</f>
        <v>ZU</v>
      </c>
      <c r="J42" s="7" t="str">
        <f aca="false">IFERROR(VLOOKUP(TRIM($D42), Hoja4_2!$A$2:$L$10000, 12, 0), "Revisar")</f>
        <v>19016784</v>
      </c>
      <c r="K42" s="8" t="str">
        <f aca="false">TEXT(TRIM(D42),"0")</f>
        <v>36098443</v>
      </c>
      <c r="L42" s="1" t="str">
        <f aca="false">IF(F42="Revisar","NULL",CONCATENATE("'",TEXT(F42,"yyyy-mm-dd"),"'"))</f>
        <v>'2013-10-12'</v>
      </c>
      <c r="M42" s="9" t="str">
        <f aca="false">IF(G42="Revisar","NULL",CONCATENATE("'",MID(G42,1,1),"'"))</f>
        <v>'F'</v>
      </c>
      <c r="N42" s="9" t="str">
        <f aca="false">IF(H42="Revisar","NULL",CONCATENATE("'",H42,"'"))</f>
        <v>'MARACAIBO'</v>
      </c>
      <c r="O42" s="9" t="str">
        <f aca="false">IF(I42="Revisar","NULL",CONCATENATE("'",I42,"'"))</f>
        <v>'ZU'</v>
      </c>
      <c r="P42" s="1" t="str">
        <f aca="false">"UPDATE estudiantes SET fecha_nacimiento="&amp;L42&amp;", sexo="&amp;M42&amp;", lugar_nacimiento="&amp;N42&amp;", entidad_federal="&amp;O42&amp;" WHERE cedula='"&amp;K42&amp;"';"</f>
        <v>UPDATE estudiantes SET fecha_nacimiento='2013-10-12', sexo='F', lugar_nacimiento='MARACAIBO', entidad_federal='ZU' WHERE cedula='36098443';</v>
      </c>
    </row>
    <row r="43" customFormat="false" ht="14.9" hidden="false" customHeight="false" outlineLevel="0" collapsed="false">
      <c r="A43" s="1" t="s">
        <v>15</v>
      </c>
      <c r="B43" s="1" t="s">
        <v>16</v>
      </c>
      <c r="C43" s="1" t="s">
        <v>53</v>
      </c>
      <c r="D43" s="1" t="s">
        <v>60</v>
      </c>
      <c r="E43" s="2" t="n">
        <v>45922</v>
      </c>
      <c r="F43" s="2" t="n">
        <f aca="false">IFERROR(VLOOKUP(TRIM($D43), Hoja4_2!$A$2:$L$10000, 4, 0), "Revisar")</f>
        <v>41663</v>
      </c>
      <c r="G43" s="7" t="str">
        <f aca="false">IFERROR(VLOOKUP(TRIM($D43), Hoja4_2!$A$2:$L$10000, 5, 0), "Revisar")</f>
        <v>MASCULINO</v>
      </c>
      <c r="H43" s="7" t="str">
        <f aca="false">IFERROR(VLOOKUP(TRIM($D43), Hoja4_2!$A$2:$L$10000, 7, 0), "Revisar")</f>
        <v>MARACAIBO</v>
      </c>
      <c r="I43" s="7" t="str">
        <f aca="false">IFERROR(VLOOKUP(TRIM($D43), Hoja4_2!$A$2:$L$10000, 9, 0), "Revisar")</f>
        <v>ZU</v>
      </c>
      <c r="J43" s="7" t="str">
        <f aca="false">IFERROR(VLOOKUP(TRIM($D43), Hoja4_2!$A$2:$L$10000, 12, 0), "Revisar")</f>
        <v>13005153</v>
      </c>
      <c r="K43" s="8" t="str">
        <f aca="false">TEXT(TRIM(D43),"0")</f>
        <v>36126829</v>
      </c>
      <c r="L43" s="1" t="str">
        <f aca="false">IF(F43="Revisar","NULL",CONCATENATE("'",TEXT(F43,"yyyy-mm-dd"),"'"))</f>
        <v>'2014-01-24'</v>
      </c>
      <c r="M43" s="9" t="str">
        <f aca="false">IF(G43="Revisar","NULL",CONCATENATE("'",MID(G43,1,1),"'"))</f>
        <v>'M'</v>
      </c>
      <c r="N43" s="9" t="str">
        <f aca="false">IF(H43="Revisar","NULL",CONCATENATE("'",H43,"'"))</f>
        <v>'MARACAIBO'</v>
      </c>
      <c r="O43" s="9" t="str">
        <f aca="false">IF(I43="Revisar","NULL",CONCATENATE("'",I43,"'"))</f>
        <v>'ZU'</v>
      </c>
      <c r="P43" s="1" t="str">
        <f aca="false">"UPDATE estudiantes SET fecha_nacimiento="&amp;L43&amp;", sexo="&amp;M43&amp;", lugar_nacimiento="&amp;N43&amp;", entidad_federal="&amp;O43&amp;" WHERE cedula='"&amp;K43&amp;"';"</f>
        <v>UPDATE estudiantes SET fecha_nacimiento='2014-01-24', sexo='M', lugar_nacimiento='MARACAIBO', entidad_federal='ZU' WHERE cedula='36126829';</v>
      </c>
    </row>
    <row r="44" customFormat="false" ht="14.9" hidden="false" customHeight="false" outlineLevel="0" collapsed="false">
      <c r="A44" s="1" t="s">
        <v>15</v>
      </c>
      <c r="B44" s="1" t="s">
        <v>16</v>
      </c>
      <c r="C44" s="1" t="s">
        <v>53</v>
      </c>
      <c r="D44" s="1" t="s">
        <v>61</v>
      </c>
      <c r="E44" s="2" t="n">
        <v>45922</v>
      </c>
      <c r="F44" s="2" t="n">
        <f aca="false">IFERROR(VLOOKUP(TRIM($D44), Hoja4_2!$A$2:$L$10000, 4, 0), "Revisar")</f>
        <v>41780</v>
      </c>
      <c r="G44" s="7" t="str">
        <f aca="false">IFERROR(VLOOKUP(TRIM($D44), Hoja4_2!$A$2:$L$10000, 5, 0), "Revisar")</f>
        <v>FEMENINO</v>
      </c>
      <c r="H44" s="7" t="str">
        <f aca="false">IFERROR(VLOOKUP(TRIM($D44), Hoja4_2!$A$2:$L$10000, 7, 0), "Revisar")</f>
        <v>JESUS ENRIQUE LOSSADA</v>
      </c>
      <c r="I44" s="7" t="str">
        <f aca="false">IFERROR(VLOOKUP(TRIM($D44), Hoja4_2!$A$2:$L$10000, 9, 0), "Revisar")</f>
        <v>ZU</v>
      </c>
      <c r="J44" s="7" t="str">
        <f aca="false">IFERROR(VLOOKUP(TRIM($D44), Hoja4_2!$A$2:$L$10000, 12, 0), "Revisar")</f>
        <v>15719230</v>
      </c>
      <c r="K44" s="8" t="str">
        <f aca="false">TEXT(TRIM(D44),"0")</f>
        <v>36213735</v>
      </c>
      <c r="L44" s="1" t="str">
        <f aca="false">IF(F44="Revisar","NULL",CONCATENATE("'",TEXT(F44,"yyyy-mm-dd"),"'"))</f>
        <v>'2014-05-21'</v>
      </c>
      <c r="M44" s="9" t="str">
        <f aca="false">IF(G44="Revisar","NULL",CONCATENATE("'",MID(G44,1,1),"'"))</f>
        <v>'F'</v>
      </c>
      <c r="N44" s="9" t="str">
        <f aca="false">IF(H44="Revisar","NULL",CONCATENATE("'",H44,"'"))</f>
        <v>'JESUS ENRIQUE LOSSADA'</v>
      </c>
      <c r="O44" s="9" t="str">
        <f aca="false">IF(I44="Revisar","NULL",CONCATENATE("'",I44,"'"))</f>
        <v>'ZU'</v>
      </c>
      <c r="P44" s="1" t="str">
        <f aca="false">"UPDATE estudiantes SET fecha_nacimiento="&amp;L44&amp;", sexo="&amp;M44&amp;", lugar_nacimiento="&amp;N44&amp;", entidad_federal="&amp;O44&amp;" WHERE cedula='"&amp;K44&amp;"';"</f>
        <v>UPDATE estudiantes SET fecha_nacimiento='2014-05-21', sexo='F', lugar_nacimiento='JESUS ENRIQUE LOSSADA', entidad_federal='ZU' WHERE cedula='36213735';</v>
      </c>
    </row>
    <row r="45" customFormat="false" ht="14.9" hidden="false" customHeight="false" outlineLevel="0" collapsed="false">
      <c r="A45" s="1" t="s">
        <v>15</v>
      </c>
      <c r="B45" s="1" t="s">
        <v>16</v>
      </c>
      <c r="C45" s="1" t="s">
        <v>53</v>
      </c>
      <c r="D45" s="1" t="s">
        <v>62</v>
      </c>
      <c r="E45" s="2" t="n">
        <v>45922</v>
      </c>
      <c r="F45" s="2" t="n">
        <f aca="false">IFERROR(VLOOKUP(TRIM($D45), Hoja4_2!$A$2:$L$10000, 4, 0), "Revisar")</f>
        <v>41562</v>
      </c>
      <c r="G45" s="7" t="str">
        <f aca="false">IFERROR(VLOOKUP(TRIM($D45), Hoja4_2!$A$2:$L$10000, 5, 0), "Revisar")</f>
        <v>FEMENINO</v>
      </c>
      <c r="H45" s="7" t="str">
        <f aca="false">IFERROR(VLOOKUP(TRIM($D45), Hoja4_2!$A$2:$L$10000, 7, 0), "Revisar")</f>
        <v>MARACAIBO</v>
      </c>
      <c r="I45" s="7" t="str">
        <f aca="false">IFERROR(VLOOKUP(TRIM($D45), Hoja4_2!$A$2:$L$10000, 9, 0), "Revisar")</f>
        <v>ZU</v>
      </c>
      <c r="J45" s="7" t="str">
        <f aca="false">IFERROR(VLOOKUP(TRIM($D45), Hoja4_2!$A$2:$L$10000, 12, 0), "Revisar")</f>
        <v>15719161</v>
      </c>
      <c r="K45" s="8" t="str">
        <f aca="false">TEXT(TRIM(D45),"0")</f>
        <v>36241612</v>
      </c>
      <c r="L45" s="1" t="str">
        <f aca="false">IF(F45="Revisar","NULL",CONCATENATE("'",TEXT(F45,"yyyy-mm-dd"),"'"))</f>
        <v>'2013-10-15'</v>
      </c>
      <c r="M45" s="9" t="str">
        <f aca="false">IF(G45="Revisar","NULL",CONCATENATE("'",MID(G45,1,1),"'"))</f>
        <v>'F'</v>
      </c>
      <c r="N45" s="9" t="str">
        <f aca="false">IF(H45="Revisar","NULL",CONCATENATE("'",H45,"'"))</f>
        <v>'MARACAIBO'</v>
      </c>
      <c r="O45" s="9" t="str">
        <f aca="false">IF(I45="Revisar","NULL",CONCATENATE("'",I45,"'"))</f>
        <v>'ZU'</v>
      </c>
      <c r="P45" s="1" t="str">
        <f aca="false">"UPDATE estudiantes SET fecha_nacimiento="&amp;L45&amp;", sexo="&amp;M45&amp;", lugar_nacimiento="&amp;N45&amp;", entidad_federal="&amp;O45&amp;" WHERE cedula='"&amp;K45&amp;"';"</f>
        <v>UPDATE estudiantes SET fecha_nacimiento='2013-10-15', sexo='F', lugar_nacimiento='MARACAIBO', entidad_federal='ZU' WHERE cedula='36241612';</v>
      </c>
    </row>
    <row r="46" customFormat="false" ht="14.9" hidden="false" customHeight="false" outlineLevel="0" collapsed="false">
      <c r="A46" s="1" t="s">
        <v>15</v>
      </c>
      <c r="B46" s="1" t="s">
        <v>16</v>
      </c>
      <c r="C46" s="1" t="s">
        <v>53</v>
      </c>
      <c r="D46" s="1" t="s">
        <v>63</v>
      </c>
      <c r="E46" s="2" t="n">
        <v>45922</v>
      </c>
      <c r="F46" s="2" t="n">
        <f aca="false">IFERROR(VLOOKUP(TRIM($D46), Hoja4_2!$A$2:$L$10000, 4, 0), "Revisar")</f>
        <v>41740</v>
      </c>
      <c r="G46" s="7" t="str">
        <f aca="false">IFERROR(VLOOKUP(TRIM($D46), Hoja4_2!$A$2:$L$10000, 5, 0), "Revisar")</f>
        <v>MASCULINO</v>
      </c>
      <c r="H46" s="7" t="str">
        <f aca="false">IFERROR(VLOOKUP(TRIM($D46), Hoja4_2!$A$2:$L$10000, 7, 0), "Revisar")</f>
        <v>MARACAIBO</v>
      </c>
      <c r="I46" s="7" t="str">
        <f aca="false">IFERROR(VLOOKUP(TRIM($D46), Hoja4_2!$A$2:$L$10000, 9, 0), "Revisar")</f>
        <v>ZU</v>
      </c>
      <c r="J46" s="7" t="str">
        <f aca="false">IFERROR(VLOOKUP(TRIM($D46), Hoja4_2!$A$2:$L$10000, 12, 0), "Revisar")</f>
        <v>23466308</v>
      </c>
      <c r="K46" s="8" t="str">
        <f aca="false">TEXT(TRIM(D46),"0")</f>
        <v>36406059</v>
      </c>
      <c r="L46" s="1" t="str">
        <f aca="false">IF(F46="Revisar","NULL",CONCATENATE("'",TEXT(F46,"yyyy-mm-dd"),"'"))</f>
        <v>'2014-04-11'</v>
      </c>
      <c r="M46" s="9" t="str">
        <f aca="false">IF(G46="Revisar","NULL",CONCATENATE("'",MID(G46,1,1),"'"))</f>
        <v>'M'</v>
      </c>
      <c r="N46" s="9" t="str">
        <f aca="false">IF(H46="Revisar","NULL",CONCATENATE("'",H46,"'"))</f>
        <v>'MARACAIBO'</v>
      </c>
      <c r="O46" s="9" t="str">
        <f aca="false">IF(I46="Revisar","NULL",CONCATENATE("'",I46,"'"))</f>
        <v>'ZU'</v>
      </c>
      <c r="P46" s="1" t="str">
        <f aca="false">"UPDATE estudiantes SET fecha_nacimiento="&amp;L46&amp;", sexo="&amp;M46&amp;", lugar_nacimiento="&amp;N46&amp;", entidad_federal="&amp;O46&amp;" WHERE cedula='"&amp;K46&amp;"';"</f>
        <v>UPDATE estudiantes SET fecha_nacimiento='2014-04-11', sexo='M', lugar_nacimiento='MARACAIBO', entidad_federal='ZU' WHERE cedula='36406059';</v>
      </c>
    </row>
    <row r="47" customFormat="false" ht="14.9" hidden="false" customHeight="false" outlineLevel="0" collapsed="false">
      <c r="A47" s="1" t="s">
        <v>15</v>
      </c>
      <c r="B47" s="1" t="s">
        <v>16</v>
      </c>
      <c r="C47" s="1" t="s">
        <v>53</v>
      </c>
      <c r="D47" s="1" t="s">
        <v>64</v>
      </c>
      <c r="E47" s="2" t="n">
        <v>45922</v>
      </c>
      <c r="F47" s="2" t="n">
        <f aca="false">IFERROR(VLOOKUP(TRIM($D47), Hoja4_2!$A$2:$L$10000, 4, 0), "Revisar")</f>
        <v>41495</v>
      </c>
      <c r="G47" s="7" t="str">
        <f aca="false">IFERROR(VLOOKUP(TRIM($D47), Hoja4_2!$A$2:$L$10000, 5, 0), "Revisar")</f>
        <v>FEMENINO</v>
      </c>
      <c r="H47" s="7" t="str">
        <f aca="false">IFERROR(VLOOKUP(TRIM($D47), Hoja4_2!$A$2:$L$10000, 7, 0), "Revisar")</f>
        <v>MARACAIBO</v>
      </c>
      <c r="I47" s="7" t="str">
        <f aca="false">IFERROR(VLOOKUP(TRIM($D47), Hoja4_2!$A$2:$L$10000, 9, 0), "Revisar")</f>
        <v>ZU</v>
      </c>
      <c r="J47" s="7" t="str">
        <f aca="false">IFERROR(VLOOKUP(TRIM($D47), Hoja4_2!$A$2:$L$10000, 12, 0), "Revisar")</f>
        <v>12379592</v>
      </c>
      <c r="K47" s="8" t="str">
        <f aca="false">TEXT(TRIM(D47),"0")</f>
        <v>36416892</v>
      </c>
      <c r="L47" s="1" t="str">
        <f aca="false">IF(F47="Revisar","NULL",CONCATENATE("'",TEXT(F47,"yyyy-mm-dd"),"'"))</f>
        <v>'2013-08-09'</v>
      </c>
      <c r="M47" s="9" t="str">
        <f aca="false">IF(G47="Revisar","NULL",CONCATENATE("'",MID(G47,1,1),"'"))</f>
        <v>'F'</v>
      </c>
      <c r="N47" s="9" t="str">
        <f aca="false">IF(H47="Revisar","NULL",CONCATENATE("'",H47,"'"))</f>
        <v>'MARACAIBO'</v>
      </c>
      <c r="O47" s="9" t="str">
        <f aca="false">IF(I47="Revisar","NULL",CONCATENATE("'",I47,"'"))</f>
        <v>'ZU'</v>
      </c>
      <c r="P47" s="1" t="str">
        <f aca="false">"UPDATE estudiantes SET fecha_nacimiento="&amp;L47&amp;", sexo="&amp;M47&amp;", lugar_nacimiento="&amp;N47&amp;", entidad_federal="&amp;O47&amp;" WHERE cedula='"&amp;K47&amp;"';"</f>
        <v>UPDATE estudiantes SET fecha_nacimiento='2013-08-09', sexo='F', lugar_nacimiento='MARACAIBO', entidad_federal='ZU' WHERE cedula='36416892';</v>
      </c>
    </row>
    <row r="48" customFormat="false" ht="14.9" hidden="false" customHeight="false" outlineLevel="0" collapsed="false">
      <c r="A48" s="1" t="s">
        <v>15</v>
      </c>
      <c r="B48" s="1" t="s">
        <v>16</v>
      </c>
      <c r="C48" s="1" t="s">
        <v>53</v>
      </c>
      <c r="D48" s="1" t="s">
        <v>65</v>
      </c>
      <c r="E48" s="2" t="n">
        <v>45922</v>
      </c>
      <c r="F48" s="2" t="n">
        <f aca="false">IFERROR(VLOOKUP(TRIM($D48), Hoja4_2!$A$2:$L$10000, 4, 0), "Revisar")</f>
        <v>41495</v>
      </c>
      <c r="G48" s="7" t="str">
        <f aca="false">IFERROR(VLOOKUP(TRIM($D48), Hoja4_2!$A$2:$L$10000, 5, 0), "Revisar")</f>
        <v>FEMENINO</v>
      </c>
      <c r="H48" s="7" t="str">
        <f aca="false">IFERROR(VLOOKUP(TRIM($D48), Hoja4_2!$A$2:$L$10000, 7, 0), "Revisar")</f>
        <v>MARACAIBO</v>
      </c>
      <c r="I48" s="7" t="str">
        <f aca="false">IFERROR(VLOOKUP(TRIM($D48), Hoja4_2!$A$2:$L$10000, 9, 0), "Revisar")</f>
        <v>ZU</v>
      </c>
      <c r="J48" s="7" t="str">
        <f aca="false">IFERROR(VLOOKUP(TRIM($D48), Hoja4_2!$A$2:$L$10000, 12, 0), "Revisar")</f>
        <v>12379592</v>
      </c>
      <c r="K48" s="8" t="str">
        <f aca="false">TEXT(TRIM(D48),"0")</f>
        <v>36416894</v>
      </c>
      <c r="L48" s="1" t="str">
        <f aca="false">IF(F48="Revisar","NULL",CONCATENATE("'",TEXT(F48,"yyyy-mm-dd"),"'"))</f>
        <v>'2013-08-09'</v>
      </c>
      <c r="M48" s="9" t="str">
        <f aca="false">IF(G48="Revisar","NULL",CONCATENATE("'",MID(G48,1,1),"'"))</f>
        <v>'F'</v>
      </c>
      <c r="N48" s="9" t="str">
        <f aca="false">IF(H48="Revisar","NULL",CONCATENATE("'",H48,"'"))</f>
        <v>'MARACAIBO'</v>
      </c>
      <c r="O48" s="9" t="str">
        <f aca="false">IF(I48="Revisar","NULL",CONCATENATE("'",I48,"'"))</f>
        <v>'ZU'</v>
      </c>
      <c r="P48" s="1" t="str">
        <f aca="false">"UPDATE estudiantes SET fecha_nacimiento="&amp;L48&amp;", sexo="&amp;M48&amp;", lugar_nacimiento="&amp;N48&amp;", entidad_federal="&amp;O48&amp;" WHERE cedula='"&amp;K48&amp;"';"</f>
        <v>UPDATE estudiantes SET fecha_nacimiento='2013-08-09', sexo='F', lugar_nacimiento='MARACAIBO', entidad_federal='ZU' WHERE cedula='36416894';</v>
      </c>
    </row>
    <row r="49" customFormat="false" ht="14.9" hidden="false" customHeight="false" outlineLevel="0" collapsed="false">
      <c r="A49" s="1" t="s">
        <v>15</v>
      </c>
      <c r="B49" s="1" t="s">
        <v>16</v>
      </c>
      <c r="C49" s="1" t="s">
        <v>53</v>
      </c>
      <c r="D49" s="1" t="s">
        <v>66</v>
      </c>
      <c r="E49" s="2" t="n">
        <v>45922</v>
      </c>
      <c r="F49" s="2" t="n">
        <f aca="false">IFERROR(VLOOKUP(TRIM($D49), Hoja4_2!$A$2:$L$10000, 4, 0), "Revisar")</f>
        <v>41795</v>
      </c>
      <c r="G49" s="7" t="str">
        <f aca="false">IFERROR(VLOOKUP(TRIM($D49), Hoja4_2!$A$2:$L$10000, 5, 0), "Revisar")</f>
        <v>FEMENINO</v>
      </c>
      <c r="H49" s="7" t="str">
        <f aca="false">IFERROR(VLOOKUP(TRIM($D49), Hoja4_2!$A$2:$L$10000, 7, 0), "Revisar")</f>
        <v>MARACAIBO</v>
      </c>
      <c r="I49" s="7" t="str">
        <f aca="false">IFERROR(VLOOKUP(TRIM($D49), Hoja4_2!$A$2:$L$10000, 9, 0), "Revisar")</f>
        <v>ZU</v>
      </c>
      <c r="J49" s="7" t="str">
        <f aca="false">IFERROR(VLOOKUP(TRIM($D49), Hoja4_2!$A$2:$L$10000, 12, 0), "Revisar")</f>
        <v>17566997</v>
      </c>
      <c r="K49" s="8" t="str">
        <f aca="false">TEXT(TRIM(D49),"0")</f>
        <v>36438835</v>
      </c>
      <c r="L49" s="1" t="str">
        <f aca="false">IF(F49="Revisar","NULL",CONCATENATE("'",TEXT(F49,"yyyy-mm-dd"),"'"))</f>
        <v>'2014-06-05'</v>
      </c>
      <c r="M49" s="9" t="str">
        <f aca="false">IF(G49="Revisar","NULL",CONCATENATE("'",MID(G49,1,1),"'"))</f>
        <v>'F'</v>
      </c>
      <c r="N49" s="9" t="str">
        <f aca="false">IF(H49="Revisar","NULL",CONCATENATE("'",H49,"'"))</f>
        <v>'MARACAIBO'</v>
      </c>
      <c r="O49" s="9" t="str">
        <f aca="false">IF(I49="Revisar","NULL",CONCATENATE("'",I49,"'"))</f>
        <v>'ZU'</v>
      </c>
      <c r="P49" s="1" t="str">
        <f aca="false">"UPDATE estudiantes SET fecha_nacimiento="&amp;L49&amp;", sexo="&amp;M49&amp;", lugar_nacimiento="&amp;N49&amp;", entidad_federal="&amp;O49&amp;" WHERE cedula='"&amp;K49&amp;"';"</f>
        <v>UPDATE estudiantes SET fecha_nacimiento='2014-06-05', sexo='F', lugar_nacimiento='MARACAIBO', entidad_federal='ZU' WHERE cedula='36438835';</v>
      </c>
    </row>
    <row r="50" customFormat="false" ht="14.9" hidden="false" customHeight="false" outlineLevel="0" collapsed="false">
      <c r="A50" s="1" t="s">
        <v>15</v>
      </c>
      <c r="B50" s="1" t="s">
        <v>16</v>
      </c>
      <c r="C50" s="1" t="s">
        <v>53</v>
      </c>
      <c r="D50" s="1" t="s">
        <v>67</v>
      </c>
      <c r="E50" s="2" t="n">
        <v>45922</v>
      </c>
      <c r="F50" s="2" t="n">
        <f aca="false">IFERROR(VLOOKUP(TRIM($D50), Hoja4_2!$A$2:$L$10000, 4, 0), "Revisar")</f>
        <v>41124</v>
      </c>
      <c r="G50" s="7" t="str">
        <f aca="false">IFERROR(VLOOKUP(TRIM($D50), Hoja4_2!$A$2:$L$10000, 5, 0), "Revisar")</f>
        <v>FEMENINO</v>
      </c>
      <c r="H50" s="7" t="str">
        <f aca="false">IFERROR(VLOOKUP(TRIM($D50), Hoja4_2!$A$2:$L$10000, 7, 0), "Revisar")</f>
        <v>MARACAIBO</v>
      </c>
      <c r="I50" s="7" t="str">
        <f aca="false">IFERROR(VLOOKUP(TRIM($D50), Hoja4_2!$A$2:$L$10000, 9, 0), "Revisar")</f>
        <v>ZU</v>
      </c>
      <c r="J50" s="7" t="str">
        <f aca="false">IFERROR(VLOOKUP(TRIM($D50), Hoja4_2!$A$2:$L$10000, 12, 0), "Revisar")</f>
        <v>23466443</v>
      </c>
      <c r="K50" s="8" t="str">
        <f aca="false">TEXT(TRIM(D50),"0")</f>
        <v>36439259</v>
      </c>
      <c r="L50" s="1" t="str">
        <f aca="false">IF(F50="Revisar","NULL",CONCATENATE("'",TEXT(F50,"yyyy-mm-dd"),"'"))</f>
        <v>'2012-08-03'</v>
      </c>
      <c r="M50" s="9" t="str">
        <f aca="false">IF(G50="Revisar","NULL",CONCATENATE("'",MID(G50,1,1),"'"))</f>
        <v>'F'</v>
      </c>
      <c r="N50" s="9" t="str">
        <f aca="false">IF(H50="Revisar","NULL",CONCATENATE("'",H50,"'"))</f>
        <v>'MARACAIBO'</v>
      </c>
      <c r="O50" s="9" t="str">
        <f aca="false">IF(I50="Revisar","NULL",CONCATENATE("'",I50,"'"))</f>
        <v>'ZU'</v>
      </c>
      <c r="P50" s="1" t="str">
        <f aca="false">"UPDATE estudiantes SET fecha_nacimiento="&amp;L50&amp;", sexo="&amp;M50&amp;", lugar_nacimiento="&amp;N50&amp;", entidad_federal="&amp;O50&amp;" WHERE cedula='"&amp;K50&amp;"';"</f>
        <v>UPDATE estudiantes SET fecha_nacimiento='2012-08-03', sexo='F', lugar_nacimiento='MARACAIBO', entidad_federal='ZU' WHERE cedula='36439259';</v>
      </c>
    </row>
    <row r="51" customFormat="false" ht="14.9" hidden="false" customHeight="false" outlineLevel="0" collapsed="false">
      <c r="A51" s="1" t="s">
        <v>15</v>
      </c>
      <c r="B51" s="1" t="s">
        <v>16</v>
      </c>
      <c r="C51" s="1" t="s">
        <v>53</v>
      </c>
      <c r="D51" s="1" t="s">
        <v>68</v>
      </c>
      <c r="E51" s="2" t="n">
        <v>45922</v>
      </c>
      <c r="F51" s="2" t="n">
        <f aca="false">IFERROR(VLOOKUP(TRIM($D51), Hoja4_2!$A$2:$L$10000, 4, 0), "Revisar")</f>
        <v>41427</v>
      </c>
      <c r="G51" s="7" t="str">
        <f aca="false">IFERROR(VLOOKUP(TRIM($D51), Hoja4_2!$A$2:$L$10000, 5, 0), "Revisar")</f>
        <v>FEMENINO</v>
      </c>
      <c r="H51" s="7" t="str">
        <f aca="false">IFERROR(VLOOKUP(TRIM($D51), Hoja4_2!$A$2:$L$10000, 7, 0), "Revisar")</f>
        <v>MARACAIBO</v>
      </c>
      <c r="I51" s="7" t="str">
        <f aca="false">IFERROR(VLOOKUP(TRIM($D51), Hoja4_2!$A$2:$L$10000, 9, 0), "Revisar")</f>
        <v>ZU</v>
      </c>
      <c r="J51" s="7" t="str">
        <f aca="false">IFERROR(VLOOKUP(TRIM($D51), Hoja4_2!$A$2:$L$10000, 12, 0), "Revisar")</f>
        <v>17183894</v>
      </c>
      <c r="K51" s="8" t="str">
        <f aca="false">TEXT(TRIM(D51),"0")</f>
        <v>36563492</v>
      </c>
      <c r="L51" s="1" t="str">
        <f aca="false">IF(F51="Revisar","NULL",CONCATENATE("'",TEXT(F51,"yyyy-mm-dd"),"'"))</f>
        <v>'2013-06-02'</v>
      </c>
      <c r="M51" s="9" t="str">
        <f aca="false">IF(G51="Revisar","NULL",CONCATENATE("'",MID(G51,1,1),"'"))</f>
        <v>'F'</v>
      </c>
      <c r="N51" s="9" t="str">
        <f aca="false">IF(H51="Revisar","NULL",CONCATENATE("'",H51,"'"))</f>
        <v>'MARACAIBO'</v>
      </c>
      <c r="O51" s="9" t="str">
        <f aca="false">IF(I51="Revisar","NULL",CONCATENATE("'",I51,"'"))</f>
        <v>'ZU'</v>
      </c>
      <c r="P51" s="1" t="str">
        <f aca="false">"UPDATE estudiantes SET fecha_nacimiento="&amp;L51&amp;", sexo="&amp;M51&amp;", lugar_nacimiento="&amp;N51&amp;", entidad_federal="&amp;O51&amp;" WHERE cedula='"&amp;K51&amp;"';"</f>
        <v>UPDATE estudiantes SET fecha_nacimiento='2013-06-02', sexo='F', lugar_nacimiento='MARACAIBO', entidad_federal='ZU' WHERE cedula='36563492';</v>
      </c>
    </row>
    <row r="52" customFormat="false" ht="14.9" hidden="false" customHeight="false" outlineLevel="0" collapsed="false">
      <c r="A52" s="1" t="s">
        <v>15</v>
      </c>
      <c r="B52" s="1" t="s">
        <v>16</v>
      </c>
      <c r="C52" s="1" t="s">
        <v>53</v>
      </c>
      <c r="D52" s="1" t="s">
        <v>69</v>
      </c>
      <c r="E52" s="2" t="n">
        <v>45922</v>
      </c>
      <c r="F52" s="2" t="n">
        <f aca="false">IFERROR(VLOOKUP(TRIM($D52), Hoja4_2!$A$2:$L$10000, 4, 0), "Revisar")</f>
        <v>41228</v>
      </c>
      <c r="G52" s="7" t="str">
        <f aca="false">IFERROR(VLOOKUP(TRIM($D52), Hoja4_2!$A$2:$L$10000, 5, 0), "Revisar")</f>
        <v>FEMENINO</v>
      </c>
      <c r="H52" s="7" t="str">
        <f aca="false">IFERROR(VLOOKUP(TRIM($D52), Hoja4_2!$A$2:$L$10000, 7, 0), "Revisar")</f>
        <v>MARACAIBO</v>
      </c>
      <c r="I52" s="7" t="str">
        <f aca="false">IFERROR(VLOOKUP(TRIM($D52), Hoja4_2!$A$2:$L$10000, 9, 0), "Revisar")</f>
        <v>ZU</v>
      </c>
      <c r="J52" s="7" t="str">
        <f aca="false">IFERROR(VLOOKUP(TRIM($D52), Hoja4_2!$A$2:$L$10000, 12, 0), "Revisar")</f>
        <v>21039789</v>
      </c>
      <c r="K52" s="8" t="str">
        <f aca="false">TEXT(TRIM(D52),"0")</f>
        <v>36574021</v>
      </c>
      <c r="L52" s="1" t="str">
        <f aca="false">IF(F52="Revisar","NULL",CONCATENATE("'",TEXT(F52,"yyyy-mm-dd"),"'"))</f>
        <v>'2012-11-15'</v>
      </c>
      <c r="M52" s="9" t="str">
        <f aca="false">IF(G52="Revisar","NULL",CONCATENATE("'",MID(G52,1,1),"'"))</f>
        <v>'F'</v>
      </c>
      <c r="N52" s="9" t="str">
        <f aca="false">IF(H52="Revisar","NULL",CONCATENATE("'",H52,"'"))</f>
        <v>'MARACAIBO'</v>
      </c>
      <c r="O52" s="9" t="str">
        <f aca="false">IF(I52="Revisar","NULL",CONCATENATE("'",I52,"'"))</f>
        <v>'ZU'</v>
      </c>
      <c r="P52" s="1" t="str">
        <f aca="false">"UPDATE estudiantes SET fecha_nacimiento="&amp;L52&amp;", sexo="&amp;M52&amp;", lugar_nacimiento="&amp;N52&amp;", entidad_federal="&amp;O52&amp;" WHERE cedula='"&amp;K52&amp;"';"</f>
        <v>UPDATE estudiantes SET fecha_nacimiento='2012-11-15', sexo='F', lugar_nacimiento='MARACAIBO', entidad_federal='ZU' WHERE cedula='36574021';</v>
      </c>
    </row>
    <row r="53" customFormat="false" ht="14.9" hidden="false" customHeight="false" outlineLevel="0" collapsed="false">
      <c r="A53" s="1" t="s">
        <v>15</v>
      </c>
      <c r="B53" s="1" t="s">
        <v>16</v>
      </c>
      <c r="C53" s="1" t="s">
        <v>53</v>
      </c>
      <c r="D53" s="1" t="s">
        <v>70</v>
      </c>
      <c r="E53" s="2" t="n">
        <v>45922</v>
      </c>
      <c r="F53" s="2" t="n">
        <f aca="false">IFERROR(VLOOKUP(TRIM($D53), Hoja4_2!$A$2:$L$10000, 4, 0), "Revisar")</f>
        <v>41913</v>
      </c>
      <c r="G53" s="7" t="str">
        <f aca="false">IFERROR(VLOOKUP(TRIM($D53), Hoja4_2!$A$2:$L$10000, 5, 0), "Revisar")</f>
        <v>MASCULINO</v>
      </c>
      <c r="H53" s="7" t="str">
        <f aca="false">IFERROR(VLOOKUP(TRIM($D53), Hoja4_2!$A$2:$L$10000, 7, 0), "Revisar")</f>
        <v>MARACAIBO</v>
      </c>
      <c r="I53" s="7" t="str">
        <f aca="false">IFERROR(VLOOKUP(TRIM($D53), Hoja4_2!$A$2:$L$10000, 9, 0), "Revisar")</f>
        <v>ZU</v>
      </c>
      <c r="J53" s="7" t="str">
        <f aca="false">IFERROR(VLOOKUP(TRIM($D53), Hoja4_2!$A$2:$L$10000, 12, 0), "Revisar")</f>
        <v>19016818</v>
      </c>
      <c r="K53" s="8" t="str">
        <f aca="false">TEXT(TRIM(D53),"0")</f>
        <v>36582445</v>
      </c>
      <c r="L53" s="1" t="str">
        <f aca="false">IF(F53="Revisar","NULL",CONCATENATE("'",TEXT(F53,"yyyy-mm-dd"),"'"))</f>
        <v>'2014-10-01'</v>
      </c>
      <c r="M53" s="9" t="str">
        <f aca="false">IF(G53="Revisar","NULL",CONCATENATE("'",MID(G53,1,1),"'"))</f>
        <v>'M'</v>
      </c>
      <c r="N53" s="9" t="str">
        <f aca="false">IF(H53="Revisar","NULL",CONCATENATE("'",H53,"'"))</f>
        <v>'MARACAIBO'</v>
      </c>
      <c r="O53" s="9" t="str">
        <f aca="false">IF(I53="Revisar","NULL",CONCATENATE("'",I53,"'"))</f>
        <v>'ZU'</v>
      </c>
      <c r="P53" s="1" t="str">
        <f aca="false">"UPDATE estudiantes SET fecha_nacimiento="&amp;L53&amp;", sexo="&amp;M53&amp;", lugar_nacimiento="&amp;N53&amp;", entidad_federal="&amp;O53&amp;" WHERE cedula='"&amp;K53&amp;"';"</f>
        <v>UPDATE estudiantes SET fecha_nacimiento='2014-10-01', sexo='M', lugar_nacimiento='MARACAIBO', entidad_federal='ZU' WHERE cedula='36582445';</v>
      </c>
    </row>
    <row r="54" customFormat="false" ht="14.9" hidden="false" customHeight="false" outlineLevel="0" collapsed="false">
      <c r="A54" s="1" t="s">
        <v>15</v>
      </c>
      <c r="B54" s="1" t="s">
        <v>16</v>
      </c>
      <c r="C54" s="1" t="s">
        <v>53</v>
      </c>
      <c r="D54" s="1" t="s">
        <v>71</v>
      </c>
      <c r="E54" s="2" t="n">
        <v>45922</v>
      </c>
      <c r="F54" s="2" t="n">
        <f aca="false">IFERROR(VLOOKUP(TRIM($D54), Hoja4_2!$A$2:$L$10000, 4, 0), "Revisar")</f>
        <v>41548</v>
      </c>
      <c r="G54" s="7" t="str">
        <f aca="false">IFERROR(VLOOKUP(TRIM($D54), Hoja4_2!$A$2:$L$10000, 5, 0), "Revisar")</f>
        <v>MASCULINO</v>
      </c>
      <c r="H54" s="7" t="str">
        <f aca="false">IFERROR(VLOOKUP(TRIM($D54), Hoja4_2!$A$2:$L$10000, 7, 0), "Revisar")</f>
        <v>MARACAIBO</v>
      </c>
      <c r="I54" s="7" t="str">
        <f aca="false">IFERROR(VLOOKUP(TRIM($D54), Hoja4_2!$A$2:$L$10000, 9, 0), "Revisar")</f>
        <v>ZU</v>
      </c>
      <c r="J54" s="7" t="str">
        <f aca="false">IFERROR(VLOOKUP(TRIM($D54), Hoja4_2!$A$2:$L$10000, 12, 0), "Revisar")</f>
        <v>29778632</v>
      </c>
      <c r="K54" s="8" t="str">
        <f aca="false">TEXT(TRIM(D54),"0")</f>
        <v>36633832</v>
      </c>
      <c r="L54" s="1" t="str">
        <f aca="false">IF(F54="Revisar","NULL",CONCATENATE("'",TEXT(F54,"yyyy-mm-dd"),"'"))</f>
        <v>'2013-10-01'</v>
      </c>
      <c r="M54" s="9" t="str">
        <f aca="false">IF(G54="Revisar","NULL",CONCATENATE("'",MID(G54,1,1),"'"))</f>
        <v>'M'</v>
      </c>
      <c r="N54" s="9" t="str">
        <f aca="false">IF(H54="Revisar","NULL",CONCATENATE("'",H54,"'"))</f>
        <v>'MARACAIBO'</v>
      </c>
      <c r="O54" s="9" t="str">
        <f aca="false">IF(I54="Revisar","NULL",CONCATENATE("'",I54,"'"))</f>
        <v>'ZU'</v>
      </c>
      <c r="P54" s="1" t="str">
        <f aca="false">"UPDATE estudiantes SET fecha_nacimiento="&amp;L54&amp;", sexo="&amp;M54&amp;", lugar_nacimiento="&amp;N54&amp;", entidad_federal="&amp;O54&amp;" WHERE cedula='"&amp;K54&amp;"';"</f>
        <v>UPDATE estudiantes SET fecha_nacimiento='2013-10-01', sexo='M', lugar_nacimiento='MARACAIBO', entidad_federal='ZU' WHERE cedula='36633832';</v>
      </c>
    </row>
    <row r="55" customFormat="false" ht="14.9" hidden="false" customHeight="false" outlineLevel="0" collapsed="false">
      <c r="A55" s="1" t="s">
        <v>15</v>
      </c>
      <c r="B55" s="1" t="s">
        <v>16</v>
      </c>
      <c r="C55" s="1" t="s">
        <v>53</v>
      </c>
      <c r="D55" s="1" t="s">
        <v>72</v>
      </c>
      <c r="E55" s="2" t="n">
        <v>45922</v>
      </c>
      <c r="F55" s="2" t="n">
        <f aca="false">IFERROR(VLOOKUP(TRIM($D55), Hoja4_2!$A$2:$L$10000, 4, 0), "Revisar")</f>
        <v>41653</v>
      </c>
      <c r="G55" s="7" t="str">
        <f aca="false">IFERROR(VLOOKUP(TRIM($D55), Hoja4_2!$A$2:$L$10000, 5, 0), "Revisar")</f>
        <v>MASCULINO</v>
      </c>
      <c r="H55" s="7" t="str">
        <f aca="false">IFERROR(VLOOKUP(TRIM($D55), Hoja4_2!$A$2:$L$10000, 7, 0), "Revisar")</f>
        <v>MARACAIBO</v>
      </c>
      <c r="I55" s="7" t="str">
        <f aca="false">IFERROR(VLOOKUP(TRIM($D55), Hoja4_2!$A$2:$L$10000, 9, 0), "Revisar")</f>
        <v>ZU</v>
      </c>
      <c r="J55" s="7" t="str">
        <f aca="false">IFERROR(VLOOKUP(TRIM($D55), Hoja4_2!$A$2:$L$10000, 12, 0), "Revisar")</f>
        <v>13174804</v>
      </c>
      <c r="K55" s="8" t="str">
        <f aca="false">TEXT(TRIM(D55),"0")</f>
        <v>36807578</v>
      </c>
      <c r="L55" s="1" t="str">
        <f aca="false">IF(F55="Revisar","NULL",CONCATENATE("'",TEXT(F55,"yyyy-mm-dd"),"'"))</f>
        <v>'2014-01-14'</v>
      </c>
      <c r="M55" s="9" t="str">
        <f aca="false">IF(G55="Revisar","NULL",CONCATENATE("'",MID(G55,1,1),"'"))</f>
        <v>'M'</v>
      </c>
      <c r="N55" s="9" t="str">
        <f aca="false">IF(H55="Revisar","NULL",CONCATENATE("'",H55,"'"))</f>
        <v>'MARACAIBO'</v>
      </c>
      <c r="O55" s="9" t="str">
        <f aca="false">IF(I55="Revisar","NULL",CONCATENATE("'",I55,"'"))</f>
        <v>'ZU'</v>
      </c>
      <c r="P55" s="1" t="str">
        <f aca="false">"UPDATE estudiantes SET fecha_nacimiento="&amp;L55&amp;", sexo="&amp;M55&amp;", lugar_nacimiento="&amp;N55&amp;", entidad_federal="&amp;O55&amp;" WHERE cedula='"&amp;K55&amp;"';"</f>
        <v>UPDATE estudiantes SET fecha_nacimiento='2014-01-14', sexo='M', lugar_nacimiento='MARACAIBO', entidad_federal='ZU' WHERE cedula='36807578';</v>
      </c>
    </row>
    <row r="56" customFormat="false" ht="14.9" hidden="false" customHeight="false" outlineLevel="0" collapsed="false">
      <c r="A56" s="1" t="s">
        <v>15</v>
      </c>
      <c r="B56" s="1" t="s">
        <v>16</v>
      </c>
      <c r="C56" s="1" t="s">
        <v>53</v>
      </c>
      <c r="D56" s="1" t="s">
        <v>73</v>
      </c>
      <c r="E56" s="2" t="n">
        <v>45922</v>
      </c>
      <c r="F56" s="2" t="n">
        <f aca="false">IFERROR(VLOOKUP(TRIM($D56), Hoja4_2!$A$2:$L$10000, 4, 0), "Revisar")</f>
        <v>41958</v>
      </c>
      <c r="G56" s="7" t="str">
        <f aca="false">IFERROR(VLOOKUP(TRIM($D56), Hoja4_2!$A$2:$L$10000, 5, 0), "Revisar")</f>
        <v>MASCULINO</v>
      </c>
      <c r="H56" s="7" t="str">
        <f aca="false">IFERROR(VLOOKUP(TRIM($D56), Hoja4_2!$A$2:$L$10000, 7, 0), "Revisar")</f>
        <v>MARACAIBO</v>
      </c>
      <c r="I56" s="7" t="str">
        <f aca="false">IFERROR(VLOOKUP(TRIM($D56), Hoja4_2!$A$2:$L$10000, 9, 0), "Revisar")</f>
        <v>ZU</v>
      </c>
      <c r="J56" s="7" t="str">
        <f aca="false">IFERROR(VLOOKUP(TRIM($D56), Hoja4_2!$A$2:$L$10000, 12, 0), "Revisar")</f>
        <v>17567011</v>
      </c>
      <c r="K56" s="8" t="str">
        <f aca="false">TEXT(TRIM(D56),"0")</f>
        <v>36833197</v>
      </c>
      <c r="L56" s="1" t="str">
        <f aca="false">IF(F56="Revisar","NULL",CONCATENATE("'",TEXT(F56,"yyyy-mm-dd"),"'"))</f>
        <v>'2014-11-15'</v>
      </c>
      <c r="M56" s="9" t="str">
        <f aca="false">IF(G56="Revisar","NULL",CONCATENATE("'",MID(G56,1,1),"'"))</f>
        <v>'M'</v>
      </c>
      <c r="N56" s="9" t="str">
        <f aca="false">IF(H56="Revisar","NULL",CONCATENATE("'",H56,"'"))</f>
        <v>'MARACAIBO'</v>
      </c>
      <c r="O56" s="9" t="str">
        <f aca="false">IF(I56="Revisar","NULL",CONCATENATE("'",I56,"'"))</f>
        <v>'ZU'</v>
      </c>
      <c r="P56" s="1" t="str">
        <f aca="false">"UPDATE estudiantes SET fecha_nacimiento="&amp;L56&amp;", sexo="&amp;M56&amp;", lugar_nacimiento="&amp;N56&amp;", entidad_federal="&amp;O56&amp;" WHERE cedula='"&amp;K56&amp;"';"</f>
        <v>UPDATE estudiantes SET fecha_nacimiento='2014-11-15', sexo='M', lugar_nacimiento='MARACAIBO', entidad_federal='ZU' WHERE cedula='36833197';</v>
      </c>
    </row>
    <row r="57" customFormat="false" ht="14.9" hidden="false" customHeight="false" outlineLevel="0" collapsed="false">
      <c r="A57" s="1" t="s">
        <v>15</v>
      </c>
      <c r="B57" s="1" t="s">
        <v>16</v>
      </c>
      <c r="C57" s="1" t="s">
        <v>53</v>
      </c>
      <c r="D57" s="1" t="s">
        <v>74</v>
      </c>
      <c r="E57" s="2" t="n">
        <v>45922</v>
      </c>
      <c r="F57" s="2" t="n">
        <f aca="false">IFERROR(VLOOKUP(TRIM($D57), Hoja4_2!$A$2:$L$10000, 4, 0), "Revisar")</f>
        <v>41302</v>
      </c>
      <c r="G57" s="7" t="str">
        <f aca="false">IFERROR(VLOOKUP(TRIM($D57), Hoja4_2!$A$2:$L$10000, 5, 0), "Revisar")</f>
        <v>FEMENINO</v>
      </c>
      <c r="H57" s="7" t="str">
        <f aca="false">IFERROR(VLOOKUP(TRIM($D57), Hoja4_2!$A$2:$L$10000, 7, 0), "Revisar")</f>
        <v>MARACAIBO</v>
      </c>
      <c r="I57" s="7" t="str">
        <f aca="false">IFERROR(VLOOKUP(TRIM($D57), Hoja4_2!$A$2:$L$10000, 9, 0), "Revisar")</f>
        <v>ZU</v>
      </c>
      <c r="J57" s="7" t="str">
        <f aca="false">IFERROR(VLOOKUP(TRIM($D57), Hoja4_2!$A$2:$L$10000, 12, 0), "Revisar")</f>
        <v>27735015</v>
      </c>
      <c r="K57" s="8" t="str">
        <f aca="false">TEXT(TRIM(D57),"0")</f>
        <v>36833226</v>
      </c>
      <c r="L57" s="1" t="str">
        <f aca="false">IF(F57="Revisar","NULL",CONCATENATE("'",TEXT(F57,"yyyy-mm-dd"),"'"))</f>
        <v>'2013-01-28'</v>
      </c>
      <c r="M57" s="9" t="str">
        <f aca="false">IF(G57="Revisar","NULL",CONCATENATE("'",MID(G57,1,1),"'"))</f>
        <v>'F'</v>
      </c>
      <c r="N57" s="9" t="str">
        <f aca="false">IF(H57="Revisar","NULL",CONCATENATE("'",H57,"'"))</f>
        <v>'MARACAIBO'</v>
      </c>
      <c r="O57" s="9" t="str">
        <f aca="false">IF(I57="Revisar","NULL",CONCATENATE("'",I57,"'"))</f>
        <v>'ZU'</v>
      </c>
      <c r="P57" s="1" t="str">
        <f aca="false">"UPDATE estudiantes SET fecha_nacimiento="&amp;L57&amp;", sexo="&amp;M57&amp;", lugar_nacimiento="&amp;N57&amp;", entidad_federal="&amp;O57&amp;" WHERE cedula='"&amp;K57&amp;"';"</f>
        <v>UPDATE estudiantes SET fecha_nacimiento='2013-01-28', sexo='F', lugar_nacimiento='MARACAIBO', entidad_federal='ZU' WHERE cedula='36833226';</v>
      </c>
    </row>
    <row r="58" customFormat="false" ht="14.9" hidden="false" customHeight="false" outlineLevel="0" collapsed="false">
      <c r="A58" s="1" t="s">
        <v>15</v>
      </c>
      <c r="B58" s="1" t="s">
        <v>16</v>
      </c>
      <c r="C58" s="1" t="s">
        <v>53</v>
      </c>
      <c r="D58" s="1" t="s">
        <v>75</v>
      </c>
      <c r="E58" s="2" t="n">
        <v>45922</v>
      </c>
      <c r="F58" s="2" t="n">
        <f aca="false">IFERROR(VLOOKUP(TRIM($D58), Hoja4_2!$A$2:$L$10000, 4, 0), "Revisar")</f>
        <v>41548</v>
      </c>
      <c r="G58" s="7" t="str">
        <f aca="false">IFERROR(VLOOKUP(TRIM($D58), Hoja4_2!$A$2:$L$10000, 5, 0), "Revisar")</f>
        <v>FEMENINO</v>
      </c>
      <c r="H58" s="7" t="str">
        <f aca="false">IFERROR(VLOOKUP(TRIM($D58), Hoja4_2!$A$2:$L$10000, 7, 0), "Revisar")</f>
        <v>JESUS ENRIQUE LOSSADA</v>
      </c>
      <c r="I58" s="7" t="str">
        <f aca="false">IFERROR(VLOOKUP(TRIM($D58), Hoja4_2!$A$2:$L$10000, 9, 0), "Revisar")</f>
        <v>ZU</v>
      </c>
      <c r="J58" s="7" t="str">
        <f aca="false">IFERROR(VLOOKUP(TRIM($D58), Hoja4_2!$A$2:$L$10000, 12, 0), "Revisar")</f>
        <v>17736110</v>
      </c>
      <c r="K58" s="8" t="str">
        <f aca="false">TEXT(TRIM(D58),"0")</f>
        <v>36841866</v>
      </c>
      <c r="L58" s="1" t="str">
        <f aca="false">IF(F58="Revisar","NULL",CONCATENATE("'",TEXT(F58,"yyyy-mm-dd"),"'"))</f>
        <v>'2013-10-01'</v>
      </c>
      <c r="M58" s="9" t="str">
        <f aca="false">IF(G58="Revisar","NULL",CONCATENATE("'",MID(G58,1,1),"'"))</f>
        <v>'F'</v>
      </c>
      <c r="N58" s="9" t="str">
        <f aca="false">IF(H58="Revisar","NULL",CONCATENATE("'",H58,"'"))</f>
        <v>'JESUS ENRIQUE LOSSADA'</v>
      </c>
      <c r="O58" s="9" t="str">
        <f aca="false">IF(I58="Revisar","NULL",CONCATENATE("'",I58,"'"))</f>
        <v>'ZU'</v>
      </c>
      <c r="P58" s="1" t="str">
        <f aca="false">"UPDATE estudiantes SET fecha_nacimiento="&amp;L58&amp;", sexo="&amp;M58&amp;", lugar_nacimiento="&amp;N58&amp;", entidad_federal="&amp;O58&amp;" WHERE cedula='"&amp;K58&amp;"';"</f>
        <v>UPDATE estudiantes SET fecha_nacimiento='2013-10-01', sexo='F', lugar_nacimiento='JESUS ENRIQUE LOSSADA', entidad_federal='ZU' WHERE cedula='36841866';</v>
      </c>
    </row>
    <row r="59" customFormat="false" ht="14.9" hidden="false" customHeight="false" outlineLevel="0" collapsed="false">
      <c r="A59" s="1" t="s">
        <v>15</v>
      </c>
      <c r="B59" s="1" t="s">
        <v>16</v>
      </c>
      <c r="C59" s="1" t="s">
        <v>53</v>
      </c>
      <c r="D59" s="1" t="s">
        <v>76</v>
      </c>
      <c r="E59" s="2" t="n">
        <v>45922</v>
      </c>
      <c r="F59" s="2" t="n">
        <f aca="false">IFERROR(VLOOKUP(TRIM($D59), Hoja4_2!$A$2:$L$10000, 4, 0), "Revisar")</f>
        <v>41475</v>
      </c>
      <c r="G59" s="7" t="str">
        <f aca="false">IFERROR(VLOOKUP(TRIM($D59), Hoja4_2!$A$2:$L$10000, 5, 0), "Revisar")</f>
        <v>FEMENINO</v>
      </c>
      <c r="H59" s="7" t="str">
        <f aca="false">IFERROR(VLOOKUP(TRIM($D59), Hoja4_2!$A$2:$L$10000, 7, 0), "Revisar")</f>
        <v>MARACAIBO</v>
      </c>
      <c r="I59" s="7" t="str">
        <f aca="false">IFERROR(VLOOKUP(TRIM($D59), Hoja4_2!$A$2:$L$10000, 9, 0), "Revisar")</f>
        <v>ZU</v>
      </c>
      <c r="J59" s="7" t="str">
        <f aca="false">IFERROR(VLOOKUP(TRIM($D59), Hoja4_2!$A$2:$L$10000, 12, 0), "Revisar")</f>
        <v>17294679</v>
      </c>
      <c r="K59" s="8" t="str">
        <f aca="false">TEXT(TRIM(D59),"0")</f>
        <v>36932512</v>
      </c>
      <c r="L59" s="1" t="str">
        <f aca="false">IF(F59="Revisar","NULL",CONCATENATE("'",TEXT(F59,"yyyy-mm-dd"),"'"))</f>
        <v>'2013-07-20'</v>
      </c>
      <c r="M59" s="9" t="str">
        <f aca="false">IF(G59="Revisar","NULL",CONCATENATE("'",MID(G59,1,1),"'"))</f>
        <v>'F'</v>
      </c>
      <c r="N59" s="9" t="str">
        <f aca="false">IF(H59="Revisar","NULL",CONCATENATE("'",H59,"'"))</f>
        <v>'MARACAIBO'</v>
      </c>
      <c r="O59" s="9" t="str">
        <f aca="false">IF(I59="Revisar","NULL",CONCATENATE("'",I59,"'"))</f>
        <v>'ZU'</v>
      </c>
      <c r="P59" s="1" t="str">
        <f aca="false">"UPDATE estudiantes SET fecha_nacimiento="&amp;L59&amp;", sexo="&amp;M59&amp;", lugar_nacimiento="&amp;N59&amp;", entidad_federal="&amp;O59&amp;" WHERE cedula='"&amp;K59&amp;"';"</f>
        <v>UPDATE estudiantes SET fecha_nacimiento='2013-07-20', sexo='F', lugar_nacimiento='MARACAIBO', entidad_federal='ZU' WHERE cedula='36932512';</v>
      </c>
    </row>
    <row r="60" customFormat="false" ht="14.9" hidden="false" customHeight="false" outlineLevel="0" collapsed="false">
      <c r="A60" s="1" t="s">
        <v>15</v>
      </c>
      <c r="B60" s="1" t="s">
        <v>16</v>
      </c>
      <c r="C60" s="1" t="s">
        <v>53</v>
      </c>
      <c r="D60" s="1" t="s">
        <v>77</v>
      </c>
      <c r="E60" s="2" t="n">
        <v>45922</v>
      </c>
      <c r="F60" s="2" t="n">
        <f aca="false">IFERROR(VLOOKUP(TRIM($D60), Hoja4_2!$A$2:$L$10000, 4, 0), "Revisar")</f>
        <v>41698</v>
      </c>
      <c r="G60" s="7" t="str">
        <f aca="false">IFERROR(VLOOKUP(TRIM($D60), Hoja4_2!$A$2:$L$10000, 5, 0), "Revisar")</f>
        <v>FEMENINO</v>
      </c>
      <c r="H60" s="7" t="str">
        <f aca="false">IFERROR(VLOOKUP(TRIM($D60), Hoja4_2!$A$2:$L$10000, 7, 0), "Revisar")</f>
        <v>MARACAIBO</v>
      </c>
      <c r="I60" s="7" t="str">
        <f aca="false">IFERROR(VLOOKUP(TRIM($D60), Hoja4_2!$A$2:$L$10000, 9, 0), "Revisar")</f>
        <v>ZU</v>
      </c>
      <c r="J60" s="7" t="str">
        <f aca="false">IFERROR(VLOOKUP(TRIM($D60), Hoja4_2!$A$2:$L$10000, 12, 0), "Revisar")</f>
        <v>17545891</v>
      </c>
      <c r="K60" s="8" t="str">
        <f aca="false">TEXT(TRIM(D60),"0")</f>
        <v>36966439</v>
      </c>
      <c r="L60" s="1" t="str">
        <f aca="false">IF(F60="Revisar","NULL",CONCATENATE("'",TEXT(F60,"yyyy-mm-dd"),"'"))</f>
        <v>'2014-02-28'</v>
      </c>
      <c r="M60" s="9" t="str">
        <f aca="false">IF(G60="Revisar","NULL",CONCATENATE("'",MID(G60,1,1),"'"))</f>
        <v>'F'</v>
      </c>
      <c r="N60" s="9" t="str">
        <f aca="false">IF(H60="Revisar","NULL",CONCATENATE("'",H60,"'"))</f>
        <v>'MARACAIBO'</v>
      </c>
      <c r="O60" s="9" t="str">
        <f aca="false">IF(I60="Revisar","NULL",CONCATENATE("'",I60,"'"))</f>
        <v>'ZU'</v>
      </c>
      <c r="P60" s="1" t="str">
        <f aca="false">"UPDATE estudiantes SET fecha_nacimiento="&amp;L60&amp;", sexo="&amp;M60&amp;", lugar_nacimiento="&amp;N60&amp;", entidad_federal="&amp;O60&amp;" WHERE cedula='"&amp;K60&amp;"';"</f>
        <v>UPDATE estudiantes SET fecha_nacimiento='2014-02-28', sexo='F', lugar_nacimiento='MARACAIBO', entidad_federal='ZU' WHERE cedula='36966439';</v>
      </c>
    </row>
    <row r="61" customFormat="false" ht="14.9" hidden="false" customHeight="false" outlineLevel="0" collapsed="false">
      <c r="A61" s="1" t="s">
        <v>15</v>
      </c>
      <c r="B61" s="1" t="s">
        <v>16</v>
      </c>
      <c r="C61" s="1" t="s">
        <v>53</v>
      </c>
      <c r="D61" s="1" t="s">
        <v>78</v>
      </c>
      <c r="E61" s="2" t="n">
        <v>45922</v>
      </c>
      <c r="F61" s="2" t="n">
        <f aca="false">IFERROR(VLOOKUP(TRIM($D61), Hoja4_2!$A$2:$L$10000, 4, 0), "Revisar")</f>
        <v>41129</v>
      </c>
      <c r="G61" s="7" t="str">
        <f aca="false">IFERROR(VLOOKUP(TRIM($D61), Hoja4_2!$A$2:$L$10000, 5, 0), "Revisar")</f>
        <v>MASCULINO</v>
      </c>
      <c r="H61" s="7" t="str">
        <f aca="false">IFERROR(VLOOKUP(TRIM($D61), Hoja4_2!$A$2:$L$10000, 7, 0), "Revisar")</f>
        <v>MARACAIBO</v>
      </c>
      <c r="I61" s="7" t="str">
        <f aca="false">IFERROR(VLOOKUP(TRIM($D61), Hoja4_2!$A$2:$L$10000, 9, 0), "Revisar")</f>
        <v>ZU</v>
      </c>
      <c r="J61" s="7" t="str">
        <f aca="false">IFERROR(VLOOKUP(TRIM($D61), Hoja4_2!$A$2:$L$10000, 12, 0), "Revisar")</f>
        <v>20834391</v>
      </c>
      <c r="K61" s="8" t="str">
        <f aca="false">TEXT(TRIM(D61),"0")</f>
        <v>11220834391</v>
      </c>
      <c r="L61" s="1" t="str">
        <f aca="false">IF(F61="Revisar","NULL",CONCATENATE("'",TEXT(F61,"yyyy-mm-dd"),"'"))</f>
        <v>'2012-08-08'</v>
      </c>
      <c r="M61" s="9" t="str">
        <f aca="false">IF(G61="Revisar","NULL",CONCATENATE("'",MID(G61,1,1),"'"))</f>
        <v>'M'</v>
      </c>
      <c r="N61" s="9" t="str">
        <f aca="false">IF(H61="Revisar","NULL",CONCATENATE("'",H61,"'"))</f>
        <v>'MARACAIBO'</v>
      </c>
      <c r="O61" s="9" t="str">
        <f aca="false">IF(I61="Revisar","NULL",CONCATENATE("'",I61,"'"))</f>
        <v>'ZU'</v>
      </c>
      <c r="P61" s="1" t="str">
        <f aca="false">"UPDATE estudiantes SET fecha_nacimiento="&amp;L61&amp;", sexo="&amp;M61&amp;", lugar_nacimiento="&amp;N61&amp;", entidad_federal="&amp;O61&amp;" WHERE cedula='"&amp;K61&amp;"';"</f>
        <v>UPDATE estudiantes SET fecha_nacimiento='2012-08-08', sexo='M', lugar_nacimiento='MARACAIBO', entidad_federal='ZU' WHERE cedula='11220834391';</v>
      </c>
    </row>
    <row r="62" customFormat="false" ht="14.9" hidden="false" customHeight="false" outlineLevel="0" collapsed="false">
      <c r="A62" s="1" t="s">
        <v>15</v>
      </c>
      <c r="B62" s="1" t="s">
        <v>16</v>
      </c>
      <c r="C62" s="1" t="s">
        <v>53</v>
      </c>
      <c r="D62" s="1" t="s">
        <v>79</v>
      </c>
      <c r="E62" s="2" t="n">
        <v>45922</v>
      </c>
      <c r="F62" s="2" t="n">
        <f aca="false">IFERROR(VLOOKUP(TRIM($D62), Hoja4_2!$A$2:$L$10000, 4, 0), "Revisar")</f>
        <v>41578</v>
      </c>
      <c r="G62" s="7" t="str">
        <f aca="false">IFERROR(VLOOKUP(TRIM($D62), Hoja4_2!$A$2:$L$10000, 5, 0), "Revisar")</f>
        <v>FEMENINO</v>
      </c>
      <c r="H62" s="7" t="str">
        <f aca="false">IFERROR(VLOOKUP(TRIM($D62), Hoja4_2!$A$2:$L$10000, 7, 0), "Revisar")</f>
        <v>MARACAIBO</v>
      </c>
      <c r="I62" s="7" t="str">
        <f aca="false">IFERROR(VLOOKUP(TRIM($D62), Hoja4_2!$A$2:$L$10000, 9, 0), "Revisar")</f>
        <v>ZU</v>
      </c>
      <c r="J62" s="7" t="str">
        <f aca="false">IFERROR(VLOOKUP(TRIM($D62), Hoja4_2!$A$2:$L$10000, 12, 0), "Revisar")</f>
        <v>17833734</v>
      </c>
      <c r="K62" s="8" t="str">
        <f aca="false">TEXT(TRIM(D62),"0")</f>
        <v>11317833734</v>
      </c>
      <c r="L62" s="1" t="str">
        <f aca="false">IF(F62="Revisar","NULL",CONCATENATE("'",TEXT(F62,"yyyy-mm-dd"),"'"))</f>
        <v>'2013-10-31'</v>
      </c>
      <c r="M62" s="9" t="str">
        <f aca="false">IF(G62="Revisar","NULL",CONCATENATE("'",MID(G62,1,1),"'"))</f>
        <v>'F'</v>
      </c>
      <c r="N62" s="9" t="str">
        <f aca="false">IF(H62="Revisar","NULL",CONCATENATE("'",H62,"'"))</f>
        <v>'MARACAIBO'</v>
      </c>
      <c r="O62" s="9" t="str">
        <f aca="false">IF(I62="Revisar","NULL",CONCATENATE("'",I62,"'"))</f>
        <v>'ZU'</v>
      </c>
      <c r="P62" s="1" t="str">
        <f aca="false">"UPDATE estudiantes SET fecha_nacimiento="&amp;L62&amp;", sexo="&amp;M62&amp;", lugar_nacimiento="&amp;N62&amp;", entidad_federal="&amp;O62&amp;" WHERE cedula='"&amp;K62&amp;"';"</f>
        <v>UPDATE estudiantes SET fecha_nacimiento='2013-10-31', sexo='F', lugar_nacimiento='MARACAIBO', entidad_federal='ZU' WHERE cedula='11317833734';</v>
      </c>
    </row>
    <row r="63" customFormat="false" ht="14.9" hidden="false" customHeight="false" outlineLevel="0" collapsed="false">
      <c r="A63" s="1" t="s">
        <v>15</v>
      </c>
      <c r="B63" s="1" t="s">
        <v>16</v>
      </c>
      <c r="C63" s="1" t="s">
        <v>53</v>
      </c>
      <c r="D63" s="1" t="s">
        <v>80</v>
      </c>
      <c r="E63" s="2" t="n">
        <v>45922</v>
      </c>
      <c r="F63" s="2" t="n">
        <f aca="false">IFERROR(VLOOKUP(TRIM($D63), Hoja4_2!$A$2:$L$10000, 4, 0), "Revisar")</f>
        <v>41544</v>
      </c>
      <c r="G63" s="7" t="str">
        <f aca="false">IFERROR(VLOOKUP(TRIM($D63), Hoja4_2!$A$2:$L$10000, 5, 0), "Revisar")</f>
        <v>FEMENINO</v>
      </c>
      <c r="H63" s="7" t="str">
        <f aca="false">IFERROR(VLOOKUP(TRIM($D63), Hoja4_2!$A$2:$L$10000, 7, 0), "Revisar")</f>
        <v>MARACAIBO</v>
      </c>
      <c r="I63" s="7" t="str">
        <f aca="false">IFERROR(VLOOKUP(TRIM($D63), Hoja4_2!$A$2:$L$10000, 9, 0), "Revisar")</f>
        <v>ZU</v>
      </c>
      <c r="J63" s="7" t="str">
        <f aca="false">IFERROR(VLOOKUP(TRIM($D63), Hoja4_2!$A$2:$L$10000, 12, 0), "Revisar")</f>
        <v>22469544</v>
      </c>
      <c r="K63" s="8" t="str">
        <f aca="false">TEXT(TRIM(D63),"0")</f>
        <v>11322469544</v>
      </c>
      <c r="L63" s="1" t="str">
        <f aca="false">IF(F63="Revisar","NULL",CONCATENATE("'",TEXT(F63,"yyyy-mm-dd"),"'"))</f>
        <v>'2013-09-27'</v>
      </c>
      <c r="M63" s="9" t="str">
        <f aca="false">IF(G63="Revisar","NULL",CONCATENATE("'",MID(G63,1,1),"'"))</f>
        <v>'F'</v>
      </c>
      <c r="N63" s="9" t="str">
        <f aca="false">IF(H63="Revisar","NULL",CONCATENATE("'",H63,"'"))</f>
        <v>'MARACAIBO'</v>
      </c>
      <c r="O63" s="9" t="str">
        <f aca="false">IF(I63="Revisar","NULL",CONCATENATE("'",I63,"'"))</f>
        <v>'ZU'</v>
      </c>
      <c r="P63" s="1" t="str">
        <f aca="false">"UPDATE estudiantes SET fecha_nacimiento="&amp;L63&amp;", sexo="&amp;M63&amp;", lugar_nacimiento="&amp;N63&amp;", entidad_federal="&amp;O63&amp;" WHERE cedula='"&amp;K63&amp;"';"</f>
        <v>UPDATE estudiantes SET fecha_nacimiento='2013-09-27', sexo='F', lugar_nacimiento='MARACAIBO', entidad_federal='ZU' WHERE cedula='11322469544';</v>
      </c>
    </row>
    <row r="64" customFormat="false" ht="13.8" hidden="false" customHeight="false" outlineLevel="0" collapsed="false">
      <c r="A64" s="1" t="s">
        <v>15</v>
      </c>
      <c r="B64" s="1" t="s">
        <v>16</v>
      </c>
      <c r="C64" s="1" t="s">
        <v>53</v>
      </c>
      <c r="D64" s="1" t="s">
        <v>81</v>
      </c>
      <c r="E64" s="2" t="n">
        <v>46126</v>
      </c>
      <c r="F64" s="2" t="s">
        <v>82</v>
      </c>
      <c r="G64" s="2" t="s">
        <v>82</v>
      </c>
      <c r="H64" s="2" t="s">
        <v>82</v>
      </c>
      <c r="I64" s="2" t="s">
        <v>82</v>
      </c>
      <c r="J64" s="2" t="s">
        <v>82</v>
      </c>
      <c r="K64" s="8" t="str">
        <f aca="false">TEXT(TRIM(D64),"0")</f>
        <v>11323272285</v>
      </c>
      <c r="L64" s="1" t="str">
        <f aca="false">IF(F64="Revisar","NULL",CONCATENATE("'",TEXT(F64,"yyyy-mm-dd"),"'"))</f>
        <v>'NULL'</v>
      </c>
      <c r="M64" s="9" t="str">
        <f aca="false">IF(G64="Revisar","NULL",CONCATENATE("'",MID(G64,1,1),"'"))</f>
        <v>'N'</v>
      </c>
      <c r="N64" s="9" t="str">
        <f aca="false">IF(H64="Revisar","NULL",CONCATENATE("'",H64,"'"))</f>
        <v>'NULL'</v>
      </c>
      <c r="O64" s="9" t="str">
        <f aca="false">IF(I64="Revisar","NULL",CONCATENATE("'",I64,"'"))</f>
        <v>'NULL'</v>
      </c>
      <c r="P64" s="1" t="str">
        <f aca="false">"UPDATE estudiantes SET fecha_nacimiento="&amp;L64&amp;", sexo="&amp;M64&amp;", lugar_nacimiento="&amp;N64&amp;", entidad_federal="&amp;O64&amp;" WHERE cedula='"&amp;K64&amp;"';"</f>
        <v>UPDATE estudiantes SET fecha_nacimiento='NULL', sexo='N', lugar_nacimiento='NULL', entidad_federal='NULL' WHERE cedula='11323272285';</v>
      </c>
    </row>
    <row r="65" customFormat="false" ht="14.9" hidden="false" customHeight="false" outlineLevel="0" collapsed="false">
      <c r="A65" s="1" t="s">
        <v>15</v>
      </c>
      <c r="B65" s="1" t="s">
        <v>16</v>
      </c>
      <c r="C65" s="1" t="s">
        <v>53</v>
      </c>
      <c r="D65" s="1" t="s">
        <v>83</v>
      </c>
      <c r="E65" s="2" t="n">
        <v>45922</v>
      </c>
      <c r="F65" s="2" t="n">
        <f aca="false">IFERROR(VLOOKUP(TRIM($D65), Hoja4_2!$A$2:$L$10000, 4, 0), "Revisar")</f>
        <v>41513</v>
      </c>
      <c r="G65" s="7" t="str">
        <f aca="false">IFERROR(VLOOKUP(TRIM($D65), Hoja4_2!$A$2:$L$10000, 5, 0), "Revisar")</f>
        <v>FEMENINO</v>
      </c>
      <c r="H65" s="7" t="str">
        <f aca="false">IFERROR(VLOOKUP(TRIM($D65), Hoja4_2!$A$2:$L$10000, 7, 0), "Revisar")</f>
        <v>MARACAIBO</v>
      </c>
      <c r="I65" s="7" t="str">
        <f aca="false">IFERROR(VLOOKUP(TRIM($D65), Hoja4_2!$A$2:$L$10000, 9, 0), "Revisar")</f>
        <v>ZU</v>
      </c>
      <c r="J65" s="7" t="str">
        <f aca="false">IFERROR(VLOOKUP(TRIM($D65), Hoja4_2!$A$2:$L$10000, 12, 0), "Revisar")</f>
        <v>25596102</v>
      </c>
      <c r="K65" s="8" t="str">
        <f aca="false">TEXT(TRIM(D65),"0")</f>
        <v>11325596102</v>
      </c>
      <c r="L65" s="1" t="str">
        <f aca="false">IF(F65="Revisar","NULL",CONCATENATE("'",TEXT(F65,"yyyy-mm-dd"),"'"))</f>
        <v>'2013-08-27'</v>
      </c>
      <c r="M65" s="9" t="str">
        <f aca="false">IF(G65="Revisar","NULL",CONCATENATE("'",MID(G65,1,1),"'"))</f>
        <v>'F'</v>
      </c>
      <c r="N65" s="9" t="str">
        <f aca="false">IF(H65="Revisar","NULL",CONCATENATE("'",H65,"'"))</f>
        <v>'MARACAIBO'</v>
      </c>
      <c r="O65" s="9" t="str">
        <f aca="false">IF(I65="Revisar","NULL",CONCATENATE("'",I65,"'"))</f>
        <v>'ZU'</v>
      </c>
      <c r="P65" s="1" t="str">
        <f aca="false">"UPDATE estudiantes SET fecha_nacimiento="&amp;L65&amp;", sexo="&amp;M65&amp;", lugar_nacimiento="&amp;N65&amp;", entidad_federal="&amp;O65&amp;" WHERE cedula='"&amp;K65&amp;"';"</f>
        <v>UPDATE estudiantes SET fecha_nacimiento='2013-08-27', sexo='F', lugar_nacimiento='MARACAIBO', entidad_federal='ZU' WHERE cedula='11325596102';</v>
      </c>
    </row>
    <row r="66" customFormat="false" ht="14.9" hidden="false" customHeight="false" outlineLevel="0" collapsed="false">
      <c r="A66" s="1" t="s">
        <v>15</v>
      </c>
      <c r="B66" s="1" t="s">
        <v>16</v>
      </c>
      <c r="C66" s="1" t="s">
        <v>53</v>
      </c>
      <c r="D66" s="1" t="s">
        <v>84</v>
      </c>
      <c r="E66" s="2" t="n">
        <v>45922</v>
      </c>
      <c r="F66" s="2" t="n">
        <f aca="false">IFERROR(VLOOKUP(TRIM($D66), Hoja4_2!$A$2:$L$10000, 4, 0), "Revisar")</f>
        <v>41669</v>
      </c>
      <c r="G66" s="7" t="str">
        <f aca="false">IFERROR(VLOOKUP(TRIM($D66), Hoja4_2!$A$2:$L$10000, 5, 0), "Revisar")</f>
        <v>FEMENINO</v>
      </c>
      <c r="H66" s="7" t="str">
        <f aca="false">IFERROR(VLOOKUP(TRIM($D66), Hoja4_2!$A$2:$L$10000, 7, 0), "Revisar")</f>
        <v>JESUS ENRIQUE LOSSADA</v>
      </c>
      <c r="I66" s="7" t="str">
        <f aca="false">IFERROR(VLOOKUP(TRIM($D66), Hoja4_2!$A$2:$L$10000, 9, 0), "Revisar")</f>
        <v>ZU</v>
      </c>
      <c r="J66" s="7" t="str">
        <f aca="false">IFERROR(VLOOKUP(TRIM($D66), Hoja4_2!$A$2:$L$10000, 12, 0), "Revisar")</f>
        <v>15053986</v>
      </c>
      <c r="K66" s="8" t="str">
        <f aca="false">TEXT(TRIM(D66),"0")</f>
        <v>11415053986</v>
      </c>
      <c r="L66" s="1" t="str">
        <f aca="false">IF(F66="Revisar","NULL",CONCATENATE("'",TEXT(F66,"yyyy-mm-dd"),"'"))</f>
        <v>'2014-01-30'</v>
      </c>
      <c r="M66" s="9" t="str">
        <f aca="false">IF(G66="Revisar","NULL",CONCATENATE("'",MID(G66,1,1),"'"))</f>
        <v>'F'</v>
      </c>
      <c r="N66" s="9" t="str">
        <f aca="false">IF(H66="Revisar","NULL",CONCATENATE("'",H66,"'"))</f>
        <v>'JESUS ENRIQUE LOSSADA'</v>
      </c>
      <c r="O66" s="9" t="str">
        <f aca="false">IF(I66="Revisar","NULL",CONCATENATE("'",I66,"'"))</f>
        <v>'ZU'</v>
      </c>
      <c r="P66" s="1" t="str">
        <f aca="false">"UPDATE estudiantes SET fecha_nacimiento="&amp;L66&amp;", sexo="&amp;M66&amp;", lugar_nacimiento="&amp;N66&amp;", entidad_federal="&amp;O66&amp;" WHERE cedula='"&amp;K66&amp;"';"</f>
        <v>UPDATE estudiantes SET fecha_nacimiento='2014-01-30', sexo='F', lugar_nacimiento='JESUS ENRIQUE LOSSADA', entidad_federal='ZU' WHERE cedula='11415053986';</v>
      </c>
    </row>
    <row r="67" customFormat="false" ht="14.9" hidden="false" customHeight="false" outlineLevel="0" collapsed="false">
      <c r="A67" s="1" t="s">
        <v>15</v>
      </c>
      <c r="B67" s="1" t="s">
        <v>16</v>
      </c>
      <c r="C67" s="1" t="s">
        <v>53</v>
      </c>
      <c r="D67" s="1" t="s">
        <v>85</v>
      </c>
      <c r="E67" s="2" t="n">
        <v>45922</v>
      </c>
      <c r="F67" s="2" t="n">
        <f aca="false">IFERROR(VLOOKUP(TRIM($D67), Hoja4_2!$A$2:$L$10000, 4, 0), "Revisar")</f>
        <v>41678</v>
      </c>
      <c r="G67" s="7" t="str">
        <f aca="false">IFERROR(VLOOKUP(TRIM($D67), Hoja4_2!$A$2:$L$10000, 5, 0), "Revisar")</f>
        <v>FEMENINO</v>
      </c>
      <c r="H67" s="7" t="str">
        <f aca="false">IFERROR(VLOOKUP(TRIM($D67), Hoja4_2!$A$2:$L$10000, 7, 0), "Revisar")</f>
        <v>MARACAIBO</v>
      </c>
      <c r="I67" s="7" t="str">
        <f aca="false">IFERROR(VLOOKUP(TRIM($D67), Hoja4_2!$A$2:$L$10000, 9, 0), "Revisar")</f>
        <v>ZU</v>
      </c>
      <c r="J67" s="7" t="str">
        <f aca="false">IFERROR(VLOOKUP(TRIM($D67), Hoja4_2!$A$2:$L$10000, 12, 0), "Revisar")</f>
        <v>17938235</v>
      </c>
      <c r="K67" s="8" t="str">
        <f aca="false">TEXT(TRIM(D67),"0")</f>
        <v>11417938235</v>
      </c>
      <c r="L67" s="1" t="str">
        <f aca="false">IF(F67="Revisar","NULL",CONCATENATE("'",TEXT(F67,"yyyy-mm-dd"),"'"))</f>
        <v>'2014-02-08'</v>
      </c>
      <c r="M67" s="9" t="str">
        <f aca="false">IF(G67="Revisar","NULL",CONCATENATE("'",MID(G67,1,1),"'"))</f>
        <v>'F'</v>
      </c>
      <c r="N67" s="9" t="str">
        <f aca="false">IF(H67="Revisar","NULL",CONCATENATE("'",H67,"'"))</f>
        <v>'MARACAIBO'</v>
      </c>
      <c r="O67" s="9" t="str">
        <f aca="false">IF(I67="Revisar","NULL",CONCATENATE("'",I67,"'"))</f>
        <v>'ZU'</v>
      </c>
      <c r="P67" s="1" t="str">
        <f aca="false">"UPDATE estudiantes SET fecha_nacimiento="&amp;L67&amp;", sexo="&amp;M67&amp;", lugar_nacimiento="&amp;N67&amp;", entidad_federal="&amp;O67&amp;" WHERE cedula='"&amp;K67&amp;"';"</f>
        <v>UPDATE estudiantes SET fecha_nacimiento='2014-02-08', sexo='F', lugar_nacimiento='MARACAIBO', entidad_federal='ZU' WHERE cedula='11417938235';</v>
      </c>
    </row>
    <row r="68" customFormat="false" ht="14.9" hidden="false" customHeight="false" outlineLevel="0" collapsed="false">
      <c r="A68" s="1" t="s">
        <v>15</v>
      </c>
      <c r="B68" s="1" t="s">
        <v>16</v>
      </c>
      <c r="C68" s="1" t="s">
        <v>53</v>
      </c>
      <c r="D68" s="1" t="s">
        <v>86</v>
      </c>
      <c r="E68" s="2" t="n">
        <v>45922</v>
      </c>
      <c r="F68" s="2" t="n">
        <f aca="false">IFERROR(VLOOKUP(TRIM($D68), Hoja4_2!$A$2:$L$10000, 4, 0), "Revisar")</f>
        <v>41723</v>
      </c>
      <c r="G68" s="7" t="str">
        <f aca="false">IFERROR(VLOOKUP(TRIM($D68), Hoja4_2!$A$2:$L$10000, 5, 0), "Revisar")</f>
        <v>FEMENINO</v>
      </c>
      <c r="H68" s="7" t="str">
        <f aca="false">IFERROR(VLOOKUP(TRIM($D68), Hoja4_2!$A$2:$L$10000, 7, 0), "Revisar")</f>
        <v>MARACAIBO</v>
      </c>
      <c r="I68" s="7" t="str">
        <f aca="false">IFERROR(VLOOKUP(TRIM($D68), Hoja4_2!$A$2:$L$10000, 9, 0), "Revisar")</f>
        <v>ZU</v>
      </c>
      <c r="J68" s="7" t="str">
        <f aca="false">IFERROR(VLOOKUP(TRIM($D68), Hoja4_2!$A$2:$L$10000, 12, 0), "Revisar")</f>
        <v>09783701</v>
      </c>
      <c r="K68" s="8" t="str">
        <f aca="false">TEXT(TRIM(D68),"0")</f>
        <v>11423466371</v>
      </c>
      <c r="L68" s="1" t="str">
        <f aca="false">IF(F68="Revisar","NULL",CONCATENATE("'",TEXT(F68,"yyyy-mm-dd"),"'"))</f>
        <v>'2014-03-25'</v>
      </c>
      <c r="M68" s="9" t="str">
        <f aca="false">IF(G68="Revisar","NULL",CONCATENATE("'",MID(G68,1,1),"'"))</f>
        <v>'F'</v>
      </c>
      <c r="N68" s="9" t="str">
        <f aca="false">IF(H68="Revisar","NULL",CONCATENATE("'",H68,"'"))</f>
        <v>'MARACAIBO'</v>
      </c>
      <c r="O68" s="9" t="str">
        <f aca="false">IF(I68="Revisar","NULL",CONCATENATE("'",I68,"'"))</f>
        <v>'ZU'</v>
      </c>
      <c r="P68" s="1" t="str">
        <f aca="false">"UPDATE estudiantes SET fecha_nacimiento="&amp;L68&amp;", sexo="&amp;M68&amp;", lugar_nacimiento="&amp;N68&amp;", entidad_federal="&amp;O68&amp;" WHERE cedula='"&amp;K68&amp;"';"</f>
        <v>UPDATE estudiantes SET fecha_nacimiento='2014-03-25', sexo='F', lugar_nacimiento='MARACAIBO', entidad_federal='ZU' WHERE cedula='11423466371';</v>
      </c>
    </row>
    <row r="69" customFormat="false" ht="14.9" hidden="false" customHeight="false" outlineLevel="0" collapsed="false">
      <c r="A69" s="1" t="s">
        <v>15</v>
      </c>
      <c r="B69" s="1" t="s">
        <v>16</v>
      </c>
      <c r="C69" s="1" t="s">
        <v>53</v>
      </c>
      <c r="D69" s="1" t="s">
        <v>87</v>
      </c>
      <c r="E69" s="2" t="n">
        <v>45922</v>
      </c>
      <c r="F69" s="2" t="n">
        <f aca="false">IFERROR(VLOOKUP(TRIM($D69), Hoja4_2!$A$2:$L$10000, 4, 0), "Revisar")</f>
        <v>42114</v>
      </c>
      <c r="G69" s="7" t="str">
        <f aca="false">IFERROR(VLOOKUP(TRIM($D69), Hoja4_2!$A$2:$L$10000, 5, 0), "Revisar")</f>
        <v>FEMENINO</v>
      </c>
      <c r="H69" s="7" t="str">
        <f aca="false">IFERROR(VLOOKUP(TRIM($D69), Hoja4_2!$A$2:$L$10000, 7, 0), "Revisar")</f>
        <v>JESUS ENRIQUE LOSSADA</v>
      </c>
      <c r="I69" s="7" t="str">
        <f aca="false">IFERROR(VLOOKUP(TRIM($D69), Hoja4_2!$A$2:$L$10000, 9, 0), "Revisar")</f>
        <v>ZU</v>
      </c>
      <c r="J69" s="7" t="str">
        <f aca="false">IFERROR(VLOOKUP(TRIM($D69), Hoja4_2!$A$2:$L$10000, 12, 0), "Revisar")</f>
        <v>23466488</v>
      </c>
      <c r="K69" s="8" t="str">
        <f aca="false">TEXT(TRIM(D69),"0")</f>
        <v>11523466488</v>
      </c>
      <c r="L69" s="1" t="str">
        <f aca="false">IF(F69="Revisar","NULL",CONCATENATE("'",TEXT(F69,"yyyy-mm-dd"),"'"))</f>
        <v>'2015-04-20'</v>
      </c>
      <c r="M69" s="9" t="str">
        <f aca="false">IF(G69="Revisar","NULL",CONCATENATE("'",MID(G69,1,1),"'"))</f>
        <v>'F'</v>
      </c>
      <c r="N69" s="9" t="str">
        <f aca="false">IF(H69="Revisar","NULL",CONCATENATE("'",H69,"'"))</f>
        <v>'JESUS ENRIQUE LOSSADA'</v>
      </c>
      <c r="O69" s="9" t="str">
        <f aca="false">IF(I69="Revisar","NULL",CONCATENATE("'",I69,"'"))</f>
        <v>'ZU'</v>
      </c>
      <c r="P69" s="1" t="str">
        <f aca="false">"UPDATE estudiantes SET fecha_nacimiento="&amp;L69&amp;", sexo="&amp;M69&amp;", lugar_nacimiento="&amp;N69&amp;", entidad_federal="&amp;O69&amp;" WHERE cedula='"&amp;K69&amp;"';"</f>
        <v>UPDATE estudiantes SET fecha_nacimiento='2015-04-20', sexo='F', lugar_nacimiento='JESUS ENRIQUE LOSSADA', entidad_federal='ZU' WHERE cedula='11523466488';</v>
      </c>
    </row>
    <row r="70" customFormat="false" ht="14.9" hidden="false" customHeight="false" outlineLevel="0" collapsed="false">
      <c r="A70" s="1" t="s">
        <v>15</v>
      </c>
      <c r="B70" s="1" t="s">
        <v>16</v>
      </c>
      <c r="C70" s="1" t="s">
        <v>53</v>
      </c>
      <c r="D70" s="1" t="s">
        <v>88</v>
      </c>
      <c r="E70" s="2" t="n">
        <v>45923</v>
      </c>
      <c r="F70" s="2" t="n">
        <f aca="false">IFERROR(VLOOKUP(TRIM($D70), Hoja4_2!$A$2:$L$10000, 4, 0), "Revisar")</f>
        <v>42050</v>
      </c>
      <c r="G70" s="7" t="str">
        <f aca="false">IFERROR(VLOOKUP(TRIM($D70), Hoja4_2!$A$2:$L$10000, 5, 0), "Revisar")</f>
        <v>FEMENINO</v>
      </c>
      <c r="H70" s="7" t="str">
        <f aca="false">IFERROR(VLOOKUP(TRIM($D70), Hoja4_2!$A$2:$L$10000, 7, 0), "Revisar")</f>
        <v>MARACAIBO</v>
      </c>
      <c r="I70" s="7" t="str">
        <f aca="false">IFERROR(VLOOKUP(TRIM($D70), Hoja4_2!$A$2:$L$10000, 9, 0), "Revisar")</f>
        <v>ZU</v>
      </c>
      <c r="J70" s="7" t="str">
        <f aca="false">IFERROR(VLOOKUP(TRIM($D70), Hoja4_2!$A$2:$L$10000, 12, 0), "Revisar")</f>
        <v>29645071</v>
      </c>
      <c r="K70" s="8" t="str">
        <f aca="false">TEXT(TRIM(D70),"0")</f>
        <v>11529645071</v>
      </c>
      <c r="L70" s="1" t="str">
        <f aca="false">IF(F70="Revisar","NULL",CONCATENATE("'",TEXT(F70,"yyyy-mm-dd"),"'"))</f>
        <v>'2015-02-15'</v>
      </c>
      <c r="M70" s="9" t="str">
        <f aca="false">IF(G70="Revisar","NULL",CONCATENATE("'",MID(G70,1,1),"'"))</f>
        <v>'F'</v>
      </c>
      <c r="N70" s="9" t="str">
        <f aca="false">IF(H70="Revisar","NULL",CONCATENATE("'",H70,"'"))</f>
        <v>'MARACAIBO'</v>
      </c>
      <c r="O70" s="9" t="str">
        <f aca="false">IF(I70="Revisar","NULL",CONCATENATE("'",I70,"'"))</f>
        <v>'ZU'</v>
      </c>
      <c r="P70" s="1" t="str">
        <f aca="false">"UPDATE estudiantes SET fecha_nacimiento="&amp;L70&amp;", sexo="&amp;M70&amp;", lugar_nacimiento="&amp;N70&amp;", entidad_federal="&amp;O70&amp;" WHERE cedula='"&amp;K70&amp;"';"</f>
        <v>UPDATE estudiantes SET fecha_nacimiento='2015-02-15', sexo='F', lugar_nacimiento='MARACAIBO', entidad_federal='ZU' WHERE cedula='11529645071';</v>
      </c>
    </row>
    <row r="71" customFormat="false" ht="14.9" hidden="false" customHeight="false" outlineLevel="0" collapsed="false">
      <c r="A71" s="1" t="s">
        <v>15</v>
      </c>
      <c r="B71" s="1" t="s">
        <v>16</v>
      </c>
      <c r="C71" s="1" t="s">
        <v>89</v>
      </c>
      <c r="D71" s="1" t="s">
        <v>90</v>
      </c>
      <c r="E71" s="2" t="n">
        <v>45922</v>
      </c>
      <c r="F71" s="2" t="n">
        <f aca="false">IFERROR(VLOOKUP(TRIM($D71), Hoja4_2!$A$2:$L$10000, 4, 0), "Revisar")</f>
        <v>41327</v>
      </c>
      <c r="G71" s="7" t="str">
        <f aca="false">IFERROR(VLOOKUP(TRIM($D71), Hoja4_2!$A$2:$L$10000, 5, 0), "Revisar")</f>
        <v>MASCULINO</v>
      </c>
      <c r="H71" s="7" t="str">
        <f aca="false">IFERROR(VLOOKUP(TRIM($D71), Hoja4_2!$A$2:$L$10000, 7, 0), "Revisar")</f>
        <v>MARACAIBO</v>
      </c>
      <c r="I71" s="7" t="str">
        <f aca="false">IFERROR(VLOOKUP(TRIM($D71), Hoja4_2!$A$2:$L$10000, 9, 0), "Revisar")</f>
        <v>ZU</v>
      </c>
      <c r="J71" s="7" t="str">
        <f aca="false">IFERROR(VLOOKUP(TRIM($D71), Hoja4_2!$A$2:$L$10000, 12, 0), "Revisar")</f>
        <v>15479103</v>
      </c>
      <c r="K71" s="8" t="str">
        <f aca="false">TEXT(TRIM(D71),"0")</f>
        <v>34760845</v>
      </c>
      <c r="L71" s="1" t="str">
        <f aca="false">IF(F71="Revisar","NULL",CONCATENATE("'",TEXT(F71,"yyyy-mm-dd"),"'"))</f>
        <v>'2013-02-22'</v>
      </c>
      <c r="M71" s="9" t="str">
        <f aca="false">IF(G71="Revisar","NULL",CONCATENATE("'",MID(G71,1,1),"'"))</f>
        <v>'M'</v>
      </c>
      <c r="N71" s="9" t="str">
        <f aca="false">IF(H71="Revisar","NULL",CONCATENATE("'",H71,"'"))</f>
        <v>'MARACAIBO'</v>
      </c>
      <c r="O71" s="9" t="str">
        <f aca="false">IF(I71="Revisar","NULL",CONCATENATE("'",I71,"'"))</f>
        <v>'ZU'</v>
      </c>
      <c r="P71" s="1" t="str">
        <f aca="false">"UPDATE estudiantes SET fecha_nacimiento="&amp;L71&amp;", sexo="&amp;M71&amp;", lugar_nacimiento="&amp;N71&amp;", entidad_federal="&amp;O71&amp;" WHERE cedula='"&amp;K71&amp;"';"</f>
        <v>UPDATE estudiantes SET fecha_nacimiento='2013-02-22', sexo='M', lugar_nacimiento='MARACAIBO', entidad_federal='ZU' WHERE cedula='34760845';</v>
      </c>
    </row>
    <row r="72" customFormat="false" ht="14.9" hidden="false" customHeight="false" outlineLevel="0" collapsed="false">
      <c r="A72" s="1" t="s">
        <v>15</v>
      </c>
      <c r="B72" s="1" t="s">
        <v>16</v>
      </c>
      <c r="C72" s="1" t="s">
        <v>89</v>
      </c>
      <c r="D72" s="1" t="s">
        <v>91</v>
      </c>
      <c r="E72" s="2" t="n">
        <v>45922</v>
      </c>
      <c r="F72" s="2" t="n">
        <f aca="false">IFERROR(VLOOKUP(TRIM($D72), Hoja4_2!$A$2:$L$10000, 4, 0), "Revisar")</f>
        <v>40843</v>
      </c>
      <c r="G72" s="7" t="str">
        <f aca="false">IFERROR(VLOOKUP(TRIM($D72), Hoja4_2!$A$2:$L$10000, 5, 0), "Revisar")</f>
        <v>FEMENINO</v>
      </c>
      <c r="H72" s="7" t="str">
        <f aca="false">IFERROR(VLOOKUP(TRIM($D72), Hoja4_2!$A$2:$L$10000, 7, 0), "Revisar")</f>
        <v>MARACAIBO</v>
      </c>
      <c r="I72" s="7" t="str">
        <f aca="false">IFERROR(VLOOKUP(TRIM($D72), Hoja4_2!$A$2:$L$10000, 9, 0), "Revisar")</f>
        <v>ZU</v>
      </c>
      <c r="J72" s="7" t="str">
        <f aca="false">IFERROR(VLOOKUP(TRIM($D72), Hoja4_2!$A$2:$L$10000, 12, 0), "Revisar")</f>
        <v>17938287</v>
      </c>
      <c r="K72" s="8" t="str">
        <f aca="false">TEXT(TRIM(D72),"0")</f>
        <v>34835261</v>
      </c>
      <c r="L72" s="1" t="str">
        <f aca="false">IF(F72="Revisar","NULL",CONCATENATE("'",TEXT(F72,"yyyy-mm-dd"),"'"))</f>
        <v>'2011-10-27'</v>
      </c>
      <c r="M72" s="9" t="str">
        <f aca="false">IF(G72="Revisar","NULL",CONCATENATE("'",MID(G72,1,1),"'"))</f>
        <v>'F'</v>
      </c>
      <c r="N72" s="9" t="str">
        <f aca="false">IF(H72="Revisar","NULL",CONCATENATE("'",H72,"'"))</f>
        <v>'MARACAIBO'</v>
      </c>
      <c r="O72" s="9" t="str">
        <f aca="false">IF(I72="Revisar","NULL",CONCATENATE("'",I72,"'"))</f>
        <v>'ZU'</v>
      </c>
      <c r="P72" s="1" t="str">
        <f aca="false">"UPDATE estudiantes SET fecha_nacimiento="&amp;L72&amp;", sexo="&amp;M72&amp;", lugar_nacimiento="&amp;N72&amp;", entidad_federal="&amp;O72&amp;" WHERE cedula='"&amp;K72&amp;"';"</f>
        <v>UPDATE estudiantes SET fecha_nacimiento='2011-10-27', sexo='F', lugar_nacimiento='MARACAIBO', entidad_federal='ZU' WHERE cedula='34835261';</v>
      </c>
    </row>
    <row r="73" customFormat="false" ht="14.9" hidden="false" customHeight="false" outlineLevel="0" collapsed="false">
      <c r="A73" s="1" t="s">
        <v>15</v>
      </c>
      <c r="B73" s="1" t="s">
        <v>16</v>
      </c>
      <c r="C73" s="1" t="s">
        <v>89</v>
      </c>
      <c r="D73" s="1" t="s">
        <v>92</v>
      </c>
      <c r="E73" s="2" t="n">
        <v>45929</v>
      </c>
      <c r="F73" s="2" t="n">
        <f aca="false">IFERROR(VLOOKUP(TRIM($D73), Hoja4_2!$A$2:$L$10000, 4, 0), "Revisar")</f>
        <v>41078</v>
      </c>
      <c r="G73" s="7" t="str">
        <f aca="false">IFERROR(VLOOKUP(TRIM($D73), Hoja4_2!$A$2:$L$10000, 5, 0), "Revisar")</f>
        <v>MASCULINO</v>
      </c>
      <c r="H73" s="7" t="str">
        <f aca="false">IFERROR(VLOOKUP(TRIM($D73), Hoja4_2!$A$2:$L$10000, 7, 0), "Revisar")</f>
        <v>JESUS ENRIQUE LOSSADA</v>
      </c>
      <c r="I73" s="7" t="str">
        <f aca="false">IFERROR(VLOOKUP(TRIM($D73), Hoja4_2!$A$2:$L$10000, 9, 0), "Revisar")</f>
        <v>ZU</v>
      </c>
      <c r="J73" s="7" t="str">
        <f aca="false">IFERROR(VLOOKUP(TRIM($D73), Hoja4_2!$A$2:$L$10000, 12, 0), "Revisar")</f>
        <v>07626287</v>
      </c>
      <c r="K73" s="8" t="str">
        <f aca="false">TEXT(TRIM(D73),"0")</f>
        <v>36070529</v>
      </c>
      <c r="L73" s="1" t="str">
        <f aca="false">IF(F73="Revisar","NULL",CONCATENATE("'",TEXT(F73,"yyyy-mm-dd"),"'"))</f>
        <v>'2012-06-18'</v>
      </c>
      <c r="M73" s="9" t="str">
        <f aca="false">IF(G73="Revisar","NULL",CONCATENATE("'",MID(G73,1,1),"'"))</f>
        <v>'M'</v>
      </c>
      <c r="N73" s="9" t="str">
        <f aca="false">IF(H73="Revisar","NULL",CONCATENATE("'",H73,"'"))</f>
        <v>'JESUS ENRIQUE LOSSADA'</v>
      </c>
      <c r="O73" s="9" t="str">
        <f aca="false">IF(I73="Revisar","NULL",CONCATENATE("'",I73,"'"))</f>
        <v>'ZU'</v>
      </c>
      <c r="P73" s="1" t="str">
        <f aca="false">"UPDATE estudiantes SET fecha_nacimiento="&amp;L73&amp;", sexo="&amp;M73&amp;", lugar_nacimiento="&amp;N73&amp;", entidad_federal="&amp;O73&amp;" WHERE cedula='"&amp;K73&amp;"';"</f>
        <v>UPDATE estudiantes SET fecha_nacimiento='2012-06-18', sexo='M', lugar_nacimiento='JESUS ENRIQUE LOSSADA', entidad_federal='ZU' WHERE cedula='36070529';</v>
      </c>
    </row>
    <row r="74" customFormat="false" ht="14.9" hidden="false" customHeight="false" outlineLevel="0" collapsed="false">
      <c r="A74" s="1" t="s">
        <v>15</v>
      </c>
      <c r="B74" s="1" t="s">
        <v>16</v>
      </c>
      <c r="C74" s="1" t="s">
        <v>89</v>
      </c>
      <c r="D74" s="1" t="s">
        <v>93</v>
      </c>
      <c r="E74" s="2" t="n">
        <v>45922</v>
      </c>
      <c r="F74" s="2" t="n">
        <f aca="false">IFERROR(VLOOKUP(TRIM($D74), Hoja4_2!$A$2:$L$10000, 4, 0), "Revisar")</f>
        <v>41453</v>
      </c>
      <c r="G74" s="7" t="str">
        <f aca="false">IFERROR(VLOOKUP(TRIM($D74), Hoja4_2!$A$2:$L$10000, 5, 0), "Revisar")</f>
        <v>FEMENINO</v>
      </c>
      <c r="H74" s="7" t="str">
        <f aca="false">IFERROR(VLOOKUP(TRIM($D74), Hoja4_2!$A$2:$L$10000, 7, 0), "Revisar")</f>
        <v>MARACAIBO</v>
      </c>
      <c r="I74" s="7" t="str">
        <f aca="false">IFERROR(VLOOKUP(TRIM($D74), Hoja4_2!$A$2:$L$10000, 9, 0), "Revisar")</f>
        <v>ZU</v>
      </c>
      <c r="J74" s="7" t="str">
        <f aca="false">IFERROR(VLOOKUP(TRIM($D74), Hoja4_2!$A$2:$L$10000, 12, 0), "Revisar")</f>
        <v>09754394</v>
      </c>
      <c r="K74" s="8" t="str">
        <f aca="false">TEXT(TRIM(D74),"0")</f>
        <v>36228085</v>
      </c>
      <c r="L74" s="1" t="str">
        <f aca="false">IF(F74="Revisar","NULL",CONCATENATE("'",TEXT(F74,"yyyy-mm-dd"),"'"))</f>
        <v>'2013-06-28'</v>
      </c>
      <c r="M74" s="9" t="str">
        <f aca="false">IF(G74="Revisar","NULL",CONCATENATE("'",MID(G74,1,1),"'"))</f>
        <v>'F'</v>
      </c>
      <c r="N74" s="9" t="str">
        <f aca="false">IF(H74="Revisar","NULL",CONCATENATE("'",H74,"'"))</f>
        <v>'MARACAIBO'</v>
      </c>
      <c r="O74" s="9" t="str">
        <f aca="false">IF(I74="Revisar","NULL",CONCATENATE("'",I74,"'"))</f>
        <v>'ZU'</v>
      </c>
      <c r="P74" s="1" t="str">
        <f aca="false">"UPDATE estudiantes SET fecha_nacimiento="&amp;L74&amp;", sexo="&amp;M74&amp;", lugar_nacimiento="&amp;N74&amp;", entidad_federal="&amp;O74&amp;" WHERE cedula='"&amp;K74&amp;"';"</f>
        <v>UPDATE estudiantes SET fecha_nacimiento='2013-06-28', sexo='F', lugar_nacimiento='MARACAIBO', entidad_federal='ZU' WHERE cedula='36228085';</v>
      </c>
    </row>
    <row r="75" customFormat="false" ht="14.9" hidden="false" customHeight="false" outlineLevel="0" collapsed="false">
      <c r="A75" s="1" t="s">
        <v>15</v>
      </c>
      <c r="B75" s="1" t="s">
        <v>16</v>
      </c>
      <c r="C75" s="1" t="s">
        <v>89</v>
      </c>
      <c r="D75" s="1" t="s">
        <v>94</v>
      </c>
      <c r="E75" s="2" t="n">
        <v>45922</v>
      </c>
      <c r="F75" s="2" t="n">
        <f aca="false">IFERROR(VLOOKUP(TRIM($D75), Hoja4_2!$A$2:$L$10000, 4, 0), "Revisar")</f>
        <v>41424</v>
      </c>
      <c r="G75" s="7" t="str">
        <f aca="false">IFERROR(VLOOKUP(TRIM($D75), Hoja4_2!$A$2:$L$10000, 5, 0), "Revisar")</f>
        <v>FEMENINO</v>
      </c>
      <c r="H75" s="7" t="str">
        <f aca="false">IFERROR(VLOOKUP(TRIM($D75), Hoja4_2!$A$2:$L$10000, 7, 0), "Revisar")</f>
        <v>MARACAIBO</v>
      </c>
      <c r="I75" s="7" t="str">
        <f aca="false">IFERROR(VLOOKUP(TRIM($D75), Hoja4_2!$A$2:$L$10000, 9, 0), "Revisar")</f>
        <v>ZU</v>
      </c>
      <c r="J75" s="7" t="str">
        <f aca="false">IFERROR(VLOOKUP(TRIM($D75), Hoja4_2!$A$2:$L$10000, 12, 0), "Revisar")</f>
        <v>20833989</v>
      </c>
      <c r="K75" s="8" t="str">
        <f aca="false">TEXT(TRIM(D75),"0")</f>
        <v>36292258</v>
      </c>
      <c r="L75" s="1" t="str">
        <f aca="false">IF(F75="Revisar","NULL",CONCATENATE("'",TEXT(F75,"yyyy-mm-dd"),"'"))</f>
        <v>'2013-05-30'</v>
      </c>
      <c r="M75" s="9" t="str">
        <f aca="false">IF(G75="Revisar","NULL",CONCATENATE("'",MID(G75,1,1),"'"))</f>
        <v>'F'</v>
      </c>
      <c r="N75" s="9" t="str">
        <f aca="false">IF(H75="Revisar","NULL",CONCATENATE("'",H75,"'"))</f>
        <v>'MARACAIBO'</v>
      </c>
      <c r="O75" s="9" t="str">
        <f aca="false">IF(I75="Revisar","NULL",CONCATENATE("'",I75,"'"))</f>
        <v>'ZU'</v>
      </c>
      <c r="P75" s="1" t="str">
        <f aca="false">"UPDATE estudiantes SET fecha_nacimiento="&amp;L75&amp;", sexo="&amp;M75&amp;", lugar_nacimiento="&amp;N75&amp;", entidad_federal="&amp;O75&amp;" WHERE cedula='"&amp;K75&amp;"';"</f>
        <v>UPDATE estudiantes SET fecha_nacimiento='2013-05-30', sexo='F', lugar_nacimiento='MARACAIBO', entidad_federal='ZU' WHERE cedula='36292258';</v>
      </c>
    </row>
    <row r="76" customFormat="false" ht="14.9" hidden="false" customHeight="false" outlineLevel="0" collapsed="false">
      <c r="A76" s="1" t="s">
        <v>15</v>
      </c>
      <c r="B76" s="1" t="s">
        <v>16</v>
      </c>
      <c r="C76" s="1" t="s">
        <v>89</v>
      </c>
      <c r="D76" s="1" t="s">
        <v>95</v>
      </c>
      <c r="E76" s="2" t="n">
        <v>45922</v>
      </c>
      <c r="F76" s="2" t="n">
        <f aca="false">IFERROR(VLOOKUP(TRIM($D76), Hoja4_2!$A$2:$L$10000, 4, 0), "Revisar")</f>
        <v>41277</v>
      </c>
      <c r="G76" s="7" t="str">
        <f aca="false">IFERROR(VLOOKUP(TRIM($D76), Hoja4_2!$A$2:$L$10000, 5, 0), "Revisar")</f>
        <v>MASCULINO</v>
      </c>
      <c r="H76" s="7" t="str">
        <f aca="false">IFERROR(VLOOKUP(TRIM($D76), Hoja4_2!$A$2:$L$10000, 7, 0), "Revisar")</f>
        <v>MARACAIBO</v>
      </c>
      <c r="I76" s="7" t="str">
        <f aca="false">IFERROR(VLOOKUP(TRIM($D76), Hoja4_2!$A$2:$L$10000, 9, 0), "Revisar")</f>
        <v>ZU</v>
      </c>
      <c r="J76" s="7" t="str">
        <f aca="false">IFERROR(VLOOKUP(TRIM($D76), Hoja4_2!$A$2:$L$10000, 12, 0), "Revisar")</f>
        <v>16835698</v>
      </c>
      <c r="K76" s="8" t="str">
        <f aca="false">TEXT(TRIM(D76),"0")</f>
        <v>36345288</v>
      </c>
      <c r="L76" s="1" t="str">
        <f aca="false">IF(F76="Revisar","NULL",CONCATENATE("'",TEXT(F76,"yyyy-mm-dd"),"'"))</f>
        <v>'2013-01-03'</v>
      </c>
      <c r="M76" s="9" t="str">
        <f aca="false">IF(G76="Revisar","NULL",CONCATENATE("'",MID(G76,1,1),"'"))</f>
        <v>'M'</v>
      </c>
      <c r="N76" s="9" t="str">
        <f aca="false">IF(H76="Revisar","NULL",CONCATENATE("'",H76,"'"))</f>
        <v>'MARACAIBO'</v>
      </c>
      <c r="O76" s="9" t="str">
        <f aca="false">IF(I76="Revisar","NULL",CONCATENATE("'",I76,"'"))</f>
        <v>'ZU'</v>
      </c>
      <c r="P76" s="1" t="str">
        <f aca="false">"UPDATE estudiantes SET fecha_nacimiento="&amp;L76&amp;", sexo="&amp;M76&amp;", lugar_nacimiento="&amp;N76&amp;", entidad_federal="&amp;O76&amp;" WHERE cedula='"&amp;K76&amp;"';"</f>
        <v>UPDATE estudiantes SET fecha_nacimiento='2013-01-03', sexo='M', lugar_nacimiento='MARACAIBO', entidad_federal='ZU' WHERE cedula='36345288';</v>
      </c>
    </row>
    <row r="77" customFormat="false" ht="14.9" hidden="false" customHeight="false" outlineLevel="0" collapsed="false">
      <c r="A77" s="1" t="s">
        <v>15</v>
      </c>
      <c r="B77" s="1" t="s">
        <v>16</v>
      </c>
      <c r="C77" s="1" t="s">
        <v>89</v>
      </c>
      <c r="D77" s="1" t="s">
        <v>96</v>
      </c>
      <c r="E77" s="2" t="n">
        <v>45922</v>
      </c>
      <c r="F77" s="2" t="n">
        <f aca="false">IFERROR(VLOOKUP(TRIM($D77), Hoja4_2!$A$2:$L$10000, 4, 0), "Revisar")</f>
        <v>41517</v>
      </c>
      <c r="G77" s="7" t="str">
        <f aca="false">IFERROR(VLOOKUP(TRIM($D77), Hoja4_2!$A$2:$L$10000, 5, 0), "Revisar")</f>
        <v>FEMENINO</v>
      </c>
      <c r="H77" s="7" t="str">
        <f aca="false">IFERROR(VLOOKUP(TRIM($D77), Hoja4_2!$A$2:$L$10000, 7, 0), "Revisar")</f>
        <v>MARACAIBO</v>
      </c>
      <c r="I77" s="7" t="str">
        <f aca="false">IFERROR(VLOOKUP(TRIM($D77), Hoja4_2!$A$2:$L$10000, 9, 0), "Revisar")</f>
        <v>ZU</v>
      </c>
      <c r="J77" s="7" t="str">
        <f aca="false">IFERROR(VLOOKUP(TRIM($D77), Hoja4_2!$A$2:$L$10000, 12, 0), "Revisar")</f>
        <v>20059267</v>
      </c>
      <c r="K77" s="8" t="str">
        <f aca="false">TEXT(TRIM(D77),"0")</f>
        <v>36469673</v>
      </c>
      <c r="L77" s="1" t="str">
        <f aca="false">IF(F77="Revisar","NULL",CONCATENATE("'",TEXT(F77,"yyyy-mm-dd"),"'"))</f>
        <v>'2013-08-31'</v>
      </c>
      <c r="M77" s="9" t="str">
        <f aca="false">IF(G77="Revisar","NULL",CONCATENATE("'",MID(G77,1,1),"'"))</f>
        <v>'F'</v>
      </c>
      <c r="N77" s="9" t="str">
        <f aca="false">IF(H77="Revisar","NULL",CONCATENATE("'",H77,"'"))</f>
        <v>'MARACAIBO'</v>
      </c>
      <c r="O77" s="9" t="str">
        <f aca="false">IF(I77="Revisar","NULL",CONCATENATE("'",I77,"'"))</f>
        <v>'ZU'</v>
      </c>
      <c r="P77" s="1" t="str">
        <f aca="false">"UPDATE estudiantes SET fecha_nacimiento="&amp;L77&amp;", sexo="&amp;M77&amp;", lugar_nacimiento="&amp;N77&amp;", entidad_federal="&amp;O77&amp;" WHERE cedula='"&amp;K77&amp;"';"</f>
        <v>UPDATE estudiantes SET fecha_nacimiento='2013-08-31', sexo='F', lugar_nacimiento='MARACAIBO', entidad_federal='ZU' WHERE cedula='36469673';</v>
      </c>
    </row>
    <row r="78" customFormat="false" ht="14.9" hidden="false" customHeight="false" outlineLevel="0" collapsed="false">
      <c r="A78" s="1" t="s">
        <v>15</v>
      </c>
      <c r="B78" s="1" t="s">
        <v>16</v>
      </c>
      <c r="C78" s="1" t="s">
        <v>89</v>
      </c>
      <c r="D78" s="1" t="s">
        <v>97</v>
      </c>
      <c r="E78" s="2" t="n">
        <v>45922</v>
      </c>
      <c r="F78" s="2" t="n">
        <f aca="false">IFERROR(VLOOKUP(TRIM($D78), Hoja4_2!$A$2:$L$10000, 4, 0), "Revisar")</f>
        <v>41954</v>
      </c>
      <c r="G78" s="7" t="str">
        <f aca="false">IFERROR(VLOOKUP(TRIM($D78), Hoja4_2!$A$2:$L$10000, 5, 0), "Revisar")</f>
        <v>FEMENINO</v>
      </c>
      <c r="H78" s="7" t="str">
        <f aca="false">IFERROR(VLOOKUP(TRIM($D78), Hoja4_2!$A$2:$L$10000, 7, 0), "Revisar")</f>
        <v>MARACAIBO</v>
      </c>
      <c r="I78" s="7" t="str">
        <f aca="false">IFERROR(VLOOKUP(TRIM($D78), Hoja4_2!$A$2:$L$10000, 9, 0), "Revisar")</f>
        <v>ZU</v>
      </c>
      <c r="J78" s="7" t="str">
        <f aca="false">IFERROR(VLOOKUP(TRIM($D78), Hoja4_2!$A$2:$L$10000, 12, 0), "Revisar")</f>
        <v>13081048</v>
      </c>
      <c r="K78" s="8" t="str">
        <f aca="false">TEXT(TRIM(D78),"0")</f>
        <v>36773562</v>
      </c>
      <c r="L78" s="1" t="str">
        <f aca="false">IF(F78="Revisar","NULL",CONCATENATE("'",TEXT(F78,"yyyy-mm-dd"),"'"))</f>
        <v>'2014-11-11'</v>
      </c>
      <c r="M78" s="9" t="str">
        <f aca="false">IF(G78="Revisar","NULL",CONCATENATE("'",MID(G78,1,1),"'"))</f>
        <v>'F'</v>
      </c>
      <c r="N78" s="9" t="str">
        <f aca="false">IF(H78="Revisar","NULL",CONCATENATE("'",H78,"'"))</f>
        <v>'MARACAIBO'</v>
      </c>
      <c r="O78" s="9" t="str">
        <f aca="false">IF(I78="Revisar","NULL",CONCATENATE("'",I78,"'"))</f>
        <v>'ZU'</v>
      </c>
      <c r="P78" s="1" t="str">
        <f aca="false">"UPDATE estudiantes SET fecha_nacimiento="&amp;L78&amp;", sexo="&amp;M78&amp;", lugar_nacimiento="&amp;N78&amp;", entidad_federal="&amp;O78&amp;" WHERE cedula='"&amp;K78&amp;"';"</f>
        <v>UPDATE estudiantes SET fecha_nacimiento='2014-11-11', sexo='F', lugar_nacimiento='MARACAIBO', entidad_federal='ZU' WHERE cedula='36773562';</v>
      </c>
    </row>
    <row r="79" customFormat="false" ht="13.8" hidden="false" customHeight="false" outlineLevel="0" collapsed="false">
      <c r="A79" s="1" t="s">
        <v>15</v>
      </c>
      <c r="B79" s="1" t="s">
        <v>16</v>
      </c>
      <c r="C79" s="1" t="s">
        <v>89</v>
      </c>
      <c r="D79" s="1" t="s">
        <v>98</v>
      </c>
      <c r="E79" s="2" t="n">
        <v>46043</v>
      </c>
      <c r="F79" s="2" t="s">
        <v>82</v>
      </c>
      <c r="G79" s="2" t="s">
        <v>82</v>
      </c>
      <c r="H79" s="2" t="s">
        <v>82</v>
      </c>
      <c r="I79" s="2" t="s">
        <v>82</v>
      </c>
      <c r="J79" s="2" t="s">
        <v>82</v>
      </c>
      <c r="K79" s="8" t="str">
        <f aca="false">TEXT(TRIM(D79),"0")</f>
        <v>36848161</v>
      </c>
      <c r="L79" s="1" t="str">
        <f aca="false">IF(F79="Revisar","NULL",CONCATENATE("'",TEXT(F79,"yyyy-mm-dd"),"'"))</f>
        <v>'NULL'</v>
      </c>
      <c r="M79" s="9" t="str">
        <f aca="false">IF(G79="Revisar","NULL",CONCATENATE("'",MID(G79,1,1),"'"))</f>
        <v>'N'</v>
      </c>
      <c r="N79" s="9" t="str">
        <f aca="false">IF(H79="Revisar","NULL",CONCATENATE("'",H79,"'"))</f>
        <v>'NULL'</v>
      </c>
      <c r="O79" s="9" t="str">
        <f aca="false">IF(I79="Revisar","NULL",CONCATENATE("'",I79,"'"))</f>
        <v>'NULL'</v>
      </c>
      <c r="P79" s="1" t="str">
        <f aca="false">"UPDATE estudiantes SET fecha_nacimiento="&amp;L79&amp;", sexo="&amp;M79&amp;", lugar_nacimiento="&amp;N79&amp;", entidad_federal="&amp;O79&amp;" WHERE cedula='"&amp;K79&amp;"';"</f>
        <v>UPDATE estudiantes SET fecha_nacimiento='NULL', sexo='N', lugar_nacimiento='NULL', entidad_federal='NULL' WHERE cedula='36848161';</v>
      </c>
    </row>
    <row r="80" customFormat="false" ht="14.9" hidden="false" customHeight="false" outlineLevel="0" collapsed="false">
      <c r="A80" s="1" t="s">
        <v>15</v>
      </c>
      <c r="B80" s="1" t="s">
        <v>16</v>
      </c>
      <c r="C80" s="1" t="s">
        <v>89</v>
      </c>
      <c r="D80" s="1" t="s">
        <v>99</v>
      </c>
      <c r="E80" s="2" t="n">
        <v>45922</v>
      </c>
      <c r="F80" s="2" t="n">
        <f aca="false">IFERROR(VLOOKUP(TRIM($D80), Hoja4_2!$A$2:$L$10000, 4, 0), "Revisar")</f>
        <v>41298</v>
      </c>
      <c r="G80" s="7" t="str">
        <f aca="false">IFERROR(VLOOKUP(TRIM($D80), Hoja4_2!$A$2:$L$10000, 5, 0), "Revisar")</f>
        <v>FEMENINO</v>
      </c>
      <c r="H80" s="7" t="str">
        <f aca="false">IFERROR(VLOOKUP(TRIM($D80), Hoja4_2!$A$2:$L$10000, 7, 0), "Revisar")</f>
        <v>MARACAIBO</v>
      </c>
      <c r="I80" s="7" t="str">
        <f aca="false">IFERROR(VLOOKUP(TRIM($D80), Hoja4_2!$A$2:$L$10000, 9, 0), "Revisar")</f>
        <v>ZU</v>
      </c>
      <c r="J80" s="7" t="str">
        <f aca="false">IFERROR(VLOOKUP(TRIM($D80), Hoja4_2!$A$2:$L$10000, 12, 0), "Revisar")</f>
        <v>20508742</v>
      </c>
      <c r="K80" s="8" t="str">
        <f aca="false">TEXT(TRIM(D80),"0")</f>
        <v>36864147</v>
      </c>
      <c r="L80" s="1" t="str">
        <f aca="false">IF(F80="Revisar","NULL",CONCATENATE("'",TEXT(F80,"yyyy-mm-dd"),"'"))</f>
        <v>'2013-01-24'</v>
      </c>
      <c r="M80" s="9" t="str">
        <f aca="false">IF(G80="Revisar","NULL",CONCATENATE("'",MID(G80,1,1),"'"))</f>
        <v>'F'</v>
      </c>
      <c r="N80" s="9" t="str">
        <f aca="false">IF(H80="Revisar","NULL",CONCATENATE("'",H80,"'"))</f>
        <v>'MARACAIBO'</v>
      </c>
      <c r="O80" s="9" t="str">
        <f aca="false">IF(I80="Revisar","NULL",CONCATENATE("'",I80,"'"))</f>
        <v>'ZU'</v>
      </c>
      <c r="P80" s="1" t="str">
        <f aca="false">"UPDATE estudiantes SET fecha_nacimiento="&amp;L80&amp;", sexo="&amp;M80&amp;", lugar_nacimiento="&amp;N80&amp;", entidad_federal="&amp;O80&amp;" WHERE cedula='"&amp;K80&amp;"';"</f>
        <v>UPDATE estudiantes SET fecha_nacimiento='2013-01-24', sexo='F', lugar_nacimiento='MARACAIBO', entidad_federal='ZU' WHERE cedula='36864147';</v>
      </c>
    </row>
    <row r="81" customFormat="false" ht="14.9" hidden="false" customHeight="false" outlineLevel="0" collapsed="false">
      <c r="A81" s="1" t="s">
        <v>15</v>
      </c>
      <c r="B81" s="1" t="s">
        <v>16</v>
      </c>
      <c r="C81" s="1" t="s">
        <v>89</v>
      </c>
      <c r="D81" s="1" t="s">
        <v>100</v>
      </c>
      <c r="E81" s="2" t="n">
        <v>45922</v>
      </c>
      <c r="F81" s="2" t="n">
        <f aca="false">IFERROR(VLOOKUP(TRIM($D81), Hoja4_2!$A$2:$L$10000, 4, 0), "Revisar")</f>
        <v>41277</v>
      </c>
      <c r="G81" s="7" t="str">
        <f aca="false">IFERROR(VLOOKUP(TRIM($D81), Hoja4_2!$A$2:$L$10000, 5, 0), "Revisar")</f>
        <v>MASCULINO</v>
      </c>
      <c r="H81" s="7" t="str">
        <f aca="false">IFERROR(VLOOKUP(TRIM($D81), Hoja4_2!$A$2:$L$10000, 7, 0), "Revisar")</f>
        <v>JESUS ENRIQUE LOSSADA</v>
      </c>
      <c r="I81" s="7" t="str">
        <f aca="false">IFERROR(VLOOKUP(TRIM($D81), Hoja4_2!$A$2:$L$10000, 9, 0), "Revisar")</f>
        <v>ZU</v>
      </c>
      <c r="J81" s="7" t="str">
        <f aca="false">IFERROR(VLOOKUP(TRIM($D81), Hoja4_2!$A$2:$L$10000, 12, 0), "Revisar")</f>
        <v>20371881</v>
      </c>
      <c r="K81" s="8" t="str">
        <f aca="false">TEXT(TRIM(D81),"0")</f>
        <v>36907613</v>
      </c>
      <c r="L81" s="1" t="str">
        <f aca="false">IF(F81="Revisar","NULL",CONCATENATE("'",TEXT(F81,"yyyy-mm-dd"),"'"))</f>
        <v>'2013-01-03'</v>
      </c>
      <c r="M81" s="9" t="str">
        <f aca="false">IF(G81="Revisar","NULL",CONCATENATE("'",MID(G81,1,1),"'"))</f>
        <v>'M'</v>
      </c>
      <c r="N81" s="9" t="str">
        <f aca="false">IF(H81="Revisar","NULL",CONCATENATE("'",H81,"'"))</f>
        <v>'JESUS ENRIQUE LOSSADA'</v>
      </c>
      <c r="O81" s="9" t="str">
        <f aca="false">IF(I81="Revisar","NULL",CONCATENATE("'",I81,"'"))</f>
        <v>'ZU'</v>
      </c>
      <c r="P81" s="1" t="str">
        <f aca="false">"UPDATE estudiantes SET fecha_nacimiento="&amp;L81&amp;", sexo="&amp;M81&amp;", lugar_nacimiento="&amp;N81&amp;", entidad_federal="&amp;O81&amp;" WHERE cedula='"&amp;K81&amp;"';"</f>
        <v>UPDATE estudiantes SET fecha_nacimiento='2013-01-03', sexo='M', lugar_nacimiento='JESUS ENRIQUE LOSSADA', entidad_federal='ZU' WHERE cedula='36907613';</v>
      </c>
    </row>
    <row r="82" customFormat="false" ht="14.9" hidden="false" customHeight="false" outlineLevel="0" collapsed="false">
      <c r="A82" s="1" t="s">
        <v>15</v>
      </c>
      <c r="B82" s="1" t="s">
        <v>16</v>
      </c>
      <c r="C82" s="1" t="s">
        <v>89</v>
      </c>
      <c r="D82" s="1" t="s">
        <v>101</v>
      </c>
      <c r="E82" s="2" t="n">
        <v>45922</v>
      </c>
      <c r="F82" s="2" t="n">
        <f aca="false">IFERROR(VLOOKUP(TRIM($D82), Hoja4_2!$A$2:$L$10000, 4, 0), "Revisar")</f>
        <v>41449</v>
      </c>
      <c r="G82" s="7" t="str">
        <f aca="false">IFERROR(VLOOKUP(TRIM($D82), Hoja4_2!$A$2:$L$10000, 5, 0), "Revisar")</f>
        <v>FEMENINO</v>
      </c>
      <c r="H82" s="7" t="str">
        <f aca="false">IFERROR(VLOOKUP(TRIM($D82), Hoja4_2!$A$2:$L$10000, 7, 0), "Revisar")</f>
        <v>MARACAIBO</v>
      </c>
      <c r="I82" s="7" t="str">
        <f aca="false">IFERROR(VLOOKUP(TRIM($D82), Hoja4_2!$A$2:$L$10000, 9, 0), "Revisar")</f>
        <v>ZU</v>
      </c>
      <c r="J82" s="7" t="str">
        <f aca="false">IFERROR(VLOOKUP(TRIM($D82), Hoja4_2!$A$2:$L$10000, 12, 0), "Revisar")</f>
        <v>20058317</v>
      </c>
      <c r="K82" s="8" t="str">
        <f aca="false">TEXT(TRIM(D82),"0")</f>
        <v>36988353</v>
      </c>
      <c r="L82" s="1" t="str">
        <f aca="false">IF(F82="Revisar","NULL",CONCATENATE("'",TEXT(F82,"yyyy-mm-dd"),"'"))</f>
        <v>'2013-06-24'</v>
      </c>
      <c r="M82" s="9" t="str">
        <f aca="false">IF(G82="Revisar","NULL",CONCATENATE("'",MID(G82,1,1),"'"))</f>
        <v>'F'</v>
      </c>
      <c r="N82" s="9" t="str">
        <f aca="false">IF(H82="Revisar","NULL",CONCATENATE("'",H82,"'"))</f>
        <v>'MARACAIBO'</v>
      </c>
      <c r="O82" s="9" t="str">
        <f aca="false">IF(I82="Revisar","NULL",CONCATENATE("'",I82,"'"))</f>
        <v>'ZU'</v>
      </c>
      <c r="P82" s="1" t="str">
        <f aca="false">"UPDATE estudiantes SET fecha_nacimiento="&amp;L82&amp;", sexo="&amp;M82&amp;", lugar_nacimiento="&amp;N82&amp;", entidad_federal="&amp;O82&amp;" WHERE cedula='"&amp;K82&amp;"';"</f>
        <v>UPDATE estudiantes SET fecha_nacimiento='2013-06-24', sexo='F', lugar_nacimiento='MARACAIBO', entidad_federal='ZU' WHERE cedula='36988353';</v>
      </c>
    </row>
    <row r="83" customFormat="false" ht="14.9" hidden="false" customHeight="false" outlineLevel="0" collapsed="false">
      <c r="A83" s="1" t="s">
        <v>15</v>
      </c>
      <c r="B83" s="1" t="s">
        <v>16</v>
      </c>
      <c r="C83" s="1" t="s">
        <v>89</v>
      </c>
      <c r="D83" s="1" t="s">
        <v>102</v>
      </c>
      <c r="E83" s="2" t="n">
        <v>45987</v>
      </c>
      <c r="F83" s="2" t="n">
        <f aca="false">IFERROR(VLOOKUP(TRIM($D83), Hoja4_2!$A$2:$L$10000, 4, 0), "Revisar")</f>
        <v>41655</v>
      </c>
      <c r="G83" s="7" t="str">
        <f aca="false">IFERROR(VLOOKUP(TRIM($D83), Hoja4_2!$A$2:$L$10000, 5, 0), "Revisar")</f>
        <v>FEMENINO</v>
      </c>
      <c r="H83" s="7" t="str">
        <f aca="false">IFERROR(VLOOKUP(TRIM($D83), Hoja4_2!$A$2:$L$10000, 7, 0), "Revisar")</f>
        <v>MARACAIBO</v>
      </c>
      <c r="I83" s="7" t="str">
        <f aca="false">IFERROR(VLOOKUP(TRIM($D83), Hoja4_2!$A$2:$L$10000, 9, 0), "Revisar")</f>
        <v>ZU</v>
      </c>
      <c r="J83" s="7" t="str">
        <f aca="false">IFERROR(VLOOKUP(TRIM($D83), Hoja4_2!$A$2:$L$10000, 12, 0), "Revisar")</f>
        <v>18662051</v>
      </c>
      <c r="K83" s="8" t="str">
        <f aca="false">TEXT(TRIM(D83),"0")</f>
        <v>37007137</v>
      </c>
      <c r="L83" s="1" t="str">
        <f aca="false">IF(F83="Revisar","NULL",CONCATENATE("'",TEXT(F83,"yyyy-mm-dd"),"'"))</f>
        <v>'2014-01-16'</v>
      </c>
      <c r="M83" s="9" t="str">
        <f aca="false">IF(G83="Revisar","NULL",CONCATENATE("'",MID(G83,1,1),"'"))</f>
        <v>'F'</v>
      </c>
      <c r="N83" s="9" t="str">
        <f aca="false">IF(H83="Revisar","NULL",CONCATENATE("'",H83,"'"))</f>
        <v>'MARACAIBO'</v>
      </c>
      <c r="O83" s="9" t="str">
        <f aca="false">IF(I83="Revisar","NULL",CONCATENATE("'",I83,"'"))</f>
        <v>'ZU'</v>
      </c>
      <c r="P83" s="1" t="str">
        <f aca="false">"UPDATE estudiantes SET fecha_nacimiento="&amp;L83&amp;", sexo="&amp;M83&amp;", lugar_nacimiento="&amp;N83&amp;", entidad_federal="&amp;O83&amp;" WHERE cedula='"&amp;K83&amp;"';"</f>
        <v>UPDATE estudiantes SET fecha_nacimiento='2014-01-16', sexo='F', lugar_nacimiento='MARACAIBO', entidad_federal='ZU' WHERE cedula='37007137';</v>
      </c>
    </row>
    <row r="84" customFormat="false" ht="14.9" hidden="false" customHeight="false" outlineLevel="0" collapsed="false">
      <c r="A84" s="1" t="s">
        <v>15</v>
      </c>
      <c r="B84" s="1" t="s">
        <v>16</v>
      </c>
      <c r="C84" s="1" t="s">
        <v>89</v>
      </c>
      <c r="D84" s="1" t="s">
        <v>103</v>
      </c>
      <c r="E84" s="2" t="n">
        <v>45922</v>
      </c>
      <c r="F84" s="2" t="n">
        <f aca="false">IFERROR(VLOOKUP(TRIM($D84), Hoja4_2!$A$2:$L$10000, 4, 0), "Revisar")</f>
        <v>41693</v>
      </c>
      <c r="G84" s="7" t="str">
        <f aca="false">IFERROR(VLOOKUP(TRIM($D84), Hoja4_2!$A$2:$L$10000, 5, 0), "Revisar")</f>
        <v>MASCULINO</v>
      </c>
      <c r="H84" s="7" t="str">
        <f aca="false">IFERROR(VLOOKUP(TRIM($D84), Hoja4_2!$A$2:$L$10000, 7, 0), "Revisar")</f>
        <v>MARACAIBO</v>
      </c>
      <c r="I84" s="7" t="str">
        <f aca="false">IFERROR(VLOOKUP(TRIM($D84), Hoja4_2!$A$2:$L$10000, 9, 0), "Revisar")</f>
        <v>ZU</v>
      </c>
      <c r="J84" s="7" t="str">
        <f aca="false">IFERROR(VLOOKUP(TRIM($D84), Hoja4_2!$A$2:$L$10000, 12, 0), "Revisar")</f>
        <v>25979267</v>
      </c>
      <c r="K84" s="8" t="str">
        <f aca="false">TEXT(TRIM(D84),"0")</f>
        <v>37029917</v>
      </c>
      <c r="L84" s="1" t="str">
        <f aca="false">IF(F84="Revisar","NULL",CONCATENATE("'",TEXT(F84,"yyyy-mm-dd"),"'"))</f>
        <v>'2014-02-23'</v>
      </c>
      <c r="M84" s="9" t="str">
        <f aca="false">IF(G84="Revisar","NULL",CONCATENATE("'",MID(G84,1,1),"'"))</f>
        <v>'M'</v>
      </c>
      <c r="N84" s="9" t="str">
        <f aca="false">IF(H84="Revisar","NULL",CONCATENATE("'",H84,"'"))</f>
        <v>'MARACAIBO'</v>
      </c>
      <c r="O84" s="9" t="str">
        <f aca="false">IF(I84="Revisar","NULL",CONCATENATE("'",I84,"'"))</f>
        <v>'ZU'</v>
      </c>
      <c r="P84" s="1" t="str">
        <f aca="false">"UPDATE estudiantes SET fecha_nacimiento="&amp;L84&amp;", sexo="&amp;M84&amp;", lugar_nacimiento="&amp;N84&amp;", entidad_federal="&amp;O84&amp;" WHERE cedula='"&amp;K84&amp;"';"</f>
        <v>UPDATE estudiantes SET fecha_nacimiento='2014-02-23', sexo='M', lugar_nacimiento='MARACAIBO', entidad_federal='ZU' WHERE cedula='37029917';</v>
      </c>
    </row>
    <row r="85" customFormat="false" ht="14.9" hidden="false" customHeight="false" outlineLevel="0" collapsed="false">
      <c r="A85" s="1" t="s">
        <v>15</v>
      </c>
      <c r="B85" s="1" t="s">
        <v>16</v>
      </c>
      <c r="C85" s="1" t="s">
        <v>89</v>
      </c>
      <c r="D85" s="1" t="s">
        <v>104</v>
      </c>
      <c r="E85" s="2" t="n">
        <v>45922</v>
      </c>
      <c r="F85" s="2" t="n">
        <f aca="false">IFERROR(VLOOKUP(TRIM($D85), Hoja4_2!$A$2:$L$10000, 4, 0), "Revisar")</f>
        <v>41693</v>
      </c>
      <c r="G85" s="7" t="str">
        <f aca="false">IFERROR(VLOOKUP(TRIM($D85), Hoja4_2!$A$2:$L$10000, 5, 0), "Revisar")</f>
        <v>FEMENINO</v>
      </c>
      <c r="H85" s="7" t="str">
        <f aca="false">IFERROR(VLOOKUP(TRIM($D85), Hoja4_2!$A$2:$L$10000, 7, 0), "Revisar")</f>
        <v>MARACAIBO</v>
      </c>
      <c r="I85" s="7" t="str">
        <f aca="false">IFERROR(VLOOKUP(TRIM($D85), Hoja4_2!$A$2:$L$10000, 9, 0), "Revisar")</f>
        <v>ZU</v>
      </c>
      <c r="J85" s="7" t="str">
        <f aca="false">IFERROR(VLOOKUP(TRIM($D85), Hoja4_2!$A$2:$L$10000, 12, 0), "Revisar")</f>
        <v>25979267</v>
      </c>
      <c r="K85" s="8" t="str">
        <f aca="false">TEXT(TRIM(D85),"0")</f>
        <v>37030009</v>
      </c>
      <c r="L85" s="1" t="str">
        <f aca="false">IF(F85="Revisar","NULL",CONCATENATE("'",TEXT(F85,"yyyy-mm-dd"),"'"))</f>
        <v>'2014-02-23'</v>
      </c>
      <c r="M85" s="9" t="str">
        <f aca="false">IF(G85="Revisar","NULL",CONCATENATE("'",MID(G85,1,1),"'"))</f>
        <v>'F'</v>
      </c>
      <c r="N85" s="9" t="str">
        <f aca="false">IF(H85="Revisar","NULL",CONCATENATE("'",H85,"'"))</f>
        <v>'MARACAIBO'</v>
      </c>
      <c r="O85" s="9" t="str">
        <f aca="false">IF(I85="Revisar","NULL",CONCATENATE("'",I85,"'"))</f>
        <v>'ZU'</v>
      </c>
      <c r="P85" s="1" t="str">
        <f aca="false">"UPDATE estudiantes SET fecha_nacimiento="&amp;L85&amp;", sexo="&amp;M85&amp;", lugar_nacimiento="&amp;N85&amp;", entidad_federal="&amp;O85&amp;" WHERE cedula='"&amp;K85&amp;"';"</f>
        <v>UPDATE estudiantes SET fecha_nacimiento='2014-02-23', sexo='F', lugar_nacimiento='MARACAIBO', entidad_federal='ZU' WHERE cedula='37030009';</v>
      </c>
    </row>
    <row r="86" customFormat="false" ht="14.9" hidden="false" customHeight="false" outlineLevel="0" collapsed="false">
      <c r="A86" s="1" t="s">
        <v>15</v>
      </c>
      <c r="B86" s="1" t="s">
        <v>16</v>
      </c>
      <c r="C86" s="1" t="s">
        <v>89</v>
      </c>
      <c r="D86" s="1" t="s">
        <v>105</v>
      </c>
      <c r="E86" s="2" t="n">
        <v>45922</v>
      </c>
      <c r="F86" s="2" t="n">
        <f aca="false">IFERROR(VLOOKUP(TRIM($D86), Hoja4_2!$A$2:$L$10000, 4, 0), "Revisar")</f>
        <v>42034</v>
      </c>
      <c r="G86" s="7" t="str">
        <f aca="false">IFERROR(VLOOKUP(TRIM($D86), Hoja4_2!$A$2:$L$10000, 5, 0), "Revisar")</f>
        <v>FEMENINO</v>
      </c>
      <c r="H86" s="7" t="str">
        <f aca="false">IFERROR(VLOOKUP(TRIM($D86), Hoja4_2!$A$2:$L$10000, 7, 0), "Revisar")</f>
        <v>MARACAIBO</v>
      </c>
      <c r="I86" s="7" t="str">
        <f aca="false">IFERROR(VLOOKUP(TRIM($D86), Hoja4_2!$A$2:$L$10000, 9, 0), "Revisar")</f>
        <v>ZU</v>
      </c>
      <c r="J86" s="7" t="str">
        <f aca="false">IFERROR(VLOOKUP(TRIM($D86), Hoja4_2!$A$2:$L$10000, 12, 0), "Revisar")</f>
        <v>17833718</v>
      </c>
      <c r="K86" s="8" t="str">
        <f aca="false">TEXT(TRIM(D86),"0")</f>
        <v>37107700</v>
      </c>
      <c r="L86" s="1" t="str">
        <f aca="false">IF(F86="Revisar","NULL",CONCATENATE("'",TEXT(F86,"yyyy-mm-dd"),"'"))</f>
        <v>'2015-01-30'</v>
      </c>
      <c r="M86" s="9" t="str">
        <f aca="false">IF(G86="Revisar","NULL",CONCATENATE("'",MID(G86,1,1),"'"))</f>
        <v>'F'</v>
      </c>
      <c r="N86" s="9" t="str">
        <f aca="false">IF(H86="Revisar","NULL",CONCATENATE("'",H86,"'"))</f>
        <v>'MARACAIBO'</v>
      </c>
      <c r="O86" s="9" t="str">
        <f aca="false">IF(I86="Revisar","NULL",CONCATENATE("'",I86,"'"))</f>
        <v>'ZU'</v>
      </c>
      <c r="P86" s="1" t="str">
        <f aca="false">"UPDATE estudiantes SET fecha_nacimiento="&amp;L86&amp;", sexo="&amp;M86&amp;", lugar_nacimiento="&amp;N86&amp;", entidad_federal="&amp;O86&amp;" WHERE cedula='"&amp;K86&amp;"';"</f>
        <v>UPDATE estudiantes SET fecha_nacimiento='2015-01-30', sexo='F', lugar_nacimiento='MARACAIBO', entidad_federal='ZU' WHERE cedula='37107700';</v>
      </c>
    </row>
    <row r="87" customFormat="false" ht="14.9" hidden="false" customHeight="false" outlineLevel="0" collapsed="false">
      <c r="A87" s="1" t="s">
        <v>15</v>
      </c>
      <c r="B87" s="1" t="s">
        <v>16</v>
      </c>
      <c r="C87" s="1" t="s">
        <v>89</v>
      </c>
      <c r="D87" s="1" t="s">
        <v>106</v>
      </c>
      <c r="E87" s="2" t="n">
        <v>45922</v>
      </c>
      <c r="F87" s="2" t="n">
        <f aca="false">IFERROR(VLOOKUP(TRIM($D87), Hoja4_2!$A$2:$L$10000, 4, 0), "Revisar")</f>
        <v>41619</v>
      </c>
      <c r="G87" s="7" t="str">
        <f aca="false">IFERROR(VLOOKUP(TRIM($D87), Hoja4_2!$A$2:$L$10000, 5, 0), "Revisar")</f>
        <v>FEMENINO</v>
      </c>
      <c r="H87" s="7" t="str">
        <f aca="false">IFERROR(VLOOKUP(TRIM($D87), Hoja4_2!$A$2:$L$10000, 7, 0), "Revisar")</f>
        <v>MARACAIBO</v>
      </c>
      <c r="I87" s="7" t="str">
        <f aca="false">IFERROR(VLOOKUP(TRIM($D87), Hoja4_2!$A$2:$L$10000, 9, 0), "Revisar")</f>
        <v>ZU</v>
      </c>
      <c r="J87" s="7" t="str">
        <f aca="false">IFERROR(VLOOKUP(TRIM($D87), Hoja4_2!$A$2:$L$10000, 12, 0), "Revisar")</f>
        <v>25439260</v>
      </c>
      <c r="K87" s="8" t="str">
        <f aca="false">TEXT(TRIM(D87),"0")</f>
        <v>37266329</v>
      </c>
      <c r="L87" s="1" t="str">
        <f aca="false">IF(F87="Revisar","NULL",CONCATENATE("'",TEXT(F87,"yyyy-mm-dd"),"'"))</f>
        <v>'2013-12-11'</v>
      </c>
      <c r="M87" s="9" t="str">
        <f aca="false">IF(G87="Revisar","NULL",CONCATENATE("'",MID(G87,1,1),"'"))</f>
        <v>'F'</v>
      </c>
      <c r="N87" s="9" t="str">
        <f aca="false">IF(H87="Revisar","NULL",CONCATENATE("'",H87,"'"))</f>
        <v>'MARACAIBO'</v>
      </c>
      <c r="O87" s="9" t="str">
        <f aca="false">IF(I87="Revisar","NULL",CONCATENATE("'",I87,"'"))</f>
        <v>'ZU'</v>
      </c>
      <c r="P87" s="1" t="str">
        <f aca="false">"UPDATE estudiantes SET fecha_nacimiento="&amp;L87&amp;", sexo="&amp;M87&amp;", lugar_nacimiento="&amp;N87&amp;", entidad_federal="&amp;O87&amp;" WHERE cedula='"&amp;K87&amp;"';"</f>
        <v>UPDATE estudiantes SET fecha_nacimiento='2013-12-11', sexo='F', lugar_nacimiento='MARACAIBO', entidad_federal='ZU' WHERE cedula='37266329';</v>
      </c>
    </row>
    <row r="88" customFormat="false" ht="14.9" hidden="false" customHeight="false" outlineLevel="0" collapsed="false">
      <c r="A88" s="1" t="s">
        <v>15</v>
      </c>
      <c r="B88" s="1" t="s">
        <v>16</v>
      </c>
      <c r="C88" s="1" t="s">
        <v>89</v>
      </c>
      <c r="D88" s="1" t="s">
        <v>107</v>
      </c>
      <c r="E88" s="2" t="n">
        <v>45922</v>
      </c>
      <c r="F88" s="2" t="n">
        <f aca="false">IFERROR(VLOOKUP(TRIM($D88), Hoja4_2!$A$2:$L$10000, 4, 0), "Revisar")</f>
        <v>41159</v>
      </c>
      <c r="G88" s="7" t="str">
        <f aca="false">IFERROR(VLOOKUP(TRIM($D88), Hoja4_2!$A$2:$L$10000, 5, 0), "Revisar")</f>
        <v>FEMENINO</v>
      </c>
      <c r="H88" s="7" t="str">
        <f aca="false">IFERROR(VLOOKUP(TRIM($D88), Hoja4_2!$A$2:$L$10000, 7, 0), "Revisar")</f>
        <v>MARACAIBO</v>
      </c>
      <c r="I88" s="7" t="str">
        <f aca="false">IFERROR(VLOOKUP(TRIM($D88), Hoja4_2!$A$2:$L$10000, 9, 0), "Revisar")</f>
        <v>ZU</v>
      </c>
      <c r="J88" s="7" t="str">
        <f aca="false">IFERROR(VLOOKUP(TRIM($D88), Hoja4_2!$A$2:$L$10000, 12, 0), "Revisar")</f>
        <v>16687079</v>
      </c>
      <c r="K88" s="8" t="str">
        <f aca="false">TEXT(TRIM(D88),"0")</f>
        <v>11216687079</v>
      </c>
      <c r="L88" s="1" t="str">
        <f aca="false">IF(F88="Revisar","NULL",CONCATENATE("'",TEXT(F88,"yyyy-mm-dd"),"'"))</f>
        <v>'2012-09-07'</v>
      </c>
      <c r="M88" s="9" t="str">
        <f aca="false">IF(G88="Revisar","NULL",CONCATENATE("'",MID(G88,1,1),"'"))</f>
        <v>'F'</v>
      </c>
      <c r="N88" s="9" t="str">
        <f aca="false">IF(H88="Revisar","NULL",CONCATENATE("'",H88,"'"))</f>
        <v>'MARACAIBO'</v>
      </c>
      <c r="O88" s="9" t="str">
        <f aca="false">IF(I88="Revisar","NULL",CONCATENATE("'",I88,"'"))</f>
        <v>'ZU'</v>
      </c>
      <c r="P88" s="1" t="str">
        <f aca="false">"UPDATE estudiantes SET fecha_nacimiento="&amp;L88&amp;", sexo="&amp;M88&amp;", lugar_nacimiento="&amp;N88&amp;", entidad_federal="&amp;O88&amp;" WHERE cedula='"&amp;K88&amp;"';"</f>
        <v>UPDATE estudiantes SET fecha_nacimiento='2012-09-07', sexo='F', lugar_nacimiento='MARACAIBO', entidad_federal='ZU' WHERE cedula='11216687079';</v>
      </c>
    </row>
    <row r="89" customFormat="false" ht="14.9" hidden="false" customHeight="false" outlineLevel="0" collapsed="false">
      <c r="A89" s="1" t="s">
        <v>15</v>
      </c>
      <c r="B89" s="1" t="s">
        <v>16</v>
      </c>
      <c r="C89" s="1" t="s">
        <v>89</v>
      </c>
      <c r="D89" s="1" t="s">
        <v>108</v>
      </c>
      <c r="E89" s="2" t="n">
        <v>45922</v>
      </c>
      <c r="F89" s="2" t="n">
        <f aca="false">IFERROR(VLOOKUP(TRIM($D89), Hoja4_2!$A$2:$L$10000, 4, 0), "Revisar")</f>
        <v>41102</v>
      </c>
      <c r="G89" s="7" t="str">
        <f aca="false">IFERROR(VLOOKUP(TRIM($D89), Hoja4_2!$A$2:$L$10000, 5, 0), "Revisar")</f>
        <v>MASCULINO</v>
      </c>
      <c r="H89" s="7" t="str">
        <f aca="false">IFERROR(VLOOKUP(TRIM($D89), Hoja4_2!$A$2:$L$10000, 7, 0), "Revisar")</f>
        <v>MARACAIBO</v>
      </c>
      <c r="I89" s="7" t="str">
        <f aca="false">IFERROR(VLOOKUP(TRIM($D89), Hoja4_2!$A$2:$L$10000, 9, 0), "Revisar")</f>
        <v>ZU</v>
      </c>
      <c r="J89" s="7" t="str">
        <f aca="false">IFERROR(VLOOKUP(TRIM($D89), Hoja4_2!$A$2:$L$10000, 12, 0), "Revisar")</f>
        <v>17087302</v>
      </c>
      <c r="K89" s="8" t="str">
        <f aca="false">TEXT(TRIM(D89),"0")</f>
        <v>11217087302</v>
      </c>
      <c r="L89" s="1" t="str">
        <f aca="false">IF(F89="Revisar","NULL",CONCATENATE("'",TEXT(F89,"yyyy-mm-dd"),"'"))</f>
        <v>'2012-07-12'</v>
      </c>
      <c r="M89" s="9" t="str">
        <f aca="false">IF(G89="Revisar","NULL",CONCATENATE("'",MID(G89,1,1),"'"))</f>
        <v>'M'</v>
      </c>
      <c r="N89" s="9" t="str">
        <f aca="false">IF(H89="Revisar","NULL",CONCATENATE("'",H89,"'"))</f>
        <v>'MARACAIBO'</v>
      </c>
      <c r="O89" s="9" t="str">
        <f aca="false">IF(I89="Revisar","NULL",CONCATENATE("'",I89,"'"))</f>
        <v>'ZU'</v>
      </c>
      <c r="P89" s="1" t="str">
        <f aca="false">"UPDATE estudiantes SET fecha_nacimiento="&amp;L89&amp;", sexo="&amp;M89&amp;", lugar_nacimiento="&amp;N89&amp;", entidad_federal="&amp;O89&amp;" WHERE cedula='"&amp;K89&amp;"';"</f>
        <v>UPDATE estudiantes SET fecha_nacimiento='2012-07-12', sexo='M', lugar_nacimiento='MARACAIBO', entidad_federal='ZU' WHERE cedula='11217087302';</v>
      </c>
    </row>
    <row r="90" customFormat="false" ht="14.9" hidden="false" customHeight="false" outlineLevel="0" collapsed="false">
      <c r="A90" s="1" t="s">
        <v>15</v>
      </c>
      <c r="B90" s="1" t="s">
        <v>16</v>
      </c>
      <c r="C90" s="1" t="s">
        <v>89</v>
      </c>
      <c r="D90" s="1" t="s">
        <v>109</v>
      </c>
      <c r="E90" s="2" t="n">
        <v>45922</v>
      </c>
      <c r="F90" s="2" t="n">
        <f aca="false">IFERROR(VLOOKUP(TRIM($D90), Hoja4_2!$A$2:$L$10000, 4, 0), "Revisar")</f>
        <v>41235</v>
      </c>
      <c r="G90" s="7" t="str">
        <f aca="false">IFERROR(VLOOKUP(TRIM($D90), Hoja4_2!$A$2:$L$10000, 5, 0), "Revisar")</f>
        <v>FEMENINO</v>
      </c>
      <c r="H90" s="7" t="str">
        <f aca="false">IFERROR(VLOOKUP(TRIM($D90), Hoja4_2!$A$2:$L$10000, 7, 0), "Revisar")</f>
        <v>MARACAIBO</v>
      </c>
      <c r="I90" s="7" t="str">
        <f aca="false">IFERROR(VLOOKUP(TRIM($D90), Hoja4_2!$A$2:$L$10000, 9, 0), "Revisar")</f>
        <v>ZU</v>
      </c>
      <c r="J90" s="7" t="str">
        <f aca="false">IFERROR(VLOOKUP(TRIM($D90), Hoja4_2!$A$2:$L$10000, 12, 0), "Revisar")</f>
        <v>20686019</v>
      </c>
      <c r="K90" s="8" t="str">
        <f aca="false">TEXT(TRIM(D90),"0")</f>
        <v>11220686019</v>
      </c>
      <c r="L90" s="1" t="str">
        <f aca="false">IF(F90="Revisar","NULL",CONCATENATE("'",TEXT(F90,"yyyy-mm-dd"),"'"))</f>
        <v>'2012-11-22'</v>
      </c>
      <c r="M90" s="9" t="str">
        <f aca="false">IF(G90="Revisar","NULL",CONCATENATE("'",MID(G90,1,1),"'"))</f>
        <v>'F'</v>
      </c>
      <c r="N90" s="9" t="str">
        <f aca="false">IF(H90="Revisar","NULL",CONCATENATE("'",H90,"'"))</f>
        <v>'MARACAIBO'</v>
      </c>
      <c r="O90" s="9" t="str">
        <f aca="false">IF(I90="Revisar","NULL",CONCATENATE("'",I90,"'"))</f>
        <v>'ZU'</v>
      </c>
      <c r="P90" s="1" t="str">
        <f aca="false">"UPDATE estudiantes SET fecha_nacimiento="&amp;L90&amp;", sexo="&amp;M90&amp;", lugar_nacimiento="&amp;N90&amp;", entidad_federal="&amp;O90&amp;" WHERE cedula='"&amp;K90&amp;"';"</f>
        <v>UPDATE estudiantes SET fecha_nacimiento='2012-11-22', sexo='F', lugar_nacimiento='MARACAIBO', entidad_federal='ZU' WHERE cedula='11220686019';</v>
      </c>
    </row>
    <row r="91" customFormat="false" ht="14.9" hidden="false" customHeight="false" outlineLevel="0" collapsed="false">
      <c r="A91" s="1" t="s">
        <v>15</v>
      </c>
      <c r="B91" s="1" t="s">
        <v>16</v>
      </c>
      <c r="C91" s="1" t="s">
        <v>89</v>
      </c>
      <c r="D91" s="1" t="s">
        <v>110</v>
      </c>
      <c r="E91" s="2" t="n">
        <v>45922</v>
      </c>
      <c r="F91" s="2" t="n">
        <f aca="false">IFERROR(VLOOKUP(TRIM($D91), Hoja4_2!$A$2:$L$10000, 4, 0), "Revisar")</f>
        <v>41224</v>
      </c>
      <c r="G91" s="7" t="str">
        <f aca="false">IFERROR(VLOOKUP(TRIM($D91), Hoja4_2!$A$2:$L$10000, 5, 0), "Revisar")</f>
        <v>FEMENINO</v>
      </c>
      <c r="H91" s="7" t="str">
        <f aca="false">IFERROR(VLOOKUP(TRIM($D91), Hoja4_2!$A$2:$L$10000, 7, 0), "Revisar")</f>
        <v>MARACAIBO</v>
      </c>
      <c r="I91" s="7" t="str">
        <f aca="false">IFERROR(VLOOKUP(TRIM($D91), Hoja4_2!$A$2:$L$10000, 9, 0), "Revisar")</f>
        <v>ZU</v>
      </c>
      <c r="J91" s="7" t="str">
        <f aca="false">IFERROR(VLOOKUP(TRIM($D91), Hoja4_2!$A$2:$L$10000, 12, 0), "Revisar")</f>
        <v>23753792</v>
      </c>
      <c r="K91" s="8" t="str">
        <f aca="false">TEXT(TRIM(D91),"0")</f>
        <v>11223753792</v>
      </c>
      <c r="L91" s="1" t="str">
        <f aca="false">IF(F91="Revisar","NULL",CONCATENATE("'",TEXT(F91,"yyyy-mm-dd"),"'"))</f>
        <v>'2012-11-11'</v>
      </c>
      <c r="M91" s="9" t="str">
        <f aca="false">IF(G91="Revisar","NULL",CONCATENATE("'",MID(G91,1,1),"'"))</f>
        <v>'F'</v>
      </c>
      <c r="N91" s="9" t="str">
        <f aca="false">IF(H91="Revisar","NULL",CONCATENATE("'",H91,"'"))</f>
        <v>'MARACAIBO'</v>
      </c>
      <c r="O91" s="9" t="str">
        <f aca="false">IF(I91="Revisar","NULL",CONCATENATE("'",I91,"'"))</f>
        <v>'ZU'</v>
      </c>
      <c r="P91" s="1" t="str">
        <f aca="false">"UPDATE estudiantes SET fecha_nacimiento="&amp;L91&amp;", sexo="&amp;M91&amp;", lugar_nacimiento="&amp;N91&amp;", entidad_federal="&amp;O91&amp;" WHERE cedula='"&amp;K91&amp;"';"</f>
        <v>UPDATE estudiantes SET fecha_nacimiento='2012-11-11', sexo='F', lugar_nacimiento='MARACAIBO', entidad_federal='ZU' WHERE cedula='11223753792';</v>
      </c>
    </row>
    <row r="92" customFormat="false" ht="14.9" hidden="false" customHeight="false" outlineLevel="0" collapsed="false">
      <c r="A92" s="1" t="s">
        <v>15</v>
      </c>
      <c r="B92" s="1" t="s">
        <v>16</v>
      </c>
      <c r="C92" s="1" t="s">
        <v>89</v>
      </c>
      <c r="D92" s="1" t="s">
        <v>111</v>
      </c>
      <c r="E92" s="2" t="n">
        <v>45922</v>
      </c>
      <c r="F92" s="2" t="n">
        <f aca="false">IFERROR(VLOOKUP(TRIM($D92), Hoja4_2!$A$2:$L$10000, 4, 0), "Revisar")</f>
        <v>41466</v>
      </c>
      <c r="G92" s="7" t="str">
        <f aca="false">IFERROR(VLOOKUP(TRIM($D92), Hoja4_2!$A$2:$L$10000, 5, 0), "Revisar")</f>
        <v>FEMENINO</v>
      </c>
      <c r="H92" s="7" t="str">
        <f aca="false">IFERROR(VLOOKUP(TRIM($D92), Hoja4_2!$A$2:$L$10000, 7, 0), "Revisar")</f>
        <v>MARACAIBO</v>
      </c>
      <c r="I92" s="7" t="str">
        <f aca="false">IFERROR(VLOOKUP(TRIM($D92), Hoja4_2!$A$2:$L$10000, 9, 0), "Revisar")</f>
        <v>ZU</v>
      </c>
      <c r="J92" s="7" t="str">
        <f aca="false">IFERROR(VLOOKUP(TRIM($D92), Hoja4_2!$A$2:$L$10000, 12, 0), "Revisar")</f>
        <v>12257478</v>
      </c>
      <c r="K92" s="8" t="str">
        <f aca="false">TEXT(TRIM(D92),"0")</f>
        <v>11312257478</v>
      </c>
      <c r="L92" s="1" t="str">
        <f aca="false">IF(F92="Revisar","NULL",CONCATENATE("'",TEXT(F92,"yyyy-mm-dd"),"'"))</f>
        <v>'2013-07-11'</v>
      </c>
      <c r="M92" s="9" t="str">
        <f aca="false">IF(G92="Revisar","NULL",CONCATENATE("'",MID(G92,1,1),"'"))</f>
        <v>'F'</v>
      </c>
      <c r="N92" s="9" t="str">
        <f aca="false">IF(H92="Revisar","NULL",CONCATENATE("'",H92,"'"))</f>
        <v>'MARACAIBO'</v>
      </c>
      <c r="O92" s="9" t="str">
        <f aca="false">IF(I92="Revisar","NULL",CONCATENATE("'",I92,"'"))</f>
        <v>'ZU'</v>
      </c>
      <c r="P92" s="1" t="str">
        <f aca="false">"UPDATE estudiantes SET fecha_nacimiento="&amp;L92&amp;", sexo="&amp;M92&amp;", lugar_nacimiento="&amp;N92&amp;", entidad_federal="&amp;O92&amp;" WHERE cedula='"&amp;K92&amp;"';"</f>
        <v>UPDATE estudiantes SET fecha_nacimiento='2013-07-11', sexo='F', lugar_nacimiento='MARACAIBO', entidad_federal='ZU' WHERE cedula='11312257478';</v>
      </c>
    </row>
    <row r="93" customFormat="false" ht="14.9" hidden="false" customHeight="false" outlineLevel="0" collapsed="false">
      <c r="A93" s="1" t="s">
        <v>15</v>
      </c>
      <c r="B93" s="1" t="s">
        <v>16</v>
      </c>
      <c r="C93" s="1" t="s">
        <v>89</v>
      </c>
      <c r="D93" s="1" t="s">
        <v>112</v>
      </c>
      <c r="E93" s="2" t="n">
        <v>45922</v>
      </c>
      <c r="F93" s="2" t="n">
        <f aca="false">IFERROR(VLOOKUP(TRIM($D93), Hoja4_2!$A$2:$L$10000, 4, 0), "Revisar")</f>
        <v>41615</v>
      </c>
      <c r="G93" s="7" t="str">
        <f aca="false">IFERROR(VLOOKUP(TRIM($D93), Hoja4_2!$A$2:$L$10000, 5, 0), "Revisar")</f>
        <v>MASCULINO</v>
      </c>
      <c r="H93" s="7" t="str">
        <f aca="false">IFERROR(VLOOKUP(TRIM($D93), Hoja4_2!$A$2:$L$10000, 7, 0), "Revisar")</f>
        <v>MARACAIBO</v>
      </c>
      <c r="I93" s="7" t="str">
        <f aca="false">IFERROR(VLOOKUP(TRIM($D93), Hoja4_2!$A$2:$L$10000, 9, 0), "Revisar")</f>
        <v>ZU</v>
      </c>
      <c r="J93" s="7" t="str">
        <f aca="false">IFERROR(VLOOKUP(TRIM($D93), Hoja4_2!$A$2:$L$10000, 12, 0), "Revisar")</f>
        <v>14863556</v>
      </c>
      <c r="K93" s="8" t="str">
        <f aca="false">TEXT(TRIM(D93),"0")</f>
        <v>11314863556</v>
      </c>
      <c r="L93" s="1" t="str">
        <f aca="false">IF(F93="Revisar","NULL",CONCATENATE("'",TEXT(F93,"yyyy-mm-dd"),"'"))</f>
        <v>'2013-12-07'</v>
      </c>
      <c r="M93" s="9" t="str">
        <f aca="false">IF(G93="Revisar","NULL",CONCATENATE("'",MID(G93,1,1),"'"))</f>
        <v>'M'</v>
      </c>
      <c r="N93" s="9" t="str">
        <f aca="false">IF(H93="Revisar","NULL",CONCATENATE("'",H93,"'"))</f>
        <v>'MARACAIBO'</v>
      </c>
      <c r="O93" s="9" t="str">
        <f aca="false">IF(I93="Revisar","NULL",CONCATENATE("'",I93,"'"))</f>
        <v>'ZU'</v>
      </c>
      <c r="P93" s="1" t="str">
        <f aca="false">"UPDATE estudiantes SET fecha_nacimiento="&amp;L93&amp;", sexo="&amp;M93&amp;", lugar_nacimiento="&amp;N93&amp;", entidad_federal="&amp;O93&amp;" WHERE cedula='"&amp;K93&amp;"';"</f>
        <v>UPDATE estudiantes SET fecha_nacimiento='2013-12-07', sexo='M', lugar_nacimiento='MARACAIBO', entidad_federal='ZU' WHERE cedula='11314863556';</v>
      </c>
    </row>
    <row r="94" customFormat="false" ht="14.9" hidden="false" customHeight="false" outlineLevel="0" collapsed="false">
      <c r="A94" s="1" t="s">
        <v>15</v>
      </c>
      <c r="B94" s="1" t="s">
        <v>16</v>
      </c>
      <c r="C94" s="1" t="s">
        <v>89</v>
      </c>
      <c r="D94" s="1" t="s">
        <v>113</v>
      </c>
      <c r="E94" s="2" t="n">
        <v>45922</v>
      </c>
      <c r="F94" s="2" t="n">
        <f aca="false">IFERROR(VLOOKUP(TRIM($D94), Hoja4_2!$A$2:$L$10000, 4, 0), "Revisar")</f>
        <v>41498</v>
      </c>
      <c r="G94" s="7" t="str">
        <f aca="false">IFERROR(VLOOKUP(TRIM($D94), Hoja4_2!$A$2:$L$10000, 5, 0), "Revisar")</f>
        <v>FEMENINO</v>
      </c>
      <c r="H94" s="7" t="str">
        <f aca="false">IFERROR(VLOOKUP(TRIM($D94), Hoja4_2!$A$2:$L$10000, 7, 0), "Revisar")</f>
        <v>JESUS ENRIQUE LOSSADA</v>
      </c>
      <c r="I94" s="7" t="str">
        <f aca="false">IFERROR(VLOOKUP(TRIM($D94), Hoja4_2!$A$2:$L$10000, 9, 0), "Revisar")</f>
        <v>ZU</v>
      </c>
      <c r="J94" s="7" t="str">
        <f aca="false">IFERROR(VLOOKUP(TRIM($D94), Hoja4_2!$A$2:$L$10000, 12, 0), "Revisar")</f>
        <v>15280714</v>
      </c>
      <c r="K94" s="8" t="str">
        <f aca="false">TEXT(TRIM(D94),"0")</f>
        <v>11315280714</v>
      </c>
      <c r="L94" s="1" t="str">
        <f aca="false">IF(F94="Revisar","NULL",CONCATENATE("'",TEXT(F94,"yyyy-mm-dd"),"'"))</f>
        <v>'2013-08-12'</v>
      </c>
      <c r="M94" s="9" t="str">
        <f aca="false">IF(G94="Revisar","NULL",CONCATENATE("'",MID(G94,1,1),"'"))</f>
        <v>'F'</v>
      </c>
      <c r="N94" s="9" t="str">
        <f aca="false">IF(H94="Revisar","NULL",CONCATENATE("'",H94,"'"))</f>
        <v>'JESUS ENRIQUE LOSSADA'</v>
      </c>
      <c r="O94" s="9" t="str">
        <f aca="false">IF(I94="Revisar","NULL",CONCATENATE("'",I94,"'"))</f>
        <v>'ZU'</v>
      </c>
      <c r="P94" s="1" t="str">
        <f aca="false">"UPDATE estudiantes SET fecha_nacimiento="&amp;L94&amp;", sexo="&amp;M94&amp;", lugar_nacimiento="&amp;N94&amp;", entidad_federal="&amp;O94&amp;" WHERE cedula='"&amp;K94&amp;"';"</f>
        <v>UPDATE estudiantes SET fecha_nacimiento='2013-08-12', sexo='F', lugar_nacimiento='JESUS ENRIQUE LOSSADA', entidad_federal='ZU' WHERE cedula='11315280714';</v>
      </c>
    </row>
    <row r="95" customFormat="false" ht="14.9" hidden="false" customHeight="false" outlineLevel="0" collapsed="false">
      <c r="A95" s="1" t="s">
        <v>15</v>
      </c>
      <c r="B95" s="1" t="s">
        <v>16</v>
      </c>
      <c r="C95" s="1" t="s">
        <v>89</v>
      </c>
      <c r="D95" s="1" t="s">
        <v>114</v>
      </c>
      <c r="E95" s="2" t="n">
        <v>45922</v>
      </c>
      <c r="F95" s="2" t="n">
        <f aca="false">IFERROR(VLOOKUP(TRIM($D95), Hoja4_2!$A$2:$L$10000, 4, 0), "Revisar")</f>
        <v>41470</v>
      </c>
      <c r="G95" s="7" t="str">
        <f aca="false">IFERROR(VLOOKUP(TRIM($D95), Hoja4_2!$A$2:$L$10000, 5, 0), "Revisar")</f>
        <v>FEMENINO</v>
      </c>
      <c r="H95" s="7" t="str">
        <f aca="false">IFERROR(VLOOKUP(TRIM($D95), Hoja4_2!$A$2:$L$10000, 7, 0), "Revisar")</f>
        <v>MARACAIBO</v>
      </c>
      <c r="I95" s="7" t="str">
        <f aca="false">IFERROR(VLOOKUP(TRIM($D95), Hoja4_2!$A$2:$L$10000, 9, 0), "Revisar")</f>
        <v>ZU</v>
      </c>
      <c r="J95" s="7" t="str">
        <f aca="false">IFERROR(VLOOKUP(TRIM($D95), Hoja4_2!$A$2:$L$10000, 12, 0), "Revisar")</f>
        <v>18394487</v>
      </c>
      <c r="K95" s="8" t="str">
        <f aca="false">TEXT(TRIM(D95),"0")</f>
        <v>11317184613</v>
      </c>
      <c r="L95" s="1" t="str">
        <f aca="false">IF(F95="Revisar","NULL",CONCATENATE("'",TEXT(F95,"yyyy-mm-dd"),"'"))</f>
        <v>'2013-07-15'</v>
      </c>
      <c r="M95" s="9" t="str">
        <f aca="false">IF(G95="Revisar","NULL",CONCATENATE("'",MID(G95,1,1),"'"))</f>
        <v>'F'</v>
      </c>
      <c r="N95" s="9" t="str">
        <f aca="false">IF(H95="Revisar","NULL",CONCATENATE("'",H95,"'"))</f>
        <v>'MARACAIBO'</v>
      </c>
      <c r="O95" s="9" t="str">
        <f aca="false">IF(I95="Revisar","NULL",CONCATENATE("'",I95,"'"))</f>
        <v>'ZU'</v>
      </c>
      <c r="P95" s="1" t="str">
        <f aca="false">"UPDATE estudiantes SET fecha_nacimiento="&amp;L95&amp;", sexo="&amp;M95&amp;", lugar_nacimiento="&amp;N95&amp;", entidad_federal="&amp;O95&amp;" WHERE cedula='"&amp;K95&amp;"';"</f>
        <v>UPDATE estudiantes SET fecha_nacimiento='2013-07-15', sexo='F', lugar_nacimiento='MARACAIBO', entidad_federal='ZU' WHERE cedula='11317184613';</v>
      </c>
    </row>
    <row r="96" customFormat="false" ht="14.9" hidden="false" customHeight="false" outlineLevel="0" collapsed="false">
      <c r="A96" s="1" t="s">
        <v>15</v>
      </c>
      <c r="B96" s="1" t="s">
        <v>16</v>
      </c>
      <c r="C96" s="1" t="s">
        <v>89</v>
      </c>
      <c r="D96" s="1" t="s">
        <v>115</v>
      </c>
      <c r="E96" s="2" t="n">
        <v>45922</v>
      </c>
      <c r="F96" s="2" t="n">
        <f aca="false">IFERROR(VLOOKUP(TRIM($D96), Hoja4_2!$A$2:$L$10000, 4, 0), "Revisar")</f>
        <v>41375</v>
      </c>
      <c r="G96" s="7" t="str">
        <f aca="false">IFERROR(VLOOKUP(TRIM($D96), Hoja4_2!$A$2:$L$10000, 5, 0), "Revisar")</f>
        <v>FEMENINO</v>
      </c>
      <c r="H96" s="7" t="str">
        <f aca="false">IFERROR(VLOOKUP(TRIM($D96), Hoja4_2!$A$2:$L$10000, 7, 0), "Revisar")</f>
        <v>MARACAIBO</v>
      </c>
      <c r="I96" s="7" t="str">
        <f aca="false">IFERROR(VLOOKUP(TRIM($D96), Hoja4_2!$A$2:$L$10000, 9, 0), "Revisar")</f>
        <v>ZU</v>
      </c>
      <c r="J96" s="7" t="str">
        <f aca="false">IFERROR(VLOOKUP(TRIM($D96), Hoja4_2!$A$2:$L$10000, 12, 0), "Revisar")</f>
        <v>19811119</v>
      </c>
      <c r="K96" s="8" t="str">
        <f aca="false">TEXT(TRIM(D96),"0")</f>
        <v>11319811119</v>
      </c>
      <c r="L96" s="1" t="str">
        <f aca="false">IF(F96="Revisar","NULL",CONCATENATE("'",TEXT(F96,"yyyy-mm-dd"),"'"))</f>
        <v>'2013-04-11'</v>
      </c>
      <c r="M96" s="9" t="str">
        <f aca="false">IF(G96="Revisar","NULL",CONCATENATE("'",MID(G96,1,1),"'"))</f>
        <v>'F'</v>
      </c>
      <c r="N96" s="9" t="str">
        <f aca="false">IF(H96="Revisar","NULL",CONCATENATE("'",H96,"'"))</f>
        <v>'MARACAIBO'</v>
      </c>
      <c r="O96" s="9" t="str">
        <f aca="false">IF(I96="Revisar","NULL",CONCATENATE("'",I96,"'"))</f>
        <v>'ZU'</v>
      </c>
      <c r="P96" s="1" t="str">
        <f aca="false">"UPDATE estudiantes SET fecha_nacimiento="&amp;L96&amp;", sexo="&amp;M96&amp;", lugar_nacimiento="&amp;N96&amp;", entidad_federal="&amp;O96&amp;" WHERE cedula='"&amp;K96&amp;"';"</f>
        <v>UPDATE estudiantes SET fecha_nacimiento='2013-04-11', sexo='F', lugar_nacimiento='MARACAIBO', entidad_federal='ZU' WHERE cedula='11319811119';</v>
      </c>
    </row>
    <row r="97" customFormat="false" ht="14.9" hidden="false" customHeight="false" outlineLevel="0" collapsed="false">
      <c r="A97" s="1" t="s">
        <v>15</v>
      </c>
      <c r="B97" s="1" t="s">
        <v>16</v>
      </c>
      <c r="C97" s="1" t="s">
        <v>89</v>
      </c>
      <c r="D97" s="1" t="s">
        <v>116</v>
      </c>
      <c r="E97" s="2" t="n">
        <v>45922</v>
      </c>
      <c r="F97" s="2" t="n">
        <f aca="false">IFERROR(VLOOKUP(TRIM($D97), Hoja4_2!$A$2:$L$10000, 4, 0), "Revisar")</f>
        <v>41309</v>
      </c>
      <c r="G97" s="7" t="str">
        <f aca="false">IFERROR(VLOOKUP(TRIM($D97), Hoja4_2!$A$2:$L$10000, 5, 0), "Revisar")</f>
        <v>FEMENINO</v>
      </c>
      <c r="H97" s="7" t="str">
        <f aca="false">IFERROR(VLOOKUP(TRIM($D97), Hoja4_2!$A$2:$L$10000, 7, 0), "Revisar")</f>
        <v>MARACAIBO</v>
      </c>
      <c r="I97" s="7" t="str">
        <f aca="false">IFERROR(VLOOKUP(TRIM($D97), Hoja4_2!$A$2:$L$10000, 9, 0), "Revisar")</f>
        <v>ZU</v>
      </c>
      <c r="J97" s="7" t="str">
        <f aca="false">IFERROR(VLOOKUP(TRIM($D97), Hoja4_2!$A$2:$L$10000, 12, 0), "Revisar")</f>
        <v>19989239</v>
      </c>
      <c r="K97" s="8" t="str">
        <f aca="false">TEXT(TRIM(D97),"0")</f>
        <v>11319989239</v>
      </c>
      <c r="L97" s="1" t="str">
        <f aca="false">IF(F97="Revisar","NULL",CONCATENATE("'",TEXT(F97,"yyyy-mm-dd"),"'"))</f>
        <v>'2013-02-04'</v>
      </c>
      <c r="M97" s="9" t="str">
        <f aca="false">IF(G97="Revisar","NULL",CONCATENATE("'",MID(G97,1,1),"'"))</f>
        <v>'F'</v>
      </c>
      <c r="N97" s="9" t="str">
        <f aca="false">IF(H97="Revisar","NULL",CONCATENATE("'",H97,"'"))</f>
        <v>'MARACAIBO'</v>
      </c>
      <c r="O97" s="9" t="str">
        <f aca="false">IF(I97="Revisar","NULL",CONCATENATE("'",I97,"'"))</f>
        <v>'ZU'</v>
      </c>
      <c r="P97" s="1" t="str">
        <f aca="false">"UPDATE estudiantes SET fecha_nacimiento="&amp;L97&amp;", sexo="&amp;M97&amp;", lugar_nacimiento="&amp;N97&amp;", entidad_federal="&amp;O97&amp;" WHERE cedula='"&amp;K97&amp;"';"</f>
        <v>UPDATE estudiantes SET fecha_nacimiento='2013-02-04', sexo='F', lugar_nacimiento='MARACAIBO', entidad_federal='ZU' WHERE cedula='11319989239';</v>
      </c>
    </row>
    <row r="98" customFormat="false" ht="14.9" hidden="false" customHeight="false" outlineLevel="0" collapsed="false">
      <c r="A98" s="1" t="s">
        <v>15</v>
      </c>
      <c r="B98" s="1" t="s">
        <v>16</v>
      </c>
      <c r="C98" s="1" t="s">
        <v>89</v>
      </c>
      <c r="D98" s="1" t="s">
        <v>117</v>
      </c>
      <c r="E98" s="2" t="n">
        <v>45922</v>
      </c>
      <c r="F98" s="2" t="n">
        <f aca="false">IFERROR(VLOOKUP(TRIM($D98), Hoja4_2!$A$2:$L$10000, 4, 0), "Revisar")</f>
        <v>41317</v>
      </c>
      <c r="G98" s="7" t="str">
        <f aca="false">IFERROR(VLOOKUP(TRIM($D98), Hoja4_2!$A$2:$L$10000, 5, 0), "Revisar")</f>
        <v>FEMENINO</v>
      </c>
      <c r="H98" s="7" t="str">
        <f aca="false">IFERROR(VLOOKUP(TRIM($D98), Hoja4_2!$A$2:$L$10000, 7, 0), "Revisar")</f>
        <v>JESUS ENRIQUE LOSSADA</v>
      </c>
      <c r="I98" s="7" t="str">
        <f aca="false">IFERROR(VLOOKUP(TRIM($D98), Hoja4_2!$A$2:$L$10000, 9, 0), "Revisar")</f>
        <v>ZU</v>
      </c>
      <c r="J98" s="7" t="str">
        <f aca="false">IFERROR(VLOOKUP(TRIM($D98), Hoja4_2!$A$2:$L$10000, 12, 0), "Revisar")</f>
        <v>20370250</v>
      </c>
      <c r="K98" s="8" t="str">
        <f aca="false">TEXT(TRIM(D98),"0")</f>
        <v>11320370250</v>
      </c>
      <c r="L98" s="1" t="str">
        <f aca="false">IF(F98="Revisar","NULL",CONCATENATE("'",TEXT(F98,"yyyy-mm-dd"),"'"))</f>
        <v>'2013-02-12'</v>
      </c>
      <c r="M98" s="9" t="str">
        <f aca="false">IF(G98="Revisar","NULL",CONCATENATE("'",MID(G98,1,1),"'"))</f>
        <v>'F'</v>
      </c>
      <c r="N98" s="9" t="str">
        <f aca="false">IF(H98="Revisar","NULL",CONCATENATE("'",H98,"'"))</f>
        <v>'JESUS ENRIQUE LOSSADA'</v>
      </c>
      <c r="O98" s="9" t="str">
        <f aca="false">IF(I98="Revisar","NULL",CONCATENATE("'",I98,"'"))</f>
        <v>'ZU'</v>
      </c>
      <c r="P98" s="1" t="str">
        <f aca="false">"UPDATE estudiantes SET fecha_nacimiento="&amp;L98&amp;", sexo="&amp;M98&amp;", lugar_nacimiento="&amp;N98&amp;", entidad_federal="&amp;O98&amp;" WHERE cedula='"&amp;K98&amp;"';"</f>
        <v>UPDATE estudiantes SET fecha_nacimiento='2013-02-12', sexo='F', lugar_nacimiento='JESUS ENRIQUE LOSSADA', entidad_federal='ZU' WHERE cedula='11320370250';</v>
      </c>
    </row>
    <row r="99" customFormat="false" ht="14.9" hidden="false" customHeight="false" outlineLevel="0" collapsed="false">
      <c r="A99" s="1" t="s">
        <v>15</v>
      </c>
      <c r="B99" s="1" t="s">
        <v>16</v>
      </c>
      <c r="C99" s="1" t="s">
        <v>118</v>
      </c>
      <c r="D99" s="1" t="s">
        <v>119</v>
      </c>
      <c r="E99" s="2" t="n">
        <v>45922</v>
      </c>
      <c r="F99" s="2" t="n">
        <f aca="false">IFERROR(VLOOKUP(TRIM($D99), Hoja4_2!$A$2:$L$10000, 4, 0), "Revisar")</f>
        <v>41609</v>
      </c>
      <c r="G99" s="7" t="str">
        <f aca="false">IFERROR(VLOOKUP(TRIM($D99), Hoja4_2!$A$2:$L$10000, 5, 0), "Revisar")</f>
        <v>MASCULINO</v>
      </c>
      <c r="H99" s="7" t="str">
        <f aca="false">IFERROR(VLOOKUP(TRIM($D99), Hoja4_2!$A$2:$L$10000, 7, 0), "Revisar")</f>
        <v>JESUS ENRIQUE LOSSADA</v>
      </c>
      <c r="I99" s="7" t="str">
        <f aca="false">IFERROR(VLOOKUP(TRIM($D99), Hoja4_2!$A$2:$L$10000, 9, 0), "Revisar")</f>
        <v>ZU</v>
      </c>
      <c r="J99" s="7" t="str">
        <f aca="false">IFERROR(VLOOKUP(TRIM($D99), Hoja4_2!$A$2:$L$10000, 12, 0), "Revisar")</f>
        <v>20508742</v>
      </c>
      <c r="K99" s="8" t="str">
        <f aca="false">TEXT(TRIM(D99),"0")</f>
        <v>11320508742</v>
      </c>
      <c r="L99" s="1" t="str">
        <f aca="false">IF(F99="Revisar","NULL",CONCATENATE("'",TEXT(F99,"yyyy-mm-dd"),"'"))</f>
        <v>'2013-12-01'</v>
      </c>
      <c r="M99" s="9" t="str">
        <f aca="false">IF(G99="Revisar","NULL",CONCATENATE("'",MID(G99,1,1),"'"))</f>
        <v>'M'</v>
      </c>
      <c r="N99" s="9" t="str">
        <f aca="false">IF(H99="Revisar","NULL",CONCATENATE("'",H99,"'"))</f>
        <v>'JESUS ENRIQUE LOSSADA'</v>
      </c>
      <c r="O99" s="9" t="str">
        <f aca="false">IF(I99="Revisar","NULL",CONCATENATE("'",I99,"'"))</f>
        <v>'ZU'</v>
      </c>
      <c r="P99" s="1" t="str">
        <f aca="false">"UPDATE estudiantes SET fecha_nacimiento="&amp;L99&amp;", sexo="&amp;M99&amp;", lugar_nacimiento="&amp;N99&amp;", entidad_federal="&amp;O99&amp;" WHERE cedula='"&amp;K99&amp;"';"</f>
        <v>UPDATE estudiantes SET fecha_nacimiento='2013-12-01', sexo='M', lugar_nacimiento='JESUS ENRIQUE LOSSADA', entidad_federal='ZU' WHERE cedula='11320508742';</v>
      </c>
    </row>
    <row r="100" customFormat="false" ht="14.9" hidden="false" customHeight="false" outlineLevel="0" collapsed="false">
      <c r="A100" s="1" t="s">
        <v>15</v>
      </c>
      <c r="B100" s="1" t="s">
        <v>16</v>
      </c>
      <c r="C100" s="1" t="s">
        <v>89</v>
      </c>
      <c r="D100" s="1" t="s">
        <v>120</v>
      </c>
      <c r="E100" s="2" t="n">
        <v>45922</v>
      </c>
      <c r="F100" s="2" t="n">
        <f aca="false">IFERROR(VLOOKUP(TRIM($D100), Hoja4_2!$A$2:$L$10000, 4, 0), "Revisar")</f>
        <v>41507</v>
      </c>
      <c r="G100" s="7" t="str">
        <f aca="false">IFERROR(VLOOKUP(TRIM($D100), Hoja4_2!$A$2:$L$10000, 5, 0), "Revisar")</f>
        <v>FEMENINO</v>
      </c>
      <c r="H100" s="7" t="str">
        <f aca="false">IFERROR(VLOOKUP(TRIM($D100), Hoja4_2!$A$2:$L$10000, 7, 0), "Revisar")</f>
        <v>MARACAIBO</v>
      </c>
      <c r="I100" s="7" t="str">
        <f aca="false">IFERROR(VLOOKUP(TRIM($D100), Hoja4_2!$A$2:$L$10000, 9, 0), "Revisar")</f>
        <v>ZU</v>
      </c>
      <c r="J100" s="7" t="str">
        <f aca="false">IFERROR(VLOOKUP(TRIM($D100), Hoja4_2!$A$2:$L$10000, 12, 0), "Revisar")</f>
        <v>20686046</v>
      </c>
      <c r="K100" s="8" t="str">
        <f aca="false">TEXT(TRIM(D100),"0")</f>
        <v>11320686046</v>
      </c>
      <c r="L100" s="1" t="str">
        <f aca="false">IF(F100="Revisar","NULL",CONCATENATE("'",TEXT(F100,"yyyy-mm-dd"),"'"))</f>
        <v>'2013-08-21'</v>
      </c>
      <c r="M100" s="9" t="str">
        <f aca="false">IF(G100="Revisar","NULL",CONCATENATE("'",MID(G100,1,1),"'"))</f>
        <v>'F'</v>
      </c>
      <c r="N100" s="9" t="str">
        <f aca="false">IF(H100="Revisar","NULL",CONCATENATE("'",H100,"'"))</f>
        <v>'MARACAIBO'</v>
      </c>
      <c r="O100" s="9" t="str">
        <f aca="false">IF(I100="Revisar","NULL",CONCATENATE("'",I100,"'"))</f>
        <v>'ZU'</v>
      </c>
      <c r="P100" s="1" t="str">
        <f aca="false">"UPDATE estudiantes SET fecha_nacimiento="&amp;L100&amp;", sexo="&amp;M100&amp;", lugar_nacimiento="&amp;N100&amp;", entidad_federal="&amp;O100&amp;" WHERE cedula='"&amp;K100&amp;"';"</f>
        <v>UPDATE estudiantes SET fecha_nacimiento='2013-08-21', sexo='F', lugar_nacimiento='MARACAIBO', entidad_federal='ZU' WHERE cedula='11320686046';</v>
      </c>
    </row>
    <row r="101" customFormat="false" ht="14.9" hidden="false" customHeight="false" outlineLevel="0" collapsed="false">
      <c r="A101" s="1" t="s">
        <v>15</v>
      </c>
      <c r="B101" s="1" t="s">
        <v>16</v>
      </c>
      <c r="C101" s="1" t="s">
        <v>89</v>
      </c>
      <c r="D101" s="1" t="s">
        <v>121</v>
      </c>
      <c r="E101" s="2" t="n">
        <v>45922</v>
      </c>
      <c r="F101" s="2" t="n">
        <f aca="false">IFERROR(VLOOKUP(TRIM($D101), Hoja4_2!$A$2:$L$10000, 4, 0), "Revisar")</f>
        <v>41280</v>
      </c>
      <c r="G101" s="7" t="str">
        <f aca="false">IFERROR(VLOOKUP(TRIM($D101), Hoja4_2!$A$2:$L$10000, 5, 0), "Revisar")</f>
        <v>FEMENINO</v>
      </c>
      <c r="H101" s="7" t="str">
        <f aca="false">IFERROR(VLOOKUP(TRIM($D101), Hoja4_2!$A$2:$L$10000, 7, 0), "Revisar")</f>
        <v>MARACAIBO</v>
      </c>
      <c r="I101" s="7" t="str">
        <f aca="false">IFERROR(VLOOKUP(TRIM($D101), Hoja4_2!$A$2:$L$10000, 9, 0), "Revisar")</f>
        <v>ZU</v>
      </c>
      <c r="J101" s="7" t="str">
        <f aca="false">IFERROR(VLOOKUP(TRIM($D101), Hoja4_2!$A$2:$L$10000, 12, 0), "Revisar")</f>
        <v>22141195</v>
      </c>
      <c r="K101" s="8" t="str">
        <f aca="false">TEXT(TRIM(D101),"0")</f>
        <v>11322141195</v>
      </c>
      <c r="L101" s="1" t="str">
        <f aca="false">IF(F101="Revisar","NULL",CONCATENATE("'",TEXT(F101,"yyyy-mm-dd"),"'"))</f>
        <v>'2013-01-06'</v>
      </c>
      <c r="M101" s="9" t="str">
        <f aca="false">IF(G101="Revisar","NULL",CONCATENATE("'",MID(G101,1,1),"'"))</f>
        <v>'F'</v>
      </c>
      <c r="N101" s="9" t="str">
        <f aca="false">IF(H101="Revisar","NULL",CONCATENATE("'",H101,"'"))</f>
        <v>'MARACAIBO'</v>
      </c>
      <c r="O101" s="9" t="str">
        <f aca="false">IF(I101="Revisar","NULL",CONCATENATE("'",I101,"'"))</f>
        <v>'ZU'</v>
      </c>
      <c r="P101" s="1" t="str">
        <f aca="false">"UPDATE estudiantes SET fecha_nacimiento="&amp;L101&amp;", sexo="&amp;M101&amp;", lugar_nacimiento="&amp;N101&amp;", entidad_federal="&amp;O101&amp;" WHERE cedula='"&amp;K101&amp;"';"</f>
        <v>UPDATE estudiantes SET fecha_nacimiento='2013-01-06', sexo='F', lugar_nacimiento='MARACAIBO', entidad_federal='ZU' WHERE cedula='11322141195';</v>
      </c>
    </row>
    <row r="102" customFormat="false" ht="14.9" hidden="false" customHeight="false" outlineLevel="0" collapsed="false">
      <c r="A102" s="1" t="s">
        <v>15</v>
      </c>
      <c r="B102" s="1" t="s">
        <v>16</v>
      </c>
      <c r="C102" s="1" t="s">
        <v>89</v>
      </c>
      <c r="D102" s="1" t="s">
        <v>122</v>
      </c>
      <c r="E102" s="2" t="n">
        <v>45922</v>
      </c>
      <c r="F102" s="2" t="n">
        <f aca="false">IFERROR(VLOOKUP(TRIM($D102), Hoja4_2!$A$2:$L$10000, 4, 0), "Revisar")</f>
        <v>41380</v>
      </c>
      <c r="G102" s="7" t="str">
        <f aca="false">IFERROR(VLOOKUP(TRIM($D102), Hoja4_2!$A$2:$L$10000, 5, 0), "Revisar")</f>
        <v>FEMENINO</v>
      </c>
      <c r="H102" s="7" t="str">
        <f aca="false">IFERROR(VLOOKUP(TRIM($D102), Hoja4_2!$A$2:$L$10000, 7, 0), "Revisar")</f>
        <v>MARACAIBO</v>
      </c>
      <c r="I102" s="7" t="str">
        <f aca="false">IFERROR(VLOOKUP(TRIM($D102), Hoja4_2!$A$2:$L$10000, 9, 0), "Revisar")</f>
        <v>ZU</v>
      </c>
      <c r="J102" s="7" t="str">
        <f aca="false">IFERROR(VLOOKUP(TRIM($D102), Hoja4_2!$A$2:$L$10000, 12, 0), "Revisar")</f>
        <v>22163949</v>
      </c>
      <c r="K102" s="8" t="str">
        <f aca="false">TEXT(TRIM(D102),"0")</f>
        <v>11322163949</v>
      </c>
      <c r="L102" s="1" t="str">
        <f aca="false">IF(F102="Revisar","NULL",CONCATENATE("'",TEXT(F102,"yyyy-mm-dd"),"'"))</f>
        <v>'2013-04-16'</v>
      </c>
      <c r="M102" s="9" t="str">
        <f aca="false">IF(G102="Revisar","NULL",CONCATENATE("'",MID(G102,1,1),"'"))</f>
        <v>'F'</v>
      </c>
      <c r="N102" s="9" t="str">
        <f aca="false">IF(H102="Revisar","NULL",CONCATENATE("'",H102,"'"))</f>
        <v>'MARACAIBO'</v>
      </c>
      <c r="O102" s="9" t="str">
        <f aca="false">IF(I102="Revisar","NULL",CONCATENATE("'",I102,"'"))</f>
        <v>'ZU'</v>
      </c>
      <c r="P102" s="1" t="str">
        <f aca="false">"UPDATE estudiantes SET fecha_nacimiento="&amp;L102&amp;", sexo="&amp;M102&amp;", lugar_nacimiento="&amp;N102&amp;", entidad_federal="&amp;O102&amp;" WHERE cedula='"&amp;K102&amp;"';"</f>
        <v>UPDATE estudiantes SET fecha_nacimiento='2013-04-16', sexo='F', lugar_nacimiento='MARACAIBO', entidad_federal='ZU' WHERE cedula='11322163949';</v>
      </c>
    </row>
    <row r="103" customFormat="false" ht="14.9" hidden="false" customHeight="false" outlineLevel="0" collapsed="false">
      <c r="A103" s="1" t="s">
        <v>15</v>
      </c>
      <c r="B103" s="1" t="s">
        <v>16</v>
      </c>
      <c r="C103" s="1" t="s">
        <v>89</v>
      </c>
      <c r="D103" s="1" t="s">
        <v>123</v>
      </c>
      <c r="E103" s="2" t="n">
        <v>45922</v>
      </c>
      <c r="F103" s="2" t="n">
        <f aca="false">IFERROR(VLOOKUP(TRIM($D103), Hoja4_2!$A$2:$L$10000, 4, 0), "Revisar")</f>
        <v>41461</v>
      </c>
      <c r="G103" s="7" t="str">
        <f aca="false">IFERROR(VLOOKUP(TRIM($D103), Hoja4_2!$A$2:$L$10000, 5, 0), "Revisar")</f>
        <v>FEMENINO</v>
      </c>
      <c r="H103" s="7" t="str">
        <f aca="false">IFERROR(VLOOKUP(TRIM($D103), Hoja4_2!$A$2:$L$10000, 7, 0), "Revisar")</f>
        <v>MARACAIBO</v>
      </c>
      <c r="I103" s="7" t="str">
        <f aca="false">IFERROR(VLOOKUP(TRIM($D103), Hoja4_2!$A$2:$L$10000, 9, 0), "Revisar")</f>
        <v>ZU</v>
      </c>
      <c r="J103" s="7" t="str">
        <f aca="false">IFERROR(VLOOKUP(TRIM($D103), Hoja4_2!$A$2:$L$10000, 12, 0), "Revisar")</f>
        <v>19988757</v>
      </c>
      <c r="K103" s="8" t="str">
        <f aca="false">TEXT(TRIM(D103),"0")</f>
        <v>11326872780</v>
      </c>
      <c r="L103" s="1" t="str">
        <f aca="false">IF(F103="Revisar","NULL",CONCATENATE("'",TEXT(F103,"yyyy-mm-dd"),"'"))</f>
        <v>'2013-07-06'</v>
      </c>
      <c r="M103" s="9" t="str">
        <f aca="false">IF(G103="Revisar","NULL",CONCATENATE("'",MID(G103,1,1),"'"))</f>
        <v>'F'</v>
      </c>
      <c r="N103" s="9" t="str">
        <f aca="false">IF(H103="Revisar","NULL",CONCATENATE("'",H103,"'"))</f>
        <v>'MARACAIBO'</v>
      </c>
      <c r="O103" s="9" t="str">
        <f aca="false">IF(I103="Revisar","NULL",CONCATENATE("'",I103,"'"))</f>
        <v>'ZU'</v>
      </c>
      <c r="P103" s="1" t="str">
        <f aca="false">"UPDATE estudiantes SET fecha_nacimiento="&amp;L103&amp;", sexo="&amp;M103&amp;", lugar_nacimiento="&amp;N103&amp;", entidad_federal="&amp;O103&amp;" WHERE cedula='"&amp;K103&amp;"';"</f>
        <v>UPDATE estudiantes SET fecha_nacimiento='2013-07-06', sexo='F', lugar_nacimiento='MARACAIBO', entidad_federal='ZU' WHERE cedula='11326872780';</v>
      </c>
    </row>
    <row r="104" customFormat="false" ht="14.9" hidden="false" customHeight="false" outlineLevel="0" collapsed="false">
      <c r="A104" s="1" t="s">
        <v>15</v>
      </c>
      <c r="B104" s="1" t="s">
        <v>16</v>
      </c>
      <c r="C104" s="1" t="s">
        <v>89</v>
      </c>
      <c r="D104" s="1" t="s">
        <v>124</v>
      </c>
      <c r="E104" s="2" t="n">
        <v>45922</v>
      </c>
      <c r="F104" s="2" t="n">
        <f aca="false">IFERROR(VLOOKUP(TRIM($D104), Hoja4_2!$A$2:$L$10000, 4, 0), "Revisar")</f>
        <v>41709</v>
      </c>
      <c r="G104" s="7" t="str">
        <f aca="false">IFERROR(VLOOKUP(TRIM($D104), Hoja4_2!$A$2:$L$10000, 5, 0), "Revisar")</f>
        <v>FEMENINO</v>
      </c>
      <c r="H104" s="7" t="str">
        <f aca="false">IFERROR(VLOOKUP(TRIM($D104), Hoja4_2!$A$2:$L$10000, 7, 0), "Revisar")</f>
        <v>MARACAIBO</v>
      </c>
      <c r="I104" s="7" t="str">
        <f aca="false">IFERROR(VLOOKUP(TRIM($D104), Hoja4_2!$A$2:$L$10000, 9, 0), "Revisar")</f>
        <v>ZU</v>
      </c>
      <c r="J104" s="7" t="str">
        <f aca="false">IFERROR(VLOOKUP(TRIM($D104), Hoja4_2!$A$2:$L$10000, 12, 0), "Revisar")</f>
        <v>11287577</v>
      </c>
      <c r="K104" s="8" t="str">
        <f aca="false">TEXT(TRIM(D104),"0")</f>
        <v>11411287577</v>
      </c>
      <c r="L104" s="1" t="str">
        <f aca="false">IF(F104="Revisar","NULL",CONCATENATE("'",TEXT(F104,"yyyy-mm-dd"),"'"))</f>
        <v>'2014-03-11'</v>
      </c>
      <c r="M104" s="9" t="str">
        <f aca="false">IF(G104="Revisar","NULL",CONCATENATE("'",MID(G104,1,1),"'"))</f>
        <v>'F'</v>
      </c>
      <c r="N104" s="9" t="str">
        <f aca="false">IF(H104="Revisar","NULL",CONCATENATE("'",H104,"'"))</f>
        <v>'MARACAIBO'</v>
      </c>
      <c r="O104" s="9" t="str">
        <f aca="false">IF(I104="Revisar","NULL",CONCATENATE("'",I104,"'"))</f>
        <v>'ZU'</v>
      </c>
      <c r="P104" s="1" t="str">
        <f aca="false">"UPDATE estudiantes SET fecha_nacimiento="&amp;L104&amp;", sexo="&amp;M104&amp;", lugar_nacimiento="&amp;N104&amp;", entidad_federal="&amp;O104&amp;" WHERE cedula='"&amp;K104&amp;"';"</f>
        <v>UPDATE estudiantes SET fecha_nacimiento='2014-03-11', sexo='F', lugar_nacimiento='MARACAIBO', entidad_federal='ZU' WHERE cedula='11411287577';</v>
      </c>
    </row>
    <row r="105" customFormat="false" ht="14.9" hidden="false" customHeight="false" outlineLevel="0" collapsed="false">
      <c r="A105" s="1" t="s">
        <v>15</v>
      </c>
      <c r="B105" s="1" t="s">
        <v>16</v>
      </c>
      <c r="C105" s="1" t="s">
        <v>89</v>
      </c>
      <c r="D105" s="1" t="s">
        <v>125</v>
      </c>
      <c r="E105" s="2" t="n">
        <v>45922</v>
      </c>
      <c r="F105" s="2" t="n">
        <f aca="false">IFERROR(VLOOKUP(TRIM($D105), Hoja4_2!$A$2:$L$10000, 4, 0), "Revisar")</f>
        <v>41696</v>
      </c>
      <c r="G105" s="7" t="str">
        <f aca="false">IFERROR(VLOOKUP(TRIM($D105), Hoja4_2!$A$2:$L$10000, 5, 0), "Revisar")</f>
        <v>FEMENINO</v>
      </c>
      <c r="H105" s="7" t="str">
        <f aca="false">IFERROR(VLOOKUP(TRIM($D105), Hoja4_2!$A$2:$L$10000, 7, 0), "Revisar")</f>
        <v>MARACAIBO</v>
      </c>
      <c r="I105" s="7" t="str">
        <f aca="false">IFERROR(VLOOKUP(TRIM($D105), Hoja4_2!$A$2:$L$10000, 9, 0), "Revisar")</f>
        <v>ZU</v>
      </c>
      <c r="J105" s="7" t="str">
        <f aca="false">IFERROR(VLOOKUP(TRIM($D105), Hoja4_2!$A$2:$L$10000, 12, 0), "Revisar")</f>
        <v>15889860</v>
      </c>
      <c r="K105" s="8" t="str">
        <f aca="false">TEXT(TRIM(D105),"0")</f>
        <v>11415889860</v>
      </c>
      <c r="L105" s="1" t="str">
        <f aca="false">IF(F105="Revisar","NULL",CONCATENATE("'",TEXT(F105,"yyyy-mm-dd"),"'"))</f>
        <v>'2014-02-26'</v>
      </c>
      <c r="M105" s="9" t="str">
        <f aca="false">IF(G105="Revisar","NULL",CONCATENATE("'",MID(G105,1,1),"'"))</f>
        <v>'F'</v>
      </c>
      <c r="N105" s="9" t="str">
        <f aca="false">IF(H105="Revisar","NULL",CONCATENATE("'",H105,"'"))</f>
        <v>'MARACAIBO'</v>
      </c>
      <c r="O105" s="9" t="str">
        <f aca="false">IF(I105="Revisar","NULL",CONCATENATE("'",I105,"'"))</f>
        <v>'ZU'</v>
      </c>
      <c r="P105" s="1" t="str">
        <f aca="false">"UPDATE estudiantes SET fecha_nacimiento="&amp;L105&amp;", sexo="&amp;M105&amp;", lugar_nacimiento="&amp;N105&amp;", entidad_federal="&amp;O105&amp;" WHERE cedula='"&amp;K105&amp;"';"</f>
        <v>UPDATE estudiantes SET fecha_nacimiento='2014-02-26', sexo='F', lugar_nacimiento='MARACAIBO', entidad_federal='ZU' WHERE cedula='11415889860';</v>
      </c>
    </row>
    <row r="106" customFormat="false" ht="14.9" hidden="false" customHeight="false" outlineLevel="0" collapsed="false">
      <c r="A106" s="1" t="s">
        <v>15</v>
      </c>
      <c r="B106" s="1" t="s">
        <v>16</v>
      </c>
      <c r="C106" s="1" t="s">
        <v>89</v>
      </c>
      <c r="D106" s="1" t="s">
        <v>126</v>
      </c>
      <c r="E106" s="2" t="n">
        <v>45922</v>
      </c>
      <c r="F106" s="2" t="n">
        <f aca="false">IFERROR(VLOOKUP(TRIM($D106), Hoja4_2!$A$2:$L$10000, 4, 0), "Revisar")</f>
        <v>41674</v>
      </c>
      <c r="G106" s="7" t="str">
        <f aca="false">IFERROR(VLOOKUP(TRIM($D106), Hoja4_2!$A$2:$L$10000, 5, 0), "Revisar")</f>
        <v>FEMENINO</v>
      </c>
      <c r="H106" s="7" t="str">
        <f aca="false">IFERROR(VLOOKUP(TRIM($D106), Hoja4_2!$A$2:$L$10000, 7, 0), "Revisar")</f>
        <v>JESUS ENRIQUE LOSSADA</v>
      </c>
      <c r="I106" s="7" t="str">
        <f aca="false">IFERROR(VLOOKUP(TRIM($D106), Hoja4_2!$A$2:$L$10000, 9, 0), "Revisar")</f>
        <v>ZU</v>
      </c>
      <c r="J106" s="7" t="str">
        <f aca="false">IFERROR(VLOOKUP(TRIM($D106), Hoja4_2!$A$2:$L$10000, 12, 0), "Revisar")</f>
        <v>18394487</v>
      </c>
      <c r="K106" s="8" t="str">
        <f aca="false">TEXT(TRIM(D106),"0")</f>
        <v>11418394487</v>
      </c>
      <c r="L106" s="1" t="str">
        <f aca="false">IF(F106="Revisar","NULL",CONCATENATE("'",TEXT(F106,"yyyy-mm-dd"),"'"))</f>
        <v>'2014-02-04'</v>
      </c>
      <c r="M106" s="9" t="str">
        <f aca="false">IF(G106="Revisar","NULL",CONCATENATE("'",MID(G106,1,1),"'"))</f>
        <v>'F'</v>
      </c>
      <c r="N106" s="9" t="str">
        <f aca="false">IF(H106="Revisar","NULL",CONCATENATE("'",H106,"'"))</f>
        <v>'JESUS ENRIQUE LOSSADA'</v>
      </c>
      <c r="O106" s="9" t="str">
        <f aca="false">IF(I106="Revisar","NULL",CONCATENATE("'",I106,"'"))</f>
        <v>'ZU'</v>
      </c>
      <c r="P106" s="1" t="str">
        <f aca="false">"UPDATE estudiantes SET fecha_nacimiento="&amp;L106&amp;", sexo="&amp;M106&amp;", lugar_nacimiento="&amp;N106&amp;", entidad_federal="&amp;O106&amp;" WHERE cedula='"&amp;K106&amp;"';"</f>
        <v>UPDATE estudiantes SET fecha_nacimiento='2014-02-04', sexo='F', lugar_nacimiento='JESUS ENRIQUE LOSSADA', entidad_federal='ZU' WHERE cedula='11418394487';</v>
      </c>
    </row>
    <row r="107" customFormat="false" ht="14.9" hidden="false" customHeight="false" outlineLevel="0" collapsed="false">
      <c r="A107" s="1" t="s">
        <v>15</v>
      </c>
      <c r="B107" s="1" t="s">
        <v>16</v>
      </c>
      <c r="C107" s="1" t="s">
        <v>89</v>
      </c>
      <c r="D107" s="1" t="s">
        <v>127</v>
      </c>
      <c r="E107" s="2" t="n">
        <v>45922</v>
      </c>
      <c r="F107" s="2" t="n">
        <f aca="false">IFERROR(VLOOKUP(TRIM($D107), Hoja4_2!$A$2:$L$10000, 4, 0), "Revisar")</f>
        <v>41976</v>
      </c>
      <c r="G107" s="7" t="str">
        <f aca="false">IFERROR(VLOOKUP(TRIM($D107), Hoja4_2!$A$2:$L$10000, 5, 0), "Revisar")</f>
        <v>FEMENINO</v>
      </c>
      <c r="H107" s="7" t="str">
        <f aca="false">IFERROR(VLOOKUP(TRIM($D107), Hoja4_2!$A$2:$L$10000, 7, 0), "Revisar")</f>
        <v>SAN FRANCISCO</v>
      </c>
      <c r="I107" s="7" t="str">
        <f aca="false">IFERROR(VLOOKUP(TRIM($D107), Hoja4_2!$A$2:$L$10000, 9, 0), "Revisar")</f>
        <v>ZU</v>
      </c>
      <c r="J107" s="7" t="str">
        <f aca="false">IFERROR(VLOOKUP(TRIM($D107), Hoja4_2!$A$2:$L$10000, 12, 0), "Revisar")</f>
        <v>21510257</v>
      </c>
      <c r="K107" s="8" t="str">
        <f aca="false">TEXT(TRIM(D107),"0")</f>
        <v>11421510257</v>
      </c>
      <c r="L107" s="1" t="str">
        <f aca="false">IF(F107="Revisar","NULL",CONCATENATE("'",TEXT(F107,"yyyy-mm-dd"),"'"))</f>
        <v>'2014-12-03'</v>
      </c>
      <c r="M107" s="9" t="str">
        <f aca="false">IF(G107="Revisar","NULL",CONCATENATE("'",MID(G107,1,1),"'"))</f>
        <v>'F'</v>
      </c>
      <c r="N107" s="9" t="str">
        <f aca="false">IF(H107="Revisar","NULL",CONCATENATE("'",H107,"'"))</f>
        <v>'SAN FRANCISCO'</v>
      </c>
      <c r="O107" s="9" t="str">
        <f aca="false">IF(I107="Revisar","NULL",CONCATENATE("'",I107,"'"))</f>
        <v>'ZU'</v>
      </c>
      <c r="P107" s="1" t="str">
        <f aca="false">"UPDATE estudiantes SET fecha_nacimiento="&amp;L107&amp;", sexo="&amp;M107&amp;", lugar_nacimiento="&amp;N107&amp;", entidad_federal="&amp;O107&amp;" WHERE cedula='"&amp;K107&amp;"';"</f>
        <v>UPDATE estudiantes SET fecha_nacimiento='2014-12-03', sexo='F', lugar_nacimiento='SAN FRANCISCO', entidad_federal='ZU' WHERE cedula='11421510257';</v>
      </c>
    </row>
    <row r="108" customFormat="false" ht="14.9" hidden="false" customHeight="false" outlineLevel="0" collapsed="false">
      <c r="A108" s="1" t="s">
        <v>15</v>
      </c>
      <c r="B108" s="1" t="s">
        <v>16</v>
      </c>
      <c r="C108" s="1" t="s">
        <v>89</v>
      </c>
      <c r="D108" s="1" t="s">
        <v>128</v>
      </c>
      <c r="E108" s="2" t="n">
        <v>45922</v>
      </c>
      <c r="F108" s="2" t="n">
        <f aca="false">IFERROR(VLOOKUP(TRIM($D108), Hoja4_2!$A$2:$L$10000, 4, 0), "Revisar")</f>
        <v>41651</v>
      </c>
      <c r="G108" s="7" t="str">
        <f aca="false">IFERROR(VLOOKUP(TRIM($D108), Hoja4_2!$A$2:$L$10000, 5, 0), "Revisar")</f>
        <v>MASCULINO</v>
      </c>
      <c r="H108" s="7" t="str">
        <f aca="false">IFERROR(VLOOKUP(TRIM($D108), Hoja4_2!$A$2:$L$10000, 7, 0), "Revisar")</f>
        <v>MARACAIBO</v>
      </c>
      <c r="I108" s="7" t="str">
        <f aca="false">IFERROR(VLOOKUP(TRIM($D108), Hoja4_2!$A$2:$L$10000, 9, 0), "Revisar")</f>
        <v>ZU</v>
      </c>
      <c r="J108" s="7" t="str">
        <f aca="false">IFERROR(VLOOKUP(TRIM($D108), Hoja4_2!$A$2:$L$10000, 12, 0), "Revisar")</f>
        <v>14458986</v>
      </c>
      <c r="K108" s="8" t="str">
        <f aca="false">TEXT(TRIM(D108),"0")</f>
        <v>11423856225</v>
      </c>
      <c r="L108" s="1" t="str">
        <f aca="false">IF(F108="Revisar","NULL",CONCATENATE("'",TEXT(F108,"yyyy-mm-dd"),"'"))</f>
        <v>'2014-01-12'</v>
      </c>
      <c r="M108" s="9" t="str">
        <f aca="false">IF(G108="Revisar","NULL",CONCATENATE("'",MID(G108,1,1),"'"))</f>
        <v>'M'</v>
      </c>
      <c r="N108" s="9" t="str">
        <f aca="false">IF(H108="Revisar","NULL",CONCATENATE("'",H108,"'"))</f>
        <v>'MARACAIBO'</v>
      </c>
      <c r="O108" s="9" t="str">
        <f aca="false">IF(I108="Revisar","NULL",CONCATENATE("'",I108,"'"))</f>
        <v>'ZU'</v>
      </c>
      <c r="P108" s="1" t="str">
        <f aca="false">"UPDATE estudiantes SET fecha_nacimiento="&amp;L108&amp;", sexo="&amp;M108&amp;", lugar_nacimiento="&amp;N108&amp;", entidad_federal="&amp;O108&amp;" WHERE cedula='"&amp;K108&amp;"';"</f>
        <v>UPDATE estudiantes SET fecha_nacimiento='2014-01-12', sexo='M', lugar_nacimiento='MARACAIBO', entidad_federal='ZU' WHERE cedula='11423856225';</v>
      </c>
    </row>
    <row r="109" customFormat="false" ht="14.9" hidden="false" customHeight="false" outlineLevel="0" collapsed="false">
      <c r="A109" s="1" t="s">
        <v>15</v>
      </c>
      <c r="B109" s="1" t="s">
        <v>16</v>
      </c>
      <c r="C109" s="1" t="s">
        <v>129</v>
      </c>
      <c r="D109" s="1" t="s">
        <v>130</v>
      </c>
      <c r="E109" s="2" t="n">
        <v>45923</v>
      </c>
      <c r="F109" s="2" t="n">
        <f aca="false">IFERROR(VLOOKUP(TRIM($D109), Hoja4_2!$A$2:$L$10000, 4, 0), "Revisar")</f>
        <v>40785</v>
      </c>
      <c r="G109" s="7" t="str">
        <f aca="false">IFERROR(VLOOKUP(TRIM($D109), Hoja4_2!$A$2:$L$10000, 5, 0), "Revisar")</f>
        <v>MASCULINO</v>
      </c>
      <c r="H109" s="7" t="str">
        <f aca="false">IFERROR(VLOOKUP(TRIM($D109), Hoja4_2!$A$2:$L$10000, 7, 0), "Revisar")</f>
        <v>MARACAIBO</v>
      </c>
      <c r="I109" s="7" t="str">
        <f aca="false">IFERROR(VLOOKUP(TRIM($D109), Hoja4_2!$A$2:$L$10000, 9, 0), "Revisar")</f>
        <v>ZU</v>
      </c>
      <c r="J109" s="7" t="str">
        <f aca="false">IFERROR(VLOOKUP(TRIM($D109), Hoja4_2!$A$2:$L$10000, 12, 0), "Revisar")</f>
        <v>16687079</v>
      </c>
      <c r="K109" s="8" t="str">
        <f aca="false">TEXT(TRIM(D109),"0")</f>
        <v>34627849</v>
      </c>
      <c r="L109" s="1" t="str">
        <f aca="false">IF(F109="Revisar","NULL",CONCATENATE("'",TEXT(F109,"yyyy-mm-dd"),"'"))</f>
        <v>'2011-08-30'</v>
      </c>
      <c r="M109" s="9" t="str">
        <f aca="false">IF(G109="Revisar","NULL",CONCATENATE("'",MID(G109,1,1),"'"))</f>
        <v>'M'</v>
      </c>
      <c r="N109" s="9" t="str">
        <f aca="false">IF(H109="Revisar","NULL",CONCATENATE("'",H109,"'"))</f>
        <v>'MARACAIBO'</v>
      </c>
      <c r="O109" s="9" t="str">
        <f aca="false">IF(I109="Revisar","NULL",CONCATENATE("'",I109,"'"))</f>
        <v>'ZU'</v>
      </c>
      <c r="P109" s="1" t="str">
        <f aca="false">"UPDATE estudiantes SET fecha_nacimiento="&amp;L109&amp;", sexo="&amp;M109&amp;", lugar_nacimiento="&amp;N109&amp;", entidad_federal="&amp;O109&amp;" WHERE cedula='"&amp;K109&amp;"';"</f>
        <v>UPDATE estudiantes SET fecha_nacimiento='2011-08-30', sexo='M', lugar_nacimiento='MARACAIBO', entidad_federal='ZU' WHERE cedula='34627849';</v>
      </c>
    </row>
    <row r="110" customFormat="false" ht="14.9" hidden="false" customHeight="false" outlineLevel="0" collapsed="false">
      <c r="A110" s="1" t="s">
        <v>15</v>
      </c>
      <c r="B110" s="1" t="s">
        <v>16</v>
      </c>
      <c r="C110" s="1" t="s">
        <v>129</v>
      </c>
      <c r="D110" s="1" t="s">
        <v>131</v>
      </c>
      <c r="E110" s="2" t="n">
        <v>45923</v>
      </c>
      <c r="F110" s="2" t="n">
        <f aca="false">IFERROR(VLOOKUP(TRIM($D110), Hoja4_2!$A$2:$L$10000, 4, 0), "Revisar")</f>
        <v>41393</v>
      </c>
      <c r="G110" s="7" t="str">
        <f aca="false">IFERROR(VLOOKUP(TRIM($D110), Hoja4_2!$A$2:$L$10000, 5, 0), "Revisar")</f>
        <v>FEMENINO</v>
      </c>
      <c r="H110" s="7" t="str">
        <f aca="false">IFERROR(VLOOKUP(TRIM($D110), Hoja4_2!$A$2:$L$10000, 7, 0), "Revisar")</f>
        <v>MARACAIBO</v>
      </c>
      <c r="I110" s="7" t="str">
        <f aca="false">IFERROR(VLOOKUP(TRIM($D110), Hoja4_2!$A$2:$L$10000, 9, 0), "Revisar")</f>
        <v>ZU</v>
      </c>
      <c r="J110" s="7" t="str">
        <f aca="false">IFERROR(VLOOKUP(TRIM($D110), Hoja4_2!$A$2:$L$10000, 12, 0), "Revisar")</f>
        <v>19810644</v>
      </c>
      <c r="K110" s="8" t="str">
        <f aca="false">TEXT(TRIM(D110),"0")</f>
        <v>34721138</v>
      </c>
      <c r="L110" s="1" t="str">
        <f aca="false">IF(F110="Revisar","NULL",CONCATENATE("'",TEXT(F110,"yyyy-mm-dd"),"'"))</f>
        <v>'2013-04-29'</v>
      </c>
      <c r="M110" s="9" t="str">
        <f aca="false">IF(G110="Revisar","NULL",CONCATENATE("'",MID(G110,1,1),"'"))</f>
        <v>'F'</v>
      </c>
      <c r="N110" s="9" t="str">
        <f aca="false">IF(H110="Revisar","NULL",CONCATENATE("'",H110,"'"))</f>
        <v>'MARACAIBO'</v>
      </c>
      <c r="O110" s="9" t="str">
        <f aca="false">IF(I110="Revisar","NULL",CONCATENATE("'",I110,"'"))</f>
        <v>'ZU'</v>
      </c>
      <c r="P110" s="1" t="str">
        <f aca="false">"UPDATE estudiantes SET fecha_nacimiento="&amp;L110&amp;", sexo="&amp;M110&amp;", lugar_nacimiento="&amp;N110&amp;", entidad_federal="&amp;O110&amp;" WHERE cedula='"&amp;K110&amp;"';"</f>
        <v>UPDATE estudiantes SET fecha_nacimiento='2013-04-29', sexo='F', lugar_nacimiento='MARACAIBO', entidad_federal='ZU' WHERE cedula='34721138';</v>
      </c>
    </row>
    <row r="111" customFormat="false" ht="14.9" hidden="false" customHeight="false" outlineLevel="0" collapsed="false">
      <c r="A111" s="1" t="s">
        <v>15</v>
      </c>
      <c r="B111" s="1" t="s">
        <v>16</v>
      </c>
      <c r="C111" s="1" t="s">
        <v>129</v>
      </c>
      <c r="D111" s="1" t="s">
        <v>132</v>
      </c>
      <c r="E111" s="2" t="n">
        <v>45923</v>
      </c>
      <c r="F111" s="2" t="n">
        <f aca="false">IFERROR(VLOOKUP(TRIM($D111), Hoja4_2!$A$2:$L$10000, 4, 0), "Revisar")</f>
        <v>41203</v>
      </c>
      <c r="G111" s="7" t="str">
        <f aca="false">IFERROR(VLOOKUP(TRIM($D111), Hoja4_2!$A$2:$L$10000, 5, 0), "Revisar")</f>
        <v>FEMENINO</v>
      </c>
      <c r="H111" s="7" t="str">
        <f aca="false">IFERROR(VLOOKUP(TRIM($D111), Hoja4_2!$A$2:$L$10000, 7, 0), "Revisar")</f>
        <v>SAN FRANCISCO</v>
      </c>
      <c r="I111" s="7" t="str">
        <f aca="false">IFERROR(VLOOKUP(TRIM($D111), Hoja4_2!$A$2:$L$10000, 9, 0), "Revisar")</f>
        <v>ZU</v>
      </c>
      <c r="J111" s="7" t="str">
        <f aca="false">IFERROR(VLOOKUP(TRIM($D111), Hoja4_2!$A$2:$L$10000, 12, 0), "Revisar")</f>
        <v>09742152</v>
      </c>
      <c r="K111" s="8" t="str">
        <f aca="false">TEXT(TRIM(D111),"0")</f>
        <v>34740637</v>
      </c>
      <c r="L111" s="1" t="str">
        <f aca="false">IF(F111="Revisar","NULL",CONCATENATE("'",TEXT(F111,"yyyy-mm-dd"),"'"))</f>
        <v>'2012-10-21'</v>
      </c>
      <c r="M111" s="9" t="str">
        <f aca="false">IF(G111="Revisar","NULL",CONCATENATE("'",MID(G111,1,1),"'"))</f>
        <v>'F'</v>
      </c>
      <c r="N111" s="9" t="str">
        <f aca="false">IF(H111="Revisar","NULL",CONCATENATE("'",H111,"'"))</f>
        <v>'SAN FRANCISCO'</v>
      </c>
      <c r="O111" s="9" t="str">
        <f aca="false">IF(I111="Revisar","NULL",CONCATENATE("'",I111,"'"))</f>
        <v>'ZU'</v>
      </c>
      <c r="P111" s="1" t="str">
        <f aca="false">"UPDATE estudiantes SET fecha_nacimiento="&amp;L111&amp;", sexo="&amp;M111&amp;", lugar_nacimiento="&amp;N111&amp;", entidad_federal="&amp;O111&amp;" WHERE cedula='"&amp;K111&amp;"';"</f>
        <v>UPDATE estudiantes SET fecha_nacimiento='2012-10-21', sexo='F', lugar_nacimiento='SAN FRANCISCO', entidad_federal='ZU' WHERE cedula='34740637';</v>
      </c>
    </row>
    <row r="112" customFormat="false" ht="14.9" hidden="false" customHeight="false" outlineLevel="0" collapsed="false">
      <c r="A112" s="1" t="s">
        <v>15</v>
      </c>
      <c r="B112" s="1" t="s">
        <v>16</v>
      </c>
      <c r="C112" s="1" t="s">
        <v>129</v>
      </c>
      <c r="D112" s="1" t="s">
        <v>133</v>
      </c>
      <c r="E112" s="2" t="n">
        <v>45923</v>
      </c>
      <c r="F112" s="2" t="n">
        <f aca="false">IFERROR(VLOOKUP(TRIM($D112), Hoja4_2!$A$2:$L$10000, 4, 0), "Revisar")</f>
        <v>41519</v>
      </c>
      <c r="G112" s="7" t="str">
        <f aca="false">IFERROR(VLOOKUP(TRIM($D112), Hoja4_2!$A$2:$L$10000, 5, 0), "Revisar")</f>
        <v>FEMENINO</v>
      </c>
      <c r="H112" s="7" t="str">
        <f aca="false">IFERROR(VLOOKUP(TRIM($D112), Hoja4_2!$A$2:$L$10000, 7, 0), "Revisar")</f>
        <v>MARACAIBO</v>
      </c>
      <c r="I112" s="7" t="str">
        <f aca="false">IFERROR(VLOOKUP(TRIM($D112), Hoja4_2!$A$2:$L$10000, 9, 0), "Revisar")</f>
        <v>ZU</v>
      </c>
      <c r="J112" s="7" t="str">
        <f aca="false">IFERROR(VLOOKUP(TRIM($D112), Hoja4_2!$A$2:$L$10000, 12, 0), "Revisar")</f>
        <v>23466543</v>
      </c>
      <c r="K112" s="8" t="str">
        <f aca="false">TEXT(TRIM(D112),"0")</f>
        <v>34883166</v>
      </c>
      <c r="L112" s="1" t="str">
        <f aca="false">IF(F112="Revisar","NULL",CONCATENATE("'",TEXT(F112,"yyyy-mm-dd"),"'"))</f>
        <v>'2013-09-02'</v>
      </c>
      <c r="M112" s="9" t="str">
        <f aca="false">IF(G112="Revisar","NULL",CONCATENATE("'",MID(G112,1,1),"'"))</f>
        <v>'F'</v>
      </c>
      <c r="N112" s="9" t="str">
        <f aca="false">IF(H112="Revisar","NULL",CONCATENATE("'",H112,"'"))</f>
        <v>'MARACAIBO'</v>
      </c>
      <c r="O112" s="9" t="str">
        <f aca="false">IF(I112="Revisar","NULL",CONCATENATE("'",I112,"'"))</f>
        <v>'ZU'</v>
      </c>
      <c r="P112" s="1" t="str">
        <f aca="false">"UPDATE estudiantes SET fecha_nacimiento="&amp;L112&amp;", sexo="&amp;M112&amp;", lugar_nacimiento="&amp;N112&amp;", entidad_federal="&amp;O112&amp;" WHERE cedula='"&amp;K112&amp;"';"</f>
        <v>UPDATE estudiantes SET fecha_nacimiento='2013-09-02', sexo='F', lugar_nacimiento='MARACAIBO', entidad_federal='ZU' WHERE cedula='34883166';</v>
      </c>
    </row>
    <row r="113" customFormat="false" ht="14.9" hidden="false" customHeight="false" outlineLevel="0" collapsed="false">
      <c r="A113" s="1" t="s">
        <v>15</v>
      </c>
      <c r="B113" s="1" t="s">
        <v>16</v>
      </c>
      <c r="C113" s="1" t="s">
        <v>129</v>
      </c>
      <c r="D113" s="1" t="s">
        <v>134</v>
      </c>
      <c r="E113" s="2" t="n">
        <v>45923</v>
      </c>
      <c r="F113" s="2" t="n">
        <f aca="false">IFERROR(VLOOKUP(TRIM($D113), Hoja4_2!$A$2:$L$10000, 4, 0), "Revisar")</f>
        <v>40975</v>
      </c>
      <c r="G113" s="7" t="str">
        <f aca="false">IFERROR(VLOOKUP(TRIM($D113), Hoja4_2!$A$2:$L$10000, 5, 0), "Revisar")</f>
        <v>FEMENINO</v>
      </c>
      <c r="H113" s="7" t="str">
        <f aca="false">IFERROR(VLOOKUP(TRIM($D113), Hoja4_2!$A$2:$L$10000, 7, 0), "Revisar")</f>
        <v>MARACAIBO</v>
      </c>
      <c r="I113" s="7" t="str">
        <f aca="false">IFERROR(VLOOKUP(TRIM($D113), Hoja4_2!$A$2:$L$10000, 9, 0), "Revisar")</f>
        <v>ZU</v>
      </c>
      <c r="J113" s="7" t="str">
        <f aca="false">IFERROR(VLOOKUP(TRIM($D113), Hoja4_2!$A$2:$L$10000, 12, 0), "Revisar")</f>
        <v>18283604</v>
      </c>
      <c r="K113" s="8" t="str">
        <f aca="false">TEXT(TRIM(D113),"0")</f>
        <v>36309036</v>
      </c>
      <c r="L113" s="1" t="str">
        <f aca="false">IF(F113="Revisar","NULL",CONCATENATE("'",TEXT(F113,"yyyy-mm-dd"),"'"))</f>
        <v>'2012-03-07'</v>
      </c>
      <c r="M113" s="9" t="str">
        <f aca="false">IF(G113="Revisar","NULL",CONCATENATE("'",MID(G113,1,1),"'"))</f>
        <v>'F'</v>
      </c>
      <c r="N113" s="9" t="str">
        <f aca="false">IF(H113="Revisar","NULL",CONCATENATE("'",H113,"'"))</f>
        <v>'MARACAIBO'</v>
      </c>
      <c r="O113" s="9" t="str">
        <f aca="false">IF(I113="Revisar","NULL",CONCATENATE("'",I113,"'"))</f>
        <v>'ZU'</v>
      </c>
      <c r="P113" s="1" t="str">
        <f aca="false">"UPDATE estudiantes SET fecha_nacimiento="&amp;L113&amp;", sexo="&amp;M113&amp;", lugar_nacimiento="&amp;N113&amp;", entidad_federal="&amp;O113&amp;" WHERE cedula='"&amp;K113&amp;"';"</f>
        <v>UPDATE estudiantes SET fecha_nacimiento='2012-03-07', sexo='F', lugar_nacimiento='MARACAIBO', entidad_federal='ZU' WHERE cedula='36309036';</v>
      </c>
    </row>
    <row r="114" customFormat="false" ht="14.9" hidden="false" customHeight="false" outlineLevel="0" collapsed="false">
      <c r="A114" s="1" t="s">
        <v>15</v>
      </c>
      <c r="B114" s="1" t="s">
        <v>16</v>
      </c>
      <c r="C114" s="1" t="s">
        <v>129</v>
      </c>
      <c r="D114" s="1" t="s">
        <v>135</v>
      </c>
      <c r="E114" s="2" t="n">
        <v>45923</v>
      </c>
      <c r="F114" s="2" t="n">
        <f aca="false">IFERROR(VLOOKUP(TRIM($D114), Hoja4_2!$A$2:$L$10000, 4, 0), "Revisar")</f>
        <v>40975</v>
      </c>
      <c r="G114" s="7" t="str">
        <f aca="false">IFERROR(VLOOKUP(TRIM($D114), Hoja4_2!$A$2:$L$10000, 5, 0), "Revisar")</f>
        <v>FEMENINO</v>
      </c>
      <c r="H114" s="7" t="str">
        <f aca="false">IFERROR(VLOOKUP(TRIM($D114), Hoja4_2!$A$2:$L$10000, 7, 0), "Revisar")</f>
        <v>MARACAIBO</v>
      </c>
      <c r="I114" s="7" t="str">
        <f aca="false">IFERROR(VLOOKUP(TRIM($D114), Hoja4_2!$A$2:$L$10000, 9, 0), "Revisar")</f>
        <v>ZU</v>
      </c>
      <c r="J114" s="7" t="str">
        <f aca="false">IFERROR(VLOOKUP(TRIM($D114), Hoja4_2!$A$2:$L$10000, 12, 0), "Revisar")</f>
        <v>18283604</v>
      </c>
      <c r="K114" s="8" t="str">
        <f aca="false">TEXT(TRIM(D114),"0")</f>
        <v>36309037</v>
      </c>
      <c r="L114" s="1" t="str">
        <f aca="false">IF(F114="Revisar","NULL",CONCATENATE("'",TEXT(F114,"yyyy-mm-dd"),"'"))</f>
        <v>'2012-03-07'</v>
      </c>
      <c r="M114" s="9" t="str">
        <f aca="false">IF(G114="Revisar","NULL",CONCATENATE("'",MID(G114,1,1),"'"))</f>
        <v>'F'</v>
      </c>
      <c r="N114" s="9" t="str">
        <f aca="false">IF(H114="Revisar","NULL",CONCATENATE("'",H114,"'"))</f>
        <v>'MARACAIBO'</v>
      </c>
      <c r="O114" s="9" t="str">
        <f aca="false">IF(I114="Revisar","NULL",CONCATENATE("'",I114,"'"))</f>
        <v>'ZU'</v>
      </c>
      <c r="P114" s="1" t="str">
        <f aca="false">"UPDATE estudiantes SET fecha_nacimiento="&amp;L114&amp;", sexo="&amp;M114&amp;", lugar_nacimiento="&amp;N114&amp;", entidad_federal="&amp;O114&amp;" WHERE cedula='"&amp;K114&amp;"';"</f>
        <v>UPDATE estudiantes SET fecha_nacimiento='2012-03-07', sexo='F', lugar_nacimiento='MARACAIBO', entidad_federal='ZU' WHERE cedula='36309037';</v>
      </c>
    </row>
    <row r="115" customFormat="false" ht="14.9" hidden="false" customHeight="false" outlineLevel="0" collapsed="false">
      <c r="A115" s="1" t="s">
        <v>15</v>
      </c>
      <c r="B115" s="1" t="s">
        <v>16</v>
      </c>
      <c r="C115" s="1" t="s">
        <v>129</v>
      </c>
      <c r="D115" s="1" t="s">
        <v>136</v>
      </c>
      <c r="E115" s="2" t="n">
        <v>45923</v>
      </c>
      <c r="F115" s="2" t="n">
        <f aca="false">IFERROR(VLOOKUP(TRIM($D115), Hoja4_2!$A$2:$L$10000, 4, 0), "Revisar")</f>
        <v>41302</v>
      </c>
      <c r="G115" s="7" t="str">
        <f aca="false">IFERROR(VLOOKUP(TRIM($D115), Hoja4_2!$A$2:$L$10000, 5, 0), "Revisar")</f>
        <v>FEMENINO</v>
      </c>
      <c r="H115" s="7" t="str">
        <f aca="false">IFERROR(VLOOKUP(TRIM($D115), Hoja4_2!$A$2:$L$10000, 7, 0), "Revisar")</f>
        <v>JESUS ENRIQUE LOSSADA</v>
      </c>
      <c r="I115" s="7" t="str">
        <f aca="false">IFERROR(VLOOKUP(TRIM($D115), Hoja4_2!$A$2:$L$10000, 9, 0), "Revisar")</f>
        <v>ZU</v>
      </c>
      <c r="J115" s="7" t="str">
        <f aca="false">IFERROR(VLOOKUP(TRIM($D115), Hoja4_2!$A$2:$L$10000, 12, 0), "Revisar")</f>
        <v>20508347</v>
      </c>
      <c r="K115" s="8" t="str">
        <f aca="false">TEXT(TRIM(D115),"0")</f>
        <v>36406175</v>
      </c>
      <c r="L115" s="1" t="str">
        <f aca="false">IF(F115="Revisar","NULL",CONCATENATE("'",TEXT(F115,"yyyy-mm-dd"),"'"))</f>
        <v>'2013-01-28'</v>
      </c>
      <c r="M115" s="9" t="str">
        <f aca="false">IF(G115="Revisar","NULL",CONCATENATE("'",MID(G115,1,1),"'"))</f>
        <v>'F'</v>
      </c>
      <c r="N115" s="9" t="str">
        <f aca="false">IF(H115="Revisar","NULL",CONCATENATE("'",H115,"'"))</f>
        <v>'JESUS ENRIQUE LOSSADA'</v>
      </c>
      <c r="O115" s="9" t="str">
        <f aca="false">IF(I115="Revisar","NULL",CONCATENATE("'",I115,"'"))</f>
        <v>'ZU'</v>
      </c>
      <c r="P115" s="1" t="str">
        <f aca="false">"UPDATE estudiantes SET fecha_nacimiento="&amp;L115&amp;", sexo="&amp;M115&amp;", lugar_nacimiento="&amp;N115&amp;", entidad_federal="&amp;O115&amp;" WHERE cedula='"&amp;K115&amp;"';"</f>
        <v>UPDATE estudiantes SET fecha_nacimiento='2013-01-28', sexo='F', lugar_nacimiento='JESUS ENRIQUE LOSSADA', entidad_federal='ZU' WHERE cedula='36406175';</v>
      </c>
    </row>
    <row r="116" customFormat="false" ht="14.9" hidden="false" customHeight="false" outlineLevel="0" collapsed="false">
      <c r="A116" s="1" t="s">
        <v>15</v>
      </c>
      <c r="B116" s="1" t="s">
        <v>16</v>
      </c>
      <c r="C116" s="1" t="s">
        <v>129</v>
      </c>
      <c r="D116" s="1" t="s">
        <v>137</v>
      </c>
      <c r="E116" s="2" t="n">
        <v>45923</v>
      </c>
      <c r="F116" s="2" t="n">
        <f aca="false">IFERROR(VLOOKUP(TRIM($D116), Hoja4_2!$A$2:$L$10000, 4, 0), "Revisar")</f>
        <v>41728</v>
      </c>
      <c r="G116" s="7" t="str">
        <f aca="false">IFERROR(VLOOKUP(TRIM($D116), Hoja4_2!$A$2:$L$10000, 5, 0), "Revisar")</f>
        <v>FEMENINO</v>
      </c>
      <c r="H116" s="7" t="str">
        <f aca="false">IFERROR(VLOOKUP(TRIM($D116), Hoja4_2!$A$2:$L$10000, 7, 0), "Revisar")</f>
        <v>MARACAIBO</v>
      </c>
      <c r="I116" s="7" t="str">
        <f aca="false">IFERROR(VLOOKUP(TRIM($D116), Hoja4_2!$A$2:$L$10000, 9, 0), "Revisar")</f>
        <v>ZU</v>
      </c>
      <c r="J116" s="7" t="str">
        <f aca="false">IFERROR(VLOOKUP(TRIM($D116), Hoja4_2!$A$2:$L$10000, 12, 0), "Revisar")</f>
        <v>25540083</v>
      </c>
      <c r="K116" s="8" t="str">
        <f aca="false">TEXT(TRIM(D116),"0")</f>
        <v>36571188</v>
      </c>
      <c r="L116" s="1" t="str">
        <f aca="false">IF(F116="Revisar","NULL",CONCATENATE("'",TEXT(F116,"yyyy-mm-dd"),"'"))</f>
        <v>'2014-03-30'</v>
      </c>
      <c r="M116" s="9" t="str">
        <f aca="false">IF(G116="Revisar","NULL",CONCATENATE("'",MID(G116,1,1),"'"))</f>
        <v>'F'</v>
      </c>
      <c r="N116" s="9" t="str">
        <f aca="false">IF(H116="Revisar","NULL",CONCATENATE("'",H116,"'"))</f>
        <v>'MARACAIBO'</v>
      </c>
      <c r="O116" s="9" t="str">
        <f aca="false">IF(I116="Revisar","NULL",CONCATENATE("'",I116,"'"))</f>
        <v>'ZU'</v>
      </c>
      <c r="P116" s="1" t="str">
        <f aca="false">"UPDATE estudiantes SET fecha_nacimiento="&amp;L116&amp;", sexo="&amp;M116&amp;", lugar_nacimiento="&amp;N116&amp;", entidad_federal="&amp;O116&amp;" WHERE cedula='"&amp;K116&amp;"';"</f>
        <v>UPDATE estudiantes SET fecha_nacimiento='2014-03-30', sexo='F', lugar_nacimiento='MARACAIBO', entidad_federal='ZU' WHERE cedula='36571188';</v>
      </c>
    </row>
    <row r="117" customFormat="false" ht="14.9" hidden="false" customHeight="false" outlineLevel="0" collapsed="false">
      <c r="A117" s="1" t="s">
        <v>15</v>
      </c>
      <c r="B117" s="1" t="s">
        <v>16</v>
      </c>
      <c r="C117" s="1" t="s">
        <v>129</v>
      </c>
      <c r="D117" s="1" t="s">
        <v>138</v>
      </c>
      <c r="E117" s="2" t="n">
        <v>45923</v>
      </c>
      <c r="F117" s="2" t="n">
        <f aca="false">IFERROR(VLOOKUP(TRIM($D117), Hoja4_2!$A$2:$L$10000, 4, 0), "Revisar")</f>
        <v>41451</v>
      </c>
      <c r="G117" s="7" t="str">
        <f aca="false">IFERROR(VLOOKUP(TRIM($D117), Hoja4_2!$A$2:$L$10000, 5, 0), "Revisar")</f>
        <v>FEMENINO</v>
      </c>
      <c r="H117" s="7" t="str">
        <f aca="false">IFERROR(VLOOKUP(TRIM($D117), Hoja4_2!$A$2:$L$10000, 7, 0), "Revisar")</f>
        <v>MARACAIBO</v>
      </c>
      <c r="I117" s="7" t="str">
        <f aca="false">IFERROR(VLOOKUP(TRIM($D117), Hoja4_2!$A$2:$L$10000, 9, 0), "Revisar")</f>
        <v>ZU</v>
      </c>
      <c r="J117" s="7" t="str">
        <f aca="false">IFERROR(VLOOKUP(TRIM($D117), Hoja4_2!$A$2:$L$10000, 12, 0), "Revisar")</f>
        <v>21511087</v>
      </c>
      <c r="K117" s="8" t="str">
        <f aca="false">TEXT(TRIM(D117),"0")</f>
        <v>36847861</v>
      </c>
      <c r="L117" s="1" t="str">
        <f aca="false">IF(F117="Revisar","NULL",CONCATENATE("'",TEXT(F117,"yyyy-mm-dd"),"'"))</f>
        <v>'2013-06-26'</v>
      </c>
      <c r="M117" s="9" t="str">
        <f aca="false">IF(G117="Revisar","NULL",CONCATENATE("'",MID(G117,1,1),"'"))</f>
        <v>'F'</v>
      </c>
      <c r="N117" s="9" t="str">
        <f aca="false">IF(H117="Revisar","NULL",CONCATENATE("'",H117,"'"))</f>
        <v>'MARACAIBO'</v>
      </c>
      <c r="O117" s="9" t="str">
        <f aca="false">IF(I117="Revisar","NULL",CONCATENATE("'",I117,"'"))</f>
        <v>'ZU'</v>
      </c>
      <c r="P117" s="1" t="str">
        <f aca="false">"UPDATE estudiantes SET fecha_nacimiento="&amp;L117&amp;", sexo="&amp;M117&amp;", lugar_nacimiento="&amp;N117&amp;", entidad_federal="&amp;O117&amp;" WHERE cedula='"&amp;K117&amp;"';"</f>
        <v>UPDATE estudiantes SET fecha_nacimiento='2013-06-26', sexo='F', lugar_nacimiento='MARACAIBO', entidad_federal='ZU' WHERE cedula='36847861';</v>
      </c>
    </row>
    <row r="118" customFormat="false" ht="14.9" hidden="false" customHeight="false" outlineLevel="0" collapsed="false">
      <c r="A118" s="1" t="s">
        <v>15</v>
      </c>
      <c r="B118" s="1" t="s">
        <v>16</v>
      </c>
      <c r="C118" s="1" t="s">
        <v>129</v>
      </c>
      <c r="D118" s="1" t="s">
        <v>139</v>
      </c>
      <c r="E118" s="2" t="n">
        <v>45923</v>
      </c>
      <c r="F118" s="2" t="n">
        <f aca="false">IFERROR(VLOOKUP(TRIM($D118), Hoja4_2!$A$2:$L$10000, 4, 0), "Revisar")</f>
        <v>41207</v>
      </c>
      <c r="G118" s="7" t="str">
        <f aca="false">IFERROR(VLOOKUP(TRIM($D118), Hoja4_2!$A$2:$L$10000, 5, 0), "Revisar")</f>
        <v>FEMENINO</v>
      </c>
      <c r="H118" s="7" t="str">
        <f aca="false">IFERROR(VLOOKUP(TRIM($D118), Hoja4_2!$A$2:$L$10000, 7, 0), "Revisar")</f>
        <v>MARACAIBO</v>
      </c>
      <c r="I118" s="7" t="str">
        <f aca="false">IFERROR(VLOOKUP(TRIM($D118), Hoja4_2!$A$2:$L$10000, 9, 0), "Revisar")</f>
        <v>ZU</v>
      </c>
      <c r="J118" s="7" t="str">
        <f aca="false">IFERROR(VLOOKUP(TRIM($D118), Hoja4_2!$A$2:$L$10000, 12, 0), "Revisar")</f>
        <v>21509560</v>
      </c>
      <c r="K118" s="8" t="str">
        <f aca="false">TEXT(TRIM(D118),"0")</f>
        <v>36889249</v>
      </c>
      <c r="L118" s="1" t="str">
        <f aca="false">IF(F118="Revisar","NULL",CONCATENATE("'",TEXT(F118,"yyyy-mm-dd"),"'"))</f>
        <v>'2012-10-25'</v>
      </c>
      <c r="M118" s="9" t="str">
        <f aca="false">IF(G118="Revisar","NULL",CONCATENATE("'",MID(G118,1,1),"'"))</f>
        <v>'F'</v>
      </c>
      <c r="N118" s="9" t="str">
        <f aca="false">IF(H118="Revisar","NULL",CONCATENATE("'",H118,"'"))</f>
        <v>'MARACAIBO'</v>
      </c>
      <c r="O118" s="9" t="str">
        <f aca="false">IF(I118="Revisar","NULL",CONCATENATE("'",I118,"'"))</f>
        <v>'ZU'</v>
      </c>
      <c r="P118" s="1" t="str">
        <f aca="false">"UPDATE estudiantes SET fecha_nacimiento="&amp;L118&amp;", sexo="&amp;M118&amp;", lugar_nacimiento="&amp;N118&amp;", entidad_federal="&amp;O118&amp;" WHERE cedula='"&amp;K118&amp;"';"</f>
        <v>UPDATE estudiantes SET fecha_nacimiento='2012-10-25', sexo='F', lugar_nacimiento='MARACAIBO', entidad_federal='ZU' WHERE cedula='36889249';</v>
      </c>
    </row>
    <row r="119" customFormat="false" ht="14.9" hidden="false" customHeight="false" outlineLevel="0" collapsed="false">
      <c r="A119" s="1" t="s">
        <v>15</v>
      </c>
      <c r="B119" s="1" t="s">
        <v>16</v>
      </c>
      <c r="C119" s="1" t="s">
        <v>129</v>
      </c>
      <c r="D119" s="1" t="s">
        <v>140</v>
      </c>
      <c r="E119" s="2" t="n">
        <v>45923</v>
      </c>
      <c r="F119" s="2" t="n">
        <f aca="false">IFERROR(VLOOKUP(TRIM($D119), Hoja4_2!$A$2:$L$10000, 4, 0), "Revisar")</f>
        <v>41555</v>
      </c>
      <c r="G119" s="7" t="str">
        <f aca="false">IFERROR(VLOOKUP(TRIM($D119), Hoja4_2!$A$2:$L$10000, 5, 0), "Revisar")</f>
        <v>MASCULINO</v>
      </c>
      <c r="H119" s="7" t="str">
        <f aca="false">IFERROR(VLOOKUP(TRIM($D119), Hoja4_2!$A$2:$L$10000, 7, 0), "Revisar")</f>
        <v>MARACAIBO</v>
      </c>
      <c r="I119" s="7" t="str">
        <f aca="false">IFERROR(VLOOKUP(TRIM($D119), Hoja4_2!$A$2:$L$10000, 9, 0), "Revisar")</f>
        <v>ZU</v>
      </c>
      <c r="J119" s="7" t="str">
        <f aca="false">IFERROR(VLOOKUP(TRIM($D119), Hoja4_2!$A$2:$L$10000, 12, 0), "Revisar")</f>
        <v>13005196</v>
      </c>
      <c r="K119" s="8" t="str">
        <f aca="false">TEXT(TRIM(D119),"0")</f>
        <v>36994118</v>
      </c>
      <c r="L119" s="1" t="str">
        <f aca="false">IF(F119="Revisar","NULL",CONCATENATE("'",TEXT(F119,"yyyy-mm-dd"),"'"))</f>
        <v>'2013-10-08'</v>
      </c>
      <c r="M119" s="9" t="str">
        <f aca="false">IF(G119="Revisar","NULL",CONCATENATE("'",MID(G119,1,1),"'"))</f>
        <v>'M'</v>
      </c>
      <c r="N119" s="9" t="str">
        <f aca="false">IF(H119="Revisar","NULL",CONCATENATE("'",H119,"'"))</f>
        <v>'MARACAIBO'</v>
      </c>
      <c r="O119" s="9" t="str">
        <f aca="false">IF(I119="Revisar","NULL",CONCATENATE("'",I119,"'"))</f>
        <v>'ZU'</v>
      </c>
      <c r="P119" s="1" t="str">
        <f aca="false">"UPDATE estudiantes SET fecha_nacimiento="&amp;L119&amp;", sexo="&amp;M119&amp;", lugar_nacimiento="&amp;N119&amp;", entidad_federal="&amp;O119&amp;" WHERE cedula='"&amp;K119&amp;"';"</f>
        <v>UPDATE estudiantes SET fecha_nacimiento='2013-10-08', sexo='M', lugar_nacimiento='MARACAIBO', entidad_federal='ZU' WHERE cedula='36994118';</v>
      </c>
    </row>
    <row r="120" customFormat="false" ht="14.9" hidden="false" customHeight="false" outlineLevel="0" collapsed="false">
      <c r="A120" s="1" t="s">
        <v>15</v>
      </c>
      <c r="B120" s="1" t="s">
        <v>16</v>
      </c>
      <c r="C120" s="1" t="s">
        <v>129</v>
      </c>
      <c r="D120" s="1" t="s">
        <v>141</v>
      </c>
      <c r="E120" s="2" t="n">
        <v>45923</v>
      </c>
      <c r="F120" s="2" t="n">
        <f aca="false">IFERROR(VLOOKUP(TRIM($D120), Hoja4_2!$A$2:$L$10000, 4, 0), "Revisar")</f>
        <v>41612</v>
      </c>
      <c r="G120" s="7" t="str">
        <f aca="false">IFERROR(VLOOKUP(TRIM($D120), Hoja4_2!$A$2:$L$10000, 5, 0), "Revisar")</f>
        <v>FEMENINO</v>
      </c>
      <c r="H120" s="7" t="str">
        <f aca="false">IFERROR(VLOOKUP(TRIM($D120), Hoja4_2!$A$2:$L$10000, 7, 0), "Revisar")</f>
        <v>JESUS ENRIQUE LOSSADA</v>
      </c>
      <c r="I120" s="7" t="str">
        <f aca="false">IFERROR(VLOOKUP(TRIM($D120), Hoja4_2!$A$2:$L$10000, 9, 0), "Revisar")</f>
        <v>ZU</v>
      </c>
      <c r="J120" s="7" t="str">
        <f aca="false">IFERROR(VLOOKUP(TRIM($D120), Hoja4_2!$A$2:$L$10000, 12, 0), "Revisar")</f>
        <v>19810644</v>
      </c>
      <c r="K120" s="8" t="str">
        <f aca="false">TEXT(TRIM(D120),"0")</f>
        <v>37083294</v>
      </c>
      <c r="L120" s="1" t="str">
        <f aca="false">IF(F120="Revisar","NULL",CONCATENATE("'",TEXT(F120,"yyyy-mm-dd"),"'"))</f>
        <v>'2013-12-04'</v>
      </c>
      <c r="M120" s="9" t="str">
        <f aca="false">IF(G120="Revisar","NULL",CONCATENATE("'",MID(G120,1,1),"'"))</f>
        <v>'F'</v>
      </c>
      <c r="N120" s="9" t="str">
        <f aca="false">IF(H120="Revisar","NULL",CONCATENATE("'",H120,"'"))</f>
        <v>'JESUS ENRIQUE LOSSADA'</v>
      </c>
      <c r="O120" s="9" t="str">
        <f aca="false">IF(I120="Revisar","NULL",CONCATENATE("'",I120,"'"))</f>
        <v>'ZU'</v>
      </c>
      <c r="P120" s="1" t="str">
        <f aca="false">"UPDATE estudiantes SET fecha_nacimiento="&amp;L120&amp;", sexo="&amp;M120&amp;", lugar_nacimiento="&amp;N120&amp;", entidad_federal="&amp;O120&amp;" WHERE cedula='"&amp;K120&amp;"';"</f>
        <v>UPDATE estudiantes SET fecha_nacimiento='2013-12-04', sexo='F', lugar_nacimiento='JESUS ENRIQUE LOSSADA', entidad_federal='ZU' WHERE cedula='37083294';</v>
      </c>
    </row>
    <row r="121" customFormat="false" ht="14.9" hidden="false" customHeight="false" outlineLevel="0" collapsed="false">
      <c r="A121" s="1" t="s">
        <v>15</v>
      </c>
      <c r="B121" s="1" t="s">
        <v>16</v>
      </c>
      <c r="C121" s="1" t="s">
        <v>129</v>
      </c>
      <c r="D121" s="1" t="s">
        <v>142</v>
      </c>
      <c r="E121" s="2" t="n">
        <v>45923</v>
      </c>
      <c r="F121" s="2" t="n">
        <f aca="false">IFERROR(VLOOKUP(TRIM($D121), Hoja4_2!$A$2:$L$10000, 4, 0), "Revisar")</f>
        <v>41947</v>
      </c>
      <c r="G121" s="7" t="str">
        <f aca="false">IFERROR(VLOOKUP(TRIM($D121), Hoja4_2!$A$2:$L$10000, 5, 0), "Revisar")</f>
        <v>FEMENINO</v>
      </c>
      <c r="H121" s="7" t="str">
        <f aca="false">IFERROR(VLOOKUP(TRIM($D121), Hoja4_2!$A$2:$L$10000, 7, 0), "Revisar")</f>
        <v>MARACAIBO</v>
      </c>
      <c r="I121" s="7" t="str">
        <f aca="false">IFERROR(VLOOKUP(TRIM($D121), Hoja4_2!$A$2:$L$10000, 9, 0), "Revisar")</f>
        <v>ZU</v>
      </c>
      <c r="J121" s="7" t="str">
        <f aca="false">IFERROR(VLOOKUP(TRIM($D121), Hoja4_2!$A$2:$L$10000, 12, 0), "Revisar")</f>
        <v>23770243</v>
      </c>
      <c r="K121" s="8" t="str">
        <f aca="false">TEXT(TRIM(D121),"0")</f>
        <v>37255475</v>
      </c>
      <c r="L121" s="1" t="str">
        <f aca="false">IF(F121="Revisar","NULL",CONCATENATE("'",TEXT(F121,"yyyy-mm-dd"),"'"))</f>
        <v>'2014-11-04'</v>
      </c>
      <c r="M121" s="9" t="str">
        <f aca="false">IF(G121="Revisar","NULL",CONCATENATE("'",MID(G121,1,1),"'"))</f>
        <v>'F'</v>
      </c>
      <c r="N121" s="9" t="str">
        <f aca="false">IF(H121="Revisar","NULL",CONCATENATE("'",H121,"'"))</f>
        <v>'MARACAIBO'</v>
      </c>
      <c r="O121" s="9" t="str">
        <f aca="false">IF(I121="Revisar","NULL",CONCATENATE("'",I121,"'"))</f>
        <v>'ZU'</v>
      </c>
      <c r="P121" s="1" t="str">
        <f aca="false">"UPDATE estudiantes SET fecha_nacimiento="&amp;L121&amp;", sexo="&amp;M121&amp;", lugar_nacimiento="&amp;N121&amp;", entidad_federal="&amp;O121&amp;" WHERE cedula='"&amp;K121&amp;"';"</f>
        <v>UPDATE estudiantes SET fecha_nacimiento='2014-11-04', sexo='F', lugar_nacimiento='MARACAIBO', entidad_federal='ZU' WHERE cedula='37255475';</v>
      </c>
    </row>
    <row r="122" customFormat="false" ht="14.9" hidden="false" customHeight="false" outlineLevel="0" collapsed="false">
      <c r="A122" s="1" t="s">
        <v>15</v>
      </c>
      <c r="B122" s="1" t="s">
        <v>16</v>
      </c>
      <c r="C122" s="1" t="s">
        <v>129</v>
      </c>
      <c r="D122" s="1" t="s">
        <v>143</v>
      </c>
      <c r="E122" s="2" t="n">
        <v>45923</v>
      </c>
      <c r="F122" s="2" t="n">
        <f aca="false">IFERROR(VLOOKUP(TRIM($D122), Hoja4_2!$A$2:$L$10000, 4, 0), "Revisar")</f>
        <v>41706</v>
      </c>
      <c r="G122" s="7" t="str">
        <f aca="false">IFERROR(VLOOKUP(TRIM($D122), Hoja4_2!$A$2:$L$10000, 5, 0), "Revisar")</f>
        <v>MASCULINO</v>
      </c>
      <c r="H122" s="7" t="str">
        <f aca="false">IFERROR(VLOOKUP(TRIM($D122), Hoja4_2!$A$2:$L$10000, 7, 0), "Revisar")</f>
        <v>MARACAIBO</v>
      </c>
      <c r="I122" s="7" t="str">
        <f aca="false">IFERROR(VLOOKUP(TRIM($D122), Hoja4_2!$A$2:$L$10000, 9, 0), "Revisar")</f>
        <v>ZU</v>
      </c>
      <c r="J122" s="7" t="str">
        <f aca="false">IFERROR(VLOOKUP(TRIM($D122), Hoja4_2!$A$2:$L$10000, 12, 0), "Revisar")</f>
        <v>18823628</v>
      </c>
      <c r="K122" s="8" t="str">
        <f aca="false">TEXT(TRIM(D122),"0")</f>
        <v>37310728</v>
      </c>
      <c r="L122" s="1" t="str">
        <f aca="false">IF(F122="Revisar","NULL",CONCATENATE("'",TEXT(F122,"yyyy-mm-dd"),"'"))</f>
        <v>'2014-03-08'</v>
      </c>
      <c r="M122" s="9" t="str">
        <f aca="false">IF(G122="Revisar","NULL",CONCATENATE("'",MID(G122,1,1),"'"))</f>
        <v>'M'</v>
      </c>
      <c r="N122" s="9" t="str">
        <f aca="false">IF(H122="Revisar","NULL",CONCATENATE("'",H122,"'"))</f>
        <v>'MARACAIBO'</v>
      </c>
      <c r="O122" s="9" t="str">
        <f aca="false">IF(I122="Revisar","NULL",CONCATENATE("'",I122,"'"))</f>
        <v>'ZU'</v>
      </c>
      <c r="P122" s="1" t="str">
        <f aca="false">"UPDATE estudiantes SET fecha_nacimiento="&amp;L122&amp;", sexo="&amp;M122&amp;", lugar_nacimiento="&amp;N122&amp;", entidad_federal="&amp;O122&amp;" WHERE cedula='"&amp;K122&amp;"';"</f>
        <v>UPDATE estudiantes SET fecha_nacimiento='2014-03-08', sexo='M', lugar_nacimiento='MARACAIBO', entidad_federal='ZU' WHERE cedula='37310728';</v>
      </c>
    </row>
    <row r="123" customFormat="false" ht="14.9" hidden="false" customHeight="false" outlineLevel="0" collapsed="false">
      <c r="A123" s="1" t="s">
        <v>15</v>
      </c>
      <c r="B123" s="1" t="s">
        <v>16</v>
      </c>
      <c r="C123" s="1" t="s">
        <v>129</v>
      </c>
      <c r="D123" s="1" t="s">
        <v>144</v>
      </c>
      <c r="E123" s="2" t="n">
        <v>45923</v>
      </c>
      <c r="F123" s="2" t="n">
        <f aca="false">IFERROR(VLOOKUP(TRIM($D123), Hoja4_2!$A$2:$L$10000, 4, 0), "Revisar")</f>
        <v>41689</v>
      </c>
      <c r="G123" s="7" t="str">
        <f aca="false">IFERROR(VLOOKUP(TRIM($D123), Hoja4_2!$A$2:$L$10000, 5, 0), "Revisar")</f>
        <v>FEMENINO</v>
      </c>
      <c r="H123" s="7" t="str">
        <f aca="false">IFERROR(VLOOKUP(TRIM($D123), Hoja4_2!$A$2:$L$10000, 7, 0), "Revisar")</f>
        <v>JESUS ENRIQUE LOSSADA</v>
      </c>
      <c r="I123" s="7" t="str">
        <f aca="false">IFERROR(VLOOKUP(TRIM($D123), Hoja4_2!$A$2:$L$10000, 9, 0), "Revisar")</f>
        <v>ZU</v>
      </c>
      <c r="J123" s="7" t="str">
        <f aca="false">IFERROR(VLOOKUP(TRIM($D123), Hoja4_2!$A$2:$L$10000, 12, 0), "Revisar")</f>
        <v>15889490</v>
      </c>
      <c r="K123" s="8" t="str">
        <f aca="false">TEXT(TRIM(D123),"0")</f>
        <v>37316592</v>
      </c>
      <c r="L123" s="1" t="str">
        <f aca="false">IF(F123="Revisar","NULL",CONCATENATE("'",TEXT(F123,"yyyy-mm-dd"),"'"))</f>
        <v>'2014-02-19'</v>
      </c>
      <c r="M123" s="9" t="str">
        <f aca="false">IF(G123="Revisar","NULL",CONCATENATE("'",MID(G123,1,1),"'"))</f>
        <v>'F'</v>
      </c>
      <c r="N123" s="9" t="str">
        <f aca="false">IF(H123="Revisar","NULL",CONCATENATE("'",H123,"'"))</f>
        <v>'JESUS ENRIQUE LOSSADA'</v>
      </c>
      <c r="O123" s="9" t="str">
        <f aca="false">IF(I123="Revisar","NULL",CONCATENATE("'",I123,"'"))</f>
        <v>'ZU'</v>
      </c>
      <c r="P123" s="1" t="str">
        <f aca="false">"UPDATE estudiantes SET fecha_nacimiento="&amp;L123&amp;", sexo="&amp;M123&amp;", lugar_nacimiento="&amp;N123&amp;", entidad_federal="&amp;O123&amp;" WHERE cedula='"&amp;K123&amp;"';"</f>
        <v>UPDATE estudiantes SET fecha_nacimiento='2014-02-19', sexo='F', lugar_nacimiento='JESUS ENRIQUE LOSSADA', entidad_federal='ZU' WHERE cedula='37316592';</v>
      </c>
    </row>
    <row r="124" customFormat="false" ht="14.9" hidden="false" customHeight="false" outlineLevel="0" collapsed="false">
      <c r="A124" s="1" t="s">
        <v>15</v>
      </c>
      <c r="B124" s="1" t="s">
        <v>16</v>
      </c>
      <c r="C124" s="1" t="s">
        <v>129</v>
      </c>
      <c r="D124" s="1" t="s">
        <v>145</v>
      </c>
      <c r="E124" s="2" t="n">
        <v>45923</v>
      </c>
      <c r="F124" s="2" t="n">
        <f aca="false">IFERROR(VLOOKUP(TRIM($D124), Hoja4_2!$A$2:$L$10000, 4, 0), "Revisar")</f>
        <v>41418</v>
      </c>
      <c r="G124" s="7" t="str">
        <f aca="false">IFERROR(VLOOKUP(TRIM($D124), Hoja4_2!$A$2:$L$10000, 5, 0), "Revisar")</f>
        <v>FEMENINO</v>
      </c>
      <c r="H124" s="7" t="str">
        <f aca="false">IFERROR(VLOOKUP(TRIM($D124), Hoja4_2!$A$2:$L$10000, 7, 0), "Revisar")</f>
        <v>MARACAIBO</v>
      </c>
      <c r="I124" s="7" t="str">
        <f aca="false">IFERROR(VLOOKUP(TRIM($D124), Hoja4_2!$A$2:$L$10000, 9, 0), "Revisar")</f>
        <v>ZU</v>
      </c>
      <c r="J124" s="7" t="str">
        <f aca="false">IFERROR(VLOOKUP(TRIM($D124), Hoja4_2!$A$2:$L$10000, 12, 0), "Revisar")</f>
        <v>16120055</v>
      </c>
      <c r="K124" s="8" t="str">
        <f aca="false">TEXT(TRIM(D124),"0")</f>
        <v>37395728</v>
      </c>
      <c r="L124" s="1" t="str">
        <f aca="false">IF(F124="Revisar","NULL",CONCATENATE("'",TEXT(F124,"yyyy-mm-dd"),"'"))</f>
        <v>'2013-05-24'</v>
      </c>
      <c r="M124" s="9" t="str">
        <f aca="false">IF(G124="Revisar","NULL",CONCATENATE("'",MID(G124,1,1),"'"))</f>
        <v>'F'</v>
      </c>
      <c r="N124" s="9" t="str">
        <f aca="false">IF(H124="Revisar","NULL",CONCATENATE("'",H124,"'"))</f>
        <v>'MARACAIBO'</v>
      </c>
      <c r="O124" s="9" t="str">
        <f aca="false">IF(I124="Revisar","NULL",CONCATENATE("'",I124,"'"))</f>
        <v>'ZU'</v>
      </c>
      <c r="P124" s="1" t="str">
        <f aca="false">"UPDATE estudiantes SET fecha_nacimiento="&amp;L124&amp;", sexo="&amp;M124&amp;", lugar_nacimiento="&amp;N124&amp;", entidad_federal="&amp;O124&amp;" WHERE cedula='"&amp;K124&amp;"';"</f>
        <v>UPDATE estudiantes SET fecha_nacimiento='2013-05-24', sexo='F', lugar_nacimiento='MARACAIBO', entidad_federal='ZU' WHERE cedula='37395728';</v>
      </c>
    </row>
    <row r="125" customFormat="false" ht="14.9" hidden="false" customHeight="false" outlineLevel="0" collapsed="false">
      <c r="A125" s="1" t="s">
        <v>15</v>
      </c>
      <c r="B125" s="1" t="s">
        <v>16</v>
      </c>
      <c r="C125" s="1" t="s">
        <v>129</v>
      </c>
      <c r="D125" s="1" t="s">
        <v>146</v>
      </c>
      <c r="E125" s="2" t="n">
        <v>45923</v>
      </c>
      <c r="F125" s="2" t="n">
        <f aca="false">IFERROR(VLOOKUP(TRIM($D125), Hoja4_2!$A$2:$L$10000, 4, 0), "Revisar")</f>
        <v>41281</v>
      </c>
      <c r="G125" s="7" t="str">
        <f aca="false">IFERROR(VLOOKUP(TRIM($D125), Hoja4_2!$A$2:$L$10000, 5, 0), "Revisar")</f>
        <v>FEMENINO</v>
      </c>
      <c r="H125" s="7" t="str">
        <f aca="false">IFERROR(VLOOKUP(TRIM($D125), Hoja4_2!$A$2:$L$10000, 7, 0), "Revisar")</f>
        <v>MARACAIBO</v>
      </c>
      <c r="I125" s="7" t="str">
        <f aca="false">IFERROR(VLOOKUP(TRIM($D125), Hoja4_2!$A$2:$L$10000, 9, 0), "Revisar")</f>
        <v>ZU</v>
      </c>
      <c r="J125" s="7" t="str">
        <f aca="false">IFERROR(VLOOKUP(TRIM($D125), Hoja4_2!$A$2:$L$10000, 12, 0), "Revisar")</f>
        <v>20834403</v>
      </c>
      <c r="K125" s="8" t="str">
        <f aca="false">TEXT(TRIM(D125),"0")</f>
        <v>1132083403</v>
      </c>
      <c r="L125" s="1" t="str">
        <f aca="false">IF(F125="Revisar","NULL",CONCATENATE("'",TEXT(F125,"yyyy-mm-dd"),"'"))</f>
        <v>'2013-01-07'</v>
      </c>
      <c r="M125" s="9" t="str">
        <f aca="false">IF(G125="Revisar","NULL",CONCATENATE("'",MID(G125,1,1),"'"))</f>
        <v>'F'</v>
      </c>
      <c r="N125" s="9" t="str">
        <f aca="false">IF(H125="Revisar","NULL",CONCATENATE("'",H125,"'"))</f>
        <v>'MARACAIBO'</v>
      </c>
      <c r="O125" s="9" t="str">
        <f aca="false">IF(I125="Revisar","NULL",CONCATENATE("'",I125,"'"))</f>
        <v>'ZU'</v>
      </c>
      <c r="P125" s="1" t="str">
        <f aca="false">"UPDATE estudiantes SET fecha_nacimiento="&amp;L125&amp;", sexo="&amp;M125&amp;", lugar_nacimiento="&amp;N125&amp;", entidad_federal="&amp;O125&amp;" WHERE cedula='"&amp;K125&amp;"';"</f>
        <v>UPDATE estudiantes SET fecha_nacimiento='2013-01-07', sexo='F', lugar_nacimiento='MARACAIBO', entidad_federal='ZU' WHERE cedula='1132083403';</v>
      </c>
    </row>
    <row r="126" customFormat="false" ht="14.9" hidden="false" customHeight="false" outlineLevel="0" collapsed="false">
      <c r="A126" s="1" t="s">
        <v>15</v>
      </c>
      <c r="B126" s="1" t="s">
        <v>16</v>
      </c>
      <c r="C126" s="1" t="s">
        <v>129</v>
      </c>
      <c r="D126" s="1" t="s">
        <v>147</v>
      </c>
      <c r="E126" s="2" t="n">
        <v>45923</v>
      </c>
      <c r="F126" s="2" t="n">
        <f aca="false">IFERROR(VLOOKUP(TRIM($D126), Hoja4_2!$A$2:$L$10000, 4, 0), "Revisar")</f>
        <v>40163</v>
      </c>
      <c r="G126" s="7" t="str">
        <f aca="false">IFERROR(VLOOKUP(TRIM($D126), Hoja4_2!$A$2:$L$10000, 5, 0), "Revisar")</f>
        <v>FEMENINO</v>
      </c>
      <c r="H126" s="7" t="str">
        <f aca="false">IFERROR(VLOOKUP(TRIM($D126), Hoja4_2!$A$2:$L$10000, 7, 0), "Revisar")</f>
        <v>MARACAIBO</v>
      </c>
      <c r="I126" s="7" t="str">
        <f aca="false">IFERROR(VLOOKUP(TRIM($D126), Hoja4_2!$A$2:$L$10000, 9, 0), "Revisar")</f>
        <v>ZU</v>
      </c>
      <c r="J126" s="7" t="str">
        <f aca="false">IFERROR(VLOOKUP(TRIM($D126), Hoja4_2!$A$2:$L$10000, 12, 0), "Revisar")</f>
        <v>23769228</v>
      </c>
      <c r="K126" s="8" t="str">
        <f aca="false">TEXT(TRIM(D126),"0")</f>
        <v>10923769228</v>
      </c>
      <c r="L126" s="1" t="str">
        <f aca="false">IF(F126="Revisar","NULL",CONCATENATE("'",TEXT(F126,"yyyy-mm-dd"),"'"))</f>
        <v>'2009-12-16'</v>
      </c>
      <c r="M126" s="9" t="str">
        <f aca="false">IF(G126="Revisar","NULL",CONCATENATE("'",MID(G126,1,1),"'"))</f>
        <v>'F'</v>
      </c>
      <c r="N126" s="9" t="str">
        <f aca="false">IF(H126="Revisar","NULL",CONCATENATE("'",H126,"'"))</f>
        <v>'MARACAIBO'</v>
      </c>
      <c r="O126" s="9" t="str">
        <f aca="false">IF(I126="Revisar","NULL",CONCATENATE("'",I126,"'"))</f>
        <v>'ZU'</v>
      </c>
      <c r="P126" s="1" t="str">
        <f aca="false">"UPDATE estudiantes SET fecha_nacimiento="&amp;L126&amp;", sexo="&amp;M126&amp;", lugar_nacimiento="&amp;N126&amp;", entidad_federal="&amp;O126&amp;" WHERE cedula='"&amp;K126&amp;"';"</f>
        <v>UPDATE estudiantes SET fecha_nacimiento='2009-12-16', sexo='F', lugar_nacimiento='MARACAIBO', entidad_federal='ZU' WHERE cedula='10923769228';</v>
      </c>
    </row>
    <row r="127" customFormat="false" ht="14.9" hidden="false" customHeight="false" outlineLevel="0" collapsed="false">
      <c r="A127" s="1" t="s">
        <v>15</v>
      </c>
      <c r="B127" s="1" t="s">
        <v>16</v>
      </c>
      <c r="C127" s="1" t="s">
        <v>129</v>
      </c>
      <c r="D127" s="1" t="s">
        <v>148</v>
      </c>
      <c r="E127" s="2" t="n">
        <v>45923</v>
      </c>
      <c r="F127" s="2" t="n">
        <f aca="false">IFERROR(VLOOKUP(TRIM($D127), Hoja4_2!$A$2:$L$10000, 4, 0), "Revisar")</f>
        <v>40853</v>
      </c>
      <c r="G127" s="7" t="str">
        <f aca="false">IFERROR(VLOOKUP(TRIM($D127), Hoja4_2!$A$2:$L$10000, 5, 0), "Revisar")</f>
        <v>MASCULINO</v>
      </c>
      <c r="H127" s="7" t="str">
        <f aca="false">IFERROR(VLOOKUP(TRIM($D127), Hoja4_2!$A$2:$L$10000, 7, 0), "Revisar")</f>
        <v>JESUS ENRIQUE LOSSADA</v>
      </c>
      <c r="I127" s="7" t="str">
        <f aca="false">IFERROR(VLOOKUP(TRIM($D127), Hoja4_2!$A$2:$L$10000, 9, 0), "Revisar")</f>
        <v>ZU</v>
      </c>
      <c r="J127" s="7" t="str">
        <f aca="false">IFERROR(VLOOKUP(TRIM($D127), Hoja4_2!$A$2:$L$10000, 12, 0), "Revisar")</f>
        <v>25439345</v>
      </c>
      <c r="K127" s="8" t="str">
        <f aca="false">TEXT(TRIM(D127),"0")</f>
        <v>11125439345</v>
      </c>
      <c r="L127" s="1" t="str">
        <f aca="false">IF(F127="Revisar","NULL",CONCATENATE("'",TEXT(F127,"yyyy-mm-dd"),"'"))</f>
        <v>'2011-11-06'</v>
      </c>
      <c r="M127" s="9" t="str">
        <f aca="false">IF(G127="Revisar","NULL",CONCATENATE("'",MID(G127,1,1),"'"))</f>
        <v>'M'</v>
      </c>
      <c r="N127" s="9" t="str">
        <f aca="false">IF(H127="Revisar","NULL",CONCATENATE("'",H127,"'"))</f>
        <v>'JESUS ENRIQUE LOSSADA'</v>
      </c>
      <c r="O127" s="9" t="str">
        <f aca="false">IF(I127="Revisar","NULL",CONCATENATE("'",I127,"'"))</f>
        <v>'ZU'</v>
      </c>
      <c r="P127" s="1" t="str">
        <f aca="false">"UPDATE estudiantes SET fecha_nacimiento="&amp;L127&amp;", sexo="&amp;M127&amp;", lugar_nacimiento="&amp;N127&amp;", entidad_federal="&amp;O127&amp;" WHERE cedula='"&amp;K127&amp;"';"</f>
        <v>UPDATE estudiantes SET fecha_nacimiento='2011-11-06', sexo='M', lugar_nacimiento='JESUS ENRIQUE LOSSADA', entidad_federal='ZU' WHERE cedula='11125439345';</v>
      </c>
    </row>
    <row r="128" customFormat="false" ht="14.9" hidden="false" customHeight="false" outlineLevel="0" collapsed="false">
      <c r="A128" s="1" t="s">
        <v>15</v>
      </c>
      <c r="B128" s="1" t="s">
        <v>16</v>
      </c>
      <c r="C128" s="1" t="s">
        <v>129</v>
      </c>
      <c r="D128" s="1" t="s">
        <v>149</v>
      </c>
      <c r="E128" s="2" t="n">
        <v>45923</v>
      </c>
      <c r="F128" s="2" t="n">
        <f aca="false">IFERROR(VLOOKUP(TRIM($D128), Hoja4_2!$A$2:$L$10000, 4, 0), "Revisar")</f>
        <v>41144</v>
      </c>
      <c r="G128" s="7" t="str">
        <f aca="false">IFERROR(VLOOKUP(TRIM($D128), Hoja4_2!$A$2:$L$10000, 5, 0), "Revisar")</f>
        <v>MASCULINO</v>
      </c>
      <c r="H128" s="7" t="str">
        <f aca="false">IFERROR(VLOOKUP(TRIM($D128), Hoja4_2!$A$2:$L$10000, 7, 0), "Revisar")</f>
        <v>MARACAIBO</v>
      </c>
      <c r="I128" s="7" t="str">
        <f aca="false">IFERROR(VLOOKUP(TRIM($D128), Hoja4_2!$A$2:$L$10000, 9, 0), "Revisar")</f>
        <v>ZU</v>
      </c>
      <c r="J128" s="7" t="str">
        <f aca="false">IFERROR(VLOOKUP(TRIM($D128), Hoja4_2!$A$2:$L$10000, 12, 0), "Revisar")</f>
        <v>19211656</v>
      </c>
      <c r="K128" s="8" t="str">
        <f aca="false">TEXT(TRIM(D128),"0")</f>
        <v>11219211656</v>
      </c>
      <c r="L128" s="1" t="str">
        <f aca="false">IF(F128="Revisar","NULL",CONCATENATE("'",TEXT(F128,"yyyy-mm-dd"),"'"))</f>
        <v>'2012-08-23'</v>
      </c>
      <c r="M128" s="9" t="str">
        <f aca="false">IF(G128="Revisar","NULL",CONCATENATE("'",MID(G128,1,1),"'"))</f>
        <v>'M'</v>
      </c>
      <c r="N128" s="9" t="str">
        <f aca="false">IF(H128="Revisar","NULL",CONCATENATE("'",H128,"'"))</f>
        <v>'MARACAIBO'</v>
      </c>
      <c r="O128" s="9" t="str">
        <f aca="false">IF(I128="Revisar","NULL",CONCATENATE("'",I128,"'"))</f>
        <v>'ZU'</v>
      </c>
      <c r="P128" s="1" t="str">
        <f aca="false">"UPDATE estudiantes SET fecha_nacimiento="&amp;L128&amp;", sexo="&amp;M128&amp;", lugar_nacimiento="&amp;N128&amp;", entidad_federal="&amp;O128&amp;" WHERE cedula='"&amp;K128&amp;"';"</f>
        <v>UPDATE estudiantes SET fecha_nacimiento='2012-08-23', sexo='M', lugar_nacimiento='MARACAIBO', entidad_federal='ZU' WHERE cedula='11219211656';</v>
      </c>
    </row>
    <row r="129" customFormat="false" ht="14.9" hidden="false" customHeight="false" outlineLevel="0" collapsed="false">
      <c r="A129" s="1" t="s">
        <v>15</v>
      </c>
      <c r="B129" s="1" t="s">
        <v>16</v>
      </c>
      <c r="C129" s="1" t="s">
        <v>129</v>
      </c>
      <c r="D129" s="1" t="s">
        <v>150</v>
      </c>
      <c r="E129" s="2" t="n">
        <v>45923</v>
      </c>
      <c r="F129" s="2" t="n">
        <f aca="false">IFERROR(VLOOKUP(TRIM($D129), Hoja4_2!$A$2:$L$10000, 4, 0), "Revisar")</f>
        <v>41198</v>
      </c>
      <c r="G129" s="7" t="str">
        <f aca="false">IFERROR(VLOOKUP(TRIM($D129), Hoja4_2!$A$2:$L$10000, 5, 0), "Revisar")</f>
        <v>MASCULINO</v>
      </c>
      <c r="H129" s="7" t="str">
        <f aca="false">IFERROR(VLOOKUP(TRIM($D129), Hoja4_2!$A$2:$L$10000, 7, 0), "Revisar")</f>
        <v>MARACAIBO</v>
      </c>
      <c r="I129" s="7" t="str">
        <f aca="false">IFERROR(VLOOKUP(TRIM($D129), Hoja4_2!$A$2:$L$10000, 9, 0), "Revisar")</f>
        <v>ZU</v>
      </c>
      <c r="J129" s="7" t="str">
        <f aca="false">IFERROR(VLOOKUP(TRIM($D129), Hoja4_2!$A$2:$L$10000, 12, 0), "Revisar")</f>
        <v>20508672</v>
      </c>
      <c r="K129" s="8" t="str">
        <f aca="false">TEXT(TRIM(D129),"0")</f>
        <v>11220508672</v>
      </c>
      <c r="L129" s="1" t="str">
        <f aca="false">IF(F129="Revisar","NULL",CONCATENATE("'",TEXT(F129,"yyyy-mm-dd"),"'"))</f>
        <v>'2012-10-16'</v>
      </c>
      <c r="M129" s="9" t="str">
        <f aca="false">IF(G129="Revisar","NULL",CONCATENATE("'",MID(G129,1,1),"'"))</f>
        <v>'M'</v>
      </c>
      <c r="N129" s="9" t="str">
        <f aca="false">IF(H129="Revisar","NULL",CONCATENATE("'",H129,"'"))</f>
        <v>'MARACAIBO'</v>
      </c>
      <c r="O129" s="9" t="str">
        <f aca="false">IF(I129="Revisar","NULL",CONCATENATE("'",I129,"'"))</f>
        <v>'ZU'</v>
      </c>
      <c r="P129" s="1" t="str">
        <f aca="false">"UPDATE estudiantes SET fecha_nacimiento="&amp;L129&amp;", sexo="&amp;M129&amp;", lugar_nacimiento="&amp;N129&amp;", entidad_federal="&amp;O129&amp;" WHERE cedula='"&amp;K129&amp;"';"</f>
        <v>UPDATE estudiantes SET fecha_nacimiento='2012-10-16', sexo='M', lugar_nacimiento='MARACAIBO', entidad_federal='ZU' WHERE cedula='11220508672';</v>
      </c>
    </row>
    <row r="130" customFormat="false" ht="13.8" hidden="false" customHeight="false" outlineLevel="0" collapsed="false">
      <c r="A130" s="1" t="s">
        <v>15</v>
      </c>
      <c r="B130" s="1" t="s">
        <v>16</v>
      </c>
      <c r="C130" s="1" t="s">
        <v>129</v>
      </c>
      <c r="D130" s="1" t="s">
        <v>151</v>
      </c>
      <c r="E130" s="2" t="n">
        <v>46139</v>
      </c>
      <c r="F130" s="2" t="s">
        <v>82</v>
      </c>
      <c r="G130" s="2" t="s">
        <v>82</v>
      </c>
      <c r="H130" s="2" t="s">
        <v>82</v>
      </c>
      <c r="I130" s="2" t="s">
        <v>82</v>
      </c>
      <c r="J130" s="2" t="s">
        <v>82</v>
      </c>
      <c r="K130" s="8" t="str">
        <f aca="false">TEXT(TRIM(D130),"0")</f>
        <v>11224249815</v>
      </c>
      <c r="L130" s="1" t="str">
        <f aca="false">IF(F130="Revisar","NULL",CONCATENATE("'",TEXT(F130,"yyyy-mm-dd"),"'"))</f>
        <v>'NULL'</v>
      </c>
      <c r="M130" s="9" t="str">
        <f aca="false">IF(G130="Revisar","NULL",CONCATENATE("'",MID(G130,1,1),"'"))</f>
        <v>'N'</v>
      </c>
      <c r="N130" s="9" t="str">
        <f aca="false">IF(H130="Revisar","NULL",CONCATENATE("'",H130,"'"))</f>
        <v>'NULL'</v>
      </c>
      <c r="O130" s="9" t="str">
        <f aca="false">IF(I130="Revisar","NULL",CONCATENATE("'",I130,"'"))</f>
        <v>'NULL'</v>
      </c>
      <c r="P130" s="1" t="str">
        <f aca="false">"UPDATE estudiantes SET fecha_nacimiento="&amp;L130&amp;", sexo="&amp;M130&amp;", lugar_nacimiento="&amp;N130&amp;", entidad_federal="&amp;O130&amp;" WHERE cedula='"&amp;K130&amp;"';"</f>
        <v>UPDATE estudiantes SET fecha_nacimiento='NULL', sexo='N', lugar_nacimiento='NULL', entidad_federal='NULL' WHERE cedula='11224249815';</v>
      </c>
    </row>
    <row r="131" customFormat="false" ht="14.9" hidden="false" customHeight="false" outlineLevel="0" collapsed="false">
      <c r="A131" s="1" t="s">
        <v>15</v>
      </c>
      <c r="B131" s="1" t="s">
        <v>16</v>
      </c>
      <c r="C131" s="1" t="s">
        <v>129</v>
      </c>
      <c r="D131" s="1" t="s">
        <v>152</v>
      </c>
      <c r="E131" s="2" t="n">
        <v>45923</v>
      </c>
      <c r="F131" s="2" t="n">
        <f aca="false">IFERROR(VLOOKUP(TRIM($D131), Hoja4_2!$A$2:$L$10000, 4, 0), "Revisar")</f>
        <v>41339</v>
      </c>
      <c r="G131" s="7" t="str">
        <f aca="false">IFERROR(VLOOKUP(TRIM($D131), Hoja4_2!$A$2:$L$10000, 5, 0), "Revisar")</f>
        <v>MASCULINO</v>
      </c>
      <c r="H131" s="7" t="str">
        <f aca="false">IFERROR(VLOOKUP(TRIM($D131), Hoja4_2!$A$2:$L$10000, 7, 0), "Revisar")</f>
        <v>MARACAIBO</v>
      </c>
      <c r="I131" s="7" t="str">
        <f aca="false">IFERROR(VLOOKUP(TRIM($D131), Hoja4_2!$A$2:$L$10000, 9, 0), "Revisar")</f>
        <v>ZU</v>
      </c>
      <c r="J131" s="7" t="str">
        <f aca="false">IFERROR(VLOOKUP(TRIM($D131), Hoja4_2!$A$2:$L$10000, 12, 0), "Revisar")</f>
        <v>17180079</v>
      </c>
      <c r="K131" s="8" t="str">
        <f aca="false">TEXT(TRIM(D131),"0")</f>
        <v>11317180079</v>
      </c>
      <c r="L131" s="1" t="str">
        <f aca="false">IF(F131="Revisar","NULL",CONCATENATE("'",TEXT(F131,"yyyy-mm-dd"),"'"))</f>
        <v>'2013-03-06'</v>
      </c>
      <c r="M131" s="9" t="str">
        <f aca="false">IF(G131="Revisar","NULL",CONCATENATE("'",MID(G131,1,1),"'"))</f>
        <v>'M'</v>
      </c>
      <c r="N131" s="9" t="str">
        <f aca="false">IF(H131="Revisar","NULL",CONCATENATE("'",H131,"'"))</f>
        <v>'MARACAIBO'</v>
      </c>
      <c r="O131" s="9" t="str">
        <f aca="false">IF(I131="Revisar","NULL",CONCATENATE("'",I131,"'"))</f>
        <v>'ZU'</v>
      </c>
      <c r="P131" s="1" t="str">
        <f aca="false">"UPDATE estudiantes SET fecha_nacimiento="&amp;L131&amp;", sexo="&amp;M131&amp;", lugar_nacimiento="&amp;N131&amp;", entidad_federal="&amp;O131&amp;" WHERE cedula='"&amp;K131&amp;"';"</f>
        <v>UPDATE estudiantes SET fecha_nacimiento='2013-03-06', sexo='M', lugar_nacimiento='MARACAIBO', entidad_federal='ZU' WHERE cedula='11317180079';</v>
      </c>
    </row>
    <row r="132" customFormat="false" ht="14.9" hidden="false" customHeight="false" outlineLevel="0" collapsed="false">
      <c r="A132" s="1" t="s">
        <v>15</v>
      </c>
      <c r="B132" s="1" t="s">
        <v>16</v>
      </c>
      <c r="C132" s="1" t="s">
        <v>129</v>
      </c>
      <c r="D132" s="1" t="s">
        <v>153</v>
      </c>
      <c r="E132" s="2" t="n">
        <v>45923</v>
      </c>
      <c r="F132" s="2" t="n">
        <f aca="false">IFERROR(VLOOKUP(TRIM($D132), Hoja4_2!$A$2:$L$10000, 4, 0), "Revisar")</f>
        <v>41499</v>
      </c>
      <c r="G132" s="7" t="str">
        <f aca="false">IFERROR(VLOOKUP(TRIM($D132), Hoja4_2!$A$2:$L$10000, 5, 0), "Revisar")</f>
        <v>MASCULINO</v>
      </c>
      <c r="H132" s="7" t="str">
        <f aca="false">IFERROR(VLOOKUP(TRIM($D132), Hoja4_2!$A$2:$L$10000, 7, 0), "Revisar")</f>
        <v>MARACAIBO</v>
      </c>
      <c r="I132" s="7" t="str">
        <f aca="false">IFERROR(VLOOKUP(TRIM($D132), Hoja4_2!$A$2:$L$10000, 9, 0), "Revisar")</f>
        <v>ZU</v>
      </c>
      <c r="J132" s="7" t="str">
        <f aca="false">IFERROR(VLOOKUP(TRIM($D132), Hoja4_2!$A$2:$L$10000, 12, 0), "Revisar")</f>
        <v>18317900</v>
      </c>
      <c r="K132" s="8" t="str">
        <f aca="false">TEXT(TRIM(D132),"0")</f>
        <v>11318317900</v>
      </c>
      <c r="L132" s="1" t="str">
        <f aca="false">IF(F132="Revisar","NULL",CONCATENATE("'",TEXT(F132,"yyyy-mm-dd"),"'"))</f>
        <v>'2013-08-13'</v>
      </c>
      <c r="M132" s="9" t="str">
        <f aca="false">IF(G132="Revisar","NULL",CONCATENATE("'",MID(G132,1,1),"'"))</f>
        <v>'M'</v>
      </c>
      <c r="N132" s="9" t="str">
        <f aca="false">IF(H132="Revisar","NULL",CONCATENATE("'",H132,"'"))</f>
        <v>'MARACAIBO'</v>
      </c>
      <c r="O132" s="9" t="str">
        <f aca="false">IF(I132="Revisar","NULL",CONCATENATE("'",I132,"'"))</f>
        <v>'ZU'</v>
      </c>
      <c r="P132" s="1" t="str">
        <f aca="false">"UPDATE estudiantes SET fecha_nacimiento="&amp;L132&amp;", sexo="&amp;M132&amp;", lugar_nacimiento="&amp;N132&amp;", entidad_federal="&amp;O132&amp;" WHERE cedula='"&amp;K132&amp;"';"</f>
        <v>UPDATE estudiantes SET fecha_nacimiento='2013-08-13', sexo='M', lugar_nacimiento='MARACAIBO', entidad_federal='ZU' WHERE cedula='11318317900';</v>
      </c>
    </row>
    <row r="133" customFormat="false" ht="14.9" hidden="false" customHeight="false" outlineLevel="0" collapsed="false">
      <c r="A133" s="1" t="s">
        <v>15</v>
      </c>
      <c r="B133" s="1" t="s">
        <v>16</v>
      </c>
      <c r="C133" s="1" t="s">
        <v>129</v>
      </c>
      <c r="D133" s="1" t="s">
        <v>154</v>
      </c>
      <c r="E133" s="2" t="n">
        <v>45923</v>
      </c>
      <c r="F133" s="2" t="n">
        <f aca="false">IFERROR(VLOOKUP(TRIM($D133), Hoja4_2!$A$2:$L$10000, 4, 0), "Revisar")</f>
        <v>41499</v>
      </c>
      <c r="G133" s="7" t="str">
        <f aca="false">IFERROR(VLOOKUP(TRIM($D133), Hoja4_2!$A$2:$L$10000, 5, 0), "Revisar")</f>
        <v>FEMENINO</v>
      </c>
      <c r="H133" s="7" t="str">
        <f aca="false">IFERROR(VLOOKUP(TRIM($D133), Hoja4_2!$A$2:$L$10000, 7, 0), "Revisar")</f>
        <v>MARACAIBO</v>
      </c>
      <c r="I133" s="7" t="str">
        <f aca="false">IFERROR(VLOOKUP(TRIM($D133), Hoja4_2!$A$2:$L$10000, 9, 0), "Revisar")</f>
        <v>ZU</v>
      </c>
      <c r="J133" s="7" t="str">
        <f aca="false">IFERROR(VLOOKUP(TRIM($D133), Hoja4_2!$A$2:$L$10000, 12, 0), "Revisar")</f>
        <v>21510341</v>
      </c>
      <c r="K133" s="8" t="str">
        <f aca="false">TEXT(TRIM(D133),"0")</f>
        <v>11321510341</v>
      </c>
      <c r="L133" s="1" t="str">
        <f aca="false">IF(F133="Revisar","NULL",CONCATENATE("'",TEXT(F133,"yyyy-mm-dd"),"'"))</f>
        <v>'2013-08-13'</v>
      </c>
      <c r="M133" s="9" t="str">
        <f aca="false">IF(G133="Revisar","NULL",CONCATENATE("'",MID(G133,1,1),"'"))</f>
        <v>'F'</v>
      </c>
      <c r="N133" s="9" t="str">
        <f aca="false">IF(H133="Revisar","NULL",CONCATENATE("'",H133,"'"))</f>
        <v>'MARACAIBO'</v>
      </c>
      <c r="O133" s="9" t="str">
        <f aca="false">IF(I133="Revisar","NULL",CONCATENATE("'",I133,"'"))</f>
        <v>'ZU'</v>
      </c>
      <c r="P133" s="1" t="str">
        <f aca="false">"UPDATE estudiantes SET fecha_nacimiento="&amp;L133&amp;", sexo="&amp;M133&amp;", lugar_nacimiento="&amp;N133&amp;", entidad_federal="&amp;O133&amp;" WHERE cedula='"&amp;K133&amp;"';"</f>
        <v>UPDATE estudiantes SET fecha_nacimiento='2013-08-13', sexo='F', lugar_nacimiento='MARACAIBO', entidad_federal='ZU' WHERE cedula='11321510341';</v>
      </c>
    </row>
    <row r="134" customFormat="false" ht="14.9" hidden="false" customHeight="false" outlineLevel="0" collapsed="false">
      <c r="A134" s="1" t="s">
        <v>15</v>
      </c>
      <c r="B134" s="1" t="s">
        <v>16</v>
      </c>
      <c r="C134" s="1" t="s">
        <v>129</v>
      </c>
      <c r="D134" s="1" t="s">
        <v>155</v>
      </c>
      <c r="E134" s="2" t="n">
        <v>45923</v>
      </c>
      <c r="F134" s="2" t="n">
        <f aca="false">IFERROR(VLOOKUP(TRIM($D134), Hoja4_2!$A$2:$L$10000, 4, 0), "Revisar")</f>
        <v>41426</v>
      </c>
      <c r="G134" s="7" t="str">
        <f aca="false">IFERROR(VLOOKUP(TRIM($D134), Hoja4_2!$A$2:$L$10000, 5, 0), "Revisar")</f>
        <v>FEMENINO</v>
      </c>
      <c r="H134" s="7" t="str">
        <f aca="false">IFERROR(VLOOKUP(TRIM($D134), Hoja4_2!$A$2:$L$10000, 7, 0), "Revisar")</f>
        <v>JESUS ENRIQUE LOSSADA</v>
      </c>
      <c r="I134" s="7" t="str">
        <f aca="false">IFERROR(VLOOKUP(TRIM($D134), Hoja4_2!$A$2:$L$10000, 9, 0), "Revisar")</f>
        <v>ZU</v>
      </c>
      <c r="J134" s="7" t="str">
        <f aca="false">IFERROR(VLOOKUP(TRIM($D134), Hoja4_2!$A$2:$L$10000, 12, 0), "Revisar")</f>
        <v>23460028</v>
      </c>
      <c r="K134" s="8" t="str">
        <f aca="false">TEXT(TRIM(D134),"0")</f>
        <v>11323460028</v>
      </c>
      <c r="L134" s="1" t="str">
        <f aca="false">IF(F134="Revisar","NULL",CONCATENATE("'",TEXT(F134,"yyyy-mm-dd"),"'"))</f>
        <v>'2013-06-01'</v>
      </c>
      <c r="M134" s="9" t="str">
        <f aca="false">IF(G134="Revisar","NULL",CONCATENATE("'",MID(G134,1,1),"'"))</f>
        <v>'F'</v>
      </c>
      <c r="N134" s="9" t="str">
        <f aca="false">IF(H134="Revisar","NULL",CONCATENATE("'",H134,"'"))</f>
        <v>'JESUS ENRIQUE LOSSADA'</v>
      </c>
      <c r="O134" s="9" t="str">
        <f aca="false">IF(I134="Revisar","NULL",CONCATENATE("'",I134,"'"))</f>
        <v>'ZU'</v>
      </c>
      <c r="P134" s="1" t="str">
        <f aca="false">"UPDATE estudiantes SET fecha_nacimiento="&amp;L134&amp;", sexo="&amp;M134&amp;", lugar_nacimiento="&amp;N134&amp;", entidad_federal="&amp;O134&amp;" WHERE cedula='"&amp;K134&amp;"';"</f>
        <v>UPDATE estudiantes SET fecha_nacimiento='2013-06-01', sexo='F', lugar_nacimiento='JESUS ENRIQUE LOSSADA', entidad_federal='ZU' WHERE cedula='11323460028';</v>
      </c>
    </row>
    <row r="135" customFormat="false" ht="14.9" hidden="false" customHeight="false" outlineLevel="0" collapsed="false">
      <c r="A135" s="1" t="s">
        <v>15</v>
      </c>
      <c r="B135" s="1" t="s">
        <v>16</v>
      </c>
      <c r="C135" s="1" t="s">
        <v>129</v>
      </c>
      <c r="D135" s="1" t="s">
        <v>156</v>
      </c>
      <c r="E135" s="2" t="n">
        <v>45923</v>
      </c>
      <c r="F135" s="2" t="n">
        <f aca="false">IFERROR(VLOOKUP(TRIM($D135), Hoja4_2!$A$2:$L$10000, 4, 0), "Revisar")</f>
        <v>41722</v>
      </c>
      <c r="G135" s="7" t="str">
        <f aca="false">IFERROR(VLOOKUP(TRIM($D135), Hoja4_2!$A$2:$L$10000, 5, 0), "Revisar")</f>
        <v>MASCULINO</v>
      </c>
      <c r="H135" s="7" t="str">
        <f aca="false">IFERROR(VLOOKUP(TRIM($D135), Hoja4_2!$A$2:$L$10000, 7, 0), "Revisar")</f>
        <v>SANFRANCISCO</v>
      </c>
      <c r="I135" s="7" t="str">
        <f aca="false">IFERROR(VLOOKUP(TRIM($D135), Hoja4_2!$A$2:$L$10000, 9, 0), "Revisar")</f>
        <v>ZU</v>
      </c>
      <c r="J135" s="7" t="str">
        <f aca="false">IFERROR(VLOOKUP(TRIM($D135), Hoja4_2!$A$2:$L$10000, 12, 0), "Revisar")</f>
        <v>17938286</v>
      </c>
      <c r="K135" s="8" t="str">
        <f aca="false">TEXT(TRIM(D135),"0")</f>
        <v>11419811519</v>
      </c>
      <c r="L135" s="1" t="str">
        <f aca="false">IF(F135="Revisar","NULL",CONCATENATE("'",TEXT(F135,"yyyy-mm-dd"),"'"))</f>
        <v>'2014-03-24'</v>
      </c>
      <c r="M135" s="9" t="str">
        <f aca="false">IF(G135="Revisar","NULL",CONCATENATE("'",MID(G135,1,1),"'"))</f>
        <v>'M'</v>
      </c>
      <c r="N135" s="9" t="str">
        <f aca="false">IF(H135="Revisar","NULL",CONCATENATE("'",H135,"'"))</f>
        <v>'SANFRANCISCO'</v>
      </c>
      <c r="O135" s="9" t="str">
        <f aca="false">IF(I135="Revisar","NULL",CONCATENATE("'",I135,"'"))</f>
        <v>'ZU'</v>
      </c>
      <c r="P135" s="1" t="str">
        <f aca="false">"UPDATE estudiantes SET fecha_nacimiento="&amp;L135&amp;", sexo="&amp;M135&amp;", lugar_nacimiento="&amp;N135&amp;", entidad_federal="&amp;O135&amp;" WHERE cedula='"&amp;K135&amp;"';"</f>
        <v>UPDATE estudiantes SET fecha_nacimiento='2014-03-24', sexo='M', lugar_nacimiento='SANFRANCISCO', entidad_federal='ZU' WHERE cedula='11419811519';</v>
      </c>
    </row>
    <row r="136" customFormat="false" ht="14.9" hidden="false" customHeight="false" outlineLevel="0" collapsed="false">
      <c r="A136" s="1" t="s">
        <v>15</v>
      </c>
      <c r="B136" s="1" t="s">
        <v>16</v>
      </c>
      <c r="C136" s="1" t="s">
        <v>129</v>
      </c>
      <c r="D136" s="1" t="s">
        <v>157</v>
      </c>
      <c r="E136" s="2" t="n">
        <v>45923</v>
      </c>
      <c r="F136" s="2" t="n">
        <f aca="false">IFERROR(VLOOKUP(TRIM($D136), Hoja4_2!$A$2:$L$10000, 4, 0), "Revisar")</f>
        <v>41689</v>
      </c>
      <c r="G136" s="7" t="str">
        <f aca="false">IFERROR(VLOOKUP(TRIM($D136), Hoja4_2!$A$2:$L$10000, 5, 0), "Revisar")</f>
        <v>MASCULINO</v>
      </c>
      <c r="H136" s="7" t="str">
        <f aca="false">IFERROR(VLOOKUP(TRIM($D136), Hoja4_2!$A$2:$L$10000, 7, 0), "Revisar")</f>
        <v>MARACAIBO</v>
      </c>
      <c r="I136" s="7" t="str">
        <f aca="false">IFERROR(VLOOKUP(TRIM($D136), Hoja4_2!$A$2:$L$10000, 9, 0), "Revisar")</f>
        <v>ZU</v>
      </c>
      <c r="J136" s="7" t="str">
        <f aca="false">IFERROR(VLOOKUP(TRIM($D136), Hoja4_2!$A$2:$L$10000, 12, 0), "Revisar")</f>
        <v>21228588</v>
      </c>
      <c r="K136" s="8" t="str">
        <f aca="false">TEXT(TRIM(D136),"0")</f>
        <v>11421228588</v>
      </c>
      <c r="L136" s="1" t="str">
        <f aca="false">IF(F136="Revisar","NULL",CONCATENATE("'",TEXT(F136,"yyyy-mm-dd"),"'"))</f>
        <v>'2014-02-19'</v>
      </c>
      <c r="M136" s="9" t="str">
        <f aca="false">IF(G136="Revisar","NULL",CONCATENATE("'",MID(G136,1,1),"'"))</f>
        <v>'M'</v>
      </c>
      <c r="N136" s="9" t="str">
        <f aca="false">IF(H136="Revisar","NULL",CONCATENATE("'",H136,"'"))</f>
        <v>'MARACAIBO'</v>
      </c>
      <c r="O136" s="9" t="str">
        <f aca="false">IF(I136="Revisar","NULL",CONCATENATE("'",I136,"'"))</f>
        <v>'ZU'</v>
      </c>
      <c r="P136" s="1" t="str">
        <f aca="false">"UPDATE estudiantes SET fecha_nacimiento="&amp;L136&amp;", sexo="&amp;M136&amp;", lugar_nacimiento="&amp;N136&amp;", entidad_federal="&amp;O136&amp;" WHERE cedula='"&amp;K136&amp;"';"</f>
        <v>UPDATE estudiantes SET fecha_nacimiento='2014-02-19', sexo='M', lugar_nacimiento='MARACAIBO', entidad_federal='ZU' WHERE cedula='11421228588';</v>
      </c>
    </row>
    <row r="137" customFormat="false" ht="14.9" hidden="false" customHeight="false" outlineLevel="0" collapsed="false">
      <c r="A137" s="1" t="s">
        <v>15</v>
      </c>
      <c r="B137" s="1" t="s">
        <v>16</v>
      </c>
      <c r="C137" s="1" t="s">
        <v>129</v>
      </c>
      <c r="D137" s="1" t="s">
        <v>158</v>
      </c>
      <c r="E137" s="2" t="n">
        <v>45923</v>
      </c>
      <c r="F137" s="2" t="n">
        <f aca="false">IFERROR(VLOOKUP(TRIM($D137), Hoja4_2!$A$2:$L$10000, 4, 0), "Revisar")</f>
        <v>41830</v>
      </c>
      <c r="G137" s="7" t="str">
        <f aca="false">IFERROR(VLOOKUP(TRIM($D137), Hoja4_2!$A$2:$L$10000, 5, 0), "Revisar")</f>
        <v>MASCULINO</v>
      </c>
      <c r="H137" s="7" t="str">
        <f aca="false">IFERROR(VLOOKUP(TRIM($D137), Hoja4_2!$A$2:$L$10000, 7, 0), "Revisar")</f>
        <v>MARACAIBO</v>
      </c>
      <c r="I137" s="7" t="str">
        <f aca="false">IFERROR(VLOOKUP(TRIM($D137), Hoja4_2!$A$2:$L$10000, 9, 0), "Revisar")</f>
        <v>ZU</v>
      </c>
      <c r="J137" s="7" t="str">
        <f aca="false">IFERROR(VLOOKUP(TRIM($D137), Hoja4_2!$A$2:$L$10000, 12, 0), "Revisar")</f>
        <v>25883890</v>
      </c>
      <c r="K137" s="8" t="str">
        <f aca="false">TEXT(TRIM(D137),"0")</f>
        <v>11425883890</v>
      </c>
      <c r="L137" s="1" t="str">
        <f aca="false">IF(F137="Revisar","NULL",CONCATENATE("'",TEXT(F137,"yyyy-mm-dd"),"'"))</f>
        <v>'2014-07-10'</v>
      </c>
      <c r="M137" s="9" t="str">
        <f aca="false">IF(G137="Revisar","NULL",CONCATENATE("'",MID(G137,1,1),"'"))</f>
        <v>'M'</v>
      </c>
      <c r="N137" s="9" t="str">
        <f aca="false">IF(H137="Revisar","NULL",CONCATENATE("'",H137,"'"))</f>
        <v>'MARACAIBO'</v>
      </c>
      <c r="O137" s="9" t="str">
        <f aca="false">IF(I137="Revisar","NULL",CONCATENATE("'",I137,"'"))</f>
        <v>'ZU'</v>
      </c>
      <c r="P137" s="1" t="str">
        <f aca="false">"UPDATE estudiantes SET fecha_nacimiento="&amp;L137&amp;", sexo="&amp;M137&amp;", lugar_nacimiento="&amp;N137&amp;", entidad_federal="&amp;O137&amp;" WHERE cedula='"&amp;K137&amp;"';"</f>
        <v>UPDATE estudiantes SET fecha_nacimiento='2014-07-10', sexo='M', lugar_nacimiento='MARACAIBO', entidad_federal='ZU' WHERE cedula='11425883890';</v>
      </c>
    </row>
    <row r="138" customFormat="false" ht="14.9" hidden="false" customHeight="false" outlineLevel="0" collapsed="false">
      <c r="A138" s="1" t="s">
        <v>15</v>
      </c>
      <c r="B138" s="1" t="s">
        <v>16</v>
      </c>
      <c r="C138" s="1" t="s">
        <v>129</v>
      </c>
      <c r="D138" s="1" t="s">
        <v>159</v>
      </c>
      <c r="E138" s="2" t="n">
        <v>45923</v>
      </c>
      <c r="F138" s="2" t="n">
        <f aca="false">IFERROR(VLOOKUP(TRIM($D138), Hoja4_2!$A$2:$L$10000, 4, 0), "Revisar")</f>
        <v>42083</v>
      </c>
      <c r="G138" s="7" t="str">
        <f aca="false">IFERROR(VLOOKUP(TRIM($D138), Hoja4_2!$A$2:$L$10000, 5, 0), "Revisar")</f>
        <v>FEMENINO</v>
      </c>
      <c r="H138" s="7" t="str">
        <f aca="false">IFERROR(VLOOKUP(TRIM($D138), Hoja4_2!$A$2:$L$10000, 7, 0), "Revisar")</f>
        <v>MARACAIBO</v>
      </c>
      <c r="I138" s="7" t="str">
        <f aca="false">IFERROR(VLOOKUP(TRIM($D138), Hoja4_2!$A$2:$L$10000, 9, 0), "Revisar")</f>
        <v>ZU</v>
      </c>
      <c r="J138" s="7" t="str">
        <f aca="false">IFERROR(VLOOKUP(TRIM($D138), Hoja4_2!$A$2:$L$10000, 12, 0), "Revisar")</f>
        <v>17938286</v>
      </c>
      <c r="K138" s="8" t="str">
        <f aca="false">TEXT(TRIM(D138),"0")</f>
        <v>11517938286</v>
      </c>
      <c r="L138" s="1" t="str">
        <f aca="false">IF(F138="Revisar","NULL",CONCATENATE("'",TEXT(F138,"yyyy-mm-dd"),"'"))</f>
        <v>'2015-03-20'</v>
      </c>
      <c r="M138" s="9" t="str">
        <f aca="false">IF(G138="Revisar","NULL",CONCATENATE("'",MID(G138,1,1),"'"))</f>
        <v>'F'</v>
      </c>
      <c r="N138" s="9" t="str">
        <f aca="false">IF(H138="Revisar","NULL",CONCATENATE("'",H138,"'"))</f>
        <v>'MARACAIBO'</v>
      </c>
      <c r="O138" s="9" t="str">
        <f aca="false">IF(I138="Revisar","NULL",CONCATENATE("'",I138,"'"))</f>
        <v>'ZU'</v>
      </c>
      <c r="P138" s="1" t="str">
        <f aca="false">"UPDATE estudiantes SET fecha_nacimiento="&amp;L138&amp;", sexo="&amp;M138&amp;", lugar_nacimiento="&amp;N138&amp;", entidad_federal="&amp;O138&amp;" WHERE cedula='"&amp;K138&amp;"';"</f>
        <v>UPDATE estudiantes SET fecha_nacimiento='2015-03-20', sexo='F', lugar_nacimiento='MARACAIBO', entidad_federal='ZU' WHERE cedula='11517938286';</v>
      </c>
    </row>
    <row r="139" customFormat="false" ht="14.9" hidden="false" customHeight="false" outlineLevel="0" collapsed="false">
      <c r="A139" s="1" t="s">
        <v>15</v>
      </c>
      <c r="B139" s="1" t="s">
        <v>16</v>
      </c>
      <c r="C139" s="1" t="s">
        <v>160</v>
      </c>
      <c r="D139" s="1" t="s">
        <v>161</v>
      </c>
      <c r="E139" s="2" t="n">
        <v>45923</v>
      </c>
      <c r="F139" s="2" t="n">
        <f aca="false">IFERROR(VLOOKUP(TRIM($D139), Hoja4_2!$A$2:$L$10000, 4, 0), "Revisar")</f>
        <v>40409</v>
      </c>
      <c r="G139" s="7" t="str">
        <f aca="false">IFERROR(VLOOKUP(TRIM($D139), Hoja4_2!$A$2:$L$10000, 5, 0), "Revisar")</f>
        <v>MASCULINO</v>
      </c>
      <c r="H139" s="7" t="str">
        <f aca="false">IFERROR(VLOOKUP(TRIM($D139), Hoja4_2!$A$2:$L$10000, 7, 0), "Revisar")</f>
        <v>MARACAIBO</v>
      </c>
      <c r="I139" s="7" t="str">
        <f aca="false">IFERROR(VLOOKUP(TRIM($D139), Hoja4_2!$A$2:$L$10000, 9, 0), "Revisar")</f>
        <v>ZU</v>
      </c>
      <c r="J139" s="7" t="str">
        <f aca="false">IFERROR(VLOOKUP(TRIM($D139), Hoja4_2!$A$2:$L$10000, 12, 0), "Revisar")</f>
        <v>19016978</v>
      </c>
      <c r="K139" s="8" t="str">
        <f aca="false">TEXT(TRIM(D139),"0")</f>
        <v>34534055</v>
      </c>
      <c r="L139" s="1" t="str">
        <f aca="false">IF(F139="Revisar","NULL",CONCATENATE("'",TEXT(F139,"yyyy-mm-dd"),"'"))</f>
        <v>'2010-08-19'</v>
      </c>
      <c r="M139" s="9" t="str">
        <f aca="false">IF(G139="Revisar","NULL",CONCATENATE("'",MID(G139,1,1),"'"))</f>
        <v>'M'</v>
      </c>
      <c r="N139" s="9" t="str">
        <f aca="false">IF(H139="Revisar","NULL",CONCATENATE("'",H139,"'"))</f>
        <v>'MARACAIBO'</v>
      </c>
      <c r="O139" s="9" t="str">
        <f aca="false">IF(I139="Revisar","NULL",CONCATENATE("'",I139,"'"))</f>
        <v>'ZU'</v>
      </c>
      <c r="P139" s="1" t="str">
        <f aca="false">"UPDATE estudiantes SET fecha_nacimiento="&amp;L139&amp;", sexo="&amp;M139&amp;", lugar_nacimiento="&amp;N139&amp;", entidad_federal="&amp;O139&amp;" WHERE cedula='"&amp;K139&amp;"';"</f>
        <v>UPDATE estudiantes SET fecha_nacimiento='2010-08-19', sexo='M', lugar_nacimiento='MARACAIBO', entidad_federal='ZU' WHERE cedula='34534055';</v>
      </c>
    </row>
    <row r="140" customFormat="false" ht="14.9" hidden="false" customHeight="false" outlineLevel="0" collapsed="false">
      <c r="A140" s="1" t="s">
        <v>15</v>
      </c>
      <c r="B140" s="1" t="s">
        <v>16</v>
      </c>
      <c r="C140" s="1" t="s">
        <v>160</v>
      </c>
      <c r="D140" s="1" t="s">
        <v>162</v>
      </c>
      <c r="E140" s="2" t="n">
        <v>45923</v>
      </c>
      <c r="F140" s="2" t="n">
        <f aca="false">IFERROR(VLOOKUP(TRIM($D140), Hoja4_2!$A$2:$L$10000, 4, 0), "Revisar")</f>
        <v>41166</v>
      </c>
      <c r="G140" s="7" t="str">
        <f aca="false">IFERROR(VLOOKUP(TRIM($D140), Hoja4_2!$A$2:$L$10000, 5, 0), "Revisar")</f>
        <v>MASCULINO</v>
      </c>
      <c r="H140" s="7" t="str">
        <f aca="false">IFERROR(VLOOKUP(TRIM($D140), Hoja4_2!$A$2:$L$10000, 7, 0), "Revisar")</f>
        <v>JESUS ENRIQUE LOSSADA</v>
      </c>
      <c r="I140" s="7" t="str">
        <f aca="false">IFERROR(VLOOKUP(TRIM($D140), Hoja4_2!$A$2:$L$10000, 9, 0), "Revisar")</f>
        <v>ZU</v>
      </c>
      <c r="J140" s="7" t="str">
        <f aca="false">IFERROR(VLOOKUP(TRIM($D140), Hoja4_2!$A$2:$L$10000, 12, 0), "Revisar")</f>
        <v>19450653</v>
      </c>
      <c r="K140" s="8" t="str">
        <f aca="false">TEXT(TRIM(D140),"0")</f>
        <v>34565898</v>
      </c>
      <c r="L140" s="1" t="str">
        <f aca="false">IF(F140="Revisar","NULL",CONCATENATE("'",TEXT(F140,"yyyy-mm-dd"),"'"))</f>
        <v>'2012-09-14'</v>
      </c>
      <c r="M140" s="9" t="str">
        <f aca="false">IF(G140="Revisar","NULL",CONCATENATE("'",MID(G140,1,1),"'"))</f>
        <v>'M'</v>
      </c>
      <c r="N140" s="9" t="str">
        <f aca="false">IF(H140="Revisar","NULL",CONCATENATE("'",H140,"'"))</f>
        <v>'JESUS ENRIQUE LOSSADA'</v>
      </c>
      <c r="O140" s="9" t="str">
        <f aca="false">IF(I140="Revisar","NULL",CONCATENATE("'",I140,"'"))</f>
        <v>'ZU'</v>
      </c>
      <c r="P140" s="1" t="str">
        <f aca="false">"UPDATE estudiantes SET fecha_nacimiento="&amp;L140&amp;", sexo="&amp;M140&amp;", lugar_nacimiento="&amp;N140&amp;", entidad_federal="&amp;O140&amp;" WHERE cedula='"&amp;K140&amp;"';"</f>
        <v>UPDATE estudiantes SET fecha_nacimiento='2012-09-14', sexo='M', lugar_nacimiento='JESUS ENRIQUE LOSSADA', entidad_federal='ZU' WHERE cedula='34565898';</v>
      </c>
    </row>
    <row r="141" customFormat="false" ht="14.9" hidden="false" customHeight="false" outlineLevel="0" collapsed="false">
      <c r="A141" s="1" t="s">
        <v>15</v>
      </c>
      <c r="B141" s="1" t="s">
        <v>16</v>
      </c>
      <c r="C141" s="1" t="s">
        <v>160</v>
      </c>
      <c r="D141" s="1" t="s">
        <v>163</v>
      </c>
      <c r="E141" s="2" t="n">
        <v>45923</v>
      </c>
      <c r="F141" s="2" t="n">
        <f aca="false">IFERROR(VLOOKUP(TRIM($D141), Hoja4_2!$A$2:$L$10000, 4, 0), "Revisar")</f>
        <v>41593</v>
      </c>
      <c r="G141" s="7" t="str">
        <f aca="false">IFERROR(VLOOKUP(TRIM($D141), Hoja4_2!$A$2:$L$10000, 5, 0), "Revisar")</f>
        <v>MASCULINO</v>
      </c>
      <c r="H141" s="7" t="str">
        <f aca="false">IFERROR(VLOOKUP(TRIM($D141), Hoja4_2!$A$2:$L$10000, 7, 0), "Revisar")</f>
        <v>MARACAIBO</v>
      </c>
      <c r="I141" s="7" t="str">
        <f aca="false">IFERROR(VLOOKUP(TRIM($D141), Hoja4_2!$A$2:$L$10000, 9, 0), "Revisar")</f>
        <v>ZU</v>
      </c>
      <c r="J141" s="7" t="str">
        <f aca="false">IFERROR(VLOOKUP(TRIM($D141), Hoja4_2!$A$2:$L$10000, 12, 0), "Revisar")</f>
        <v>14737904</v>
      </c>
      <c r="K141" s="8" t="str">
        <f aca="false">TEXT(TRIM(D141),"0")</f>
        <v>35116976</v>
      </c>
      <c r="L141" s="1" t="str">
        <f aca="false">IF(F141="Revisar","NULL",CONCATENATE("'",TEXT(F141,"yyyy-mm-dd"),"'"))</f>
        <v>'2013-11-15'</v>
      </c>
      <c r="M141" s="9" t="str">
        <f aca="false">IF(G141="Revisar","NULL",CONCATENATE("'",MID(G141,1,1),"'"))</f>
        <v>'M'</v>
      </c>
      <c r="N141" s="9" t="str">
        <f aca="false">IF(H141="Revisar","NULL",CONCATENATE("'",H141,"'"))</f>
        <v>'MARACAIBO'</v>
      </c>
      <c r="O141" s="9" t="str">
        <f aca="false">IF(I141="Revisar","NULL",CONCATENATE("'",I141,"'"))</f>
        <v>'ZU'</v>
      </c>
      <c r="P141" s="1" t="str">
        <f aca="false">"UPDATE estudiantes SET fecha_nacimiento="&amp;L141&amp;", sexo="&amp;M141&amp;", lugar_nacimiento="&amp;N141&amp;", entidad_federal="&amp;O141&amp;" WHERE cedula='"&amp;K141&amp;"';"</f>
        <v>UPDATE estudiantes SET fecha_nacimiento='2013-11-15', sexo='M', lugar_nacimiento='MARACAIBO', entidad_federal='ZU' WHERE cedula='35116976';</v>
      </c>
    </row>
    <row r="142" customFormat="false" ht="14.9" hidden="false" customHeight="false" outlineLevel="0" collapsed="false">
      <c r="A142" s="1" t="s">
        <v>15</v>
      </c>
      <c r="B142" s="1" t="s">
        <v>16</v>
      </c>
      <c r="C142" s="1" t="s">
        <v>160</v>
      </c>
      <c r="D142" s="1" t="s">
        <v>164</v>
      </c>
      <c r="E142" s="2" t="n">
        <v>45925</v>
      </c>
      <c r="F142" s="2" t="n">
        <f aca="false">IFERROR(VLOOKUP(TRIM($D142), Hoja4_2!$A$2:$L$10000, 4, 0), "Revisar")</f>
        <v>40480</v>
      </c>
      <c r="G142" s="7" t="str">
        <f aca="false">IFERROR(VLOOKUP(TRIM($D142), Hoja4_2!$A$2:$L$10000, 5, 0), "Revisar")</f>
        <v>MASCULINO</v>
      </c>
      <c r="H142" s="7" t="str">
        <f aca="false">IFERROR(VLOOKUP(TRIM($D142), Hoja4_2!$A$2:$L$10000, 7, 0), "Revisar")</f>
        <v>JESUS ENRIQUE LOSSADA</v>
      </c>
      <c r="I142" s="7" t="str">
        <f aca="false">IFERROR(VLOOKUP(TRIM($D142), Hoja4_2!$A$2:$L$10000, 9, 0), "Revisar")</f>
        <v>ZU</v>
      </c>
      <c r="J142" s="7" t="str">
        <f aca="false">IFERROR(VLOOKUP(TRIM($D142), Hoja4_2!$A$2:$L$10000, 12, 0), "Revisar")</f>
        <v>24250404</v>
      </c>
      <c r="K142" s="8" t="str">
        <f aca="false">TEXT(TRIM(D142),"0")</f>
        <v>36559655</v>
      </c>
      <c r="L142" s="1" t="str">
        <f aca="false">IF(F142="Revisar","NULL",CONCATENATE("'",TEXT(F142,"yyyy-mm-dd"),"'"))</f>
        <v>'2010-10-29'</v>
      </c>
      <c r="M142" s="9" t="str">
        <f aca="false">IF(G142="Revisar","NULL",CONCATENATE("'",MID(G142,1,1),"'"))</f>
        <v>'M'</v>
      </c>
      <c r="N142" s="9" t="str">
        <f aca="false">IF(H142="Revisar","NULL",CONCATENATE("'",H142,"'"))</f>
        <v>'JESUS ENRIQUE LOSSADA'</v>
      </c>
      <c r="O142" s="9" t="str">
        <f aca="false">IF(I142="Revisar","NULL",CONCATENATE("'",I142,"'"))</f>
        <v>'ZU'</v>
      </c>
      <c r="P142" s="1" t="str">
        <f aca="false">"UPDATE estudiantes SET fecha_nacimiento="&amp;L142&amp;", sexo="&amp;M142&amp;", lugar_nacimiento="&amp;N142&amp;", entidad_federal="&amp;O142&amp;" WHERE cedula='"&amp;K142&amp;"';"</f>
        <v>UPDATE estudiantes SET fecha_nacimiento='2010-10-29', sexo='M', lugar_nacimiento='JESUS ENRIQUE LOSSADA', entidad_federal='ZU' WHERE cedula='36559655';</v>
      </c>
    </row>
    <row r="143" customFormat="false" ht="14.9" hidden="false" customHeight="false" outlineLevel="0" collapsed="false">
      <c r="A143" s="1" t="s">
        <v>15</v>
      </c>
      <c r="B143" s="1" t="s">
        <v>16</v>
      </c>
      <c r="C143" s="1" t="s">
        <v>160</v>
      </c>
      <c r="D143" s="1" t="s">
        <v>165</v>
      </c>
      <c r="E143" s="2" t="n">
        <v>46000</v>
      </c>
      <c r="F143" s="2" t="n">
        <f aca="false">IFERROR(VLOOKUP(TRIM($D143), Hoja4_2!$A$2:$L$10000, 4, 0), "Revisar")</f>
        <v>41165</v>
      </c>
      <c r="G143" s="7" t="str">
        <f aca="false">IFERROR(VLOOKUP(TRIM($D143), Hoja4_2!$A$2:$L$10000, 5, 0), "Revisar")</f>
        <v>MASCULINO</v>
      </c>
      <c r="H143" s="7" t="str">
        <f aca="false">IFERROR(VLOOKUP(TRIM($D143), Hoja4_2!$A$2:$L$10000, 7, 0), "Revisar")</f>
        <v>MARACAIBO</v>
      </c>
      <c r="I143" s="7" t="str">
        <f aca="false">IFERROR(VLOOKUP(TRIM($D143), Hoja4_2!$A$2:$L$10000, 9, 0), "Revisar")</f>
        <v>ZU</v>
      </c>
      <c r="J143" s="7" t="str">
        <f aca="false">IFERROR(VLOOKUP(TRIM($D143), Hoja4_2!$A$2:$L$10000, 12, 0), "Revisar")</f>
        <v>19906306</v>
      </c>
      <c r="K143" s="8" t="str">
        <f aca="false">TEXT(TRIM(D143),"0")</f>
        <v>36672026</v>
      </c>
      <c r="L143" s="1" t="str">
        <f aca="false">IF(F143="Revisar","NULL",CONCATENATE("'",TEXT(F143,"yyyy-mm-dd"),"'"))</f>
        <v>'2012-09-13'</v>
      </c>
      <c r="M143" s="9" t="str">
        <f aca="false">IF(G143="Revisar","NULL",CONCATENATE("'",MID(G143,1,1),"'"))</f>
        <v>'M'</v>
      </c>
      <c r="N143" s="9" t="str">
        <f aca="false">IF(H143="Revisar","NULL",CONCATENATE("'",H143,"'"))</f>
        <v>'MARACAIBO'</v>
      </c>
      <c r="O143" s="9" t="str">
        <f aca="false">IF(I143="Revisar","NULL",CONCATENATE("'",I143,"'"))</f>
        <v>'ZU'</v>
      </c>
      <c r="P143" s="1" t="str">
        <f aca="false">"UPDATE estudiantes SET fecha_nacimiento="&amp;L143&amp;", sexo="&amp;M143&amp;", lugar_nacimiento="&amp;N143&amp;", entidad_federal="&amp;O143&amp;" WHERE cedula='"&amp;K143&amp;"';"</f>
        <v>UPDATE estudiantes SET fecha_nacimiento='2012-09-13', sexo='M', lugar_nacimiento='MARACAIBO', entidad_federal='ZU' WHERE cedula='36672026';</v>
      </c>
    </row>
    <row r="144" customFormat="false" ht="14.9" hidden="false" customHeight="false" outlineLevel="0" collapsed="false">
      <c r="A144" s="1" t="s">
        <v>15</v>
      </c>
      <c r="B144" s="1" t="s">
        <v>16</v>
      </c>
      <c r="C144" s="1" t="s">
        <v>160</v>
      </c>
      <c r="D144" s="1" t="s">
        <v>166</v>
      </c>
      <c r="E144" s="2" t="n">
        <v>45923</v>
      </c>
      <c r="F144" s="2" t="n">
        <f aca="false">IFERROR(VLOOKUP(TRIM($D144), Hoja4_2!$A$2:$L$10000, 4, 0), "Revisar")</f>
        <v>41256</v>
      </c>
      <c r="G144" s="7" t="str">
        <f aca="false">IFERROR(VLOOKUP(TRIM($D144), Hoja4_2!$A$2:$L$10000, 5, 0), "Revisar")</f>
        <v>MASCULINO</v>
      </c>
      <c r="H144" s="7" t="str">
        <f aca="false">IFERROR(VLOOKUP(TRIM($D144), Hoja4_2!$A$2:$L$10000, 7, 0), "Revisar")</f>
        <v>MARACAIBO</v>
      </c>
      <c r="I144" s="7" t="str">
        <f aca="false">IFERROR(VLOOKUP(TRIM($D144), Hoja4_2!$A$2:$L$10000, 9, 0), "Revisar")</f>
        <v>ZU</v>
      </c>
      <c r="J144" s="7" t="str">
        <f aca="false">IFERROR(VLOOKUP(TRIM($D144), Hoja4_2!$A$2:$L$10000, 12, 0), "Revisar")</f>
        <v>20206685</v>
      </c>
      <c r="K144" s="8" t="str">
        <f aca="false">TEXT(TRIM(D144),"0")</f>
        <v>36896072</v>
      </c>
      <c r="L144" s="1" t="str">
        <f aca="false">IF(F144="Revisar","NULL",CONCATENATE("'",TEXT(F144,"yyyy-mm-dd"),"'"))</f>
        <v>'2012-12-13'</v>
      </c>
      <c r="M144" s="9" t="str">
        <f aca="false">IF(G144="Revisar","NULL",CONCATENATE("'",MID(G144,1,1),"'"))</f>
        <v>'M'</v>
      </c>
      <c r="N144" s="9" t="str">
        <f aca="false">IF(H144="Revisar","NULL",CONCATENATE("'",H144,"'"))</f>
        <v>'MARACAIBO'</v>
      </c>
      <c r="O144" s="9" t="str">
        <f aca="false">IF(I144="Revisar","NULL",CONCATENATE("'",I144,"'"))</f>
        <v>'ZU'</v>
      </c>
      <c r="P144" s="1" t="str">
        <f aca="false">"UPDATE estudiantes SET fecha_nacimiento="&amp;L144&amp;", sexo="&amp;M144&amp;", lugar_nacimiento="&amp;N144&amp;", entidad_federal="&amp;O144&amp;" WHERE cedula='"&amp;K144&amp;"';"</f>
        <v>UPDATE estudiantes SET fecha_nacimiento='2012-12-13', sexo='M', lugar_nacimiento='MARACAIBO', entidad_federal='ZU' WHERE cedula='36896072';</v>
      </c>
    </row>
    <row r="145" customFormat="false" ht="14.9" hidden="false" customHeight="false" outlineLevel="0" collapsed="false">
      <c r="A145" s="1" t="s">
        <v>15</v>
      </c>
      <c r="B145" s="1" t="s">
        <v>16</v>
      </c>
      <c r="C145" s="1" t="s">
        <v>160</v>
      </c>
      <c r="D145" s="1" t="s">
        <v>167</v>
      </c>
      <c r="E145" s="2" t="n">
        <v>45923</v>
      </c>
      <c r="F145" s="2" t="n">
        <f aca="false">IFERROR(VLOOKUP(TRIM($D145), Hoja4_2!$A$2:$L$10000, 4, 0), "Revisar")</f>
        <v>41236</v>
      </c>
      <c r="G145" s="7" t="str">
        <f aca="false">IFERROR(VLOOKUP(TRIM($D145), Hoja4_2!$A$2:$L$10000, 5, 0), "Revisar")</f>
        <v>MASCULINO</v>
      </c>
      <c r="H145" s="7" t="str">
        <f aca="false">IFERROR(VLOOKUP(TRIM($D145), Hoja4_2!$A$2:$L$10000, 7, 0), "Revisar")</f>
        <v>JESUS ENRIQUE LOSSADA</v>
      </c>
      <c r="I145" s="7" t="str">
        <f aca="false">IFERROR(VLOOKUP(TRIM($D145), Hoja4_2!$A$2:$L$10000, 9, 0), "Revisar")</f>
        <v>ZU</v>
      </c>
      <c r="J145" s="7" t="str">
        <f aca="false">IFERROR(VLOOKUP(TRIM($D145), Hoja4_2!$A$2:$L$10000, 12, 0), "Revisar")</f>
        <v>09770807</v>
      </c>
      <c r="K145" s="8" t="str">
        <f aca="false">TEXT(TRIM(D145),"0")</f>
        <v>37053783</v>
      </c>
      <c r="L145" s="1" t="str">
        <f aca="false">IF(F145="Revisar","NULL",CONCATENATE("'",TEXT(F145,"yyyy-mm-dd"),"'"))</f>
        <v>'2012-11-23'</v>
      </c>
      <c r="M145" s="9" t="str">
        <f aca="false">IF(G145="Revisar","NULL",CONCATENATE("'",MID(G145,1,1),"'"))</f>
        <v>'M'</v>
      </c>
      <c r="N145" s="9" t="str">
        <f aca="false">IF(H145="Revisar","NULL",CONCATENATE("'",H145,"'"))</f>
        <v>'JESUS ENRIQUE LOSSADA'</v>
      </c>
      <c r="O145" s="9" t="str">
        <f aca="false">IF(I145="Revisar","NULL",CONCATENATE("'",I145,"'"))</f>
        <v>'ZU'</v>
      </c>
      <c r="P145" s="1" t="str">
        <f aca="false">"UPDATE estudiantes SET fecha_nacimiento="&amp;L145&amp;", sexo="&amp;M145&amp;", lugar_nacimiento="&amp;N145&amp;", entidad_federal="&amp;O145&amp;" WHERE cedula='"&amp;K145&amp;"';"</f>
        <v>UPDATE estudiantes SET fecha_nacimiento='2012-11-23', sexo='M', lugar_nacimiento='JESUS ENRIQUE LOSSADA', entidad_federal='ZU' WHERE cedula='37053783';</v>
      </c>
    </row>
    <row r="146" customFormat="false" ht="14.9" hidden="false" customHeight="false" outlineLevel="0" collapsed="false">
      <c r="A146" s="1" t="s">
        <v>15</v>
      </c>
      <c r="B146" s="1" t="s">
        <v>16</v>
      </c>
      <c r="C146" s="1" t="s">
        <v>160</v>
      </c>
      <c r="D146" s="1" t="s">
        <v>168</v>
      </c>
      <c r="E146" s="2" t="n">
        <v>45923</v>
      </c>
      <c r="F146" s="2" t="n">
        <f aca="false">IFERROR(VLOOKUP(TRIM($D146), Hoja4_2!$A$2:$L$10000, 4, 0), "Revisar")</f>
        <v>40865</v>
      </c>
      <c r="G146" s="7" t="str">
        <f aca="false">IFERROR(VLOOKUP(TRIM($D146), Hoja4_2!$A$2:$L$10000, 5, 0), "Revisar")</f>
        <v>MASCULINO</v>
      </c>
      <c r="H146" s="7" t="str">
        <f aca="false">IFERROR(VLOOKUP(TRIM($D146), Hoja4_2!$A$2:$L$10000, 7, 0), "Revisar")</f>
        <v>MARACAIBO</v>
      </c>
      <c r="I146" s="7" t="str">
        <f aca="false">IFERROR(VLOOKUP(TRIM($D146), Hoja4_2!$A$2:$L$10000, 9, 0), "Revisar")</f>
        <v>ZU</v>
      </c>
      <c r="J146" s="7" t="str">
        <f aca="false">IFERROR(VLOOKUP(TRIM($D146), Hoja4_2!$A$2:$L$10000, 12, 0), "Revisar")</f>
        <v>99999999</v>
      </c>
      <c r="K146" s="8" t="str">
        <f aca="false">TEXT(TRIM(D146),"0")</f>
        <v>37067699</v>
      </c>
      <c r="L146" s="1" t="str">
        <f aca="false">IF(F146="Revisar","NULL",CONCATENATE("'",TEXT(F146,"yyyy-mm-dd"),"'"))</f>
        <v>'2011-11-18'</v>
      </c>
      <c r="M146" s="9" t="str">
        <f aca="false">IF(G146="Revisar","NULL",CONCATENATE("'",MID(G146,1,1),"'"))</f>
        <v>'M'</v>
      </c>
      <c r="N146" s="9" t="str">
        <f aca="false">IF(H146="Revisar","NULL",CONCATENATE("'",H146,"'"))</f>
        <v>'MARACAIBO'</v>
      </c>
      <c r="O146" s="9" t="str">
        <f aca="false">IF(I146="Revisar","NULL",CONCATENATE("'",I146,"'"))</f>
        <v>'ZU'</v>
      </c>
      <c r="P146" s="1" t="str">
        <f aca="false">"UPDATE estudiantes SET fecha_nacimiento="&amp;L146&amp;", sexo="&amp;M146&amp;", lugar_nacimiento="&amp;N146&amp;", entidad_federal="&amp;O146&amp;" WHERE cedula='"&amp;K146&amp;"';"</f>
        <v>UPDATE estudiantes SET fecha_nacimiento='2011-11-18', sexo='M', lugar_nacimiento='MARACAIBO', entidad_federal='ZU' WHERE cedula='37067699';</v>
      </c>
    </row>
    <row r="147" customFormat="false" ht="14.9" hidden="false" customHeight="false" outlineLevel="0" collapsed="false">
      <c r="A147" s="1" t="s">
        <v>15</v>
      </c>
      <c r="B147" s="1" t="s">
        <v>16</v>
      </c>
      <c r="C147" s="1" t="s">
        <v>160</v>
      </c>
      <c r="D147" s="1" t="s">
        <v>169</v>
      </c>
      <c r="E147" s="2" t="n">
        <v>45923</v>
      </c>
      <c r="F147" s="2" t="n">
        <f aca="false">IFERROR(VLOOKUP(TRIM($D147), Hoja4_2!$A$2:$L$10000, 4, 0), "Revisar")</f>
        <v>41499</v>
      </c>
      <c r="G147" s="7" t="str">
        <f aca="false">IFERROR(VLOOKUP(TRIM($D147), Hoja4_2!$A$2:$L$10000, 5, 0), "Revisar")</f>
        <v>FEMENINO</v>
      </c>
      <c r="H147" s="7" t="str">
        <f aca="false">IFERROR(VLOOKUP(TRIM($D147), Hoja4_2!$A$2:$L$10000, 7, 0), "Revisar")</f>
        <v>MARACAIBO</v>
      </c>
      <c r="I147" s="7" t="str">
        <f aca="false">IFERROR(VLOOKUP(TRIM($D147), Hoja4_2!$A$2:$L$10000, 9, 0), "Revisar")</f>
        <v>ZU</v>
      </c>
      <c r="J147" s="7" t="str">
        <f aca="false">IFERROR(VLOOKUP(TRIM($D147), Hoja4_2!$A$2:$L$10000, 12, 0), "Revisar")</f>
        <v>23770201</v>
      </c>
      <c r="K147" s="8" t="str">
        <f aca="false">TEXT(TRIM(D147),"0")</f>
        <v>37083443</v>
      </c>
      <c r="L147" s="1" t="str">
        <f aca="false">IF(F147="Revisar","NULL",CONCATENATE("'",TEXT(F147,"yyyy-mm-dd"),"'"))</f>
        <v>'2013-08-13'</v>
      </c>
      <c r="M147" s="9" t="str">
        <f aca="false">IF(G147="Revisar","NULL",CONCATENATE("'",MID(G147,1,1),"'"))</f>
        <v>'F'</v>
      </c>
      <c r="N147" s="9" t="str">
        <f aca="false">IF(H147="Revisar","NULL",CONCATENATE("'",H147,"'"))</f>
        <v>'MARACAIBO'</v>
      </c>
      <c r="O147" s="9" t="str">
        <f aca="false">IF(I147="Revisar","NULL",CONCATENATE("'",I147,"'"))</f>
        <v>'ZU'</v>
      </c>
      <c r="P147" s="1" t="str">
        <f aca="false">"UPDATE estudiantes SET fecha_nacimiento="&amp;L147&amp;", sexo="&amp;M147&amp;", lugar_nacimiento="&amp;N147&amp;", entidad_federal="&amp;O147&amp;" WHERE cedula='"&amp;K147&amp;"';"</f>
        <v>UPDATE estudiantes SET fecha_nacimiento='2013-08-13', sexo='F', lugar_nacimiento='MARACAIBO', entidad_federal='ZU' WHERE cedula='37083443';</v>
      </c>
    </row>
    <row r="148" customFormat="false" ht="14.9" hidden="false" customHeight="false" outlineLevel="0" collapsed="false">
      <c r="A148" s="1" t="s">
        <v>15</v>
      </c>
      <c r="B148" s="1" t="s">
        <v>16</v>
      </c>
      <c r="C148" s="1" t="s">
        <v>160</v>
      </c>
      <c r="D148" s="1" t="s">
        <v>170</v>
      </c>
      <c r="E148" s="2" t="n">
        <v>45923</v>
      </c>
      <c r="F148" s="2" t="n">
        <f aca="false">IFERROR(VLOOKUP(TRIM($D148), Hoja4_2!$A$2:$L$10000, 4, 0), "Revisar")</f>
        <v>41424</v>
      </c>
      <c r="G148" s="7" t="str">
        <f aca="false">IFERROR(VLOOKUP(TRIM($D148), Hoja4_2!$A$2:$L$10000, 5, 0), "Revisar")</f>
        <v>MASCULINO</v>
      </c>
      <c r="H148" s="7" t="str">
        <f aca="false">IFERROR(VLOOKUP(TRIM($D148), Hoja4_2!$A$2:$L$10000, 7, 0), "Revisar")</f>
        <v>MARACAIBO</v>
      </c>
      <c r="I148" s="7" t="str">
        <f aca="false">IFERROR(VLOOKUP(TRIM($D148), Hoja4_2!$A$2:$L$10000, 9, 0), "Revisar")</f>
        <v>ZU</v>
      </c>
      <c r="J148" s="7" t="str">
        <f aca="false">IFERROR(VLOOKUP(TRIM($D148), Hoja4_2!$A$2:$L$10000, 12, 0), "Revisar")</f>
        <v>07818602</v>
      </c>
      <c r="K148" s="8" t="str">
        <f aca="false">TEXT(TRIM(D148),"0")</f>
        <v>37110901</v>
      </c>
      <c r="L148" s="1" t="str">
        <f aca="false">IF(F148="Revisar","NULL",CONCATENATE("'",TEXT(F148,"yyyy-mm-dd"),"'"))</f>
        <v>'2013-05-30'</v>
      </c>
      <c r="M148" s="9" t="str">
        <f aca="false">IF(G148="Revisar","NULL",CONCATENATE("'",MID(G148,1,1),"'"))</f>
        <v>'M'</v>
      </c>
      <c r="N148" s="9" t="str">
        <f aca="false">IF(H148="Revisar","NULL",CONCATENATE("'",H148,"'"))</f>
        <v>'MARACAIBO'</v>
      </c>
      <c r="O148" s="9" t="str">
        <f aca="false">IF(I148="Revisar","NULL",CONCATENATE("'",I148,"'"))</f>
        <v>'ZU'</v>
      </c>
      <c r="P148" s="1" t="str">
        <f aca="false">"UPDATE estudiantes SET fecha_nacimiento="&amp;L148&amp;", sexo="&amp;M148&amp;", lugar_nacimiento="&amp;N148&amp;", entidad_federal="&amp;O148&amp;" WHERE cedula='"&amp;K148&amp;"';"</f>
        <v>UPDATE estudiantes SET fecha_nacimiento='2013-05-30', sexo='M', lugar_nacimiento='MARACAIBO', entidad_federal='ZU' WHERE cedula='37110901';</v>
      </c>
    </row>
    <row r="149" customFormat="false" ht="14.9" hidden="false" customHeight="false" outlineLevel="0" collapsed="false">
      <c r="A149" s="1" t="s">
        <v>15</v>
      </c>
      <c r="B149" s="1" t="s">
        <v>16</v>
      </c>
      <c r="C149" s="1" t="s">
        <v>160</v>
      </c>
      <c r="D149" s="1" t="s">
        <v>171</v>
      </c>
      <c r="E149" s="2" t="n">
        <v>45923</v>
      </c>
      <c r="F149" s="2" t="n">
        <f aca="false">IFERROR(VLOOKUP(TRIM($D149), Hoja4_2!$A$2:$L$10000, 4, 0), "Revisar")</f>
        <v>40814</v>
      </c>
      <c r="G149" s="7" t="str">
        <f aca="false">IFERROR(VLOOKUP(TRIM($D149), Hoja4_2!$A$2:$L$10000, 5, 0), "Revisar")</f>
        <v>FEMENINO</v>
      </c>
      <c r="H149" s="7" t="str">
        <f aca="false">IFERROR(VLOOKUP(TRIM($D149), Hoja4_2!$A$2:$L$10000, 7, 0), "Revisar")</f>
        <v>MARA</v>
      </c>
      <c r="I149" s="7" t="str">
        <f aca="false">IFERROR(VLOOKUP(TRIM($D149), Hoja4_2!$A$2:$L$10000, 9, 0), "Revisar")</f>
        <v>ZU</v>
      </c>
      <c r="J149" s="7" t="str">
        <f aca="false">IFERROR(VLOOKUP(TRIM($D149), Hoja4_2!$A$2:$L$10000, 12, 0), "Revisar")</f>
        <v>19706367</v>
      </c>
      <c r="K149" s="8" t="str">
        <f aca="false">TEXT(TRIM(D149),"0")</f>
        <v>37150050</v>
      </c>
      <c r="L149" s="1" t="str">
        <f aca="false">IF(F149="Revisar","NULL",CONCATENATE("'",TEXT(F149,"yyyy-mm-dd"),"'"))</f>
        <v>'2011-09-28'</v>
      </c>
      <c r="M149" s="9" t="str">
        <f aca="false">IF(G149="Revisar","NULL",CONCATENATE("'",MID(G149,1,1),"'"))</f>
        <v>'F'</v>
      </c>
      <c r="N149" s="9" t="str">
        <f aca="false">IF(H149="Revisar","NULL",CONCATENATE("'",H149,"'"))</f>
        <v>'MARA'</v>
      </c>
      <c r="O149" s="9" t="str">
        <f aca="false">IF(I149="Revisar","NULL",CONCATENATE("'",I149,"'"))</f>
        <v>'ZU'</v>
      </c>
      <c r="P149" s="1" t="str">
        <f aca="false">"UPDATE estudiantes SET fecha_nacimiento="&amp;L149&amp;", sexo="&amp;M149&amp;", lugar_nacimiento="&amp;N149&amp;", entidad_federal="&amp;O149&amp;" WHERE cedula='"&amp;K149&amp;"';"</f>
        <v>UPDATE estudiantes SET fecha_nacimiento='2011-09-28', sexo='F', lugar_nacimiento='MARA', entidad_federal='ZU' WHERE cedula='37150050';</v>
      </c>
    </row>
    <row r="150" customFormat="false" ht="14.9" hidden="false" customHeight="false" outlineLevel="0" collapsed="false">
      <c r="A150" s="1" t="s">
        <v>15</v>
      </c>
      <c r="B150" s="1" t="s">
        <v>16</v>
      </c>
      <c r="C150" s="1" t="s">
        <v>160</v>
      </c>
      <c r="D150" s="1" t="s">
        <v>172</v>
      </c>
      <c r="E150" s="2" t="n">
        <v>45923</v>
      </c>
      <c r="F150" s="2" t="n">
        <f aca="false">IFERROR(VLOOKUP(TRIM($D150), Hoja4_2!$A$2:$L$10000, 4, 0), "Revisar")</f>
        <v>41144</v>
      </c>
      <c r="G150" s="7" t="str">
        <f aca="false">IFERROR(VLOOKUP(TRIM($D150), Hoja4_2!$A$2:$L$10000, 5, 0), "Revisar")</f>
        <v>FEMENINO</v>
      </c>
      <c r="H150" s="7" t="str">
        <f aca="false">IFERROR(VLOOKUP(TRIM($D150), Hoja4_2!$A$2:$L$10000, 7, 0), "Revisar")</f>
        <v>MARA</v>
      </c>
      <c r="I150" s="7" t="str">
        <f aca="false">IFERROR(VLOOKUP(TRIM($D150), Hoja4_2!$A$2:$L$10000, 9, 0), "Revisar")</f>
        <v>ZU</v>
      </c>
      <c r="J150" s="7" t="str">
        <f aca="false">IFERROR(VLOOKUP(TRIM($D150), Hoja4_2!$A$2:$L$10000, 12, 0), "Revisar")</f>
        <v>24510921</v>
      </c>
      <c r="K150" s="8" t="str">
        <f aca="false">TEXT(TRIM(D150),"0")</f>
        <v>37255644</v>
      </c>
      <c r="L150" s="1" t="str">
        <f aca="false">IF(F150="Revisar","NULL",CONCATENATE("'",TEXT(F150,"yyyy-mm-dd"),"'"))</f>
        <v>'2012-08-23'</v>
      </c>
      <c r="M150" s="9" t="str">
        <f aca="false">IF(G150="Revisar","NULL",CONCATENATE("'",MID(G150,1,1),"'"))</f>
        <v>'F'</v>
      </c>
      <c r="N150" s="9" t="str">
        <f aca="false">IF(H150="Revisar","NULL",CONCATENATE("'",H150,"'"))</f>
        <v>'MARA'</v>
      </c>
      <c r="O150" s="9" t="str">
        <f aca="false">IF(I150="Revisar","NULL",CONCATENATE("'",I150,"'"))</f>
        <v>'ZU'</v>
      </c>
      <c r="P150" s="1" t="str">
        <f aca="false">"UPDATE estudiantes SET fecha_nacimiento="&amp;L150&amp;", sexo="&amp;M150&amp;", lugar_nacimiento="&amp;N150&amp;", entidad_federal="&amp;O150&amp;" WHERE cedula='"&amp;K150&amp;"';"</f>
        <v>UPDATE estudiantes SET fecha_nacimiento='2012-08-23', sexo='F', lugar_nacimiento='MARA', entidad_federal='ZU' WHERE cedula='37255644';</v>
      </c>
    </row>
    <row r="151" customFormat="false" ht="14.9" hidden="false" customHeight="false" outlineLevel="0" collapsed="false">
      <c r="A151" s="1" t="s">
        <v>15</v>
      </c>
      <c r="B151" s="1" t="s">
        <v>16</v>
      </c>
      <c r="C151" s="1" t="s">
        <v>160</v>
      </c>
      <c r="D151" s="1" t="s">
        <v>173</v>
      </c>
      <c r="E151" s="2" t="n">
        <v>45923</v>
      </c>
      <c r="F151" s="2" t="n">
        <f aca="false">IFERROR(VLOOKUP(TRIM($D151), Hoja4_2!$A$2:$L$10000, 4, 0), "Revisar")</f>
        <v>41598</v>
      </c>
      <c r="G151" s="7" t="str">
        <f aca="false">IFERROR(VLOOKUP(TRIM($D151), Hoja4_2!$A$2:$L$10000, 5, 0), "Revisar")</f>
        <v>FEMENINO</v>
      </c>
      <c r="H151" s="7" t="str">
        <f aca="false">IFERROR(VLOOKUP(TRIM($D151), Hoja4_2!$A$2:$L$10000, 7, 0), "Revisar")</f>
        <v>MARACAIBO</v>
      </c>
      <c r="I151" s="7" t="str">
        <f aca="false">IFERROR(VLOOKUP(TRIM($D151), Hoja4_2!$A$2:$L$10000, 9, 0), "Revisar")</f>
        <v>ZU</v>
      </c>
      <c r="J151" s="7" t="str">
        <f aca="false">IFERROR(VLOOKUP(TRIM($D151), Hoja4_2!$A$2:$L$10000, 12, 0), "Revisar")</f>
        <v>20835067</v>
      </c>
      <c r="K151" s="8" t="str">
        <f aca="false">TEXT(TRIM(D151),"0")</f>
        <v>37299882</v>
      </c>
      <c r="L151" s="1" t="str">
        <f aca="false">IF(F151="Revisar","NULL",CONCATENATE("'",TEXT(F151,"yyyy-mm-dd"),"'"))</f>
        <v>'2013-11-20'</v>
      </c>
      <c r="M151" s="9" t="str">
        <f aca="false">IF(G151="Revisar","NULL",CONCATENATE("'",MID(G151,1,1),"'"))</f>
        <v>'F'</v>
      </c>
      <c r="N151" s="9" t="str">
        <f aca="false">IF(H151="Revisar","NULL",CONCATENATE("'",H151,"'"))</f>
        <v>'MARACAIBO'</v>
      </c>
      <c r="O151" s="9" t="str">
        <f aca="false">IF(I151="Revisar","NULL",CONCATENATE("'",I151,"'"))</f>
        <v>'ZU'</v>
      </c>
      <c r="P151" s="1" t="str">
        <f aca="false">"UPDATE estudiantes SET fecha_nacimiento="&amp;L151&amp;", sexo="&amp;M151&amp;", lugar_nacimiento="&amp;N151&amp;", entidad_federal="&amp;O151&amp;" WHERE cedula='"&amp;K151&amp;"';"</f>
        <v>UPDATE estudiantes SET fecha_nacimiento='2013-11-20', sexo='F', lugar_nacimiento='MARACAIBO', entidad_federal='ZU' WHERE cedula='37299882';</v>
      </c>
    </row>
    <row r="152" customFormat="false" ht="14.9" hidden="false" customHeight="false" outlineLevel="0" collapsed="false">
      <c r="A152" s="1" t="s">
        <v>15</v>
      </c>
      <c r="B152" s="1" t="s">
        <v>16</v>
      </c>
      <c r="C152" s="1" t="s">
        <v>160</v>
      </c>
      <c r="D152" s="1" t="s">
        <v>174</v>
      </c>
      <c r="E152" s="2" t="n">
        <v>46034</v>
      </c>
      <c r="F152" s="2" t="n">
        <f aca="false">IFERROR(VLOOKUP(TRIM($D152), Hoja4_2!$A$2:$L$10000, 4, 0), "Revisar")</f>
        <v>41609</v>
      </c>
      <c r="G152" s="7" t="str">
        <f aca="false">IFERROR(VLOOKUP(TRIM($D152), Hoja4_2!$A$2:$L$10000, 5, 0), "Revisar")</f>
        <v>MASCULINO</v>
      </c>
      <c r="H152" s="7" t="str">
        <f aca="false">IFERROR(VLOOKUP(TRIM($D152), Hoja4_2!$A$2:$L$10000, 7, 0), "Revisar")</f>
        <v>MARACAIBO</v>
      </c>
      <c r="I152" s="7" t="str">
        <f aca="false">IFERROR(VLOOKUP(TRIM($D152), Hoja4_2!$A$2:$L$10000, 9, 0), "Revisar")</f>
        <v>ZU</v>
      </c>
      <c r="J152" s="7" t="str">
        <f aca="false">IFERROR(VLOOKUP(TRIM($D152), Hoja4_2!$A$2:$L$10000, 12, 0), "Revisar")</f>
        <v>18318179</v>
      </c>
      <c r="K152" s="8" t="str">
        <f aca="false">TEXT(TRIM(D152),"0")</f>
        <v>37316810</v>
      </c>
      <c r="L152" s="1" t="str">
        <f aca="false">IF(F152="Revisar","NULL",CONCATENATE("'",TEXT(F152,"yyyy-mm-dd"),"'"))</f>
        <v>'2013-12-01'</v>
      </c>
      <c r="M152" s="9" t="str">
        <f aca="false">IF(G152="Revisar","NULL",CONCATENATE("'",MID(G152,1,1),"'"))</f>
        <v>'M'</v>
      </c>
      <c r="N152" s="9" t="str">
        <f aca="false">IF(H152="Revisar","NULL",CONCATENATE("'",H152,"'"))</f>
        <v>'MARACAIBO'</v>
      </c>
      <c r="O152" s="9" t="str">
        <f aca="false">IF(I152="Revisar","NULL",CONCATENATE("'",I152,"'"))</f>
        <v>'ZU'</v>
      </c>
      <c r="P152" s="1" t="str">
        <f aca="false">"UPDATE estudiantes SET fecha_nacimiento="&amp;L152&amp;", sexo="&amp;M152&amp;", lugar_nacimiento="&amp;N152&amp;", entidad_federal="&amp;O152&amp;" WHERE cedula='"&amp;K152&amp;"';"</f>
        <v>UPDATE estudiantes SET fecha_nacimiento='2013-12-01', sexo='M', lugar_nacimiento='MARACAIBO', entidad_federal='ZU' WHERE cedula='37316810';</v>
      </c>
    </row>
    <row r="153" customFormat="false" ht="14.9" hidden="false" customHeight="false" outlineLevel="0" collapsed="false">
      <c r="A153" s="1" t="s">
        <v>15</v>
      </c>
      <c r="B153" s="1" t="s">
        <v>16</v>
      </c>
      <c r="C153" s="1" t="s">
        <v>160</v>
      </c>
      <c r="D153" s="1" t="s">
        <v>175</v>
      </c>
      <c r="E153" s="2" t="n">
        <v>45923</v>
      </c>
      <c r="F153" s="2" t="n">
        <f aca="false">IFERROR(VLOOKUP(TRIM($D153), Hoja4_2!$A$2:$L$10000, 4, 0), "Revisar")</f>
        <v>41680</v>
      </c>
      <c r="G153" s="7" t="str">
        <f aca="false">IFERROR(VLOOKUP(TRIM($D153), Hoja4_2!$A$2:$L$10000, 5, 0), "Revisar")</f>
        <v>FEMENINO</v>
      </c>
      <c r="H153" s="7" t="str">
        <f aca="false">IFERROR(VLOOKUP(TRIM($D153), Hoja4_2!$A$2:$L$10000, 7, 0), "Revisar")</f>
        <v>JESUS ENRIQUE LOSSADA</v>
      </c>
      <c r="I153" s="7" t="str">
        <f aca="false">IFERROR(VLOOKUP(TRIM($D153), Hoja4_2!$A$2:$L$10000, 9, 0), "Revisar")</f>
        <v>ZU</v>
      </c>
      <c r="J153" s="7" t="str">
        <f aca="false">IFERROR(VLOOKUP(TRIM($D153), Hoja4_2!$A$2:$L$10000, 12, 0), "Revisar")</f>
        <v>13974823</v>
      </c>
      <c r="K153" s="8" t="str">
        <f aca="false">TEXT(TRIM(D153),"0")</f>
        <v>37350989</v>
      </c>
      <c r="L153" s="1" t="str">
        <f aca="false">IF(F153="Revisar","NULL",CONCATENATE("'",TEXT(F153,"yyyy-mm-dd"),"'"))</f>
        <v>'2014-02-10'</v>
      </c>
      <c r="M153" s="9" t="str">
        <f aca="false">IF(G153="Revisar","NULL",CONCATENATE("'",MID(G153,1,1),"'"))</f>
        <v>'F'</v>
      </c>
      <c r="N153" s="9" t="str">
        <f aca="false">IF(H153="Revisar","NULL",CONCATENATE("'",H153,"'"))</f>
        <v>'JESUS ENRIQUE LOSSADA'</v>
      </c>
      <c r="O153" s="9" t="str">
        <f aca="false">IF(I153="Revisar","NULL",CONCATENATE("'",I153,"'"))</f>
        <v>'ZU'</v>
      </c>
      <c r="P153" s="1" t="str">
        <f aca="false">"UPDATE estudiantes SET fecha_nacimiento="&amp;L153&amp;", sexo="&amp;M153&amp;", lugar_nacimiento="&amp;N153&amp;", entidad_federal="&amp;O153&amp;" WHERE cedula='"&amp;K153&amp;"';"</f>
        <v>UPDATE estudiantes SET fecha_nacimiento='2014-02-10', sexo='F', lugar_nacimiento='JESUS ENRIQUE LOSSADA', entidad_federal='ZU' WHERE cedula='37350989';</v>
      </c>
    </row>
    <row r="154" customFormat="false" ht="13.8" hidden="false" customHeight="false" outlineLevel="0" collapsed="false">
      <c r="A154" s="1" t="s">
        <v>15</v>
      </c>
      <c r="B154" s="1" t="s">
        <v>16</v>
      </c>
      <c r="C154" s="1" t="s">
        <v>160</v>
      </c>
      <c r="D154" s="1" t="s">
        <v>176</v>
      </c>
      <c r="E154" s="2" t="n">
        <v>46119</v>
      </c>
      <c r="F154" s="2" t="s">
        <v>82</v>
      </c>
      <c r="G154" s="2" t="s">
        <v>82</v>
      </c>
      <c r="H154" s="2" t="s">
        <v>82</v>
      </c>
      <c r="I154" s="2" t="s">
        <v>82</v>
      </c>
      <c r="J154" s="2" t="s">
        <v>82</v>
      </c>
      <c r="K154" s="8" t="str">
        <f aca="false">TEXT(TRIM(D154),"0")</f>
        <v>11120508575</v>
      </c>
      <c r="L154" s="1" t="str">
        <f aca="false">IF(F154="Revisar","NULL",CONCATENATE("'",TEXT(F154,"yyyy-mm-dd"),"'"))</f>
        <v>'NULL'</v>
      </c>
      <c r="M154" s="9" t="str">
        <f aca="false">IF(G154="Revisar","NULL",CONCATENATE("'",MID(G154,1,1),"'"))</f>
        <v>'N'</v>
      </c>
      <c r="N154" s="9" t="str">
        <f aca="false">IF(H154="Revisar","NULL",CONCATENATE("'",H154,"'"))</f>
        <v>'NULL'</v>
      </c>
      <c r="O154" s="9" t="str">
        <f aca="false">IF(I154="Revisar","NULL",CONCATENATE("'",I154,"'"))</f>
        <v>'NULL'</v>
      </c>
      <c r="P154" s="1" t="str">
        <f aca="false">"UPDATE estudiantes SET fecha_nacimiento="&amp;L154&amp;", sexo="&amp;M154&amp;", lugar_nacimiento="&amp;N154&amp;", entidad_federal="&amp;O154&amp;" WHERE cedula='"&amp;K154&amp;"';"</f>
        <v>UPDATE estudiantes SET fecha_nacimiento='NULL', sexo='N', lugar_nacimiento='NULL', entidad_federal='NULL' WHERE cedula='11120508575';</v>
      </c>
    </row>
    <row r="155" customFormat="false" ht="14.9" hidden="false" customHeight="false" outlineLevel="0" collapsed="false">
      <c r="A155" s="1" t="s">
        <v>15</v>
      </c>
      <c r="B155" s="1" t="s">
        <v>16</v>
      </c>
      <c r="C155" s="1" t="s">
        <v>160</v>
      </c>
      <c r="D155" s="1" t="s">
        <v>177</v>
      </c>
      <c r="E155" s="2" t="n">
        <v>45923</v>
      </c>
      <c r="F155" s="2" t="n">
        <f aca="false">IFERROR(VLOOKUP(TRIM($D155), Hoja4_2!$A$2:$L$10000, 4, 0), "Revisar")</f>
        <v>40597</v>
      </c>
      <c r="G155" s="7" t="str">
        <f aca="false">IFERROR(VLOOKUP(TRIM($D155), Hoja4_2!$A$2:$L$10000, 5, 0), "Revisar")</f>
        <v>MASCULINO</v>
      </c>
      <c r="H155" s="7" t="str">
        <f aca="false">IFERROR(VLOOKUP(TRIM($D155), Hoja4_2!$A$2:$L$10000, 7, 0), "Revisar")</f>
        <v>MARACAIBO</v>
      </c>
      <c r="I155" s="7" t="str">
        <f aca="false">IFERROR(VLOOKUP(TRIM($D155), Hoja4_2!$A$2:$L$10000, 9, 0), "Revisar")</f>
        <v>ZU</v>
      </c>
      <c r="J155" s="7" t="str">
        <f aca="false">IFERROR(VLOOKUP(TRIM($D155), Hoja4_2!$A$2:$L$10000, 12, 0), "Revisar")</f>
        <v>20834480</v>
      </c>
      <c r="K155" s="8" t="str">
        <f aca="false">TEXT(TRIM(D155),"0")</f>
        <v>11120834480</v>
      </c>
      <c r="L155" s="1" t="str">
        <f aca="false">IF(F155="Revisar","NULL",CONCATENATE("'",TEXT(F155,"yyyy-mm-dd"),"'"))</f>
        <v>'2011-02-23'</v>
      </c>
      <c r="M155" s="9" t="str">
        <f aca="false">IF(G155="Revisar","NULL",CONCATENATE("'",MID(G155,1,1),"'"))</f>
        <v>'M'</v>
      </c>
      <c r="N155" s="9" t="str">
        <f aca="false">IF(H155="Revisar","NULL",CONCATENATE("'",H155,"'"))</f>
        <v>'MARACAIBO'</v>
      </c>
      <c r="O155" s="9" t="str">
        <f aca="false">IF(I155="Revisar","NULL",CONCATENATE("'",I155,"'"))</f>
        <v>'ZU'</v>
      </c>
      <c r="P155" s="1" t="str">
        <f aca="false">"UPDATE estudiantes SET fecha_nacimiento="&amp;L155&amp;", sexo="&amp;M155&amp;", lugar_nacimiento="&amp;N155&amp;", entidad_federal="&amp;O155&amp;" WHERE cedula='"&amp;K155&amp;"';"</f>
        <v>UPDATE estudiantes SET fecha_nacimiento='2011-02-23', sexo='M', lugar_nacimiento='MARACAIBO', entidad_federal='ZU' WHERE cedula='11120834480';</v>
      </c>
    </row>
    <row r="156" customFormat="false" ht="14.9" hidden="false" customHeight="false" outlineLevel="0" collapsed="false">
      <c r="A156" s="1" t="s">
        <v>15</v>
      </c>
      <c r="B156" s="1" t="s">
        <v>16</v>
      </c>
      <c r="C156" s="1" t="s">
        <v>160</v>
      </c>
      <c r="D156" s="1" t="s">
        <v>178</v>
      </c>
      <c r="E156" s="2" t="n">
        <v>46133</v>
      </c>
      <c r="F156" s="2" t="n">
        <f aca="false">IFERROR(VLOOKUP(TRIM($D156), Hoja4_2!$A$2:$L$10000, 4, 0), "Revisar")</f>
        <v>40903</v>
      </c>
      <c r="G156" s="7" t="str">
        <f aca="false">IFERROR(VLOOKUP(TRIM($D156), Hoja4_2!$A$2:$L$10000, 5, 0), "Revisar")</f>
        <v>MASCULINO</v>
      </c>
      <c r="H156" s="7" t="str">
        <f aca="false">IFERROR(VLOOKUP(TRIM($D156), Hoja4_2!$A$2:$L$10000, 7, 0), "Revisar")</f>
        <v>SAN FRANCISCO</v>
      </c>
      <c r="I156" s="7" t="str">
        <f aca="false">IFERROR(VLOOKUP(TRIM($D156), Hoja4_2!$A$2:$L$10000, 9, 0), "Revisar")</f>
        <v>ZU</v>
      </c>
      <c r="J156" s="7" t="str">
        <f aca="false">IFERROR(VLOOKUP(TRIM($D156), Hoja4_2!$A$2:$L$10000, 12, 0), "Revisar")</f>
        <v>23769891</v>
      </c>
      <c r="K156" s="8" t="str">
        <f aca="false">TEXT(TRIM(D156),"0")</f>
        <v>11123769891</v>
      </c>
      <c r="L156" s="1" t="str">
        <f aca="false">IF(F156="Revisar","NULL",CONCATENATE("'",TEXT(F156,"yyyy-mm-dd"),"'"))</f>
        <v>'2011-12-26'</v>
      </c>
      <c r="M156" s="9" t="str">
        <f aca="false">IF(G156="Revisar","NULL",CONCATENATE("'",MID(G156,1,1),"'"))</f>
        <v>'M'</v>
      </c>
      <c r="N156" s="9" t="str">
        <f aca="false">IF(H156="Revisar","NULL",CONCATENATE("'",H156,"'"))</f>
        <v>'SAN FRANCISCO'</v>
      </c>
      <c r="O156" s="9" t="str">
        <f aca="false">IF(I156="Revisar","NULL",CONCATENATE("'",I156,"'"))</f>
        <v>'ZU'</v>
      </c>
      <c r="P156" s="1" t="str">
        <f aca="false">"UPDATE estudiantes SET fecha_nacimiento="&amp;L156&amp;", sexo="&amp;M156&amp;", lugar_nacimiento="&amp;N156&amp;", entidad_federal="&amp;O156&amp;" WHERE cedula='"&amp;K156&amp;"';"</f>
        <v>UPDATE estudiantes SET fecha_nacimiento='2011-12-26', sexo='M', lugar_nacimiento='SAN FRANCISCO', entidad_federal='ZU' WHERE cedula='11123769891';</v>
      </c>
    </row>
    <row r="157" customFormat="false" ht="14.9" hidden="false" customHeight="false" outlineLevel="0" collapsed="false">
      <c r="A157" s="1" t="s">
        <v>15</v>
      </c>
      <c r="B157" s="1" t="s">
        <v>16</v>
      </c>
      <c r="C157" s="1" t="s">
        <v>160</v>
      </c>
      <c r="D157" s="1" t="s">
        <v>179</v>
      </c>
      <c r="E157" s="2" t="n">
        <v>45953</v>
      </c>
      <c r="F157" s="2" t="n">
        <f aca="false">IFERROR(VLOOKUP(TRIM($D157), Hoja4_2!$A$2:$L$10000, 4, 0), "Revisar")</f>
        <v>41218</v>
      </c>
      <c r="G157" s="7" t="str">
        <f aca="false">IFERROR(VLOOKUP(TRIM($D157), Hoja4_2!$A$2:$L$10000, 5, 0), "Revisar")</f>
        <v>FEMENINO</v>
      </c>
      <c r="H157" s="7" t="str">
        <f aca="false">IFERROR(VLOOKUP(TRIM($D157), Hoja4_2!$A$2:$L$10000, 7, 0), "Revisar")</f>
        <v>MARA</v>
      </c>
      <c r="I157" s="7" t="str">
        <f aca="false">IFERROR(VLOOKUP(TRIM($D157), Hoja4_2!$A$2:$L$10000, 9, 0), "Revisar")</f>
        <v>ZU</v>
      </c>
      <c r="J157" s="7" t="str">
        <f aca="false">IFERROR(VLOOKUP(TRIM($D157), Hoja4_2!$A$2:$L$10000, 12, 0), "Revisar")</f>
        <v>23466542</v>
      </c>
      <c r="K157" s="8" t="str">
        <f aca="false">TEXT(TRIM(D157),"0")</f>
        <v>11223466542</v>
      </c>
      <c r="L157" s="1" t="str">
        <f aca="false">IF(F157="Revisar","NULL",CONCATENATE("'",TEXT(F157,"yyyy-mm-dd"),"'"))</f>
        <v>'2012-11-05'</v>
      </c>
      <c r="M157" s="9" t="str">
        <f aca="false">IF(G157="Revisar","NULL",CONCATENATE("'",MID(G157,1,1),"'"))</f>
        <v>'F'</v>
      </c>
      <c r="N157" s="9" t="str">
        <f aca="false">IF(H157="Revisar","NULL",CONCATENATE("'",H157,"'"))</f>
        <v>'MARA'</v>
      </c>
      <c r="O157" s="9" t="str">
        <f aca="false">IF(I157="Revisar","NULL",CONCATENATE("'",I157,"'"))</f>
        <v>'ZU'</v>
      </c>
      <c r="P157" s="1" t="str">
        <f aca="false">"UPDATE estudiantes SET fecha_nacimiento="&amp;L157&amp;", sexo="&amp;M157&amp;", lugar_nacimiento="&amp;N157&amp;", entidad_federal="&amp;O157&amp;" WHERE cedula='"&amp;K157&amp;"';"</f>
        <v>UPDATE estudiantes SET fecha_nacimiento='2012-11-05', sexo='F', lugar_nacimiento='MARA', entidad_federal='ZU' WHERE cedula='11223466542';</v>
      </c>
    </row>
    <row r="158" customFormat="false" ht="14.9" hidden="false" customHeight="false" outlineLevel="0" collapsed="false">
      <c r="A158" s="1" t="s">
        <v>15</v>
      </c>
      <c r="B158" s="1" t="s">
        <v>16</v>
      </c>
      <c r="C158" s="1" t="s">
        <v>160</v>
      </c>
      <c r="D158" s="1" t="s">
        <v>180</v>
      </c>
      <c r="E158" s="2" t="n">
        <v>45923</v>
      </c>
      <c r="F158" s="2" t="n">
        <f aca="false">IFERROR(VLOOKUP(TRIM($D158), Hoja4_2!$A$2:$L$10000, 4, 0), "Revisar")</f>
        <v>40938</v>
      </c>
      <c r="G158" s="7" t="str">
        <f aca="false">IFERROR(VLOOKUP(TRIM($D158), Hoja4_2!$A$2:$L$10000, 5, 0), "Revisar")</f>
        <v>MASCULINO</v>
      </c>
      <c r="H158" s="7" t="str">
        <f aca="false">IFERROR(VLOOKUP(TRIM($D158), Hoja4_2!$A$2:$L$10000, 7, 0), "Revisar")</f>
        <v>JESUS ENRIQUE LOSSADA</v>
      </c>
      <c r="I158" s="7" t="str">
        <f aca="false">IFERROR(VLOOKUP(TRIM($D158), Hoja4_2!$A$2:$L$10000, 9, 0), "Revisar")</f>
        <v>ZU</v>
      </c>
      <c r="J158" s="7" t="str">
        <f aca="false">IFERROR(VLOOKUP(TRIM($D158), Hoja4_2!$A$2:$L$10000, 12, 0), "Revisar")</f>
        <v>25855310</v>
      </c>
      <c r="K158" s="8" t="str">
        <f aca="false">TEXT(TRIM(D158),"0")</f>
        <v>11225855310</v>
      </c>
      <c r="L158" s="1" t="str">
        <f aca="false">IF(F158="Revisar","NULL",CONCATENATE("'",TEXT(F158,"yyyy-mm-dd"),"'"))</f>
        <v>'2012-01-30'</v>
      </c>
      <c r="M158" s="9" t="str">
        <f aca="false">IF(G158="Revisar","NULL",CONCATENATE("'",MID(G158,1,1),"'"))</f>
        <v>'M'</v>
      </c>
      <c r="N158" s="9" t="str">
        <f aca="false">IF(H158="Revisar","NULL",CONCATENATE("'",H158,"'"))</f>
        <v>'JESUS ENRIQUE LOSSADA'</v>
      </c>
      <c r="O158" s="9" t="str">
        <f aca="false">IF(I158="Revisar","NULL",CONCATENATE("'",I158,"'"))</f>
        <v>'ZU'</v>
      </c>
      <c r="P158" s="1" t="str">
        <f aca="false">"UPDATE estudiantes SET fecha_nacimiento="&amp;L158&amp;", sexo="&amp;M158&amp;", lugar_nacimiento="&amp;N158&amp;", entidad_federal="&amp;O158&amp;" WHERE cedula='"&amp;K158&amp;"';"</f>
        <v>UPDATE estudiantes SET fecha_nacimiento='2012-01-30', sexo='M', lugar_nacimiento='JESUS ENRIQUE LOSSADA', entidad_federal='ZU' WHERE cedula='11225855310';</v>
      </c>
    </row>
    <row r="159" customFormat="false" ht="14.9" hidden="false" customHeight="false" outlineLevel="0" collapsed="false">
      <c r="A159" s="1" t="s">
        <v>15</v>
      </c>
      <c r="B159" s="1" t="s">
        <v>16</v>
      </c>
      <c r="C159" s="1" t="s">
        <v>160</v>
      </c>
      <c r="D159" s="1" t="s">
        <v>181</v>
      </c>
      <c r="E159" s="2" t="n">
        <v>45923</v>
      </c>
      <c r="F159" s="2" t="n">
        <f aca="false">IFERROR(VLOOKUP(TRIM($D159), Hoja4_2!$A$2:$L$10000, 4, 0), "Revisar")</f>
        <v>41177</v>
      </c>
      <c r="G159" s="7" t="str">
        <f aca="false">IFERROR(VLOOKUP(TRIM($D159), Hoja4_2!$A$2:$L$10000, 5, 0), "Revisar")</f>
        <v>MASCULINO</v>
      </c>
      <c r="H159" s="7" t="str">
        <f aca="false">IFERROR(VLOOKUP(TRIM($D159), Hoja4_2!$A$2:$L$10000, 7, 0), "Revisar")</f>
        <v>MARACAIBO</v>
      </c>
      <c r="I159" s="7" t="str">
        <f aca="false">IFERROR(VLOOKUP(TRIM($D159), Hoja4_2!$A$2:$L$10000, 9, 0), "Revisar")</f>
        <v>ZU</v>
      </c>
      <c r="J159" s="7" t="str">
        <f aca="false">IFERROR(VLOOKUP(TRIM($D159), Hoja4_2!$A$2:$L$10000, 12, 0), "Revisar")</f>
        <v>10414944</v>
      </c>
      <c r="K159" s="8" t="str">
        <f aca="false">TEXT(TRIM(D159),"0")</f>
        <v>11226169780</v>
      </c>
      <c r="L159" s="1" t="str">
        <f aca="false">IF(F159="Revisar","NULL",CONCATENATE("'",TEXT(F159,"yyyy-mm-dd"),"'"))</f>
        <v>'2012-09-25'</v>
      </c>
      <c r="M159" s="9" t="str">
        <f aca="false">IF(G159="Revisar","NULL",CONCATENATE("'",MID(G159,1,1),"'"))</f>
        <v>'M'</v>
      </c>
      <c r="N159" s="9" t="str">
        <f aca="false">IF(H159="Revisar","NULL",CONCATENATE("'",H159,"'"))</f>
        <v>'MARACAIBO'</v>
      </c>
      <c r="O159" s="9" t="str">
        <f aca="false">IF(I159="Revisar","NULL",CONCATENATE("'",I159,"'"))</f>
        <v>'ZU'</v>
      </c>
      <c r="P159" s="1" t="str">
        <f aca="false">"UPDATE estudiantes SET fecha_nacimiento="&amp;L159&amp;", sexo="&amp;M159&amp;", lugar_nacimiento="&amp;N159&amp;", entidad_federal="&amp;O159&amp;" WHERE cedula='"&amp;K159&amp;"';"</f>
        <v>UPDATE estudiantes SET fecha_nacimiento='2012-09-25', sexo='M', lugar_nacimiento='MARACAIBO', entidad_federal='ZU' WHERE cedula='11226169780';</v>
      </c>
    </row>
    <row r="160" customFormat="false" ht="14.9" hidden="false" customHeight="false" outlineLevel="0" collapsed="false">
      <c r="A160" s="1" t="s">
        <v>15</v>
      </c>
      <c r="B160" s="1" t="s">
        <v>16</v>
      </c>
      <c r="C160" s="1" t="s">
        <v>160</v>
      </c>
      <c r="D160" s="1" t="s">
        <v>182</v>
      </c>
      <c r="E160" s="2" t="n">
        <v>45923</v>
      </c>
      <c r="F160" s="2" t="n">
        <f aca="false">IFERROR(VLOOKUP(TRIM($D160), Hoja4_2!$A$2:$L$10000, 4, 0), "Revisar")</f>
        <v>41276</v>
      </c>
      <c r="G160" s="7" t="str">
        <f aca="false">IFERROR(VLOOKUP(TRIM($D160), Hoja4_2!$A$2:$L$10000, 5, 0), "Revisar")</f>
        <v>FEMENINO</v>
      </c>
      <c r="H160" s="7" t="str">
        <f aca="false">IFERROR(VLOOKUP(TRIM($D160), Hoja4_2!$A$2:$L$10000, 7, 0), "Revisar")</f>
        <v>MARACAIBO</v>
      </c>
      <c r="I160" s="7" t="str">
        <f aca="false">IFERROR(VLOOKUP(TRIM($D160), Hoja4_2!$A$2:$L$10000, 9, 0), "Revisar")</f>
        <v>ZU</v>
      </c>
      <c r="J160" s="7" t="str">
        <f aca="false">IFERROR(VLOOKUP(TRIM($D160), Hoja4_2!$A$2:$L$10000, 12, 0), "Revisar")</f>
        <v>15261741</v>
      </c>
      <c r="K160" s="8" t="str">
        <f aca="false">TEXT(TRIM(D160),"0")</f>
        <v>11315261741</v>
      </c>
      <c r="L160" s="1" t="str">
        <f aca="false">IF(F160="Revisar","NULL",CONCATENATE("'",TEXT(F160,"yyyy-mm-dd"),"'"))</f>
        <v>'2013-01-02'</v>
      </c>
      <c r="M160" s="9" t="str">
        <f aca="false">IF(G160="Revisar","NULL",CONCATENATE("'",MID(G160,1,1),"'"))</f>
        <v>'F'</v>
      </c>
      <c r="N160" s="9" t="str">
        <f aca="false">IF(H160="Revisar","NULL",CONCATENATE("'",H160,"'"))</f>
        <v>'MARACAIBO'</v>
      </c>
      <c r="O160" s="9" t="str">
        <f aca="false">IF(I160="Revisar","NULL",CONCATENATE("'",I160,"'"))</f>
        <v>'ZU'</v>
      </c>
      <c r="P160" s="1" t="str">
        <f aca="false">"UPDATE estudiantes SET fecha_nacimiento="&amp;L160&amp;", sexo="&amp;M160&amp;", lugar_nacimiento="&amp;N160&amp;", entidad_federal="&amp;O160&amp;" WHERE cedula='"&amp;K160&amp;"';"</f>
        <v>UPDATE estudiantes SET fecha_nacimiento='2013-01-02', sexo='F', lugar_nacimiento='MARACAIBO', entidad_federal='ZU' WHERE cedula='11315261741';</v>
      </c>
    </row>
    <row r="161" customFormat="false" ht="14.9" hidden="false" customHeight="false" outlineLevel="0" collapsed="false">
      <c r="A161" s="1" t="s">
        <v>15</v>
      </c>
      <c r="B161" s="1" t="s">
        <v>16</v>
      </c>
      <c r="C161" s="1" t="s">
        <v>160</v>
      </c>
      <c r="D161" s="1" t="s">
        <v>183</v>
      </c>
      <c r="E161" s="2" t="n">
        <v>45923</v>
      </c>
      <c r="F161" s="2" t="n">
        <f aca="false">IFERROR(VLOOKUP(TRIM($D161), Hoja4_2!$A$2:$L$10000, 4, 0), "Revisar")</f>
        <v>41620</v>
      </c>
      <c r="G161" s="7" t="str">
        <f aca="false">IFERROR(VLOOKUP(TRIM($D161), Hoja4_2!$A$2:$L$10000, 5, 0), "Revisar")</f>
        <v>MASCULINO</v>
      </c>
      <c r="H161" s="7" t="str">
        <f aca="false">IFERROR(VLOOKUP(TRIM($D161), Hoja4_2!$A$2:$L$10000, 7, 0), "Revisar")</f>
        <v>MARACAIBO</v>
      </c>
      <c r="I161" s="7" t="str">
        <f aca="false">IFERROR(VLOOKUP(TRIM($D161), Hoja4_2!$A$2:$L$10000, 9, 0), "Revisar")</f>
        <v>ZU</v>
      </c>
      <c r="J161" s="7" t="str">
        <f aca="false">IFERROR(VLOOKUP(TRIM($D161), Hoja4_2!$A$2:$L$10000, 12, 0), "Revisar")</f>
        <v>17416591</v>
      </c>
      <c r="K161" s="8" t="str">
        <f aca="false">TEXT(TRIM(D161),"0")</f>
        <v>11317416591</v>
      </c>
      <c r="L161" s="1" t="str">
        <f aca="false">IF(F161="Revisar","NULL",CONCATENATE("'",TEXT(F161,"yyyy-mm-dd"),"'"))</f>
        <v>'2013-12-12'</v>
      </c>
      <c r="M161" s="9" t="str">
        <f aca="false">IF(G161="Revisar","NULL",CONCATENATE("'",MID(G161,1,1),"'"))</f>
        <v>'M'</v>
      </c>
      <c r="N161" s="9" t="str">
        <f aca="false">IF(H161="Revisar","NULL",CONCATENATE("'",H161,"'"))</f>
        <v>'MARACAIBO'</v>
      </c>
      <c r="O161" s="9" t="str">
        <f aca="false">IF(I161="Revisar","NULL",CONCATENATE("'",I161,"'"))</f>
        <v>'ZU'</v>
      </c>
      <c r="P161" s="1" t="str">
        <f aca="false">"UPDATE estudiantes SET fecha_nacimiento="&amp;L161&amp;", sexo="&amp;M161&amp;", lugar_nacimiento="&amp;N161&amp;", entidad_federal="&amp;O161&amp;" WHERE cedula='"&amp;K161&amp;"';"</f>
        <v>UPDATE estudiantes SET fecha_nacimiento='2013-12-12', sexo='M', lugar_nacimiento='MARACAIBO', entidad_federal='ZU' WHERE cedula='11317416591';</v>
      </c>
    </row>
    <row r="162" customFormat="false" ht="14.9" hidden="false" customHeight="false" outlineLevel="0" collapsed="false">
      <c r="A162" s="1" t="s">
        <v>15</v>
      </c>
      <c r="B162" s="1" t="s">
        <v>16</v>
      </c>
      <c r="C162" s="1" t="s">
        <v>160</v>
      </c>
      <c r="D162" s="1" t="s">
        <v>184</v>
      </c>
      <c r="E162" s="2" t="n">
        <v>45923</v>
      </c>
      <c r="F162" s="2" t="n">
        <f aca="false">IFERROR(VLOOKUP(TRIM($D162), Hoja4_2!$A$2:$L$10000, 4, 0), "Revisar")</f>
        <v>41517</v>
      </c>
      <c r="G162" s="7" t="str">
        <f aca="false">IFERROR(VLOOKUP(TRIM($D162), Hoja4_2!$A$2:$L$10000, 5, 0), "Revisar")</f>
        <v>MASCULINO</v>
      </c>
      <c r="H162" s="7" t="str">
        <f aca="false">IFERROR(VLOOKUP(TRIM($D162), Hoja4_2!$A$2:$L$10000, 7, 0), "Revisar")</f>
        <v>MARACAIBO</v>
      </c>
      <c r="I162" s="7" t="str">
        <f aca="false">IFERROR(VLOOKUP(TRIM($D162), Hoja4_2!$A$2:$L$10000, 9, 0), "Revisar")</f>
        <v>ZU</v>
      </c>
      <c r="J162" s="7" t="str">
        <f aca="false">IFERROR(VLOOKUP(TRIM($D162), Hoja4_2!$A$2:$L$10000, 12, 0), "Revisar")</f>
        <v>19811180</v>
      </c>
      <c r="K162" s="8" t="str">
        <f aca="false">TEXT(TRIM(D162),"0")</f>
        <v>11319811048</v>
      </c>
      <c r="L162" s="1" t="str">
        <f aca="false">IF(F162="Revisar","NULL",CONCATENATE("'",TEXT(F162,"yyyy-mm-dd"),"'"))</f>
        <v>'2013-08-31'</v>
      </c>
      <c r="M162" s="9" t="str">
        <f aca="false">IF(G162="Revisar","NULL",CONCATENATE("'",MID(G162,1,1),"'"))</f>
        <v>'M'</v>
      </c>
      <c r="N162" s="9" t="str">
        <f aca="false">IF(H162="Revisar","NULL",CONCATENATE("'",H162,"'"))</f>
        <v>'MARACAIBO'</v>
      </c>
      <c r="O162" s="9" t="str">
        <f aca="false">IF(I162="Revisar","NULL",CONCATENATE("'",I162,"'"))</f>
        <v>'ZU'</v>
      </c>
      <c r="P162" s="1" t="str">
        <f aca="false">"UPDATE estudiantes SET fecha_nacimiento="&amp;L162&amp;", sexo="&amp;M162&amp;", lugar_nacimiento="&amp;N162&amp;", entidad_federal="&amp;O162&amp;" WHERE cedula='"&amp;K162&amp;"';"</f>
        <v>UPDATE estudiantes SET fecha_nacimiento='2013-08-31', sexo='M', lugar_nacimiento='MARACAIBO', entidad_federal='ZU' WHERE cedula='11319811048';</v>
      </c>
    </row>
    <row r="163" customFormat="false" ht="14.9" hidden="false" customHeight="false" outlineLevel="0" collapsed="false">
      <c r="A163" s="1" t="s">
        <v>15</v>
      </c>
      <c r="B163" s="1" t="s">
        <v>16</v>
      </c>
      <c r="C163" s="1" t="s">
        <v>160</v>
      </c>
      <c r="D163" s="1" t="s">
        <v>185</v>
      </c>
      <c r="E163" s="2" t="n">
        <v>45923</v>
      </c>
      <c r="F163" s="2" t="n">
        <f aca="false">IFERROR(VLOOKUP(TRIM($D163), Hoja4_2!$A$2:$L$10000, 4, 0), "Revisar")</f>
        <v>41502</v>
      </c>
      <c r="G163" s="7" t="str">
        <f aca="false">IFERROR(VLOOKUP(TRIM($D163), Hoja4_2!$A$2:$L$10000, 5, 0), "Revisar")</f>
        <v>FEMENINO</v>
      </c>
      <c r="H163" s="7" t="str">
        <f aca="false">IFERROR(VLOOKUP(TRIM($D163), Hoja4_2!$A$2:$L$10000, 7, 0), "Revisar")</f>
        <v>JESUS ENRIQUE LOSSDA</v>
      </c>
      <c r="I163" s="7" t="str">
        <f aca="false">IFERROR(VLOOKUP(TRIM($D163), Hoja4_2!$A$2:$L$10000, 9, 0), "Revisar")</f>
        <v>ZU</v>
      </c>
      <c r="J163" s="7" t="str">
        <f aca="false">IFERROR(VLOOKUP(TRIM($D163), Hoja4_2!$A$2:$L$10000, 12, 0), "Revisar")</f>
        <v>21037559</v>
      </c>
      <c r="K163" s="8" t="str">
        <f aca="false">TEXT(TRIM(D163),"0")</f>
        <v>11321037559</v>
      </c>
      <c r="L163" s="1" t="str">
        <f aca="false">IF(F163="Revisar","NULL",CONCATENATE("'",TEXT(F163,"yyyy-mm-dd"),"'"))</f>
        <v>'2013-08-16'</v>
      </c>
      <c r="M163" s="9" t="str">
        <f aca="false">IF(G163="Revisar","NULL",CONCATENATE("'",MID(G163,1,1),"'"))</f>
        <v>'F'</v>
      </c>
      <c r="N163" s="9" t="str">
        <f aca="false">IF(H163="Revisar","NULL",CONCATENATE("'",H163,"'"))</f>
        <v>'JESUS ENRIQUE LOSSDA'</v>
      </c>
      <c r="O163" s="9" t="str">
        <f aca="false">IF(I163="Revisar","NULL",CONCATENATE("'",I163,"'"))</f>
        <v>'ZU'</v>
      </c>
      <c r="P163" s="1" t="str">
        <f aca="false">"UPDATE estudiantes SET fecha_nacimiento="&amp;L163&amp;", sexo="&amp;M163&amp;", lugar_nacimiento="&amp;N163&amp;", entidad_federal="&amp;O163&amp;" WHERE cedula='"&amp;K163&amp;"';"</f>
        <v>UPDATE estudiantes SET fecha_nacimiento='2013-08-16', sexo='F', lugar_nacimiento='JESUS ENRIQUE LOSSDA', entidad_federal='ZU' WHERE cedula='11321037559';</v>
      </c>
    </row>
    <row r="164" customFormat="false" ht="14.9" hidden="false" customHeight="false" outlineLevel="0" collapsed="false">
      <c r="A164" s="1" t="s">
        <v>15</v>
      </c>
      <c r="B164" s="1" t="s">
        <v>16</v>
      </c>
      <c r="C164" s="1" t="s">
        <v>160</v>
      </c>
      <c r="D164" s="1" t="s">
        <v>186</v>
      </c>
      <c r="E164" s="2" t="n">
        <v>45923</v>
      </c>
      <c r="F164" s="2" t="n">
        <f aca="false">IFERROR(VLOOKUP(TRIM($D164), Hoja4_2!$A$2:$L$10000, 4, 0), "Revisar")</f>
        <v>41398</v>
      </c>
      <c r="G164" s="7" t="str">
        <f aca="false">IFERROR(VLOOKUP(TRIM($D164), Hoja4_2!$A$2:$L$10000, 5, 0), "Revisar")</f>
        <v>FEMENINO</v>
      </c>
      <c r="H164" s="7" t="str">
        <f aca="false">IFERROR(VLOOKUP(TRIM($D164), Hoja4_2!$A$2:$L$10000, 7, 0), "Revisar")</f>
        <v>JESUS ENRIQUE LOSSDA</v>
      </c>
      <c r="I164" s="7" t="str">
        <f aca="false">IFERROR(VLOOKUP(TRIM($D164), Hoja4_2!$A$2:$L$10000, 9, 0), "Revisar")</f>
        <v>ZU</v>
      </c>
      <c r="J164" s="7" t="str">
        <f aca="false">IFERROR(VLOOKUP(TRIM($D164), Hoja4_2!$A$2:$L$10000, 12, 0), "Revisar")</f>
        <v>23466502</v>
      </c>
      <c r="K164" s="8" t="str">
        <f aca="false">TEXT(TRIM(D164),"0")</f>
        <v>11323466502</v>
      </c>
      <c r="L164" s="1" t="str">
        <f aca="false">IF(F164="Revisar","NULL",CONCATENATE("'",TEXT(F164,"yyyy-mm-dd"),"'"))</f>
        <v>'2013-05-04'</v>
      </c>
      <c r="M164" s="9" t="str">
        <f aca="false">IF(G164="Revisar","NULL",CONCATENATE("'",MID(G164,1,1),"'"))</f>
        <v>'F'</v>
      </c>
      <c r="N164" s="9" t="str">
        <f aca="false">IF(H164="Revisar","NULL",CONCATENATE("'",H164,"'"))</f>
        <v>'JESUS ENRIQUE LOSSDA'</v>
      </c>
      <c r="O164" s="9" t="str">
        <f aca="false">IF(I164="Revisar","NULL",CONCATENATE("'",I164,"'"))</f>
        <v>'ZU'</v>
      </c>
      <c r="P164" s="1" t="str">
        <f aca="false">"UPDATE estudiantes SET fecha_nacimiento="&amp;L164&amp;", sexo="&amp;M164&amp;", lugar_nacimiento="&amp;N164&amp;", entidad_federal="&amp;O164&amp;" WHERE cedula='"&amp;K164&amp;"';"</f>
        <v>UPDATE estudiantes SET fecha_nacimiento='2013-05-04', sexo='F', lugar_nacimiento='JESUS ENRIQUE LOSSDA', entidad_federal='ZU' WHERE cedula='11323466502';</v>
      </c>
    </row>
    <row r="165" customFormat="false" ht="14.9" hidden="false" customHeight="false" outlineLevel="0" collapsed="false">
      <c r="A165" s="1" t="s">
        <v>15</v>
      </c>
      <c r="B165" s="1" t="s">
        <v>16</v>
      </c>
      <c r="C165" s="1" t="s">
        <v>160</v>
      </c>
      <c r="D165" s="1" t="s">
        <v>187</v>
      </c>
      <c r="E165" s="2" t="n">
        <v>45923</v>
      </c>
      <c r="F165" s="2" t="n">
        <f aca="false">IFERROR(VLOOKUP(TRIM($D165), Hoja4_2!$A$2:$L$10000, 4, 0), "Revisar")</f>
        <v>41374</v>
      </c>
      <c r="G165" s="7" t="str">
        <f aca="false">IFERROR(VLOOKUP(TRIM($D165), Hoja4_2!$A$2:$L$10000, 5, 0), "Revisar")</f>
        <v>FEMENINO</v>
      </c>
      <c r="H165" s="7" t="str">
        <f aca="false">IFERROR(VLOOKUP(TRIM($D165), Hoja4_2!$A$2:$L$10000, 7, 0), "Revisar")</f>
        <v>MARACAIBO</v>
      </c>
      <c r="I165" s="7" t="str">
        <f aca="false">IFERROR(VLOOKUP(TRIM($D165), Hoja4_2!$A$2:$L$10000, 9, 0), "Revisar")</f>
        <v>ZU</v>
      </c>
      <c r="J165" s="7" t="str">
        <f aca="false">IFERROR(VLOOKUP(TRIM($D165), Hoja4_2!$A$2:$L$10000, 12, 0), "Revisar")</f>
        <v>21511087</v>
      </c>
      <c r="K165" s="8" t="str">
        <f aca="false">TEXT(TRIM(D165),"0")</f>
        <v>11323769865</v>
      </c>
      <c r="L165" s="1" t="str">
        <f aca="false">IF(F165="Revisar","NULL",CONCATENATE("'",TEXT(F165,"yyyy-mm-dd"),"'"))</f>
        <v>'2013-04-10'</v>
      </c>
      <c r="M165" s="9" t="str">
        <f aca="false">IF(G165="Revisar","NULL",CONCATENATE("'",MID(G165,1,1),"'"))</f>
        <v>'F'</v>
      </c>
      <c r="N165" s="9" t="str">
        <f aca="false">IF(H165="Revisar","NULL",CONCATENATE("'",H165,"'"))</f>
        <v>'MARACAIBO'</v>
      </c>
      <c r="O165" s="9" t="str">
        <f aca="false">IF(I165="Revisar","NULL",CONCATENATE("'",I165,"'"))</f>
        <v>'ZU'</v>
      </c>
      <c r="P165" s="1" t="str">
        <f aca="false">"UPDATE estudiantes SET fecha_nacimiento="&amp;L165&amp;", sexo="&amp;M165&amp;", lugar_nacimiento="&amp;N165&amp;", entidad_federal="&amp;O165&amp;" WHERE cedula='"&amp;K165&amp;"';"</f>
        <v>UPDATE estudiantes SET fecha_nacimiento='2013-04-10', sexo='F', lugar_nacimiento='MARACAIBO', entidad_federal='ZU' WHERE cedula='11323769865';</v>
      </c>
    </row>
    <row r="166" customFormat="false" ht="14.9" hidden="false" customHeight="false" outlineLevel="0" collapsed="false">
      <c r="A166" s="1" t="s">
        <v>15</v>
      </c>
      <c r="B166" s="1" t="s">
        <v>16</v>
      </c>
      <c r="C166" s="1" t="s">
        <v>160</v>
      </c>
      <c r="D166" s="1" t="s">
        <v>188</v>
      </c>
      <c r="E166" s="2" t="n">
        <v>45923</v>
      </c>
      <c r="F166" s="2" t="n">
        <f aca="false">IFERROR(VLOOKUP(TRIM($D166), Hoja4_2!$A$2:$L$10000, 4, 0), "Revisar")</f>
        <v>41488</v>
      </c>
      <c r="G166" s="7" t="str">
        <f aca="false">IFERROR(VLOOKUP(TRIM($D166), Hoja4_2!$A$2:$L$10000, 5, 0), "Revisar")</f>
        <v>MASCULINO</v>
      </c>
      <c r="H166" s="7" t="str">
        <f aca="false">IFERROR(VLOOKUP(TRIM($D166), Hoja4_2!$A$2:$L$10000, 7, 0), "Revisar")</f>
        <v>MARACAIBO</v>
      </c>
      <c r="I166" s="7" t="str">
        <f aca="false">IFERROR(VLOOKUP(TRIM($D166), Hoja4_2!$A$2:$L$10000, 9, 0), "Revisar")</f>
        <v>ZU</v>
      </c>
      <c r="J166" s="7" t="str">
        <f aca="false">IFERROR(VLOOKUP(TRIM($D166), Hoja4_2!$A$2:$L$10000, 12, 0), "Revisar")</f>
        <v>25596497</v>
      </c>
      <c r="K166" s="8" t="str">
        <f aca="false">TEXT(TRIM(D166),"0")</f>
        <v>11325596497</v>
      </c>
      <c r="L166" s="1" t="str">
        <f aca="false">IF(F166="Revisar","NULL",CONCATENATE("'",TEXT(F166,"yyyy-mm-dd"),"'"))</f>
        <v>'2013-08-02'</v>
      </c>
      <c r="M166" s="9" t="str">
        <f aca="false">IF(G166="Revisar","NULL",CONCATENATE("'",MID(G166,1,1),"'"))</f>
        <v>'M'</v>
      </c>
      <c r="N166" s="9" t="str">
        <f aca="false">IF(H166="Revisar","NULL",CONCATENATE("'",H166,"'"))</f>
        <v>'MARACAIBO'</v>
      </c>
      <c r="O166" s="9" t="str">
        <f aca="false">IF(I166="Revisar","NULL",CONCATENATE("'",I166,"'"))</f>
        <v>'ZU'</v>
      </c>
      <c r="P166" s="1" t="str">
        <f aca="false">"UPDATE estudiantes SET fecha_nacimiento="&amp;L166&amp;", sexo="&amp;M166&amp;", lugar_nacimiento="&amp;N166&amp;", entidad_federal="&amp;O166&amp;" WHERE cedula='"&amp;K166&amp;"';"</f>
        <v>UPDATE estudiantes SET fecha_nacimiento='2013-08-02', sexo='M', lugar_nacimiento='MARACAIBO', entidad_federal='ZU' WHERE cedula='11325596497';</v>
      </c>
    </row>
    <row r="167" customFormat="false" ht="14.9" hidden="false" customHeight="false" outlineLevel="0" collapsed="false">
      <c r="A167" s="1" t="s">
        <v>15</v>
      </c>
      <c r="B167" s="1" t="s">
        <v>16</v>
      </c>
      <c r="C167" s="1" t="s">
        <v>160</v>
      </c>
      <c r="D167" s="1" t="s">
        <v>189</v>
      </c>
      <c r="E167" s="2" t="n">
        <v>45923</v>
      </c>
      <c r="F167" s="2" t="n">
        <f aca="false">IFERROR(VLOOKUP(TRIM($D167), Hoja4_2!$A$2:$L$10000, 4, 0), "Revisar")</f>
        <v>41326</v>
      </c>
      <c r="G167" s="7" t="str">
        <f aca="false">IFERROR(VLOOKUP(TRIM($D167), Hoja4_2!$A$2:$L$10000, 5, 0), "Revisar")</f>
        <v>FEMENINO</v>
      </c>
      <c r="H167" s="7" t="str">
        <f aca="false">IFERROR(VLOOKUP(TRIM($D167), Hoja4_2!$A$2:$L$10000, 7, 0), "Revisar")</f>
        <v>MARACAIBO</v>
      </c>
      <c r="I167" s="7" t="str">
        <f aca="false">IFERROR(VLOOKUP(TRIM($D167), Hoja4_2!$A$2:$L$10000, 9, 0), "Revisar")</f>
        <v>ZU</v>
      </c>
      <c r="J167" s="7" t="str">
        <f aca="false">IFERROR(VLOOKUP(TRIM($D167), Hoja4_2!$A$2:$L$10000, 12, 0), "Revisar")</f>
        <v>25680333</v>
      </c>
      <c r="K167" s="8" t="str">
        <f aca="false">TEXT(TRIM(D167),"0")</f>
        <v>11325680333</v>
      </c>
      <c r="L167" s="1" t="str">
        <f aca="false">IF(F167="Revisar","NULL",CONCATENATE("'",TEXT(F167,"yyyy-mm-dd"),"'"))</f>
        <v>'2013-02-21'</v>
      </c>
      <c r="M167" s="9" t="str">
        <f aca="false">IF(G167="Revisar","NULL",CONCATENATE("'",MID(G167,1,1),"'"))</f>
        <v>'F'</v>
      </c>
      <c r="N167" s="9" t="str">
        <f aca="false">IF(H167="Revisar","NULL",CONCATENATE("'",H167,"'"))</f>
        <v>'MARACAIBO'</v>
      </c>
      <c r="O167" s="9" t="str">
        <f aca="false">IF(I167="Revisar","NULL",CONCATENATE("'",I167,"'"))</f>
        <v>'ZU'</v>
      </c>
      <c r="P167" s="1" t="str">
        <f aca="false">"UPDATE estudiantes SET fecha_nacimiento="&amp;L167&amp;", sexo="&amp;M167&amp;", lugar_nacimiento="&amp;N167&amp;", entidad_federal="&amp;O167&amp;" WHERE cedula='"&amp;K167&amp;"';"</f>
        <v>UPDATE estudiantes SET fecha_nacimiento='2013-02-21', sexo='F', lugar_nacimiento='MARACAIBO', entidad_federal='ZU' WHERE cedula='11325680333';</v>
      </c>
    </row>
    <row r="168" customFormat="false" ht="14.9" hidden="false" customHeight="false" outlineLevel="0" collapsed="false">
      <c r="A168" s="1" t="s">
        <v>15</v>
      </c>
      <c r="B168" s="1" t="s">
        <v>16</v>
      </c>
      <c r="C168" s="1" t="s">
        <v>160</v>
      </c>
      <c r="D168" s="1" t="s">
        <v>190</v>
      </c>
      <c r="E168" s="2" t="n">
        <v>45923</v>
      </c>
      <c r="F168" s="2" t="n">
        <f aca="false">IFERROR(VLOOKUP(TRIM($D168), Hoja4_2!$A$2:$L$10000, 4, 0), "Revisar")</f>
        <v>41432</v>
      </c>
      <c r="G168" s="7" t="str">
        <f aca="false">IFERROR(VLOOKUP(TRIM($D168), Hoja4_2!$A$2:$L$10000, 5, 0), "Revisar")</f>
        <v>MASCULINO</v>
      </c>
      <c r="H168" s="7" t="str">
        <f aca="false">IFERROR(VLOOKUP(TRIM($D168), Hoja4_2!$A$2:$L$10000, 7, 0), "Revisar")</f>
        <v>MARACAIBO</v>
      </c>
      <c r="I168" s="7" t="str">
        <f aca="false">IFERROR(VLOOKUP(TRIM($D168), Hoja4_2!$A$2:$L$10000, 9, 0), "Revisar")</f>
        <v>ZU</v>
      </c>
      <c r="J168" s="7" t="str">
        <f aca="false">IFERROR(VLOOKUP(TRIM($D168), Hoja4_2!$A$2:$L$10000, 12, 0), "Revisar")</f>
        <v>25883743</v>
      </c>
      <c r="K168" s="8" t="str">
        <f aca="false">TEXT(TRIM(D168),"0")</f>
        <v>11325883743</v>
      </c>
      <c r="L168" s="1" t="str">
        <f aca="false">IF(F168="Revisar","NULL",CONCATENATE("'",TEXT(F168,"yyyy-mm-dd"),"'"))</f>
        <v>'2013-06-07'</v>
      </c>
      <c r="M168" s="9" t="str">
        <f aca="false">IF(G168="Revisar","NULL",CONCATENATE("'",MID(G168,1,1),"'"))</f>
        <v>'M'</v>
      </c>
      <c r="N168" s="9" t="str">
        <f aca="false">IF(H168="Revisar","NULL",CONCATENATE("'",H168,"'"))</f>
        <v>'MARACAIBO'</v>
      </c>
      <c r="O168" s="9" t="str">
        <f aca="false">IF(I168="Revisar","NULL",CONCATENATE("'",I168,"'"))</f>
        <v>'ZU'</v>
      </c>
      <c r="P168" s="1" t="str">
        <f aca="false">"UPDATE estudiantes SET fecha_nacimiento="&amp;L168&amp;", sexo="&amp;M168&amp;", lugar_nacimiento="&amp;N168&amp;", entidad_federal="&amp;O168&amp;" WHERE cedula='"&amp;K168&amp;"';"</f>
        <v>UPDATE estudiantes SET fecha_nacimiento='2013-06-07', sexo='M', lugar_nacimiento='MARACAIBO', entidad_federal='ZU' WHERE cedula='11325883743';</v>
      </c>
    </row>
    <row r="169" customFormat="false" ht="14.9" hidden="false" customHeight="false" outlineLevel="0" collapsed="false">
      <c r="A169" s="1" t="s">
        <v>15</v>
      </c>
      <c r="B169" s="1" t="s">
        <v>16</v>
      </c>
      <c r="C169" s="1" t="s">
        <v>160</v>
      </c>
      <c r="D169" s="1" t="s">
        <v>191</v>
      </c>
      <c r="E169" s="2" t="n">
        <v>45923</v>
      </c>
      <c r="F169" s="2" t="n">
        <f aca="false">IFERROR(VLOOKUP(TRIM($D169), Hoja4_2!$A$2:$L$10000, 4, 0), "Revisar")</f>
        <v>41560</v>
      </c>
      <c r="G169" s="7" t="str">
        <f aca="false">IFERROR(VLOOKUP(TRIM($D169), Hoja4_2!$A$2:$L$10000, 5, 0), "Revisar")</f>
        <v>FEMENINO</v>
      </c>
      <c r="H169" s="7" t="str">
        <f aca="false">IFERROR(VLOOKUP(TRIM($D169), Hoja4_2!$A$2:$L$10000, 7, 0), "Revisar")</f>
        <v>MARACAIBO</v>
      </c>
      <c r="I169" s="7" t="str">
        <f aca="false">IFERROR(VLOOKUP(TRIM($D169), Hoja4_2!$A$2:$L$10000, 9, 0), "Revisar")</f>
        <v>ZU</v>
      </c>
      <c r="J169" s="7" t="str">
        <f aca="false">IFERROR(VLOOKUP(TRIM($D169), Hoja4_2!$A$2:$L$10000, 12, 0), "Revisar")</f>
        <v>30489586</v>
      </c>
      <c r="K169" s="8" t="str">
        <f aca="false">TEXT(TRIM(D169),"0")</f>
        <v>11330489586</v>
      </c>
      <c r="L169" s="1" t="str">
        <f aca="false">IF(F169="Revisar","NULL",CONCATENATE("'",TEXT(F169,"yyyy-mm-dd"),"'"))</f>
        <v>'2013-10-13'</v>
      </c>
      <c r="M169" s="9" t="str">
        <f aca="false">IF(G169="Revisar","NULL",CONCATENATE("'",MID(G169,1,1),"'"))</f>
        <v>'F'</v>
      </c>
      <c r="N169" s="9" t="str">
        <f aca="false">IF(H169="Revisar","NULL",CONCATENATE("'",H169,"'"))</f>
        <v>'MARACAIBO'</v>
      </c>
      <c r="O169" s="9" t="str">
        <f aca="false">IF(I169="Revisar","NULL",CONCATENATE("'",I169,"'"))</f>
        <v>'ZU'</v>
      </c>
      <c r="P169" s="1" t="str">
        <f aca="false">"UPDATE estudiantes SET fecha_nacimiento="&amp;L169&amp;", sexo="&amp;M169&amp;", lugar_nacimiento="&amp;N169&amp;", entidad_federal="&amp;O169&amp;" WHERE cedula='"&amp;K169&amp;"';"</f>
        <v>UPDATE estudiantes SET fecha_nacimiento='2013-10-13', sexo='F', lugar_nacimiento='MARACAIBO', entidad_federal='ZU' WHERE cedula='11330489586';</v>
      </c>
    </row>
    <row r="170" customFormat="false" ht="14.9" hidden="false" customHeight="false" outlineLevel="0" collapsed="false">
      <c r="A170" s="1" t="s">
        <v>15</v>
      </c>
      <c r="B170" s="1" t="s">
        <v>192</v>
      </c>
      <c r="C170" s="1" t="s">
        <v>17</v>
      </c>
      <c r="D170" s="1" t="s">
        <v>193</v>
      </c>
      <c r="E170" s="2" t="n">
        <v>45922</v>
      </c>
      <c r="F170" s="2" t="n">
        <f aca="false">IFERROR(VLOOKUP(TRIM($D170), Hoja4_2!$A$2:$L$10000, 4, 0), "Revisar")</f>
        <v>41219</v>
      </c>
      <c r="G170" s="7" t="str">
        <f aca="false">IFERROR(VLOOKUP(TRIM($D170), Hoja4_2!$A$2:$L$10000, 5, 0), "Revisar")</f>
        <v>MASCULINO</v>
      </c>
      <c r="H170" s="7" t="str">
        <f aca="false">IFERROR(VLOOKUP(TRIM($D170), Hoja4_2!$A$2:$L$10000, 7, 0), "Revisar")</f>
        <v>MARACAIBO</v>
      </c>
      <c r="I170" s="7" t="str">
        <f aca="false">IFERROR(VLOOKUP(TRIM($D170), Hoja4_2!$A$2:$L$10000, 9, 0), "Revisar")</f>
        <v>ZU</v>
      </c>
      <c r="J170" s="7" t="str">
        <f aca="false">IFERROR(VLOOKUP(TRIM($D170), Hoja4_2!$A$2:$L$10000, 12, 0), "Revisar")</f>
        <v>05035278</v>
      </c>
      <c r="K170" s="8" t="str">
        <f aca="false">TEXT(TRIM(D170),"0")</f>
        <v>34550811</v>
      </c>
      <c r="L170" s="1" t="str">
        <f aca="false">IF(F170="Revisar","NULL",CONCATENATE("'",TEXT(F170,"yyyy-mm-dd"),"'"))</f>
        <v>'2012-11-06'</v>
      </c>
      <c r="M170" s="9" t="str">
        <f aca="false">IF(G170="Revisar","NULL",CONCATENATE("'",MID(G170,1,1),"'"))</f>
        <v>'M'</v>
      </c>
      <c r="N170" s="9" t="str">
        <f aca="false">IF(H170="Revisar","NULL",CONCATENATE("'",H170,"'"))</f>
        <v>'MARACAIBO'</v>
      </c>
      <c r="O170" s="9" t="str">
        <f aca="false">IF(I170="Revisar","NULL",CONCATENATE("'",I170,"'"))</f>
        <v>'ZU'</v>
      </c>
      <c r="P170" s="1" t="str">
        <f aca="false">"UPDATE estudiantes SET fecha_nacimiento="&amp;L170&amp;", sexo="&amp;M170&amp;", lugar_nacimiento="&amp;N170&amp;", entidad_federal="&amp;O170&amp;" WHERE cedula='"&amp;K170&amp;"';"</f>
        <v>UPDATE estudiantes SET fecha_nacimiento='2012-11-06', sexo='M', lugar_nacimiento='MARACAIBO', entidad_federal='ZU' WHERE cedula='34550811';</v>
      </c>
    </row>
    <row r="171" customFormat="false" ht="14.9" hidden="false" customHeight="false" outlineLevel="0" collapsed="false">
      <c r="A171" s="1" t="s">
        <v>15</v>
      </c>
      <c r="B171" s="1" t="s">
        <v>192</v>
      </c>
      <c r="C171" s="1" t="s">
        <v>17</v>
      </c>
      <c r="D171" s="1" t="s">
        <v>194</v>
      </c>
      <c r="E171" s="2" t="n">
        <v>45924</v>
      </c>
      <c r="F171" s="2" t="n">
        <f aca="false">IFERROR(VLOOKUP(TRIM($D171), Hoja4_2!$A$2:$L$10000, 4, 0), "Revisar")</f>
        <v>40433</v>
      </c>
      <c r="G171" s="7" t="str">
        <f aca="false">IFERROR(VLOOKUP(TRIM($D171), Hoja4_2!$A$2:$L$10000, 5, 0), "Revisar")</f>
        <v>MASCULINO</v>
      </c>
      <c r="H171" s="7" t="str">
        <f aca="false">IFERROR(VLOOKUP(TRIM($D171), Hoja4_2!$A$2:$L$10000, 7, 0), "Revisar")</f>
        <v>MARACAIBO</v>
      </c>
      <c r="I171" s="7" t="str">
        <f aca="false">IFERROR(VLOOKUP(TRIM($D171), Hoja4_2!$A$2:$L$10000, 9, 0), "Revisar")</f>
        <v>ZU</v>
      </c>
      <c r="J171" s="7" t="str">
        <f aca="false">IFERROR(VLOOKUP(TRIM($D171), Hoja4_2!$A$2:$L$10000, 12, 0), "Revisar")</f>
        <v>16561577</v>
      </c>
      <c r="K171" s="8" t="str">
        <f aca="false">TEXT(TRIM(D171),"0")</f>
        <v>34565934</v>
      </c>
      <c r="L171" s="1" t="str">
        <f aca="false">IF(F171="Revisar","NULL",CONCATENATE("'",TEXT(F171,"yyyy-mm-dd"),"'"))</f>
        <v>'2010-09-12'</v>
      </c>
      <c r="M171" s="9" t="str">
        <f aca="false">IF(G171="Revisar","NULL",CONCATENATE("'",MID(G171,1,1),"'"))</f>
        <v>'M'</v>
      </c>
      <c r="N171" s="9" t="str">
        <f aca="false">IF(H171="Revisar","NULL",CONCATENATE("'",H171,"'"))</f>
        <v>'MARACAIBO'</v>
      </c>
      <c r="O171" s="9" t="str">
        <f aca="false">IF(I171="Revisar","NULL",CONCATENATE("'",I171,"'"))</f>
        <v>'ZU'</v>
      </c>
      <c r="P171" s="1" t="str">
        <f aca="false">"UPDATE estudiantes SET fecha_nacimiento="&amp;L171&amp;", sexo="&amp;M171&amp;", lugar_nacimiento="&amp;N171&amp;", entidad_federal="&amp;O171&amp;" WHERE cedula='"&amp;K171&amp;"';"</f>
        <v>UPDATE estudiantes SET fecha_nacimiento='2010-09-12', sexo='M', lugar_nacimiento='MARACAIBO', entidad_federal='ZU' WHERE cedula='34565934';</v>
      </c>
    </row>
    <row r="172" customFormat="false" ht="14.9" hidden="false" customHeight="false" outlineLevel="0" collapsed="false">
      <c r="A172" s="1" t="s">
        <v>15</v>
      </c>
      <c r="B172" s="1" t="s">
        <v>192</v>
      </c>
      <c r="C172" s="1" t="s">
        <v>17</v>
      </c>
      <c r="D172" s="1" t="s">
        <v>195</v>
      </c>
      <c r="E172" s="2" t="n">
        <v>45922</v>
      </c>
      <c r="F172" s="2" t="n">
        <f aca="false">IFERROR(VLOOKUP(TRIM($D172), Hoja4_2!$A$2:$L$10000, 4, 0), "Revisar")</f>
        <v>40667</v>
      </c>
      <c r="G172" s="7" t="str">
        <f aca="false">IFERROR(VLOOKUP(TRIM($D172), Hoja4_2!$A$2:$L$10000, 5, 0), "Revisar")</f>
        <v>FEMENINO</v>
      </c>
      <c r="H172" s="7" t="str">
        <f aca="false">IFERROR(VLOOKUP(TRIM($D172), Hoja4_2!$A$2:$L$10000, 7, 0), "Revisar")</f>
        <v>MARACAIBO</v>
      </c>
      <c r="I172" s="7" t="str">
        <f aca="false">IFERROR(VLOOKUP(TRIM($D172), Hoja4_2!$A$2:$L$10000, 9, 0), "Revisar")</f>
        <v>ZU</v>
      </c>
      <c r="J172" s="7" t="str">
        <f aca="false">IFERROR(VLOOKUP(TRIM($D172), Hoja4_2!$A$2:$L$10000, 12, 0), "Revisar")</f>
        <v>17294713</v>
      </c>
      <c r="K172" s="8" t="str">
        <f aca="false">TEXT(TRIM(D172),"0")</f>
        <v>34616111</v>
      </c>
      <c r="L172" s="1" t="str">
        <f aca="false">IF(F172="Revisar","NULL",CONCATENATE("'",TEXT(F172,"yyyy-mm-dd"),"'"))</f>
        <v>'2011-05-04'</v>
      </c>
      <c r="M172" s="9" t="str">
        <f aca="false">IF(G172="Revisar","NULL",CONCATENATE("'",MID(G172,1,1),"'"))</f>
        <v>'F'</v>
      </c>
      <c r="N172" s="9" t="str">
        <f aca="false">IF(H172="Revisar","NULL",CONCATENATE("'",H172,"'"))</f>
        <v>'MARACAIBO'</v>
      </c>
      <c r="O172" s="9" t="str">
        <f aca="false">IF(I172="Revisar","NULL",CONCATENATE("'",I172,"'"))</f>
        <v>'ZU'</v>
      </c>
      <c r="P172" s="1" t="str">
        <f aca="false">"UPDATE estudiantes SET fecha_nacimiento="&amp;L172&amp;", sexo="&amp;M172&amp;", lugar_nacimiento="&amp;N172&amp;", entidad_federal="&amp;O172&amp;" WHERE cedula='"&amp;K172&amp;"';"</f>
        <v>UPDATE estudiantes SET fecha_nacimiento='2011-05-04', sexo='F', lugar_nacimiento='MARACAIBO', entidad_federal='ZU' WHERE cedula='34616111';</v>
      </c>
    </row>
    <row r="173" customFormat="false" ht="14.9" hidden="false" customHeight="false" outlineLevel="0" collapsed="false">
      <c r="A173" s="1" t="s">
        <v>15</v>
      </c>
      <c r="B173" s="1" t="s">
        <v>192</v>
      </c>
      <c r="C173" s="1" t="s">
        <v>17</v>
      </c>
      <c r="D173" s="1" t="s">
        <v>196</v>
      </c>
      <c r="E173" s="2" t="n">
        <v>46055</v>
      </c>
      <c r="F173" s="2" t="n">
        <f aca="false">IFERROR(VLOOKUP(TRIM($D173), Hoja4_2!$A$2:$L$10000, 4, 0), "Revisar")</f>
        <v>40958</v>
      </c>
      <c r="G173" s="7" t="str">
        <f aca="false">IFERROR(VLOOKUP(TRIM($D173), Hoja4_2!$A$2:$L$10000, 5, 0), "Revisar")</f>
        <v>FEMENINO</v>
      </c>
      <c r="H173" s="7" t="str">
        <f aca="false">IFERROR(VLOOKUP(TRIM($D173), Hoja4_2!$A$2:$L$10000, 7, 0), "Revisar")</f>
        <v>MARACAIBO</v>
      </c>
      <c r="I173" s="7" t="str">
        <f aca="false">IFERROR(VLOOKUP(TRIM($D173), Hoja4_2!$A$2:$L$10000, 9, 0), "Revisar")</f>
        <v>ZU</v>
      </c>
      <c r="J173" s="7" t="str">
        <f aca="false">IFERROR(VLOOKUP(TRIM($D173), Hoja4_2!$A$2:$L$10000, 12, 0), "Revisar")</f>
        <v>12805630</v>
      </c>
      <c r="K173" s="8" t="str">
        <f aca="false">TEXT(TRIM(D173),"0")</f>
        <v>34692313</v>
      </c>
      <c r="L173" s="1" t="str">
        <f aca="false">IF(F173="Revisar","NULL",CONCATENATE("'",TEXT(F173,"yyyy-mm-dd"),"'"))</f>
        <v>'2012-02-19'</v>
      </c>
      <c r="M173" s="9" t="str">
        <f aca="false">IF(G173="Revisar","NULL",CONCATENATE("'",MID(G173,1,1),"'"))</f>
        <v>'F'</v>
      </c>
      <c r="N173" s="9" t="str">
        <f aca="false">IF(H173="Revisar","NULL",CONCATENATE("'",H173,"'"))</f>
        <v>'MARACAIBO'</v>
      </c>
      <c r="O173" s="9" t="str">
        <f aca="false">IF(I173="Revisar","NULL",CONCATENATE("'",I173,"'"))</f>
        <v>'ZU'</v>
      </c>
      <c r="P173" s="1" t="str">
        <f aca="false">"UPDATE estudiantes SET fecha_nacimiento="&amp;L173&amp;", sexo="&amp;M173&amp;", lugar_nacimiento="&amp;N173&amp;", entidad_federal="&amp;O173&amp;" WHERE cedula='"&amp;K173&amp;"';"</f>
        <v>UPDATE estudiantes SET fecha_nacimiento='2012-02-19', sexo='F', lugar_nacimiento='MARACAIBO', entidad_federal='ZU' WHERE cedula='34692313';</v>
      </c>
    </row>
    <row r="174" customFormat="false" ht="14.9" hidden="false" customHeight="false" outlineLevel="0" collapsed="false">
      <c r="A174" s="1" t="s">
        <v>15</v>
      </c>
      <c r="B174" s="1" t="s">
        <v>192</v>
      </c>
      <c r="C174" s="1" t="s">
        <v>17</v>
      </c>
      <c r="D174" s="1" t="s">
        <v>197</v>
      </c>
      <c r="E174" s="2" t="n">
        <v>45922</v>
      </c>
      <c r="F174" s="2" t="n">
        <f aca="false">IFERROR(VLOOKUP(TRIM($D174), Hoja4_2!$A$2:$L$10000, 4, 0), "Revisar")</f>
        <v>41250</v>
      </c>
      <c r="G174" s="7" t="str">
        <f aca="false">IFERROR(VLOOKUP(TRIM($D174), Hoja4_2!$A$2:$L$10000, 5, 0), "Revisar")</f>
        <v>FEMENINO</v>
      </c>
      <c r="H174" s="7" t="str">
        <f aca="false">IFERROR(VLOOKUP(TRIM($D174), Hoja4_2!$A$2:$L$10000, 7, 0), "Revisar")</f>
        <v>MARACAIBO</v>
      </c>
      <c r="I174" s="7" t="str">
        <f aca="false">IFERROR(VLOOKUP(TRIM($D174), Hoja4_2!$A$2:$L$10000, 9, 0), "Revisar")</f>
        <v>ZU</v>
      </c>
      <c r="J174" s="7" t="str">
        <f aca="false">IFERROR(VLOOKUP(TRIM($D174), Hoja4_2!$A$2:$L$10000, 12, 0), "Revisar")</f>
        <v>17938234</v>
      </c>
      <c r="K174" s="8" t="str">
        <f aca="false">TEXT(TRIM(D174),"0")</f>
        <v>34704048</v>
      </c>
      <c r="L174" s="1" t="str">
        <f aca="false">IF(F174="Revisar","NULL",CONCATENATE("'",TEXT(F174,"yyyy-mm-dd"),"'"))</f>
        <v>'2012-12-07'</v>
      </c>
      <c r="M174" s="9" t="str">
        <f aca="false">IF(G174="Revisar","NULL",CONCATENATE("'",MID(G174,1,1),"'"))</f>
        <v>'F'</v>
      </c>
      <c r="N174" s="9" t="str">
        <f aca="false">IF(H174="Revisar","NULL",CONCATENATE("'",H174,"'"))</f>
        <v>'MARACAIBO'</v>
      </c>
      <c r="O174" s="9" t="str">
        <f aca="false">IF(I174="Revisar","NULL",CONCATENATE("'",I174,"'"))</f>
        <v>'ZU'</v>
      </c>
      <c r="P174" s="1" t="str">
        <f aca="false">"UPDATE estudiantes SET fecha_nacimiento="&amp;L174&amp;", sexo="&amp;M174&amp;", lugar_nacimiento="&amp;N174&amp;", entidad_federal="&amp;O174&amp;" WHERE cedula='"&amp;K174&amp;"';"</f>
        <v>UPDATE estudiantes SET fecha_nacimiento='2012-12-07', sexo='F', lugar_nacimiento='MARACAIBO', entidad_federal='ZU' WHERE cedula='34704048';</v>
      </c>
    </row>
    <row r="175" customFormat="false" ht="14.9" hidden="false" customHeight="false" outlineLevel="0" collapsed="false">
      <c r="A175" s="1" t="s">
        <v>15</v>
      </c>
      <c r="B175" s="1" t="s">
        <v>192</v>
      </c>
      <c r="C175" s="1" t="s">
        <v>17</v>
      </c>
      <c r="D175" s="1" t="s">
        <v>198</v>
      </c>
      <c r="E175" s="2" t="n">
        <v>45922</v>
      </c>
      <c r="F175" s="2" t="n">
        <f aca="false">IFERROR(VLOOKUP(TRIM($D175), Hoja4_2!$A$2:$L$10000, 4, 0), "Revisar")</f>
        <v>41334</v>
      </c>
      <c r="G175" s="7" t="str">
        <f aca="false">IFERROR(VLOOKUP(TRIM($D175), Hoja4_2!$A$2:$L$10000, 5, 0), "Revisar")</f>
        <v>MASCULINO</v>
      </c>
      <c r="H175" s="7" t="str">
        <f aca="false">IFERROR(VLOOKUP(TRIM($D175), Hoja4_2!$A$2:$L$10000, 7, 0), "Revisar")</f>
        <v>JESUS ENRIQUE LOSSADA</v>
      </c>
      <c r="I175" s="7" t="str">
        <f aca="false">IFERROR(VLOOKUP(TRIM($D175), Hoja4_2!$A$2:$L$10000, 9, 0), "Revisar")</f>
        <v>ZU</v>
      </c>
      <c r="J175" s="7" t="str">
        <f aca="false">IFERROR(VLOOKUP(TRIM($D175), Hoja4_2!$A$2:$L$10000, 12, 0), "Revisar")</f>
        <v>19989279</v>
      </c>
      <c r="K175" s="8" t="str">
        <f aca="false">TEXT(TRIM(D175),"0")</f>
        <v>34728059</v>
      </c>
      <c r="L175" s="1" t="str">
        <f aca="false">IF(F175="Revisar","NULL",CONCATENATE("'",TEXT(F175,"yyyy-mm-dd"),"'"))</f>
        <v>'2013-03-01'</v>
      </c>
      <c r="M175" s="9" t="str">
        <f aca="false">IF(G175="Revisar","NULL",CONCATENATE("'",MID(G175,1,1),"'"))</f>
        <v>'M'</v>
      </c>
      <c r="N175" s="9" t="str">
        <f aca="false">IF(H175="Revisar","NULL",CONCATENATE("'",H175,"'"))</f>
        <v>'JESUS ENRIQUE LOSSADA'</v>
      </c>
      <c r="O175" s="9" t="str">
        <f aca="false">IF(I175="Revisar","NULL",CONCATENATE("'",I175,"'"))</f>
        <v>'ZU'</v>
      </c>
      <c r="P175" s="1" t="str">
        <f aca="false">"UPDATE estudiantes SET fecha_nacimiento="&amp;L175&amp;", sexo="&amp;M175&amp;", lugar_nacimiento="&amp;N175&amp;", entidad_federal="&amp;O175&amp;" WHERE cedula='"&amp;K175&amp;"';"</f>
        <v>UPDATE estudiantes SET fecha_nacimiento='2013-03-01', sexo='M', lugar_nacimiento='JESUS ENRIQUE LOSSADA', entidad_federal='ZU' WHERE cedula='34728059';</v>
      </c>
    </row>
    <row r="176" customFormat="false" ht="14.9" hidden="false" customHeight="false" outlineLevel="0" collapsed="false">
      <c r="A176" s="1" t="s">
        <v>15</v>
      </c>
      <c r="B176" s="1" t="s">
        <v>192</v>
      </c>
      <c r="C176" s="1" t="s">
        <v>17</v>
      </c>
      <c r="D176" s="1" t="s">
        <v>199</v>
      </c>
      <c r="E176" s="2" t="n">
        <v>45922</v>
      </c>
      <c r="F176" s="2" t="n">
        <f aca="false">IFERROR(VLOOKUP(TRIM($D176), Hoja4_2!$A$2:$L$10000, 4, 0), "Revisar")</f>
        <v>41156</v>
      </c>
      <c r="G176" s="7" t="str">
        <f aca="false">IFERROR(VLOOKUP(TRIM($D176), Hoja4_2!$A$2:$L$10000, 5, 0), "Revisar")</f>
        <v>FEMENINO</v>
      </c>
      <c r="H176" s="7" t="str">
        <f aca="false">IFERROR(VLOOKUP(TRIM($D176), Hoja4_2!$A$2:$L$10000, 7, 0), "Revisar")</f>
        <v>MARACAIBO</v>
      </c>
      <c r="I176" s="7" t="str">
        <f aca="false">IFERROR(VLOOKUP(TRIM($D176), Hoja4_2!$A$2:$L$10000, 9, 0), "Revisar")</f>
        <v>ZU</v>
      </c>
      <c r="J176" s="7" t="str">
        <f aca="false">IFERROR(VLOOKUP(TRIM($D176), Hoja4_2!$A$2:$L$10000, 12, 0), "Revisar")</f>
        <v>20833993</v>
      </c>
      <c r="K176" s="8" t="str">
        <f aca="false">TEXT(TRIM(D176),"0")</f>
        <v>34733401</v>
      </c>
      <c r="L176" s="1" t="str">
        <f aca="false">IF(F176="Revisar","NULL",CONCATENATE("'",TEXT(F176,"yyyy-mm-dd"),"'"))</f>
        <v>'2012-09-04'</v>
      </c>
      <c r="M176" s="9" t="str">
        <f aca="false">IF(G176="Revisar","NULL",CONCATENATE("'",MID(G176,1,1),"'"))</f>
        <v>'F'</v>
      </c>
      <c r="N176" s="9" t="str">
        <f aca="false">IF(H176="Revisar","NULL",CONCATENATE("'",H176,"'"))</f>
        <v>'MARACAIBO'</v>
      </c>
      <c r="O176" s="9" t="str">
        <f aca="false">IF(I176="Revisar","NULL",CONCATENATE("'",I176,"'"))</f>
        <v>'ZU'</v>
      </c>
      <c r="P176" s="1" t="str">
        <f aca="false">"UPDATE estudiantes SET fecha_nacimiento="&amp;L176&amp;", sexo="&amp;M176&amp;", lugar_nacimiento="&amp;N176&amp;", entidad_federal="&amp;O176&amp;" WHERE cedula='"&amp;K176&amp;"';"</f>
        <v>UPDATE estudiantes SET fecha_nacimiento='2012-09-04', sexo='F', lugar_nacimiento='MARACAIBO', entidad_federal='ZU' WHERE cedula='34733401';</v>
      </c>
    </row>
    <row r="177" customFormat="false" ht="14.9" hidden="false" customHeight="false" outlineLevel="0" collapsed="false">
      <c r="A177" s="1" t="s">
        <v>15</v>
      </c>
      <c r="B177" s="1" t="s">
        <v>192</v>
      </c>
      <c r="C177" s="1" t="s">
        <v>17</v>
      </c>
      <c r="D177" s="1" t="s">
        <v>200</v>
      </c>
      <c r="E177" s="2" t="n">
        <v>45922</v>
      </c>
      <c r="F177" s="2" t="n">
        <f aca="false">IFERROR(VLOOKUP(TRIM($D177), Hoja4_2!$A$2:$L$10000, 4, 0), "Revisar")</f>
        <v>40964</v>
      </c>
      <c r="G177" s="7" t="str">
        <f aca="false">IFERROR(VLOOKUP(TRIM($D177), Hoja4_2!$A$2:$L$10000, 5, 0), "Revisar")</f>
        <v>MASCULINO</v>
      </c>
      <c r="H177" s="7" t="str">
        <f aca="false">IFERROR(VLOOKUP(TRIM($D177), Hoja4_2!$A$2:$L$10000, 7, 0), "Revisar")</f>
        <v>MARACAIBO</v>
      </c>
      <c r="I177" s="7" t="str">
        <f aca="false">IFERROR(VLOOKUP(TRIM($D177), Hoja4_2!$A$2:$L$10000, 9, 0), "Revisar")</f>
        <v>ZU</v>
      </c>
      <c r="J177" s="7" t="str">
        <f aca="false">IFERROR(VLOOKUP(TRIM($D177), Hoja4_2!$A$2:$L$10000, 12, 0), "Revisar")</f>
        <v>15889490</v>
      </c>
      <c r="K177" s="8" t="str">
        <f aca="false">TEXT(TRIM(D177),"0")</f>
        <v>34755555</v>
      </c>
      <c r="L177" s="1" t="str">
        <f aca="false">IF(F177="Revisar","NULL",CONCATENATE("'",TEXT(F177,"yyyy-mm-dd"),"'"))</f>
        <v>'2012-02-25'</v>
      </c>
      <c r="M177" s="9" t="str">
        <f aca="false">IF(G177="Revisar","NULL",CONCATENATE("'",MID(G177,1,1),"'"))</f>
        <v>'M'</v>
      </c>
      <c r="N177" s="9" t="str">
        <f aca="false">IF(H177="Revisar","NULL",CONCATENATE("'",H177,"'"))</f>
        <v>'MARACAIBO'</v>
      </c>
      <c r="O177" s="9" t="str">
        <f aca="false">IF(I177="Revisar","NULL",CONCATENATE("'",I177,"'"))</f>
        <v>'ZU'</v>
      </c>
      <c r="P177" s="1" t="str">
        <f aca="false">"UPDATE estudiantes SET fecha_nacimiento="&amp;L177&amp;", sexo="&amp;M177&amp;", lugar_nacimiento="&amp;N177&amp;", entidad_federal="&amp;O177&amp;" WHERE cedula='"&amp;K177&amp;"';"</f>
        <v>UPDATE estudiantes SET fecha_nacimiento='2012-02-25', sexo='M', lugar_nacimiento='MARACAIBO', entidad_federal='ZU' WHERE cedula='34755555';</v>
      </c>
    </row>
    <row r="178" customFormat="false" ht="14.9" hidden="false" customHeight="false" outlineLevel="0" collapsed="false">
      <c r="A178" s="1" t="s">
        <v>15</v>
      </c>
      <c r="B178" s="1" t="s">
        <v>192</v>
      </c>
      <c r="C178" s="1" t="s">
        <v>17</v>
      </c>
      <c r="D178" s="1" t="s">
        <v>201</v>
      </c>
      <c r="E178" s="2" t="n">
        <v>45922</v>
      </c>
      <c r="F178" s="2" t="n">
        <f aca="false">IFERROR(VLOOKUP(TRIM($D178), Hoja4_2!$A$2:$L$10000, 4, 0), "Revisar")</f>
        <v>41163</v>
      </c>
      <c r="G178" s="7" t="str">
        <f aca="false">IFERROR(VLOOKUP(TRIM($D178), Hoja4_2!$A$2:$L$10000, 5, 0), "Revisar")</f>
        <v>FEMENINO</v>
      </c>
      <c r="H178" s="7" t="str">
        <f aca="false">IFERROR(VLOOKUP(TRIM($D178), Hoja4_2!$A$2:$L$10000, 7, 0), "Revisar")</f>
        <v>MARACAIBO</v>
      </c>
      <c r="I178" s="7" t="str">
        <f aca="false">IFERROR(VLOOKUP(TRIM($D178), Hoja4_2!$A$2:$L$10000, 9, 0), "Revisar")</f>
        <v>ZU</v>
      </c>
      <c r="J178" s="7" t="str">
        <f aca="false">IFERROR(VLOOKUP(TRIM($D178), Hoja4_2!$A$2:$L$10000, 12, 0), "Revisar")</f>
        <v>24725382</v>
      </c>
      <c r="K178" s="8" t="str">
        <f aca="false">TEXT(TRIM(D178),"0")</f>
        <v>34774701</v>
      </c>
      <c r="L178" s="1" t="str">
        <f aca="false">IF(F178="Revisar","NULL",CONCATENATE("'",TEXT(F178,"yyyy-mm-dd"),"'"))</f>
        <v>'2012-09-11'</v>
      </c>
      <c r="M178" s="9" t="str">
        <f aca="false">IF(G178="Revisar","NULL",CONCATENATE("'",MID(G178,1,1),"'"))</f>
        <v>'F'</v>
      </c>
      <c r="N178" s="9" t="str">
        <f aca="false">IF(H178="Revisar","NULL",CONCATENATE("'",H178,"'"))</f>
        <v>'MARACAIBO'</v>
      </c>
      <c r="O178" s="9" t="str">
        <f aca="false">IF(I178="Revisar","NULL",CONCATENATE("'",I178,"'"))</f>
        <v>'ZU'</v>
      </c>
      <c r="P178" s="1" t="str">
        <f aca="false">"UPDATE estudiantes SET fecha_nacimiento="&amp;L178&amp;", sexo="&amp;M178&amp;", lugar_nacimiento="&amp;N178&amp;", entidad_federal="&amp;O178&amp;" WHERE cedula='"&amp;K178&amp;"';"</f>
        <v>UPDATE estudiantes SET fecha_nacimiento='2012-09-11', sexo='F', lugar_nacimiento='MARACAIBO', entidad_federal='ZU' WHERE cedula='34774701';</v>
      </c>
    </row>
    <row r="179" customFormat="false" ht="14.9" hidden="false" customHeight="false" outlineLevel="0" collapsed="false">
      <c r="A179" s="1" t="s">
        <v>15</v>
      </c>
      <c r="B179" s="1" t="s">
        <v>192</v>
      </c>
      <c r="C179" s="1" t="s">
        <v>17</v>
      </c>
      <c r="D179" s="1" t="s">
        <v>202</v>
      </c>
      <c r="E179" s="2" t="n">
        <v>45922</v>
      </c>
      <c r="F179" s="2" t="n">
        <f aca="false">IFERROR(VLOOKUP(TRIM($D179), Hoja4_2!$A$2:$L$10000, 4, 0), "Revisar")</f>
        <v>41152</v>
      </c>
      <c r="G179" s="7" t="str">
        <f aca="false">IFERROR(VLOOKUP(TRIM($D179), Hoja4_2!$A$2:$L$10000, 5, 0), "Revisar")</f>
        <v>MASCULINO</v>
      </c>
      <c r="H179" s="7" t="str">
        <f aca="false">IFERROR(VLOOKUP(TRIM($D179), Hoja4_2!$A$2:$L$10000, 7, 0), "Revisar")</f>
        <v>MARACAIBO</v>
      </c>
      <c r="I179" s="7" t="str">
        <f aca="false">IFERROR(VLOOKUP(TRIM($D179), Hoja4_2!$A$2:$L$10000, 9, 0), "Revisar")</f>
        <v>ZU</v>
      </c>
      <c r="J179" s="7" t="str">
        <f aca="false">IFERROR(VLOOKUP(TRIM($D179), Hoja4_2!$A$2:$L$10000, 12, 0), "Revisar")</f>
        <v>11068633</v>
      </c>
      <c r="K179" s="8" t="str">
        <f aca="false">TEXT(TRIM(D179),"0")</f>
        <v>34784799</v>
      </c>
      <c r="L179" s="1" t="str">
        <f aca="false">IF(F179="Revisar","NULL",CONCATENATE("'",TEXT(F179,"yyyy-mm-dd"),"'"))</f>
        <v>'2012-08-31'</v>
      </c>
      <c r="M179" s="9" t="str">
        <f aca="false">IF(G179="Revisar","NULL",CONCATENATE("'",MID(G179,1,1),"'"))</f>
        <v>'M'</v>
      </c>
      <c r="N179" s="9" t="str">
        <f aca="false">IF(H179="Revisar","NULL",CONCATENATE("'",H179,"'"))</f>
        <v>'MARACAIBO'</v>
      </c>
      <c r="O179" s="9" t="str">
        <f aca="false">IF(I179="Revisar","NULL",CONCATENATE("'",I179,"'"))</f>
        <v>'ZU'</v>
      </c>
      <c r="P179" s="1" t="str">
        <f aca="false">"UPDATE estudiantes SET fecha_nacimiento="&amp;L179&amp;", sexo="&amp;M179&amp;", lugar_nacimiento="&amp;N179&amp;", entidad_federal="&amp;O179&amp;" WHERE cedula='"&amp;K179&amp;"';"</f>
        <v>UPDATE estudiantes SET fecha_nacimiento='2012-08-31', sexo='M', lugar_nacimiento='MARACAIBO', entidad_federal='ZU' WHERE cedula='34784799';</v>
      </c>
    </row>
    <row r="180" customFormat="false" ht="14.9" hidden="false" customHeight="false" outlineLevel="0" collapsed="false">
      <c r="A180" s="1" t="s">
        <v>15</v>
      </c>
      <c r="B180" s="1" t="s">
        <v>192</v>
      </c>
      <c r="C180" s="1" t="s">
        <v>17</v>
      </c>
      <c r="D180" s="1" t="s">
        <v>203</v>
      </c>
      <c r="E180" s="2" t="n">
        <v>45922</v>
      </c>
      <c r="F180" s="2" t="n">
        <f aca="false">IFERROR(VLOOKUP(TRIM($D180), Hoja4_2!$A$2:$L$10000, 4, 0), "Revisar")</f>
        <v>41037</v>
      </c>
      <c r="G180" s="7" t="str">
        <f aca="false">IFERROR(VLOOKUP(TRIM($D180), Hoja4_2!$A$2:$L$10000, 5, 0), "Revisar")</f>
        <v>FEMENINO</v>
      </c>
      <c r="H180" s="7" t="str">
        <f aca="false">IFERROR(VLOOKUP(TRIM($D180), Hoja4_2!$A$2:$L$10000, 7, 0), "Revisar")</f>
        <v>MARACAIBO</v>
      </c>
      <c r="I180" s="7" t="str">
        <f aca="false">IFERROR(VLOOKUP(TRIM($D180), Hoja4_2!$A$2:$L$10000, 9, 0), "Revisar")</f>
        <v>ZU</v>
      </c>
      <c r="J180" s="7" t="str">
        <f aca="false">IFERROR(VLOOKUP(TRIM($D180), Hoja4_2!$A$2:$L$10000, 12, 0), "Revisar")</f>
        <v>12620111</v>
      </c>
      <c r="K180" s="8" t="str">
        <f aca="false">TEXT(TRIM(D180),"0")</f>
        <v>34804813</v>
      </c>
      <c r="L180" s="1" t="str">
        <f aca="false">IF(F180="Revisar","NULL",CONCATENATE("'",TEXT(F180,"yyyy-mm-dd"),"'"))</f>
        <v>'2012-05-08'</v>
      </c>
      <c r="M180" s="9" t="str">
        <f aca="false">IF(G180="Revisar","NULL",CONCATENATE("'",MID(G180,1,1),"'"))</f>
        <v>'F'</v>
      </c>
      <c r="N180" s="9" t="str">
        <f aca="false">IF(H180="Revisar","NULL",CONCATENATE("'",H180,"'"))</f>
        <v>'MARACAIBO'</v>
      </c>
      <c r="O180" s="9" t="str">
        <f aca="false">IF(I180="Revisar","NULL",CONCATENATE("'",I180,"'"))</f>
        <v>'ZU'</v>
      </c>
      <c r="P180" s="1" t="str">
        <f aca="false">"UPDATE estudiantes SET fecha_nacimiento="&amp;L180&amp;", sexo="&amp;M180&amp;", lugar_nacimiento="&amp;N180&amp;", entidad_federal="&amp;O180&amp;" WHERE cedula='"&amp;K180&amp;"';"</f>
        <v>UPDATE estudiantes SET fecha_nacimiento='2012-05-08', sexo='F', lugar_nacimiento='MARACAIBO', entidad_federal='ZU' WHERE cedula='34804813';</v>
      </c>
    </row>
    <row r="181" customFormat="false" ht="14.9" hidden="false" customHeight="false" outlineLevel="0" collapsed="false">
      <c r="A181" s="1" t="s">
        <v>15</v>
      </c>
      <c r="B181" s="1" t="s">
        <v>192</v>
      </c>
      <c r="C181" s="1" t="s">
        <v>17</v>
      </c>
      <c r="D181" s="1" t="s">
        <v>204</v>
      </c>
      <c r="E181" s="2" t="n">
        <v>45922</v>
      </c>
      <c r="F181" s="2" t="n">
        <f aca="false">IFERROR(VLOOKUP(TRIM($D181), Hoja4_2!$A$2:$L$10000, 4, 0), "Revisar")</f>
        <v>41068</v>
      </c>
      <c r="G181" s="7" t="str">
        <f aca="false">IFERROR(VLOOKUP(TRIM($D181), Hoja4_2!$A$2:$L$10000, 5, 0), "Revisar")</f>
        <v>MASCULINO</v>
      </c>
      <c r="H181" s="7" t="str">
        <f aca="false">IFERROR(VLOOKUP(TRIM($D181), Hoja4_2!$A$2:$L$10000, 7, 0), "Revisar")</f>
        <v>MARACAIBO</v>
      </c>
      <c r="I181" s="7" t="str">
        <f aca="false">IFERROR(VLOOKUP(TRIM($D181), Hoja4_2!$A$2:$L$10000, 9, 0), "Revisar")</f>
        <v>ZU</v>
      </c>
      <c r="J181" s="7" t="str">
        <f aca="false">IFERROR(VLOOKUP(TRIM($D181), Hoja4_2!$A$2:$L$10000, 12, 0), "Revisar")</f>
        <v>15162243</v>
      </c>
      <c r="K181" s="8" t="str">
        <f aca="false">TEXT(TRIM(D181),"0")</f>
        <v>34820414</v>
      </c>
      <c r="L181" s="1" t="str">
        <f aca="false">IF(F181="Revisar","NULL",CONCATENATE("'",TEXT(F181,"yyyy-mm-dd"),"'"))</f>
        <v>'2012-06-08'</v>
      </c>
      <c r="M181" s="9" t="str">
        <f aca="false">IF(G181="Revisar","NULL",CONCATENATE("'",MID(G181,1,1),"'"))</f>
        <v>'M'</v>
      </c>
      <c r="N181" s="9" t="str">
        <f aca="false">IF(H181="Revisar","NULL",CONCATENATE("'",H181,"'"))</f>
        <v>'MARACAIBO'</v>
      </c>
      <c r="O181" s="9" t="str">
        <f aca="false">IF(I181="Revisar","NULL",CONCATENATE("'",I181,"'"))</f>
        <v>'ZU'</v>
      </c>
      <c r="P181" s="1" t="str">
        <f aca="false">"UPDATE estudiantes SET fecha_nacimiento="&amp;L181&amp;", sexo="&amp;M181&amp;", lugar_nacimiento="&amp;N181&amp;", entidad_federal="&amp;O181&amp;" WHERE cedula='"&amp;K181&amp;"';"</f>
        <v>UPDATE estudiantes SET fecha_nacimiento='2012-06-08', sexo='M', lugar_nacimiento='MARACAIBO', entidad_federal='ZU' WHERE cedula='34820414';</v>
      </c>
    </row>
    <row r="182" customFormat="false" ht="14.9" hidden="false" customHeight="false" outlineLevel="0" collapsed="false">
      <c r="A182" s="1" t="s">
        <v>15</v>
      </c>
      <c r="B182" s="1" t="s">
        <v>192</v>
      </c>
      <c r="C182" s="1" t="s">
        <v>17</v>
      </c>
      <c r="D182" s="1" t="s">
        <v>205</v>
      </c>
      <c r="E182" s="2" t="n">
        <v>45922</v>
      </c>
      <c r="F182" s="2" t="n">
        <f aca="false">IFERROR(VLOOKUP(TRIM($D182), Hoja4_2!$A$2:$L$10000, 4, 0), "Revisar")</f>
        <v>40162</v>
      </c>
      <c r="G182" s="7" t="str">
        <f aca="false">IFERROR(VLOOKUP(TRIM($D182), Hoja4_2!$A$2:$L$10000, 5, 0), "Revisar")</f>
        <v>FEMENINO</v>
      </c>
      <c r="H182" s="7" t="str">
        <f aca="false">IFERROR(VLOOKUP(TRIM($D182), Hoja4_2!$A$2:$L$10000, 7, 0), "Revisar")</f>
        <v>MARACAIBO</v>
      </c>
      <c r="I182" s="7" t="str">
        <f aca="false">IFERROR(VLOOKUP(TRIM($D182), Hoja4_2!$A$2:$L$10000, 9, 0), "Revisar")</f>
        <v>ZU</v>
      </c>
      <c r="J182" s="7" t="str">
        <f aca="false">IFERROR(VLOOKUP(TRIM($D182), Hoja4_2!$A$2:$L$10000, 12, 0), "Revisar")</f>
        <v>17634586</v>
      </c>
      <c r="K182" s="8" t="str">
        <f aca="false">TEXT(TRIM(D182),"0")</f>
        <v>34847532</v>
      </c>
      <c r="L182" s="1" t="str">
        <f aca="false">IF(F182="Revisar","NULL",CONCATENATE("'",TEXT(F182,"yyyy-mm-dd"),"'"))</f>
        <v>'2009-12-15'</v>
      </c>
      <c r="M182" s="9" t="str">
        <f aca="false">IF(G182="Revisar","NULL",CONCATENATE("'",MID(G182,1,1),"'"))</f>
        <v>'F'</v>
      </c>
      <c r="N182" s="9" t="str">
        <f aca="false">IF(H182="Revisar","NULL",CONCATENATE("'",H182,"'"))</f>
        <v>'MARACAIBO'</v>
      </c>
      <c r="O182" s="9" t="str">
        <f aca="false">IF(I182="Revisar","NULL",CONCATENATE("'",I182,"'"))</f>
        <v>'ZU'</v>
      </c>
      <c r="P182" s="1" t="str">
        <f aca="false">"UPDATE estudiantes SET fecha_nacimiento="&amp;L182&amp;", sexo="&amp;M182&amp;", lugar_nacimiento="&amp;N182&amp;", entidad_federal="&amp;O182&amp;" WHERE cedula='"&amp;K182&amp;"';"</f>
        <v>UPDATE estudiantes SET fecha_nacimiento='2009-12-15', sexo='F', lugar_nacimiento='MARACAIBO', entidad_federal='ZU' WHERE cedula='34847532';</v>
      </c>
    </row>
    <row r="183" customFormat="false" ht="14.9" hidden="false" customHeight="false" outlineLevel="0" collapsed="false">
      <c r="A183" s="1" t="s">
        <v>15</v>
      </c>
      <c r="B183" s="1" t="s">
        <v>192</v>
      </c>
      <c r="C183" s="1" t="s">
        <v>17</v>
      </c>
      <c r="D183" s="1" t="s">
        <v>206</v>
      </c>
      <c r="E183" s="2" t="n">
        <v>45922</v>
      </c>
      <c r="F183" s="2" t="n">
        <f aca="false">IFERROR(VLOOKUP(TRIM($D183), Hoja4_2!$A$2:$L$10000, 4, 0), "Revisar")</f>
        <v>40928</v>
      </c>
      <c r="G183" s="7" t="str">
        <f aca="false">IFERROR(VLOOKUP(TRIM($D183), Hoja4_2!$A$2:$L$10000, 5, 0), "Revisar")</f>
        <v>FEMENINO</v>
      </c>
      <c r="H183" s="7" t="str">
        <f aca="false">IFERROR(VLOOKUP(TRIM($D183), Hoja4_2!$A$2:$L$10000, 7, 0), "Revisar")</f>
        <v>MARACAIBO</v>
      </c>
      <c r="I183" s="7" t="str">
        <f aca="false">IFERROR(VLOOKUP(TRIM($D183), Hoja4_2!$A$2:$L$10000, 9, 0), "Revisar")</f>
        <v>ZU</v>
      </c>
      <c r="J183" s="7" t="str">
        <f aca="false">IFERROR(VLOOKUP(TRIM($D183), Hoja4_2!$A$2:$L$10000, 12, 0), "Revisar")</f>
        <v>17089707</v>
      </c>
      <c r="K183" s="8" t="str">
        <f aca="false">TEXT(TRIM(D183),"0")</f>
        <v>34920562</v>
      </c>
      <c r="L183" s="1" t="str">
        <f aca="false">IF(F183="Revisar","NULL",CONCATENATE("'",TEXT(F183,"yyyy-mm-dd"),"'"))</f>
        <v>'2012-01-20'</v>
      </c>
      <c r="M183" s="9" t="str">
        <f aca="false">IF(G183="Revisar","NULL",CONCATENATE("'",MID(G183,1,1),"'"))</f>
        <v>'F'</v>
      </c>
      <c r="N183" s="9" t="str">
        <f aca="false">IF(H183="Revisar","NULL",CONCATENATE("'",H183,"'"))</f>
        <v>'MARACAIBO'</v>
      </c>
      <c r="O183" s="9" t="str">
        <f aca="false">IF(I183="Revisar","NULL",CONCATENATE("'",I183,"'"))</f>
        <v>'ZU'</v>
      </c>
      <c r="P183" s="1" t="str">
        <f aca="false">"UPDATE estudiantes SET fecha_nacimiento="&amp;L183&amp;", sexo="&amp;M183&amp;", lugar_nacimiento="&amp;N183&amp;", entidad_federal="&amp;O183&amp;" WHERE cedula='"&amp;K183&amp;"';"</f>
        <v>UPDATE estudiantes SET fecha_nacimiento='2012-01-20', sexo='F', lugar_nacimiento='MARACAIBO', entidad_federal='ZU' WHERE cedula='34920562';</v>
      </c>
    </row>
    <row r="184" customFormat="false" ht="14.9" hidden="false" customHeight="false" outlineLevel="0" collapsed="false">
      <c r="A184" s="1" t="s">
        <v>15</v>
      </c>
      <c r="B184" s="1" t="s">
        <v>192</v>
      </c>
      <c r="C184" s="1" t="s">
        <v>17</v>
      </c>
      <c r="D184" s="1" t="s">
        <v>207</v>
      </c>
      <c r="E184" s="2" t="n">
        <v>45922</v>
      </c>
      <c r="F184" s="2" t="n">
        <f aca="false">IFERROR(VLOOKUP(TRIM($D184), Hoja4_2!$A$2:$L$10000, 4, 0), "Revisar")</f>
        <v>41179</v>
      </c>
      <c r="G184" s="7" t="str">
        <f aca="false">IFERROR(VLOOKUP(TRIM($D184), Hoja4_2!$A$2:$L$10000, 5, 0), "Revisar")</f>
        <v>MASCULINO</v>
      </c>
      <c r="H184" s="7" t="str">
        <f aca="false">IFERROR(VLOOKUP(TRIM($D184), Hoja4_2!$A$2:$L$10000, 7, 0), "Revisar")</f>
        <v>MARACAIBO</v>
      </c>
      <c r="I184" s="7" t="str">
        <f aca="false">IFERROR(VLOOKUP(TRIM($D184), Hoja4_2!$A$2:$L$10000, 9, 0), "Revisar")</f>
        <v>ZU</v>
      </c>
      <c r="J184" s="7" t="str">
        <f aca="false">IFERROR(VLOOKUP(TRIM($D184), Hoja4_2!$A$2:$L$10000, 12, 0), "Revisar")</f>
        <v>17565202</v>
      </c>
      <c r="K184" s="8" t="str">
        <f aca="false">TEXT(TRIM(D184),"0")</f>
        <v>34920916</v>
      </c>
      <c r="L184" s="1" t="str">
        <f aca="false">IF(F184="Revisar","NULL",CONCATENATE("'",TEXT(F184,"yyyy-mm-dd"),"'"))</f>
        <v>'2012-09-27'</v>
      </c>
      <c r="M184" s="9" t="str">
        <f aca="false">IF(G184="Revisar","NULL",CONCATENATE("'",MID(G184,1,1),"'"))</f>
        <v>'M'</v>
      </c>
      <c r="N184" s="9" t="str">
        <f aca="false">IF(H184="Revisar","NULL",CONCATENATE("'",H184,"'"))</f>
        <v>'MARACAIBO'</v>
      </c>
      <c r="O184" s="9" t="str">
        <f aca="false">IF(I184="Revisar","NULL",CONCATENATE("'",I184,"'"))</f>
        <v>'ZU'</v>
      </c>
      <c r="P184" s="1" t="str">
        <f aca="false">"UPDATE estudiantes SET fecha_nacimiento="&amp;L184&amp;", sexo="&amp;M184&amp;", lugar_nacimiento="&amp;N184&amp;", entidad_federal="&amp;O184&amp;" WHERE cedula='"&amp;K184&amp;"';"</f>
        <v>UPDATE estudiantes SET fecha_nacimiento='2012-09-27', sexo='M', lugar_nacimiento='MARACAIBO', entidad_federal='ZU' WHERE cedula='34920916';</v>
      </c>
    </row>
    <row r="185" customFormat="false" ht="14.9" hidden="false" customHeight="false" outlineLevel="0" collapsed="false">
      <c r="A185" s="1" t="s">
        <v>15</v>
      </c>
      <c r="B185" s="1" t="s">
        <v>192</v>
      </c>
      <c r="C185" s="1" t="s">
        <v>17</v>
      </c>
      <c r="D185" s="1" t="s">
        <v>208</v>
      </c>
      <c r="E185" s="2" t="n">
        <v>45924</v>
      </c>
      <c r="F185" s="2" t="n">
        <f aca="false">IFERROR(VLOOKUP(TRIM($D185), Hoja4_2!$A$2:$L$10000, 4, 0), "Revisar")</f>
        <v>40579</v>
      </c>
      <c r="G185" s="7" t="str">
        <f aca="false">IFERROR(VLOOKUP(TRIM($D185), Hoja4_2!$A$2:$L$10000, 5, 0), "Revisar")</f>
        <v>FEMENINO</v>
      </c>
      <c r="H185" s="7" t="str">
        <f aca="false">IFERROR(VLOOKUP(TRIM($D185), Hoja4_2!$A$2:$L$10000, 7, 0), "Revisar")</f>
        <v>MARACAIBO</v>
      </c>
      <c r="I185" s="7" t="str">
        <f aca="false">IFERROR(VLOOKUP(TRIM($D185), Hoja4_2!$A$2:$L$10000, 9, 0), "Revisar")</f>
        <v>ZU</v>
      </c>
      <c r="J185" s="7" t="str">
        <f aca="false">IFERROR(VLOOKUP(TRIM($D185), Hoja4_2!$A$2:$L$10000, 12, 0), "Revisar")</f>
        <v>22449161</v>
      </c>
      <c r="K185" s="8" t="str">
        <f aca="false">TEXT(TRIM(D185),"0")</f>
        <v>35026728</v>
      </c>
      <c r="L185" s="1" t="str">
        <f aca="false">IF(F185="Revisar","NULL",CONCATENATE("'",TEXT(F185,"yyyy-mm-dd"),"'"))</f>
        <v>'2011-02-05'</v>
      </c>
      <c r="M185" s="9" t="str">
        <f aca="false">IF(G185="Revisar","NULL",CONCATENATE("'",MID(G185,1,1),"'"))</f>
        <v>'F'</v>
      </c>
      <c r="N185" s="9" t="str">
        <f aca="false">IF(H185="Revisar","NULL",CONCATENATE("'",H185,"'"))</f>
        <v>'MARACAIBO'</v>
      </c>
      <c r="O185" s="9" t="str">
        <f aca="false">IF(I185="Revisar","NULL",CONCATENATE("'",I185,"'"))</f>
        <v>'ZU'</v>
      </c>
      <c r="P185" s="1" t="str">
        <f aca="false">"UPDATE estudiantes SET fecha_nacimiento="&amp;L185&amp;", sexo="&amp;M185&amp;", lugar_nacimiento="&amp;N185&amp;", entidad_federal="&amp;O185&amp;" WHERE cedula='"&amp;K185&amp;"';"</f>
        <v>UPDATE estudiantes SET fecha_nacimiento='2011-02-05', sexo='F', lugar_nacimiento='MARACAIBO', entidad_federal='ZU' WHERE cedula='35026728';</v>
      </c>
    </row>
    <row r="186" customFormat="false" ht="14.9" hidden="false" customHeight="false" outlineLevel="0" collapsed="false">
      <c r="A186" s="1" t="s">
        <v>15</v>
      </c>
      <c r="B186" s="1" t="s">
        <v>192</v>
      </c>
      <c r="C186" s="1" t="s">
        <v>17</v>
      </c>
      <c r="D186" s="1" t="s">
        <v>209</v>
      </c>
      <c r="E186" s="2" t="n">
        <v>45922</v>
      </c>
      <c r="F186" s="2" t="n">
        <f aca="false">IFERROR(VLOOKUP(TRIM($D186), Hoja4_2!$A$2:$L$10000, 4, 0), "Revisar")</f>
        <v>41260</v>
      </c>
      <c r="G186" s="7" t="str">
        <f aca="false">IFERROR(VLOOKUP(TRIM($D186), Hoja4_2!$A$2:$L$10000, 5, 0), "Revisar")</f>
        <v>FEMENINO</v>
      </c>
      <c r="H186" s="7" t="str">
        <f aca="false">IFERROR(VLOOKUP(TRIM($D186), Hoja4_2!$A$2:$L$10000, 7, 0), "Revisar")</f>
        <v>MARACAIBO</v>
      </c>
      <c r="I186" s="7" t="str">
        <f aca="false">IFERROR(VLOOKUP(TRIM($D186), Hoja4_2!$A$2:$L$10000, 9, 0), "Revisar")</f>
        <v>ZU</v>
      </c>
      <c r="J186" s="7" t="str">
        <f aca="false">IFERROR(VLOOKUP(TRIM($D186), Hoja4_2!$A$2:$L$10000, 12, 0), "Revisar")</f>
        <v>07526670</v>
      </c>
      <c r="K186" s="8" t="str">
        <f aca="false">TEXT(TRIM(D186),"0")</f>
        <v>36214098</v>
      </c>
      <c r="L186" s="1" t="str">
        <f aca="false">IF(F186="Revisar","NULL",CONCATENATE("'",TEXT(F186,"yyyy-mm-dd"),"'"))</f>
        <v>'2012-12-17'</v>
      </c>
      <c r="M186" s="9" t="str">
        <f aca="false">IF(G186="Revisar","NULL",CONCATENATE("'",MID(G186,1,1),"'"))</f>
        <v>'F'</v>
      </c>
      <c r="N186" s="9" t="str">
        <f aca="false">IF(H186="Revisar","NULL",CONCATENATE("'",H186,"'"))</f>
        <v>'MARACAIBO'</v>
      </c>
      <c r="O186" s="9" t="str">
        <f aca="false">IF(I186="Revisar","NULL",CONCATENATE("'",I186,"'"))</f>
        <v>'ZU'</v>
      </c>
      <c r="P186" s="1" t="str">
        <f aca="false">"UPDATE estudiantes SET fecha_nacimiento="&amp;L186&amp;", sexo="&amp;M186&amp;", lugar_nacimiento="&amp;N186&amp;", entidad_federal="&amp;O186&amp;" WHERE cedula='"&amp;K186&amp;"';"</f>
        <v>UPDATE estudiantes SET fecha_nacimiento='2012-12-17', sexo='F', lugar_nacimiento='MARACAIBO', entidad_federal='ZU' WHERE cedula='36214098';</v>
      </c>
    </row>
    <row r="187" customFormat="false" ht="14.9" hidden="false" customHeight="false" outlineLevel="0" collapsed="false">
      <c r="A187" s="1" t="s">
        <v>15</v>
      </c>
      <c r="B187" s="1" t="s">
        <v>192</v>
      </c>
      <c r="C187" s="1" t="s">
        <v>17</v>
      </c>
      <c r="D187" s="1" t="s">
        <v>210</v>
      </c>
      <c r="E187" s="2" t="n">
        <v>45922</v>
      </c>
      <c r="F187" s="2" t="n">
        <f aca="false">IFERROR(VLOOKUP(TRIM($D187), Hoja4_2!$A$2:$L$10000, 4, 0), "Revisar")</f>
        <v>41428</v>
      </c>
      <c r="G187" s="7" t="str">
        <f aca="false">IFERROR(VLOOKUP(TRIM($D187), Hoja4_2!$A$2:$L$10000, 5, 0), "Revisar")</f>
        <v>MASCULINO</v>
      </c>
      <c r="H187" s="7" t="str">
        <f aca="false">IFERROR(VLOOKUP(TRIM($D187), Hoja4_2!$A$2:$L$10000, 7, 0), "Revisar")</f>
        <v>MARACAIBO</v>
      </c>
      <c r="I187" s="7" t="str">
        <f aca="false">IFERROR(VLOOKUP(TRIM($D187), Hoja4_2!$A$2:$L$10000, 9, 0), "Revisar")</f>
        <v>ZU</v>
      </c>
      <c r="J187" s="7" t="str">
        <f aca="false">IFERROR(VLOOKUP(TRIM($D187), Hoja4_2!$A$2:$L$10000, 12, 0), "Revisar")</f>
        <v>21228973</v>
      </c>
      <c r="K187" s="8" t="str">
        <f aca="false">TEXT(TRIM(D187),"0")</f>
        <v>36283020</v>
      </c>
      <c r="L187" s="1" t="str">
        <f aca="false">IF(F187="Revisar","NULL",CONCATENATE("'",TEXT(F187,"yyyy-mm-dd"),"'"))</f>
        <v>'2013-06-03'</v>
      </c>
      <c r="M187" s="9" t="str">
        <f aca="false">IF(G187="Revisar","NULL",CONCATENATE("'",MID(G187,1,1),"'"))</f>
        <v>'M'</v>
      </c>
      <c r="N187" s="9" t="str">
        <f aca="false">IF(H187="Revisar","NULL",CONCATENATE("'",H187,"'"))</f>
        <v>'MARACAIBO'</v>
      </c>
      <c r="O187" s="9" t="str">
        <f aca="false">IF(I187="Revisar","NULL",CONCATENATE("'",I187,"'"))</f>
        <v>'ZU'</v>
      </c>
      <c r="P187" s="1" t="str">
        <f aca="false">"UPDATE estudiantes SET fecha_nacimiento="&amp;L187&amp;", sexo="&amp;M187&amp;", lugar_nacimiento="&amp;N187&amp;", entidad_federal="&amp;O187&amp;" WHERE cedula='"&amp;K187&amp;"';"</f>
        <v>UPDATE estudiantes SET fecha_nacimiento='2013-06-03', sexo='M', lugar_nacimiento='MARACAIBO', entidad_federal='ZU' WHERE cedula='36283020';</v>
      </c>
    </row>
    <row r="188" customFormat="false" ht="14.9" hidden="false" customHeight="false" outlineLevel="0" collapsed="false">
      <c r="A188" s="1" t="s">
        <v>15</v>
      </c>
      <c r="B188" s="1" t="s">
        <v>192</v>
      </c>
      <c r="C188" s="1" t="s">
        <v>17</v>
      </c>
      <c r="D188" s="1" t="s">
        <v>211</v>
      </c>
      <c r="E188" s="2" t="n">
        <v>45922</v>
      </c>
      <c r="F188" s="2" t="n">
        <f aca="false">IFERROR(VLOOKUP(TRIM($D188), Hoja4_2!$A$2:$L$10000, 4, 0), "Revisar")</f>
        <v>40974</v>
      </c>
      <c r="G188" s="7" t="str">
        <f aca="false">IFERROR(VLOOKUP(TRIM($D188), Hoja4_2!$A$2:$L$10000, 5, 0), "Revisar")</f>
        <v>MASCULINO</v>
      </c>
      <c r="H188" s="7" t="str">
        <f aca="false">IFERROR(VLOOKUP(TRIM($D188), Hoja4_2!$A$2:$L$10000, 7, 0), "Revisar")</f>
        <v>MARACAIBO</v>
      </c>
      <c r="I188" s="7" t="str">
        <f aca="false">IFERROR(VLOOKUP(TRIM($D188), Hoja4_2!$A$2:$L$10000, 9, 0), "Revisar")</f>
        <v>ZU</v>
      </c>
      <c r="J188" s="7" t="str">
        <f aca="false">IFERROR(VLOOKUP(TRIM($D188), Hoja4_2!$A$2:$L$10000, 12, 0), "Revisar")</f>
        <v>17634587</v>
      </c>
      <c r="K188" s="8" t="str">
        <f aca="false">TEXT(TRIM(D188),"0")</f>
        <v>36376951</v>
      </c>
      <c r="L188" s="1" t="str">
        <f aca="false">IF(F188="Revisar","NULL",CONCATENATE("'",TEXT(F188,"yyyy-mm-dd"),"'"))</f>
        <v>'2012-03-06'</v>
      </c>
      <c r="M188" s="9" t="str">
        <f aca="false">IF(G188="Revisar","NULL",CONCATENATE("'",MID(G188,1,1),"'"))</f>
        <v>'M'</v>
      </c>
      <c r="N188" s="9" t="str">
        <f aca="false">IF(H188="Revisar","NULL",CONCATENATE("'",H188,"'"))</f>
        <v>'MARACAIBO'</v>
      </c>
      <c r="O188" s="9" t="str">
        <f aca="false">IF(I188="Revisar","NULL",CONCATENATE("'",I188,"'"))</f>
        <v>'ZU'</v>
      </c>
      <c r="P188" s="1" t="str">
        <f aca="false">"UPDATE estudiantes SET fecha_nacimiento="&amp;L188&amp;", sexo="&amp;M188&amp;", lugar_nacimiento="&amp;N188&amp;", entidad_federal="&amp;O188&amp;" WHERE cedula='"&amp;K188&amp;"';"</f>
        <v>UPDATE estudiantes SET fecha_nacimiento='2012-03-06', sexo='M', lugar_nacimiento='MARACAIBO', entidad_federal='ZU' WHERE cedula='36376951';</v>
      </c>
    </row>
    <row r="189" customFormat="false" ht="14.9" hidden="false" customHeight="false" outlineLevel="0" collapsed="false">
      <c r="A189" s="1" t="s">
        <v>15</v>
      </c>
      <c r="B189" s="1" t="s">
        <v>192</v>
      </c>
      <c r="C189" s="1" t="s">
        <v>17</v>
      </c>
      <c r="D189" s="1" t="s">
        <v>212</v>
      </c>
      <c r="E189" s="2" t="n">
        <v>45922</v>
      </c>
      <c r="F189" s="2" t="n">
        <f aca="false">IFERROR(VLOOKUP(TRIM($D189), Hoja4_2!$A$2:$L$10000, 4, 0), "Revisar")</f>
        <v>40678</v>
      </c>
      <c r="G189" s="7" t="str">
        <f aca="false">IFERROR(VLOOKUP(TRIM($D189), Hoja4_2!$A$2:$L$10000, 5, 0), "Revisar")</f>
        <v>FEMENINO</v>
      </c>
      <c r="H189" s="7" t="str">
        <f aca="false">IFERROR(VLOOKUP(TRIM($D189), Hoja4_2!$A$2:$L$10000, 7, 0), "Revisar")</f>
        <v>JESUS ENRIQUE LOSSADA</v>
      </c>
      <c r="I189" s="7" t="str">
        <f aca="false">IFERROR(VLOOKUP(TRIM($D189), Hoja4_2!$A$2:$L$10000, 9, 0), "Revisar")</f>
        <v>ZU</v>
      </c>
      <c r="J189" s="7" t="str">
        <f aca="false">IFERROR(VLOOKUP(TRIM($D189), Hoja4_2!$A$2:$L$10000, 12, 0), "Revisar")</f>
        <v>15747404</v>
      </c>
      <c r="K189" s="8" t="str">
        <f aca="false">TEXT(TRIM(D189),"0")</f>
        <v>36426364</v>
      </c>
      <c r="L189" s="1" t="str">
        <f aca="false">IF(F189="Revisar","NULL",CONCATENATE("'",TEXT(F189,"yyyy-mm-dd"),"'"))</f>
        <v>'2011-05-15'</v>
      </c>
      <c r="M189" s="9" t="str">
        <f aca="false">IF(G189="Revisar","NULL",CONCATENATE("'",MID(G189,1,1),"'"))</f>
        <v>'F'</v>
      </c>
      <c r="N189" s="9" t="str">
        <f aca="false">IF(H189="Revisar","NULL",CONCATENATE("'",H189,"'"))</f>
        <v>'JESUS ENRIQUE LOSSADA'</v>
      </c>
      <c r="O189" s="9" t="str">
        <f aca="false">IF(I189="Revisar","NULL",CONCATENATE("'",I189,"'"))</f>
        <v>'ZU'</v>
      </c>
      <c r="P189" s="1" t="str">
        <f aca="false">"UPDATE estudiantes SET fecha_nacimiento="&amp;L189&amp;", sexo="&amp;M189&amp;", lugar_nacimiento="&amp;N189&amp;", entidad_federal="&amp;O189&amp;" WHERE cedula='"&amp;K189&amp;"';"</f>
        <v>UPDATE estudiantes SET fecha_nacimiento='2011-05-15', sexo='F', lugar_nacimiento='JESUS ENRIQUE LOSSADA', entidad_federal='ZU' WHERE cedula='36426364';</v>
      </c>
    </row>
    <row r="190" customFormat="false" ht="14.9" hidden="false" customHeight="false" outlineLevel="0" collapsed="false">
      <c r="A190" s="1" t="s">
        <v>15</v>
      </c>
      <c r="B190" s="1" t="s">
        <v>192</v>
      </c>
      <c r="C190" s="1" t="s">
        <v>17</v>
      </c>
      <c r="D190" s="1" t="s">
        <v>213</v>
      </c>
      <c r="E190" s="2" t="n">
        <v>45922</v>
      </c>
      <c r="F190" s="2" t="n">
        <f aca="false">IFERROR(VLOOKUP(TRIM($D190), Hoja4_2!$A$2:$L$10000, 4, 0), "Revisar")</f>
        <v>40946</v>
      </c>
      <c r="G190" s="7" t="str">
        <f aca="false">IFERROR(VLOOKUP(TRIM($D190), Hoja4_2!$A$2:$L$10000, 5, 0), "Revisar")</f>
        <v>FEMENINO</v>
      </c>
      <c r="H190" s="7" t="str">
        <f aca="false">IFERROR(VLOOKUP(TRIM($D190), Hoja4_2!$A$2:$L$10000, 7, 0), "Revisar")</f>
        <v>SAN FRANCISCO</v>
      </c>
      <c r="I190" s="7" t="str">
        <f aca="false">IFERROR(VLOOKUP(TRIM($D190), Hoja4_2!$A$2:$L$10000, 9, 0), "Revisar")</f>
        <v>ZU</v>
      </c>
      <c r="J190" s="7" t="str">
        <f aca="false">IFERROR(VLOOKUP(TRIM($D190), Hoja4_2!$A$2:$L$10000, 12, 0), "Revisar")</f>
        <v>15261662</v>
      </c>
      <c r="K190" s="8" t="str">
        <f aca="false">TEXT(TRIM(D190),"0")</f>
        <v>36430463</v>
      </c>
      <c r="L190" s="1" t="str">
        <f aca="false">IF(F190="Revisar","NULL",CONCATENATE("'",TEXT(F190,"yyyy-mm-dd"),"'"))</f>
        <v>'2012-02-07'</v>
      </c>
      <c r="M190" s="9" t="str">
        <f aca="false">IF(G190="Revisar","NULL",CONCATENATE("'",MID(G190,1,1),"'"))</f>
        <v>'F'</v>
      </c>
      <c r="N190" s="9" t="str">
        <f aca="false">IF(H190="Revisar","NULL",CONCATENATE("'",H190,"'"))</f>
        <v>'SAN FRANCISCO'</v>
      </c>
      <c r="O190" s="9" t="str">
        <f aca="false">IF(I190="Revisar","NULL",CONCATENATE("'",I190,"'"))</f>
        <v>'ZU'</v>
      </c>
      <c r="P190" s="1" t="str">
        <f aca="false">"UPDATE estudiantes SET fecha_nacimiento="&amp;L190&amp;", sexo="&amp;M190&amp;", lugar_nacimiento="&amp;N190&amp;", entidad_federal="&amp;O190&amp;" WHERE cedula='"&amp;K190&amp;"';"</f>
        <v>UPDATE estudiantes SET fecha_nacimiento='2012-02-07', sexo='F', lugar_nacimiento='SAN FRANCISCO', entidad_federal='ZU' WHERE cedula='36430463';</v>
      </c>
    </row>
    <row r="191" customFormat="false" ht="14.9" hidden="false" customHeight="false" outlineLevel="0" collapsed="false">
      <c r="A191" s="1" t="s">
        <v>15</v>
      </c>
      <c r="B191" s="1" t="s">
        <v>192</v>
      </c>
      <c r="C191" s="1" t="s">
        <v>17</v>
      </c>
      <c r="D191" s="1" t="s">
        <v>214</v>
      </c>
      <c r="E191" s="2" t="n">
        <v>45922</v>
      </c>
      <c r="F191" s="2" t="n">
        <f aca="false">IFERROR(VLOOKUP(TRIM($D191), Hoja4_2!$A$2:$L$10000, 4, 0), "Revisar")</f>
        <v>40962</v>
      </c>
      <c r="G191" s="7" t="str">
        <f aca="false">IFERROR(VLOOKUP(TRIM($D191), Hoja4_2!$A$2:$L$10000, 5, 0), "Revisar")</f>
        <v>FEMENINO</v>
      </c>
      <c r="H191" s="7" t="str">
        <f aca="false">IFERROR(VLOOKUP(TRIM($D191), Hoja4_2!$A$2:$L$10000, 7, 0), "Revisar")</f>
        <v>JESUS ENRIQUE LOSSADA</v>
      </c>
      <c r="I191" s="7" t="str">
        <f aca="false">IFERROR(VLOOKUP(TRIM($D191), Hoja4_2!$A$2:$L$10000, 9, 0), "Revisar")</f>
        <v>ZU</v>
      </c>
      <c r="J191" s="7" t="str">
        <f aca="false">IFERROR(VLOOKUP(TRIM($D191), Hoja4_2!$A$2:$L$10000, 12, 0), "Revisar")</f>
        <v>17635567</v>
      </c>
      <c r="K191" s="8" t="str">
        <f aca="false">TEXT(TRIM(D191),"0")</f>
        <v>36452126</v>
      </c>
      <c r="L191" s="1" t="str">
        <f aca="false">IF(F191="Revisar","NULL",CONCATENATE("'",TEXT(F191,"yyyy-mm-dd"),"'"))</f>
        <v>'2012-02-23'</v>
      </c>
      <c r="M191" s="9" t="str">
        <f aca="false">IF(G191="Revisar","NULL",CONCATENATE("'",MID(G191,1,1),"'"))</f>
        <v>'F'</v>
      </c>
      <c r="N191" s="9" t="str">
        <f aca="false">IF(H191="Revisar","NULL",CONCATENATE("'",H191,"'"))</f>
        <v>'JESUS ENRIQUE LOSSADA'</v>
      </c>
      <c r="O191" s="9" t="str">
        <f aca="false">IF(I191="Revisar","NULL",CONCATENATE("'",I191,"'"))</f>
        <v>'ZU'</v>
      </c>
      <c r="P191" s="1" t="str">
        <f aca="false">"UPDATE estudiantes SET fecha_nacimiento="&amp;L191&amp;", sexo="&amp;M191&amp;", lugar_nacimiento="&amp;N191&amp;", entidad_federal="&amp;O191&amp;" WHERE cedula='"&amp;K191&amp;"';"</f>
        <v>UPDATE estudiantes SET fecha_nacimiento='2012-02-23', sexo='F', lugar_nacimiento='JESUS ENRIQUE LOSSADA', entidad_federal='ZU' WHERE cedula='36452126';</v>
      </c>
    </row>
    <row r="192" customFormat="false" ht="13.8" hidden="false" customHeight="false" outlineLevel="0" collapsed="false">
      <c r="A192" s="1" t="s">
        <v>15</v>
      </c>
      <c r="B192" s="1" t="s">
        <v>192</v>
      </c>
      <c r="C192" s="1" t="s">
        <v>17</v>
      </c>
      <c r="D192" s="1" t="s">
        <v>215</v>
      </c>
      <c r="E192" s="2" t="n">
        <v>46087</v>
      </c>
      <c r="F192" s="2" t="s">
        <v>82</v>
      </c>
      <c r="G192" s="2" t="s">
        <v>82</v>
      </c>
      <c r="H192" s="2" t="s">
        <v>82</v>
      </c>
      <c r="I192" s="2" t="s">
        <v>82</v>
      </c>
      <c r="J192" s="2" t="s">
        <v>82</v>
      </c>
      <c r="K192" s="8" t="str">
        <f aca="false">TEXT(TRIM(D192),"0")</f>
        <v>36502020</v>
      </c>
      <c r="L192" s="1" t="str">
        <f aca="false">IF(F192="Revisar","NULL",CONCATENATE("'",TEXT(F192,"yyyy-mm-dd"),"'"))</f>
        <v>'NULL'</v>
      </c>
      <c r="M192" s="9" t="str">
        <f aca="false">IF(G192="Revisar","NULL",CONCATENATE("'",MID(G192,1,1),"'"))</f>
        <v>'N'</v>
      </c>
      <c r="N192" s="9" t="str">
        <f aca="false">IF(H192="Revisar","NULL",CONCATENATE("'",H192,"'"))</f>
        <v>'NULL'</v>
      </c>
      <c r="O192" s="9" t="str">
        <f aca="false">IF(I192="Revisar","NULL",CONCATENATE("'",I192,"'"))</f>
        <v>'NULL'</v>
      </c>
      <c r="P192" s="1" t="str">
        <f aca="false">"UPDATE estudiantes SET fecha_nacimiento="&amp;L192&amp;", sexo="&amp;M192&amp;", lugar_nacimiento="&amp;N192&amp;", entidad_federal="&amp;O192&amp;" WHERE cedula='"&amp;K192&amp;"';"</f>
        <v>UPDATE estudiantes SET fecha_nacimiento='NULL', sexo='N', lugar_nacimiento='NULL', entidad_federal='NULL' WHERE cedula='36502020';</v>
      </c>
    </row>
    <row r="193" customFormat="false" ht="14.9" hidden="false" customHeight="false" outlineLevel="0" collapsed="false">
      <c r="A193" s="1" t="s">
        <v>15</v>
      </c>
      <c r="B193" s="1" t="s">
        <v>192</v>
      </c>
      <c r="C193" s="1" t="s">
        <v>17</v>
      </c>
      <c r="D193" s="1" t="s">
        <v>216</v>
      </c>
      <c r="E193" s="2" t="n">
        <v>45919</v>
      </c>
      <c r="F193" s="2" t="n">
        <f aca="false">IFERROR(VLOOKUP(TRIM($D193), Hoja4_2!$A$2:$L$10000, 4, 0), "Revisar")</f>
        <v>41690</v>
      </c>
      <c r="G193" s="7" t="str">
        <f aca="false">IFERROR(VLOOKUP(TRIM($D193), Hoja4_2!$A$2:$L$10000, 5, 0), "Revisar")</f>
        <v>FEMENINO</v>
      </c>
      <c r="H193" s="7" t="str">
        <f aca="false">IFERROR(VLOOKUP(TRIM($D193), Hoja4_2!$A$2:$L$10000, 7, 0), "Revisar")</f>
        <v>MARACAIBO</v>
      </c>
      <c r="I193" s="7" t="str">
        <f aca="false">IFERROR(VLOOKUP(TRIM($D193), Hoja4_2!$A$2:$L$10000, 9, 0), "Revisar")</f>
        <v>ZU</v>
      </c>
      <c r="J193" s="7" t="str">
        <f aca="false">IFERROR(VLOOKUP(TRIM($D193), Hoja4_2!$A$2:$L$10000, 12, 0), "Revisar")</f>
        <v>23770194</v>
      </c>
      <c r="K193" s="8" t="str">
        <f aca="false">TEXT(TRIM(D193),"0")</f>
        <v>36531643</v>
      </c>
      <c r="L193" s="1" t="str">
        <f aca="false">IF(F193="Revisar","NULL",CONCATENATE("'",TEXT(F193,"yyyy-mm-dd"),"'"))</f>
        <v>'2014-02-20'</v>
      </c>
      <c r="M193" s="9" t="str">
        <f aca="false">IF(G193="Revisar","NULL",CONCATENATE("'",MID(G193,1,1),"'"))</f>
        <v>'F'</v>
      </c>
      <c r="N193" s="9" t="str">
        <f aca="false">IF(H193="Revisar","NULL",CONCATENATE("'",H193,"'"))</f>
        <v>'MARACAIBO'</v>
      </c>
      <c r="O193" s="9" t="str">
        <f aca="false">IF(I193="Revisar","NULL",CONCATENATE("'",I193,"'"))</f>
        <v>'ZU'</v>
      </c>
      <c r="P193" s="1" t="str">
        <f aca="false">"UPDATE estudiantes SET fecha_nacimiento="&amp;L193&amp;", sexo="&amp;M193&amp;", lugar_nacimiento="&amp;N193&amp;", entidad_federal="&amp;O193&amp;" WHERE cedula='"&amp;K193&amp;"';"</f>
        <v>UPDATE estudiantes SET fecha_nacimiento='2014-02-20', sexo='F', lugar_nacimiento='MARACAIBO', entidad_federal='ZU' WHERE cedula='36531643';</v>
      </c>
    </row>
    <row r="194" customFormat="false" ht="14.9" hidden="false" customHeight="false" outlineLevel="0" collapsed="false">
      <c r="A194" s="1" t="s">
        <v>15</v>
      </c>
      <c r="B194" s="1" t="s">
        <v>192</v>
      </c>
      <c r="C194" s="1" t="s">
        <v>17</v>
      </c>
      <c r="D194" s="1" t="s">
        <v>217</v>
      </c>
      <c r="E194" s="2" t="n">
        <v>45922</v>
      </c>
      <c r="F194" s="2" t="n">
        <f aca="false">IFERROR(VLOOKUP(TRIM($D194), Hoja4_2!$A$2:$L$10000, 4, 0), "Revisar")</f>
        <v>40924</v>
      </c>
      <c r="G194" s="7" t="str">
        <f aca="false">IFERROR(VLOOKUP(TRIM($D194), Hoja4_2!$A$2:$L$10000, 5, 0), "Revisar")</f>
        <v>MASCULINO</v>
      </c>
      <c r="H194" s="7" t="str">
        <f aca="false">IFERROR(VLOOKUP(TRIM($D194), Hoja4_2!$A$2:$L$10000, 7, 0), "Revisar")</f>
        <v>MARACAIBO</v>
      </c>
      <c r="I194" s="7" t="str">
        <f aca="false">IFERROR(VLOOKUP(TRIM($D194), Hoja4_2!$A$2:$L$10000, 9, 0), "Revisar")</f>
        <v>ZU</v>
      </c>
      <c r="J194" s="7" t="str">
        <f aca="false">IFERROR(VLOOKUP(TRIM($D194), Hoja4_2!$A$2:$L$10000, 12, 0), "Revisar")</f>
        <v>20835057</v>
      </c>
      <c r="K194" s="8" t="str">
        <f aca="false">TEXT(TRIM(D194),"0")</f>
        <v>1128355057</v>
      </c>
      <c r="L194" s="1" t="str">
        <f aca="false">IF(F194="Revisar","NULL",CONCATENATE("'",TEXT(F194,"yyyy-mm-dd"),"'"))</f>
        <v>'2012-01-16'</v>
      </c>
      <c r="M194" s="9" t="str">
        <f aca="false">IF(G194="Revisar","NULL",CONCATENATE("'",MID(G194,1,1),"'"))</f>
        <v>'M'</v>
      </c>
      <c r="N194" s="9" t="str">
        <f aca="false">IF(H194="Revisar","NULL",CONCATENATE("'",H194,"'"))</f>
        <v>'MARACAIBO'</v>
      </c>
      <c r="O194" s="9" t="str">
        <f aca="false">IF(I194="Revisar","NULL",CONCATENATE("'",I194,"'"))</f>
        <v>'ZU'</v>
      </c>
      <c r="P194" s="1" t="str">
        <f aca="false">"UPDATE estudiantes SET fecha_nacimiento="&amp;L194&amp;", sexo="&amp;M194&amp;", lugar_nacimiento="&amp;N194&amp;", entidad_federal="&amp;O194&amp;" WHERE cedula='"&amp;K194&amp;"';"</f>
        <v>UPDATE estudiantes SET fecha_nacimiento='2012-01-16', sexo='M', lugar_nacimiento='MARACAIBO', entidad_federal='ZU' WHERE cedula='1128355057';</v>
      </c>
    </row>
    <row r="195" customFormat="false" ht="14.9" hidden="false" customHeight="false" outlineLevel="0" collapsed="false">
      <c r="A195" s="1" t="s">
        <v>15</v>
      </c>
      <c r="B195" s="1" t="s">
        <v>192</v>
      </c>
      <c r="C195" s="1" t="s">
        <v>17</v>
      </c>
      <c r="D195" s="1" t="s">
        <v>218</v>
      </c>
      <c r="E195" s="2" t="n">
        <v>45922</v>
      </c>
      <c r="F195" s="2" t="n">
        <f aca="false">IFERROR(VLOOKUP(TRIM($D195), Hoja4_2!$A$2:$L$10000, 4, 0), "Revisar")</f>
        <v>40715</v>
      </c>
      <c r="G195" s="7" t="str">
        <f aca="false">IFERROR(VLOOKUP(TRIM($D195), Hoja4_2!$A$2:$L$10000, 5, 0), "Revisar")</f>
        <v>FEMENINO</v>
      </c>
      <c r="H195" s="7" t="str">
        <f aca="false">IFERROR(VLOOKUP(TRIM($D195), Hoja4_2!$A$2:$L$10000, 7, 0), "Revisar")</f>
        <v>MARACAIBO</v>
      </c>
      <c r="I195" s="7" t="str">
        <f aca="false">IFERROR(VLOOKUP(TRIM($D195), Hoja4_2!$A$2:$L$10000, 9, 0), "Revisar")</f>
        <v>ZU</v>
      </c>
      <c r="J195" s="7" t="str">
        <f aca="false">IFERROR(VLOOKUP(TRIM($D195), Hoja4_2!$A$2:$L$10000, 12, 0), "Revisar")</f>
        <v>15889487</v>
      </c>
      <c r="K195" s="8" t="str">
        <f aca="false">TEXT(TRIM(D195),"0")</f>
        <v>11115889487</v>
      </c>
      <c r="L195" s="1" t="str">
        <f aca="false">IF(F195="Revisar","NULL",CONCATENATE("'",TEXT(F195,"yyyy-mm-dd"),"'"))</f>
        <v>'2011-06-21'</v>
      </c>
      <c r="M195" s="9" t="str">
        <f aca="false">IF(G195="Revisar","NULL",CONCATENATE("'",MID(G195,1,1),"'"))</f>
        <v>'F'</v>
      </c>
      <c r="N195" s="9" t="str">
        <f aca="false">IF(H195="Revisar","NULL",CONCATENATE("'",H195,"'"))</f>
        <v>'MARACAIBO'</v>
      </c>
      <c r="O195" s="9" t="str">
        <f aca="false">IF(I195="Revisar","NULL",CONCATENATE("'",I195,"'"))</f>
        <v>'ZU'</v>
      </c>
      <c r="P195" s="1" t="str">
        <f aca="false">"UPDATE estudiantes SET fecha_nacimiento="&amp;L195&amp;", sexo="&amp;M195&amp;", lugar_nacimiento="&amp;N195&amp;", entidad_federal="&amp;O195&amp;" WHERE cedula='"&amp;K195&amp;"';"</f>
        <v>UPDATE estudiantes SET fecha_nacimiento='2011-06-21', sexo='F', lugar_nacimiento='MARACAIBO', entidad_federal='ZU' WHERE cedula='11115889487';</v>
      </c>
    </row>
    <row r="196" customFormat="false" ht="14.9" hidden="false" customHeight="false" outlineLevel="0" collapsed="false">
      <c r="A196" s="1" t="s">
        <v>15</v>
      </c>
      <c r="B196" s="1" t="s">
        <v>192</v>
      </c>
      <c r="C196" s="1" t="s">
        <v>17</v>
      </c>
      <c r="D196" s="1" t="s">
        <v>219</v>
      </c>
      <c r="E196" s="2" t="n">
        <v>45922</v>
      </c>
      <c r="F196" s="2" t="n">
        <f aca="false">IFERROR(VLOOKUP(TRIM($D196), Hoja4_2!$A$2:$L$10000, 4, 0), "Revisar")</f>
        <v>40790</v>
      </c>
      <c r="G196" s="7" t="str">
        <f aca="false">IFERROR(VLOOKUP(TRIM($D196), Hoja4_2!$A$2:$L$10000, 5, 0), "Revisar")</f>
        <v>MASCULINO</v>
      </c>
      <c r="H196" s="7" t="str">
        <f aca="false">IFERROR(VLOOKUP(TRIM($D196), Hoja4_2!$A$2:$L$10000, 7, 0), "Revisar")</f>
        <v>JESUS ENRIQUE LOSSADA</v>
      </c>
      <c r="I196" s="7" t="str">
        <f aca="false">IFERROR(VLOOKUP(TRIM($D196), Hoja4_2!$A$2:$L$10000, 9, 0), "Revisar")</f>
        <v>ZU</v>
      </c>
      <c r="J196" s="7" t="str">
        <f aca="false">IFERROR(VLOOKUP(TRIM($D196), Hoja4_2!$A$2:$L$10000, 12, 0), "Revisar")</f>
        <v>17953650</v>
      </c>
      <c r="K196" s="8" t="str">
        <f aca="false">TEXT(TRIM(D196),"0")</f>
        <v>11117953650</v>
      </c>
      <c r="L196" s="1" t="str">
        <f aca="false">IF(F196="Revisar","NULL",CONCATENATE("'",TEXT(F196,"yyyy-mm-dd"),"'"))</f>
        <v>'2011-09-04'</v>
      </c>
      <c r="M196" s="9" t="str">
        <f aca="false">IF(G196="Revisar","NULL",CONCATENATE("'",MID(G196,1,1),"'"))</f>
        <v>'M'</v>
      </c>
      <c r="N196" s="9" t="str">
        <f aca="false">IF(H196="Revisar","NULL",CONCATENATE("'",H196,"'"))</f>
        <v>'JESUS ENRIQUE LOSSADA'</v>
      </c>
      <c r="O196" s="9" t="str">
        <f aca="false">IF(I196="Revisar","NULL",CONCATENATE("'",I196,"'"))</f>
        <v>'ZU'</v>
      </c>
      <c r="P196" s="1" t="str">
        <f aca="false">"UPDATE estudiantes SET fecha_nacimiento="&amp;L196&amp;", sexo="&amp;M196&amp;", lugar_nacimiento="&amp;N196&amp;", entidad_federal="&amp;O196&amp;" WHERE cedula='"&amp;K196&amp;"';"</f>
        <v>UPDATE estudiantes SET fecha_nacimiento='2011-09-04', sexo='M', lugar_nacimiento='JESUS ENRIQUE LOSSADA', entidad_federal='ZU' WHERE cedula='11117953650';</v>
      </c>
    </row>
    <row r="197" customFormat="false" ht="14.9" hidden="false" customHeight="false" outlineLevel="0" collapsed="false">
      <c r="A197" s="1" t="s">
        <v>15</v>
      </c>
      <c r="B197" s="1" t="s">
        <v>192</v>
      </c>
      <c r="C197" s="1" t="s">
        <v>17</v>
      </c>
      <c r="D197" s="1" t="s">
        <v>220</v>
      </c>
      <c r="E197" s="2" t="n">
        <v>45922</v>
      </c>
      <c r="F197" s="2" t="n">
        <f aca="false">IFERROR(VLOOKUP(TRIM($D197), Hoja4_2!$A$2:$L$10000, 4, 0), "Revisar")</f>
        <v>40753</v>
      </c>
      <c r="G197" s="7" t="str">
        <f aca="false">IFERROR(VLOOKUP(TRIM($D197), Hoja4_2!$A$2:$L$10000, 5, 0), "Revisar")</f>
        <v>FEMENINO</v>
      </c>
      <c r="H197" s="7" t="str">
        <f aca="false">IFERROR(VLOOKUP(TRIM($D197), Hoja4_2!$A$2:$L$10000, 7, 0), "Revisar")</f>
        <v>MARACAIBO</v>
      </c>
      <c r="I197" s="7" t="str">
        <f aca="false">IFERROR(VLOOKUP(TRIM($D197), Hoja4_2!$A$2:$L$10000, 9, 0), "Revisar")</f>
        <v>ZU</v>
      </c>
      <c r="J197" s="7" t="str">
        <f aca="false">IFERROR(VLOOKUP(TRIM($D197), Hoja4_2!$A$2:$L$10000, 12, 0), "Revisar")</f>
        <v>20605306</v>
      </c>
      <c r="K197" s="8" t="str">
        <f aca="false">TEXT(TRIM(D197),"0")</f>
        <v>11120605306</v>
      </c>
      <c r="L197" s="1" t="str">
        <f aca="false">IF(F197="Revisar","NULL",CONCATENATE("'",TEXT(F197,"yyyy-mm-dd"),"'"))</f>
        <v>'2011-07-29'</v>
      </c>
      <c r="M197" s="9" t="str">
        <f aca="false">IF(G197="Revisar","NULL",CONCATENATE("'",MID(G197,1,1),"'"))</f>
        <v>'F'</v>
      </c>
      <c r="N197" s="9" t="str">
        <f aca="false">IF(H197="Revisar","NULL",CONCATENATE("'",H197,"'"))</f>
        <v>'MARACAIBO'</v>
      </c>
      <c r="O197" s="9" t="str">
        <f aca="false">IF(I197="Revisar","NULL",CONCATENATE("'",I197,"'"))</f>
        <v>'ZU'</v>
      </c>
      <c r="P197" s="1" t="str">
        <f aca="false">"UPDATE estudiantes SET fecha_nacimiento="&amp;L197&amp;", sexo="&amp;M197&amp;", lugar_nacimiento="&amp;N197&amp;", entidad_federal="&amp;O197&amp;" WHERE cedula='"&amp;K197&amp;"';"</f>
        <v>UPDATE estudiantes SET fecha_nacimiento='2011-07-29', sexo='F', lugar_nacimiento='MARACAIBO', entidad_federal='ZU' WHERE cedula='11120605306';</v>
      </c>
    </row>
    <row r="198" customFormat="false" ht="14.9" hidden="false" customHeight="false" outlineLevel="0" collapsed="false">
      <c r="A198" s="1" t="s">
        <v>15</v>
      </c>
      <c r="B198" s="1" t="s">
        <v>192</v>
      </c>
      <c r="C198" s="1" t="s">
        <v>17</v>
      </c>
      <c r="D198" s="1" t="s">
        <v>221</v>
      </c>
      <c r="E198" s="2" t="n">
        <v>45922</v>
      </c>
      <c r="F198" s="2" t="n">
        <f aca="false">IFERROR(VLOOKUP(TRIM($D198), Hoja4_2!$A$2:$L$10000, 4, 0), "Revisar")</f>
        <v>40627</v>
      </c>
      <c r="G198" s="7" t="str">
        <f aca="false">IFERROR(VLOOKUP(TRIM($D198), Hoja4_2!$A$2:$L$10000, 5, 0), "Revisar")</f>
        <v>FEMENINO</v>
      </c>
      <c r="H198" s="7" t="str">
        <f aca="false">IFERROR(VLOOKUP(TRIM($D198), Hoja4_2!$A$2:$L$10000, 7, 0), "Revisar")</f>
        <v>MARACAIBO</v>
      </c>
      <c r="I198" s="7" t="str">
        <f aca="false">IFERROR(VLOOKUP(TRIM($D198), Hoja4_2!$A$2:$L$10000, 9, 0), "Revisar")</f>
        <v>ZU</v>
      </c>
      <c r="J198" s="7" t="str">
        <f aca="false">IFERROR(VLOOKUP(TRIM($D198), Hoja4_2!$A$2:$L$10000, 12, 0), "Revisar")</f>
        <v>20834399</v>
      </c>
      <c r="K198" s="8" t="str">
        <f aca="false">TEXT(TRIM(D198),"0")</f>
        <v>11120834399</v>
      </c>
      <c r="L198" s="1" t="str">
        <f aca="false">IF(F198="Revisar","NULL",CONCATENATE("'",TEXT(F198,"yyyy-mm-dd"),"'"))</f>
        <v>'2011-03-25'</v>
      </c>
      <c r="M198" s="9" t="str">
        <f aca="false">IF(G198="Revisar","NULL",CONCATENATE("'",MID(G198,1,1),"'"))</f>
        <v>'F'</v>
      </c>
      <c r="N198" s="9" t="str">
        <f aca="false">IF(H198="Revisar","NULL",CONCATENATE("'",H198,"'"))</f>
        <v>'MARACAIBO'</v>
      </c>
      <c r="O198" s="9" t="str">
        <f aca="false">IF(I198="Revisar","NULL",CONCATENATE("'",I198,"'"))</f>
        <v>'ZU'</v>
      </c>
      <c r="P198" s="1" t="str">
        <f aca="false">"UPDATE estudiantes SET fecha_nacimiento="&amp;L198&amp;", sexo="&amp;M198&amp;", lugar_nacimiento="&amp;N198&amp;", entidad_federal="&amp;O198&amp;" WHERE cedula='"&amp;K198&amp;"';"</f>
        <v>UPDATE estudiantes SET fecha_nacimiento='2011-03-25', sexo='F', lugar_nacimiento='MARACAIBO', entidad_federal='ZU' WHERE cedula='11120834399';</v>
      </c>
    </row>
    <row r="199" customFormat="false" ht="14.9" hidden="false" customHeight="false" outlineLevel="0" collapsed="false">
      <c r="A199" s="1" t="s">
        <v>15</v>
      </c>
      <c r="B199" s="1" t="s">
        <v>192</v>
      </c>
      <c r="C199" s="1" t="s">
        <v>17</v>
      </c>
      <c r="D199" s="1" t="s">
        <v>222</v>
      </c>
      <c r="E199" s="2" t="n">
        <v>45922</v>
      </c>
      <c r="F199" s="2" t="n">
        <f aca="false">IFERROR(VLOOKUP(TRIM($D199), Hoja4_2!$A$2:$L$10000, 4, 0), "Revisar")</f>
        <v>40653</v>
      </c>
      <c r="G199" s="7" t="str">
        <f aca="false">IFERROR(VLOOKUP(TRIM($D199), Hoja4_2!$A$2:$L$10000, 5, 0), "Revisar")</f>
        <v>FEMENINO</v>
      </c>
      <c r="H199" s="7" t="str">
        <f aca="false">IFERROR(VLOOKUP(TRIM($D199), Hoja4_2!$A$2:$L$10000, 7, 0), "Revisar")</f>
        <v>MARACAIBO</v>
      </c>
      <c r="I199" s="7" t="str">
        <f aca="false">IFERROR(VLOOKUP(TRIM($D199), Hoja4_2!$A$2:$L$10000, 9, 0), "Revisar")</f>
        <v>ZU</v>
      </c>
      <c r="J199" s="7" t="str">
        <f aca="false">IFERROR(VLOOKUP(TRIM($D199), Hoja4_2!$A$2:$L$10000, 12, 0), "Revisar")</f>
        <v>20835909</v>
      </c>
      <c r="K199" s="8" t="str">
        <f aca="false">TEXT(TRIM(D199),"0")</f>
        <v>11120835909</v>
      </c>
      <c r="L199" s="1" t="str">
        <f aca="false">IF(F199="Revisar","NULL",CONCATENATE("'",TEXT(F199,"yyyy-mm-dd"),"'"))</f>
        <v>'2011-04-20'</v>
      </c>
      <c r="M199" s="9" t="str">
        <f aca="false">IF(G199="Revisar","NULL",CONCATENATE("'",MID(G199,1,1),"'"))</f>
        <v>'F'</v>
      </c>
      <c r="N199" s="9" t="str">
        <f aca="false">IF(H199="Revisar","NULL",CONCATENATE("'",H199,"'"))</f>
        <v>'MARACAIBO'</v>
      </c>
      <c r="O199" s="9" t="str">
        <f aca="false">IF(I199="Revisar","NULL",CONCATENATE("'",I199,"'"))</f>
        <v>'ZU'</v>
      </c>
      <c r="P199" s="1" t="str">
        <f aca="false">"UPDATE estudiantes SET fecha_nacimiento="&amp;L199&amp;", sexo="&amp;M199&amp;", lugar_nacimiento="&amp;N199&amp;", entidad_federal="&amp;O199&amp;" WHERE cedula='"&amp;K199&amp;"';"</f>
        <v>UPDATE estudiantes SET fecha_nacimiento='2011-04-20', sexo='F', lugar_nacimiento='MARACAIBO', entidad_federal='ZU' WHERE cedula='11120835909';</v>
      </c>
    </row>
    <row r="200" customFormat="false" ht="14.9" hidden="false" customHeight="false" outlineLevel="0" collapsed="false">
      <c r="A200" s="1" t="s">
        <v>15</v>
      </c>
      <c r="B200" s="1" t="s">
        <v>192</v>
      </c>
      <c r="C200" s="1" t="s">
        <v>17</v>
      </c>
      <c r="D200" s="1" t="s">
        <v>223</v>
      </c>
      <c r="E200" s="2" t="n">
        <v>45922</v>
      </c>
      <c r="F200" s="2" t="n">
        <f aca="false">IFERROR(VLOOKUP(TRIM($D200), Hoja4_2!$A$2:$L$10000, 4, 0), "Revisar")</f>
        <v>41256</v>
      </c>
      <c r="G200" s="7" t="str">
        <f aca="false">IFERROR(VLOOKUP(TRIM($D200), Hoja4_2!$A$2:$L$10000, 5, 0), "Revisar")</f>
        <v>MASCULINO</v>
      </c>
      <c r="H200" s="7" t="str">
        <f aca="false">IFERROR(VLOOKUP(TRIM($D200), Hoja4_2!$A$2:$L$10000, 7, 0), "Revisar")</f>
        <v>MARACAIBO</v>
      </c>
      <c r="I200" s="7" t="str">
        <f aca="false">IFERROR(VLOOKUP(TRIM($D200), Hoja4_2!$A$2:$L$10000, 9, 0), "Revisar")</f>
        <v>ZU</v>
      </c>
      <c r="J200" s="7" t="str">
        <f aca="false">IFERROR(VLOOKUP(TRIM($D200), Hoja4_2!$A$2:$L$10000, 12, 0), "Revisar")</f>
        <v>15009849</v>
      </c>
      <c r="K200" s="8" t="str">
        <f aca="false">TEXT(TRIM(D200),"0")</f>
        <v>11215009849</v>
      </c>
      <c r="L200" s="1" t="str">
        <f aca="false">IF(F200="Revisar","NULL",CONCATENATE("'",TEXT(F200,"yyyy-mm-dd"),"'"))</f>
        <v>'2012-12-13'</v>
      </c>
      <c r="M200" s="9" t="str">
        <f aca="false">IF(G200="Revisar","NULL",CONCATENATE("'",MID(G200,1,1),"'"))</f>
        <v>'M'</v>
      </c>
      <c r="N200" s="9" t="str">
        <f aca="false">IF(H200="Revisar","NULL",CONCATENATE("'",H200,"'"))</f>
        <v>'MARACAIBO'</v>
      </c>
      <c r="O200" s="9" t="str">
        <f aca="false">IF(I200="Revisar","NULL",CONCATENATE("'",I200,"'"))</f>
        <v>'ZU'</v>
      </c>
      <c r="P200" s="1" t="str">
        <f aca="false">"UPDATE estudiantes SET fecha_nacimiento="&amp;L200&amp;", sexo="&amp;M200&amp;", lugar_nacimiento="&amp;N200&amp;", entidad_federal="&amp;O200&amp;" WHERE cedula='"&amp;K200&amp;"';"</f>
        <v>UPDATE estudiantes SET fecha_nacimiento='2012-12-13', sexo='M', lugar_nacimiento='MARACAIBO', entidad_federal='ZU' WHERE cedula='11215009849';</v>
      </c>
    </row>
    <row r="201" customFormat="false" ht="14.9" hidden="false" customHeight="false" outlineLevel="0" collapsed="false">
      <c r="A201" s="1" t="s">
        <v>15</v>
      </c>
      <c r="B201" s="1" t="s">
        <v>192</v>
      </c>
      <c r="C201" s="1" t="s">
        <v>17</v>
      </c>
      <c r="D201" s="1" t="s">
        <v>224</v>
      </c>
      <c r="E201" s="2" t="n">
        <v>45922</v>
      </c>
      <c r="F201" s="2" t="n">
        <f aca="false">IFERROR(VLOOKUP(TRIM($D201), Hoja4_2!$A$2:$L$10000, 4, 0), "Revisar")</f>
        <v>41093</v>
      </c>
      <c r="G201" s="7" t="str">
        <f aca="false">IFERROR(VLOOKUP(TRIM($D201), Hoja4_2!$A$2:$L$10000, 5, 0), "Revisar")</f>
        <v>MASCULINO</v>
      </c>
      <c r="H201" s="7" t="str">
        <f aca="false">IFERROR(VLOOKUP(TRIM($D201), Hoja4_2!$A$2:$L$10000, 7, 0), "Revisar")</f>
        <v>MARACAIBO</v>
      </c>
      <c r="I201" s="7" t="str">
        <f aca="false">IFERROR(VLOOKUP(TRIM($D201), Hoja4_2!$A$2:$L$10000, 9, 0), "Revisar")</f>
        <v>ZU</v>
      </c>
      <c r="J201" s="7" t="str">
        <f aca="false">IFERROR(VLOOKUP(TRIM($D201), Hoja4_2!$A$2:$L$10000, 12, 0), "Revisar")</f>
        <v>15053855</v>
      </c>
      <c r="K201" s="8" t="str">
        <f aca="false">TEXT(TRIM(D201),"0")</f>
        <v>11215053855</v>
      </c>
      <c r="L201" s="1" t="str">
        <f aca="false">IF(F201="Revisar","NULL",CONCATENATE("'",TEXT(F201,"yyyy-mm-dd"),"'"))</f>
        <v>'2012-07-03'</v>
      </c>
      <c r="M201" s="9" t="str">
        <f aca="false">IF(G201="Revisar","NULL",CONCATENATE("'",MID(G201,1,1),"'"))</f>
        <v>'M'</v>
      </c>
      <c r="N201" s="9" t="str">
        <f aca="false">IF(H201="Revisar","NULL",CONCATENATE("'",H201,"'"))</f>
        <v>'MARACAIBO'</v>
      </c>
      <c r="O201" s="9" t="str">
        <f aca="false">IF(I201="Revisar","NULL",CONCATENATE("'",I201,"'"))</f>
        <v>'ZU'</v>
      </c>
      <c r="P201" s="1" t="str">
        <f aca="false">"UPDATE estudiantes SET fecha_nacimiento="&amp;L201&amp;", sexo="&amp;M201&amp;", lugar_nacimiento="&amp;N201&amp;", entidad_federal="&amp;O201&amp;" WHERE cedula='"&amp;K201&amp;"';"</f>
        <v>UPDATE estudiantes SET fecha_nacimiento='2012-07-03', sexo='M', lugar_nacimiento='MARACAIBO', entidad_federal='ZU' WHERE cedula='11215053855';</v>
      </c>
    </row>
    <row r="202" customFormat="false" ht="14.9" hidden="false" customHeight="false" outlineLevel="0" collapsed="false">
      <c r="A202" s="1" t="s">
        <v>15</v>
      </c>
      <c r="B202" s="1" t="s">
        <v>192</v>
      </c>
      <c r="C202" s="1" t="s">
        <v>17</v>
      </c>
      <c r="D202" s="1" t="s">
        <v>225</v>
      </c>
      <c r="E202" s="2" t="n">
        <v>45922</v>
      </c>
      <c r="F202" s="2" t="n">
        <f aca="false">IFERROR(VLOOKUP(TRIM($D202), Hoja4_2!$A$2:$L$10000, 4, 0), "Revisar")</f>
        <v>41117</v>
      </c>
      <c r="G202" s="7" t="str">
        <f aca="false">IFERROR(VLOOKUP(TRIM($D202), Hoja4_2!$A$2:$L$10000, 5, 0), "Revisar")</f>
        <v>MASCULINO</v>
      </c>
      <c r="H202" s="7" t="str">
        <f aca="false">IFERROR(VLOOKUP(TRIM($D202), Hoja4_2!$A$2:$L$10000, 7, 0), "Revisar")</f>
        <v>MARACAIBO</v>
      </c>
      <c r="I202" s="7" t="str">
        <f aca="false">IFERROR(VLOOKUP(TRIM($D202), Hoja4_2!$A$2:$L$10000, 9, 0), "Revisar")</f>
        <v>ZU</v>
      </c>
      <c r="J202" s="7" t="str">
        <f aca="false">IFERROR(VLOOKUP(TRIM($D202), Hoja4_2!$A$2:$L$10000, 12, 0), "Revisar")</f>
        <v>15466865</v>
      </c>
      <c r="K202" s="8" t="str">
        <f aca="false">TEXT(TRIM(D202),"0")</f>
        <v>11215466865</v>
      </c>
      <c r="L202" s="1" t="str">
        <f aca="false">IF(F202="Revisar","NULL",CONCATENATE("'",TEXT(F202,"yyyy-mm-dd"),"'"))</f>
        <v>'2012-07-27'</v>
      </c>
      <c r="M202" s="9" t="str">
        <f aca="false">IF(G202="Revisar","NULL",CONCATENATE("'",MID(G202,1,1),"'"))</f>
        <v>'M'</v>
      </c>
      <c r="N202" s="9" t="str">
        <f aca="false">IF(H202="Revisar","NULL",CONCATENATE("'",H202,"'"))</f>
        <v>'MARACAIBO'</v>
      </c>
      <c r="O202" s="9" t="str">
        <f aca="false">IF(I202="Revisar","NULL",CONCATENATE("'",I202,"'"))</f>
        <v>'ZU'</v>
      </c>
      <c r="P202" s="1" t="str">
        <f aca="false">"UPDATE estudiantes SET fecha_nacimiento="&amp;L202&amp;", sexo="&amp;M202&amp;", lugar_nacimiento="&amp;N202&amp;", entidad_federal="&amp;O202&amp;" WHERE cedula='"&amp;K202&amp;"';"</f>
        <v>UPDATE estudiantes SET fecha_nacimiento='2012-07-27', sexo='M', lugar_nacimiento='MARACAIBO', entidad_federal='ZU' WHERE cedula='11215466865';</v>
      </c>
    </row>
    <row r="203" customFormat="false" ht="14.9" hidden="false" customHeight="false" outlineLevel="0" collapsed="false">
      <c r="A203" s="1" t="s">
        <v>15</v>
      </c>
      <c r="B203" s="1" t="s">
        <v>192</v>
      </c>
      <c r="C203" s="1" t="s">
        <v>17</v>
      </c>
      <c r="D203" s="1" t="s">
        <v>226</v>
      </c>
      <c r="E203" s="2" t="n">
        <v>45922</v>
      </c>
      <c r="F203" s="2" t="n">
        <f aca="false">IFERROR(VLOOKUP(TRIM($D203), Hoja4_2!$A$2:$L$10000, 4, 0), "Revisar")</f>
        <v>41003</v>
      </c>
      <c r="G203" s="7" t="str">
        <f aca="false">IFERROR(VLOOKUP(TRIM($D203), Hoja4_2!$A$2:$L$10000, 5, 0), "Revisar")</f>
        <v>MASCULINO</v>
      </c>
      <c r="H203" s="7" t="str">
        <f aca="false">IFERROR(VLOOKUP(TRIM($D203), Hoja4_2!$A$2:$L$10000, 7, 0), "Revisar")</f>
        <v>MARACAIBO</v>
      </c>
      <c r="I203" s="7" t="str">
        <f aca="false">IFERROR(VLOOKUP(TRIM($D203), Hoja4_2!$A$2:$L$10000, 9, 0), "Revisar")</f>
        <v>ZU</v>
      </c>
      <c r="J203" s="7" t="str">
        <f aca="false">IFERROR(VLOOKUP(TRIM($D203), Hoja4_2!$A$2:$L$10000, 12, 0), "Revisar")</f>
        <v>17071402</v>
      </c>
      <c r="K203" s="8" t="str">
        <f aca="false">TEXT(TRIM(D203),"0")</f>
        <v>11217071402</v>
      </c>
      <c r="L203" s="1" t="str">
        <f aca="false">IF(F203="Revisar","NULL",CONCATENATE("'",TEXT(F203,"yyyy-mm-dd"),"'"))</f>
        <v>'2012-04-04'</v>
      </c>
      <c r="M203" s="9" t="str">
        <f aca="false">IF(G203="Revisar","NULL",CONCATENATE("'",MID(G203,1,1),"'"))</f>
        <v>'M'</v>
      </c>
      <c r="N203" s="9" t="str">
        <f aca="false">IF(H203="Revisar","NULL",CONCATENATE("'",H203,"'"))</f>
        <v>'MARACAIBO'</v>
      </c>
      <c r="O203" s="9" t="str">
        <f aca="false">IF(I203="Revisar","NULL",CONCATENATE("'",I203,"'"))</f>
        <v>'ZU'</v>
      </c>
      <c r="P203" s="1" t="str">
        <f aca="false">"UPDATE estudiantes SET fecha_nacimiento="&amp;L203&amp;", sexo="&amp;M203&amp;", lugar_nacimiento="&amp;N203&amp;", entidad_federal="&amp;O203&amp;" WHERE cedula='"&amp;K203&amp;"';"</f>
        <v>UPDATE estudiantes SET fecha_nacimiento='2012-04-04', sexo='M', lugar_nacimiento='MARACAIBO', entidad_federal='ZU' WHERE cedula='11217071402';</v>
      </c>
    </row>
    <row r="204" customFormat="false" ht="14.9" hidden="false" customHeight="false" outlineLevel="0" collapsed="false">
      <c r="A204" s="1" t="s">
        <v>15</v>
      </c>
      <c r="B204" s="1" t="s">
        <v>192</v>
      </c>
      <c r="C204" s="1" t="s">
        <v>17</v>
      </c>
      <c r="D204" s="1" t="s">
        <v>227</v>
      </c>
      <c r="E204" s="2" t="n">
        <v>45922</v>
      </c>
      <c r="F204" s="2" t="n">
        <f aca="false">IFERROR(VLOOKUP(TRIM($D204), Hoja4_2!$A$2:$L$10000, 4, 0), "Revisar")</f>
        <v>41030</v>
      </c>
      <c r="G204" s="7" t="str">
        <f aca="false">IFERROR(VLOOKUP(TRIM($D204), Hoja4_2!$A$2:$L$10000, 5, 0), "Revisar")</f>
        <v>FEMENINO</v>
      </c>
      <c r="H204" s="7" t="str">
        <f aca="false">IFERROR(VLOOKUP(TRIM($D204), Hoja4_2!$A$2:$L$10000, 7, 0), "Revisar")</f>
        <v>MARACAIBO</v>
      </c>
      <c r="I204" s="7" t="str">
        <f aca="false">IFERROR(VLOOKUP(TRIM($D204), Hoja4_2!$A$2:$L$10000, 9, 0), "Revisar")</f>
        <v>ZU</v>
      </c>
      <c r="J204" s="7" t="str">
        <f aca="false">IFERROR(VLOOKUP(TRIM($D204), Hoja4_2!$A$2:$L$10000, 12, 0), "Revisar")</f>
        <v>17089276</v>
      </c>
      <c r="K204" s="8" t="str">
        <f aca="false">TEXT(TRIM(D204),"0")</f>
        <v>11217089276</v>
      </c>
      <c r="L204" s="1" t="str">
        <f aca="false">IF(F204="Revisar","NULL",CONCATENATE("'",TEXT(F204,"yyyy-mm-dd"),"'"))</f>
        <v>'2012-05-01'</v>
      </c>
      <c r="M204" s="9" t="str">
        <f aca="false">IF(G204="Revisar","NULL",CONCATENATE("'",MID(G204,1,1),"'"))</f>
        <v>'F'</v>
      </c>
      <c r="N204" s="9" t="str">
        <f aca="false">IF(H204="Revisar","NULL",CONCATENATE("'",H204,"'"))</f>
        <v>'MARACAIBO'</v>
      </c>
      <c r="O204" s="9" t="str">
        <f aca="false">IF(I204="Revisar","NULL",CONCATENATE("'",I204,"'"))</f>
        <v>'ZU'</v>
      </c>
      <c r="P204" s="1" t="str">
        <f aca="false">"UPDATE estudiantes SET fecha_nacimiento="&amp;L204&amp;", sexo="&amp;M204&amp;", lugar_nacimiento="&amp;N204&amp;", entidad_federal="&amp;O204&amp;" WHERE cedula='"&amp;K204&amp;"';"</f>
        <v>UPDATE estudiantes SET fecha_nacimiento='2012-05-01', sexo='F', lugar_nacimiento='MARACAIBO', entidad_federal='ZU' WHERE cedula='11217089276';</v>
      </c>
    </row>
    <row r="205" customFormat="false" ht="14.9" hidden="false" customHeight="false" outlineLevel="0" collapsed="false">
      <c r="A205" s="1" t="s">
        <v>15</v>
      </c>
      <c r="B205" s="1" t="s">
        <v>192</v>
      </c>
      <c r="C205" s="1" t="s">
        <v>17</v>
      </c>
      <c r="D205" s="1" t="s">
        <v>228</v>
      </c>
      <c r="E205" s="2" t="n">
        <v>45922</v>
      </c>
      <c r="F205" s="2" t="n">
        <f aca="false">IFERROR(VLOOKUP(TRIM($D205), Hoja4_2!$A$2:$L$10000, 4, 0), "Revisar")</f>
        <v>41274</v>
      </c>
      <c r="G205" s="7" t="str">
        <f aca="false">IFERROR(VLOOKUP(TRIM($D205), Hoja4_2!$A$2:$L$10000, 5, 0), "Revisar")</f>
        <v>FEMENINO</v>
      </c>
      <c r="H205" s="7" t="str">
        <f aca="false">IFERROR(VLOOKUP(TRIM($D205), Hoja4_2!$A$2:$L$10000, 7, 0), "Revisar")</f>
        <v>MARACAIBO</v>
      </c>
      <c r="I205" s="7" t="str">
        <f aca="false">IFERROR(VLOOKUP(TRIM($D205), Hoja4_2!$A$2:$L$10000, 9, 0), "Revisar")</f>
        <v>ZU</v>
      </c>
      <c r="J205" s="7" t="str">
        <f aca="false">IFERROR(VLOOKUP(TRIM($D205), Hoja4_2!$A$2:$L$10000, 12, 0), "Revisar")</f>
        <v>21228281</v>
      </c>
      <c r="K205" s="8" t="str">
        <f aca="false">TEXT(TRIM(D205),"0")</f>
        <v>11221228281</v>
      </c>
      <c r="L205" s="1" t="str">
        <f aca="false">IF(F205="Revisar","NULL",CONCATENATE("'",TEXT(F205,"yyyy-mm-dd"),"'"))</f>
        <v>'2012-12-31'</v>
      </c>
      <c r="M205" s="9" t="str">
        <f aca="false">IF(G205="Revisar","NULL",CONCATENATE("'",MID(G205,1,1),"'"))</f>
        <v>'F'</v>
      </c>
      <c r="N205" s="9" t="str">
        <f aca="false">IF(H205="Revisar","NULL",CONCATENATE("'",H205,"'"))</f>
        <v>'MARACAIBO'</v>
      </c>
      <c r="O205" s="9" t="str">
        <f aca="false">IF(I205="Revisar","NULL",CONCATENATE("'",I205,"'"))</f>
        <v>'ZU'</v>
      </c>
      <c r="P205" s="1" t="str">
        <f aca="false">"UPDATE estudiantes SET fecha_nacimiento="&amp;L205&amp;", sexo="&amp;M205&amp;", lugar_nacimiento="&amp;N205&amp;", entidad_federal="&amp;O205&amp;" WHERE cedula='"&amp;K205&amp;"';"</f>
        <v>UPDATE estudiantes SET fecha_nacimiento='2012-12-31', sexo='F', lugar_nacimiento='MARACAIBO', entidad_federal='ZU' WHERE cedula='11221228281';</v>
      </c>
    </row>
    <row r="206" customFormat="false" ht="14.9" hidden="false" customHeight="false" outlineLevel="0" collapsed="false">
      <c r="A206" s="1" t="s">
        <v>15</v>
      </c>
      <c r="B206" s="1" t="s">
        <v>192</v>
      </c>
      <c r="C206" s="1" t="s">
        <v>17</v>
      </c>
      <c r="D206" s="1" t="s">
        <v>229</v>
      </c>
      <c r="E206" s="2" t="n">
        <v>45922</v>
      </c>
      <c r="F206" s="2" t="n">
        <f aca="false">IFERROR(VLOOKUP(TRIM($D206), Hoja4_2!$A$2:$L$10000, 4, 0), "Revisar")</f>
        <v>41040</v>
      </c>
      <c r="G206" s="7" t="str">
        <f aca="false">IFERROR(VLOOKUP(TRIM($D206), Hoja4_2!$A$2:$L$10000, 5, 0), "Revisar")</f>
        <v>FEMENINO</v>
      </c>
      <c r="H206" s="7" t="str">
        <f aca="false">IFERROR(VLOOKUP(TRIM($D206), Hoja4_2!$A$2:$L$10000, 7, 0), "Revisar")</f>
        <v>MARACAIBO</v>
      </c>
      <c r="I206" s="7" t="str">
        <f aca="false">IFERROR(VLOOKUP(TRIM($D206), Hoja4_2!$A$2:$L$10000, 9, 0), "Revisar")</f>
        <v>ZU</v>
      </c>
      <c r="J206" s="7" t="str">
        <f aca="false">IFERROR(VLOOKUP(TRIM($D206), Hoja4_2!$A$2:$L$10000, 12, 0), "Revisar")</f>
        <v>21511084</v>
      </c>
      <c r="K206" s="8" t="str">
        <f aca="false">TEXT(TRIM(D206),"0")</f>
        <v>11221511084</v>
      </c>
      <c r="L206" s="1" t="str">
        <f aca="false">IF(F206="Revisar","NULL",CONCATENATE("'",TEXT(F206,"yyyy-mm-dd"),"'"))</f>
        <v>'2012-05-11'</v>
      </c>
      <c r="M206" s="9" t="str">
        <f aca="false">IF(G206="Revisar","NULL",CONCATENATE("'",MID(G206,1,1),"'"))</f>
        <v>'F'</v>
      </c>
      <c r="N206" s="9" t="str">
        <f aca="false">IF(H206="Revisar","NULL",CONCATENATE("'",H206,"'"))</f>
        <v>'MARACAIBO'</v>
      </c>
      <c r="O206" s="9" t="str">
        <f aca="false">IF(I206="Revisar","NULL",CONCATENATE("'",I206,"'"))</f>
        <v>'ZU'</v>
      </c>
      <c r="P206" s="1" t="str">
        <f aca="false">"UPDATE estudiantes SET fecha_nacimiento="&amp;L206&amp;", sexo="&amp;M206&amp;", lugar_nacimiento="&amp;N206&amp;", entidad_federal="&amp;O206&amp;" WHERE cedula='"&amp;K206&amp;"';"</f>
        <v>UPDATE estudiantes SET fecha_nacimiento='2012-05-11', sexo='F', lugar_nacimiento='MARACAIBO', entidad_federal='ZU' WHERE cedula='11221511084';</v>
      </c>
    </row>
    <row r="207" customFormat="false" ht="14.9" hidden="false" customHeight="false" outlineLevel="0" collapsed="false">
      <c r="A207" s="1" t="s">
        <v>15</v>
      </c>
      <c r="B207" s="1" t="s">
        <v>192</v>
      </c>
      <c r="C207" s="1" t="s">
        <v>17</v>
      </c>
      <c r="D207" s="1" t="s">
        <v>230</v>
      </c>
      <c r="E207" s="2" t="n">
        <v>45922</v>
      </c>
      <c r="F207" s="2" t="n">
        <f aca="false">IFERROR(VLOOKUP(TRIM($D207), Hoja4_2!$A$2:$L$10000, 4, 0), "Revisar")</f>
        <v>41325</v>
      </c>
      <c r="G207" s="7" t="str">
        <f aca="false">IFERROR(VLOOKUP(TRIM($D207), Hoja4_2!$A$2:$L$10000, 5, 0), "Revisar")</f>
        <v>MASCULINO</v>
      </c>
      <c r="H207" s="7" t="str">
        <f aca="false">IFERROR(VLOOKUP(TRIM($D207), Hoja4_2!$A$2:$L$10000, 7, 0), "Revisar")</f>
        <v>MARACAIBO</v>
      </c>
      <c r="I207" s="7" t="str">
        <f aca="false">IFERROR(VLOOKUP(TRIM($D207), Hoja4_2!$A$2:$L$10000, 9, 0), "Revisar")</f>
        <v>ZU</v>
      </c>
      <c r="J207" s="7" t="str">
        <f aca="false">IFERROR(VLOOKUP(TRIM($D207), Hoja4_2!$A$2:$L$10000, 12, 0), "Revisar")</f>
        <v>15466866</v>
      </c>
      <c r="K207" s="8" t="str">
        <f aca="false">TEXT(TRIM(D207),"0")</f>
        <v>11315466866</v>
      </c>
      <c r="L207" s="1" t="str">
        <f aca="false">IF(F207="Revisar","NULL",CONCATENATE("'",TEXT(F207,"yyyy-mm-dd"),"'"))</f>
        <v>'2013-02-20'</v>
      </c>
      <c r="M207" s="9" t="str">
        <f aca="false">IF(G207="Revisar","NULL",CONCATENATE("'",MID(G207,1,1),"'"))</f>
        <v>'M'</v>
      </c>
      <c r="N207" s="9" t="str">
        <f aca="false">IF(H207="Revisar","NULL",CONCATENATE("'",H207,"'"))</f>
        <v>'MARACAIBO'</v>
      </c>
      <c r="O207" s="9" t="str">
        <f aca="false">IF(I207="Revisar","NULL",CONCATENATE("'",I207,"'"))</f>
        <v>'ZU'</v>
      </c>
      <c r="P207" s="1" t="str">
        <f aca="false">"UPDATE estudiantes SET fecha_nacimiento="&amp;L207&amp;", sexo="&amp;M207&amp;", lugar_nacimiento="&amp;N207&amp;", entidad_federal="&amp;O207&amp;" WHERE cedula='"&amp;K207&amp;"';"</f>
        <v>UPDATE estudiantes SET fecha_nacimiento='2013-02-20', sexo='M', lugar_nacimiento='MARACAIBO', entidad_federal='ZU' WHERE cedula='11315466866';</v>
      </c>
    </row>
    <row r="208" customFormat="false" ht="14.9" hidden="false" customHeight="false" outlineLevel="0" collapsed="false">
      <c r="A208" s="1" t="s">
        <v>15</v>
      </c>
      <c r="B208" s="1" t="s">
        <v>192</v>
      </c>
      <c r="C208" s="1" t="s">
        <v>53</v>
      </c>
      <c r="D208" s="1" t="s">
        <v>231</v>
      </c>
      <c r="E208" s="2" t="n">
        <v>45923</v>
      </c>
      <c r="F208" s="2" t="n">
        <f aca="false">IFERROR(VLOOKUP(TRIM($D208), Hoja4_2!$A$2:$L$10000, 4, 0), "Revisar")</f>
        <v>40483</v>
      </c>
      <c r="G208" s="7" t="str">
        <f aca="false">IFERROR(VLOOKUP(TRIM($D208), Hoja4_2!$A$2:$L$10000, 5, 0), "Revisar")</f>
        <v>FEMENINO</v>
      </c>
      <c r="H208" s="7" t="str">
        <f aca="false">IFERROR(VLOOKUP(TRIM($D208), Hoja4_2!$A$2:$L$10000, 7, 0), "Revisar")</f>
        <v>MARACAIBO</v>
      </c>
      <c r="I208" s="7" t="str">
        <f aca="false">IFERROR(VLOOKUP(TRIM($D208), Hoja4_2!$A$2:$L$10000, 9, 0), "Revisar")</f>
        <v>ZU</v>
      </c>
      <c r="J208" s="7" t="str">
        <f aca="false">IFERROR(VLOOKUP(TRIM($D208), Hoja4_2!$A$2:$L$10000, 12, 0), "Revisar")</f>
        <v>21511040</v>
      </c>
      <c r="K208" s="8" t="str">
        <f aca="false">TEXT(TRIM(D208),"0")</f>
        <v>33729239</v>
      </c>
      <c r="L208" s="1" t="str">
        <f aca="false">IF(F208="Revisar","NULL",CONCATENATE("'",TEXT(F208,"yyyy-mm-dd"),"'"))</f>
        <v>'2010-11-01'</v>
      </c>
      <c r="M208" s="9" t="str">
        <f aca="false">IF(G208="Revisar","NULL",CONCATENATE("'",MID(G208,1,1),"'"))</f>
        <v>'F'</v>
      </c>
      <c r="N208" s="9" t="str">
        <f aca="false">IF(H208="Revisar","NULL",CONCATENATE("'",H208,"'"))</f>
        <v>'MARACAIBO'</v>
      </c>
      <c r="O208" s="9" t="str">
        <f aca="false">IF(I208="Revisar","NULL",CONCATENATE("'",I208,"'"))</f>
        <v>'ZU'</v>
      </c>
      <c r="P208" s="1" t="str">
        <f aca="false">"UPDATE estudiantes SET fecha_nacimiento="&amp;L208&amp;", sexo="&amp;M208&amp;", lugar_nacimiento="&amp;N208&amp;", entidad_federal="&amp;O208&amp;" WHERE cedula='"&amp;K208&amp;"';"</f>
        <v>UPDATE estudiantes SET fecha_nacimiento='2010-11-01', sexo='F', lugar_nacimiento='MARACAIBO', entidad_federal='ZU' WHERE cedula='33729239';</v>
      </c>
    </row>
    <row r="209" customFormat="false" ht="14.9" hidden="false" customHeight="false" outlineLevel="0" collapsed="false">
      <c r="A209" s="1" t="s">
        <v>15</v>
      </c>
      <c r="B209" s="1" t="s">
        <v>192</v>
      </c>
      <c r="C209" s="1" t="s">
        <v>53</v>
      </c>
      <c r="D209" s="1" t="s">
        <v>232</v>
      </c>
      <c r="E209" s="2" t="n">
        <v>45923</v>
      </c>
      <c r="F209" s="2" t="n">
        <f aca="false">IFERROR(VLOOKUP(TRIM($D209), Hoja4_2!$A$2:$L$10000, 4, 0), "Revisar")</f>
        <v>40746</v>
      </c>
      <c r="G209" s="7" t="str">
        <f aca="false">IFERROR(VLOOKUP(TRIM($D209), Hoja4_2!$A$2:$L$10000, 5, 0), "Revisar")</f>
        <v>MASCULINO</v>
      </c>
      <c r="H209" s="7" t="str">
        <f aca="false">IFERROR(VLOOKUP(TRIM($D209), Hoja4_2!$A$2:$L$10000, 7, 0), "Revisar")</f>
        <v>MARACAIBO</v>
      </c>
      <c r="I209" s="7" t="str">
        <f aca="false">IFERROR(VLOOKUP(TRIM($D209), Hoja4_2!$A$2:$L$10000, 9, 0), "Revisar")</f>
        <v>ZU</v>
      </c>
      <c r="J209" s="7" t="str">
        <f aca="false">IFERROR(VLOOKUP(TRIM($D209), Hoja4_2!$A$2:$L$10000, 12, 0), "Revisar")</f>
        <v>99999999</v>
      </c>
      <c r="K209" s="8" t="str">
        <f aca="false">TEXT(TRIM(D209),"0")</f>
        <v>34399600</v>
      </c>
      <c r="L209" s="1" t="str">
        <f aca="false">IF(F209="Revisar","NULL",CONCATENATE("'",TEXT(F209,"yyyy-mm-dd"),"'"))</f>
        <v>'2011-07-22'</v>
      </c>
      <c r="M209" s="9" t="str">
        <f aca="false">IF(G209="Revisar","NULL",CONCATENATE("'",MID(G209,1,1),"'"))</f>
        <v>'M'</v>
      </c>
      <c r="N209" s="9" t="str">
        <f aca="false">IF(H209="Revisar","NULL",CONCATENATE("'",H209,"'"))</f>
        <v>'MARACAIBO'</v>
      </c>
      <c r="O209" s="9" t="str">
        <f aca="false">IF(I209="Revisar","NULL",CONCATENATE("'",I209,"'"))</f>
        <v>'ZU'</v>
      </c>
      <c r="P209" s="1" t="str">
        <f aca="false">"UPDATE estudiantes SET fecha_nacimiento="&amp;L209&amp;", sexo="&amp;M209&amp;", lugar_nacimiento="&amp;N209&amp;", entidad_federal="&amp;O209&amp;" WHERE cedula='"&amp;K209&amp;"';"</f>
        <v>UPDATE estudiantes SET fecha_nacimiento='2011-07-22', sexo='M', lugar_nacimiento='MARACAIBO', entidad_federal='ZU' WHERE cedula='34399600';</v>
      </c>
    </row>
    <row r="210" customFormat="false" ht="14.9" hidden="false" customHeight="false" outlineLevel="0" collapsed="false">
      <c r="A210" s="1" t="s">
        <v>15</v>
      </c>
      <c r="B210" s="1" t="s">
        <v>192</v>
      </c>
      <c r="C210" s="1" t="s">
        <v>53</v>
      </c>
      <c r="D210" s="1" t="s">
        <v>233</v>
      </c>
      <c r="E210" s="2" t="n">
        <v>45923</v>
      </c>
      <c r="F210" s="2" t="n">
        <f aca="false">IFERROR(VLOOKUP(TRIM($D210), Hoja4_2!$A$2:$L$10000, 4, 0), "Revisar")</f>
        <v>41131</v>
      </c>
      <c r="G210" s="7" t="str">
        <f aca="false">IFERROR(VLOOKUP(TRIM($D210), Hoja4_2!$A$2:$L$10000, 5, 0), "Revisar")</f>
        <v>MASCULINO</v>
      </c>
      <c r="H210" s="7" t="str">
        <f aca="false">IFERROR(VLOOKUP(TRIM($D210), Hoja4_2!$A$2:$L$10000, 7, 0), "Revisar")</f>
        <v>MARACAIBO</v>
      </c>
      <c r="I210" s="7" t="str">
        <f aca="false">IFERROR(VLOOKUP(TRIM($D210), Hoja4_2!$A$2:$L$10000, 9, 0), "Revisar")</f>
        <v>ZU</v>
      </c>
      <c r="J210" s="7" t="str">
        <f aca="false">IFERROR(VLOOKUP(TRIM($D210), Hoja4_2!$A$2:$L$10000, 12, 0), "Revisar")</f>
        <v>23769888</v>
      </c>
      <c r="K210" s="8" t="str">
        <f aca="false">TEXT(TRIM(D210),"0")</f>
        <v>34400151</v>
      </c>
      <c r="L210" s="1" t="str">
        <f aca="false">IF(F210="Revisar","NULL",CONCATENATE("'",TEXT(F210,"yyyy-mm-dd"),"'"))</f>
        <v>'2012-08-10'</v>
      </c>
      <c r="M210" s="9" t="str">
        <f aca="false">IF(G210="Revisar","NULL",CONCATENATE("'",MID(G210,1,1),"'"))</f>
        <v>'M'</v>
      </c>
      <c r="N210" s="9" t="str">
        <f aca="false">IF(H210="Revisar","NULL",CONCATENATE("'",H210,"'"))</f>
        <v>'MARACAIBO'</v>
      </c>
      <c r="O210" s="9" t="str">
        <f aca="false">IF(I210="Revisar","NULL",CONCATENATE("'",I210,"'"))</f>
        <v>'ZU'</v>
      </c>
      <c r="P210" s="1" t="str">
        <f aca="false">"UPDATE estudiantes SET fecha_nacimiento="&amp;L210&amp;", sexo="&amp;M210&amp;", lugar_nacimiento="&amp;N210&amp;", entidad_federal="&amp;O210&amp;" WHERE cedula='"&amp;K210&amp;"';"</f>
        <v>UPDATE estudiantes SET fecha_nacimiento='2012-08-10', sexo='M', lugar_nacimiento='MARACAIBO', entidad_federal='ZU' WHERE cedula='34400151';</v>
      </c>
    </row>
    <row r="211" customFormat="false" ht="14.9" hidden="false" customHeight="false" outlineLevel="0" collapsed="false">
      <c r="A211" s="1" t="s">
        <v>15</v>
      </c>
      <c r="B211" s="1" t="s">
        <v>192</v>
      </c>
      <c r="C211" s="1" t="s">
        <v>53</v>
      </c>
      <c r="D211" s="1" t="s">
        <v>234</v>
      </c>
      <c r="E211" s="2" t="n">
        <v>45923</v>
      </c>
      <c r="F211" s="2" t="n">
        <f aca="false">IFERROR(VLOOKUP(TRIM($D211), Hoja4_2!$A$2:$L$10000, 4, 0), "Revisar")</f>
        <v>41028</v>
      </c>
      <c r="G211" s="7" t="str">
        <f aca="false">IFERROR(VLOOKUP(TRIM($D211), Hoja4_2!$A$2:$L$10000, 5, 0), "Revisar")</f>
        <v>MASCULINO</v>
      </c>
      <c r="H211" s="7" t="str">
        <f aca="false">IFERROR(VLOOKUP(TRIM($D211), Hoja4_2!$A$2:$L$10000, 7, 0), "Revisar")</f>
        <v>MARACAIBO</v>
      </c>
      <c r="I211" s="7" t="str">
        <f aca="false">IFERROR(VLOOKUP(TRIM($D211), Hoja4_2!$A$2:$L$10000, 9, 0), "Revisar")</f>
        <v>ZU</v>
      </c>
      <c r="J211" s="7" t="str">
        <f aca="false">IFERROR(VLOOKUP(TRIM($D211), Hoja4_2!$A$2:$L$10000, 12, 0), "Revisar")</f>
        <v>20034718</v>
      </c>
      <c r="K211" s="8" t="str">
        <f aca="false">TEXT(TRIM(D211),"0")</f>
        <v>34407750</v>
      </c>
      <c r="L211" s="1" t="str">
        <f aca="false">IF(F211="Revisar","NULL",CONCATENATE("'",TEXT(F211,"yyyy-mm-dd"),"'"))</f>
        <v>'2012-04-29'</v>
      </c>
      <c r="M211" s="9" t="str">
        <f aca="false">IF(G211="Revisar","NULL",CONCATENATE("'",MID(G211,1,1),"'"))</f>
        <v>'M'</v>
      </c>
      <c r="N211" s="9" t="str">
        <f aca="false">IF(H211="Revisar","NULL",CONCATENATE("'",H211,"'"))</f>
        <v>'MARACAIBO'</v>
      </c>
      <c r="O211" s="9" t="str">
        <f aca="false">IF(I211="Revisar","NULL",CONCATENATE("'",I211,"'"))</f>
        <v>'ZU'</v>
      </c>
      <c r="P211" s="1" t="str">
        <f aca="false">"UPDATE estudiantes SET fecha_nacimiento="&amp;L211&amp;", sexo="&amp;M211&amp;", lugar_nacimiento="&amp;N211&amp;", entidad_federal="&amp;O211&amp;" WHERE cedula='"&amp;K211&amp;"';"</f>
        <v>UPDATE estudiantes SET fecha_nacimiento='2012-04-29', sexo='M', lugar_nacimiento='MARACAIBO', entidad_federal='ZU' WHERE cedula='34407750';</v>
      </c>
    </row>
    <row r="212" customFormat="false" ht="14.9" hidden="false" customHeight="false" outlineLevel="0" collapsed="false">
      <c r="A212" s="1" t="s">
        <v>15</v>
      </c>
      <c r="B212" s="1" t="s">
        <v>192</v>
      </c>
      <c r="C212" s="1" t="s">
        <v>53</v>
      </c>
      <c r="D212" s="1" t="s">
        <v>235</v>
      </c>
      <c r="E212" s="2" t="n">
        <v>45923</v>
      </c>
      <c r="F212" s="2" t="n">
        <f aca="false">IFERROR(VLOOKUP(TRIM($D212), Hoja4_2!$A$2:$L$10000, 4, 0), "Revisar")</f>
        <v>41046</v>
      </c>
      <c r="G212" s="7" t="str">
        <f aca="false">IFERROR(VLOOKUP(TRIM($D212), Hoja4_2!$A$2:$L$10000, 5, 0), "Revisar")</f>
        <v>FEMENINO</v>
      </c>
      <c r="H212" s="7" t="str">
        <f aca="false">IFERROR(VLOOKUP(TRIM($D212), Hoja4_2!$A$2:$L$10000, 7, 0), "Revisar")</f>
        <v>MARACAIBO</v>
      </c>
      <c r="I212" s="7" t="str">
        <f aca="false">IFERROR(VLOOKUP(TRIM($D212), Hoja4_2!$A$2:$L$10000, 9, 0), "Revisar")</f>
        <v>ZU</v>
      </c>
      <c r="J212" s="7" t="str">
        <f aca="false">IFERROR(VLOOKUP(TRIM($D212), Hoja4_2!$A$2:$L$10000, 12, 0), "Revisar")</f>
        <v>20508352</v>
      </c>
      <c r="K212" s="8" t="str">
        <f aca="false">TEXT(TRIM(D212),"0")</f>
        <v>34408087</v>
      </c>
      <c r="L212" s="1" t="str">
        <f aca="false">IF(F212="Revisar","NULL",CONCATENATE("'",TEXT(F212,"yyyy-mm-dd"),"'"))</f>
        <v>'2012-05-17'</v>
      </c>
      <c r="M212" s="9" t="str">
        <f aca="false">IF(G212="Revisar","NULL",CONCATENATE("'",MID(G212,1,1),"'"))</f>
        <v>'F'</v>
      </c>
      <c r="N212" s="9" t="str">
        <f aca="false">IF(H212="Revisar","NULL",CONCATENATE("'",H212,"'"))</f>
        <v>'MARACAIBO'</v>
      </c>
      <c r="O212" s="9" t="str">
        <f aca="false">IF(I212="Revisar","NULL",CONCATENATE("'",I212,"'"))</f>
        <v>'ZU'</v>
      </c>
      <c r="P212" s="1" t="str">
        <f aca="false">"UPDATE estudiantes SET fecha_nacimiento="&amp;L212&amp;", sexo="&amp;M212&amp;", lugar_nacimiento="&amp;N212&amp;", entidad_federal="&amp;O212&amp;" WHERE cedula='"&amp;K212&amp;"';"</f>
        <v>UPDATE estudiantes SET fecha_nacimiento='2012-05-17', sexo='F', lugar_nacimiento='MARACAIBO', entidad_federal='ZU' WHERE cedula='34408087';</v>
      </c>
    </row>
    <row r="213" customFormat="false" ht="14.9" hidden="false" customHeight="false" outlineLevel="0" collapsed="false">
      <c r="A213" s="1" t="s">
        <v>15</v>
      </c>
      <c r="B213" s="1" t="s">
        <v>192</v>
      </c>
      <c r="C213" s="1" t="s">
        <v>53</v>
      </c>
      <c r="D213" s="1" t="s">
        <v>236</v>
      </c>
      <c r="E213" s="2" t="n">
        <v>45923</v>
      </c>
      <c r="F213" s="2" t="n">
        <f aca="false">IFERROR(VLOOKUP(TRIM($D213), Hoja4_2!$A$2:$L$10000, 4, 0), "Revisar")</f>
        <v>40814</v>
      </c>
      <c r="G213" s="7" t="str">
        <f aca="false">IFERROR(VLOOKUP(TRIM($D213), Hoja4_2!$A$2:$L$10000, 5, 0), "Revisar")</f>
        <v>FEMENINO</v>
      </c>
      <c r="H213" s="7" t="str">
        <f aca="false">IFERROR(VLOOKUP(TRIM($D213), Hoja4_2!$A$2:$L$10000, 7, 0), "Revisar")</f>
        <v>MARACAIBO</v>
      </c>
      <c r="I213" s="7" t="str">
        <f aca="false">IFERROR(VLOOKUP(TRIM($D213), Hoja4_2!$A$2:$L$10000, 9, 0), "Revisar")</f>
        <v>ZU</v>
      </c>
      <c r="J213" s="7" t="str">
        <f aca="false">IFERROR(VLOOKUP(TRIM($D213), Hoja4_2!$A$2:$L$10000, 12, 0), "Revisar")</f>
        <v>15840049</v>
      </c>
      <c r="K213" s="8" t="str">
        <f aca="false">TEXT(TRIM(D213),"0")</f>
        <v>34452848</v>
      </c>
      <c r="L213" s="1" t="str">
        <f aca="false">IF(F213="Revisar","NULL",CONCATENATE("'",TEXT(F213,"yyyy-mm-dd"),"'"))</f>
        <v>'2011-09-28'</v>
      </c>
      <c r="M213" s="9" t="str">
        <f aca="false">IF(G213="Revisar","NULL",CONCATENATE("'",MID(G213,1,1),"'"))</f>
        <v>'F'</v>
      </c>
      <c r="N213" s="9" t="str">
        <f aca="false">IF(H213="Revisar","NULL",CONCATENATE("'",H213,"'"))</f>
        <v>'MARACAIBO'</v>
      </c>
      <c r="O213" s="9" t="str">
        <f aca="false">IF(I213="Revisar","NULL",CONCATENATE("'",I213,"'"))</f>
        <v>'ZU'</v>
      </c>
      <c r="P213" s="1" t="str">
        <f aca="false">"UPDATE estudiantes SET fecha_nacimiento="&amp;L213&amp;", sexo="&amp;M213&amp;", lugar_nacimiento="&amp;N213&amp;", entidad_federal="&amp;O213&amp;" WHERE cedula='"&amp;K213&amp;"';"</f>
        <v>UPDATE estudiantes SET fecha_nacimiento='2011-09-28', sexo='F', lugar_nacimiento='MARACAIBO', entidad_federal='ZU' WHERE cedula='34452848';</v>
      </c>
    </row>
    <row r="214" customFormat="false" ht="14.9" hidden="false" customHeight="false" outlineLevel="0" collapsed="false">
      <c r="A214" s="1" t="s">
        <v>15</v>
      </c>
      <c r="B214" s="1" t="s">
        <v>192</v>
      </c>
      <c r="C214" s="1" t="s">
        <v>53</v>
      </c>
      <c r="D214" s="1" t="s">
        <v>237</v>
      </c>
      <c r="E214" s="2" t="n">
        <v>45923</v>
      </c>
      <c r="F214" s="2" t="n">
        <f aca="false">IFERROR(VLOOKUP(TRIM($D214), Hoja4_2!$A$2:$L$10000, 4, 0), "Revisar")</f>
        <v>40570</v>
      </c>
      <c r="G214" s="7" t="str">
        <f aca="false">IFERROR(VLOOKUP(TRIM($D214), Hoja4_2!$A$2:$L$10000, 5, 0), "Revisar")</f>
        <v>MASCULINO</v>
      </c>
      <c r="H214" s="7" t="str">
        <f aca="false">IFERROR(VLOOKUP(TRIM($D214), Hoja4_2!$A$2:$L$10000, 7, 0), "Revisar")</f>
        <v>JESUS ENRIQUE LOSSADA</v>
      </c>
      <c r="I214" s="7" t="str">
        <f aca="false">IFERROR(VLOOKUP(TRIM($D214), Hoja4_2!$A$2:$L$10000, 9, 0), "Revisar")</f>
        <v>ZU</v>
      </c>
      <c r="J214" s="7" t="str">
        <f aca="false">IFERROR(VLOOKUP(TRIM($D214), Hoja4_2!$A$2:$L$10000, 12, 0), "Revisar")</f>
        <v>19810694</v>
      </c>
      <c r="K214" s="8" t="str">
        <f aca="false">TEXT(TRIM(D214),"0")</f>
        <v>34470778</v>
      </c>
      <c r="L214" s="1" t="str">
        <f aca="false">IF(F214="Revisar","NULL",CONCATENATE("'",TEXT(F214,"yyyy-mm-dd"),"'"))</f>
        <v>'2011-01-27'</v>
      </c>
      <c r="M214" s="9" t="str">
        <f aca="false">IF(G214="Revisar","NULL",CONCATENATE("'",MID(G214,1,1),"'"))</f>
        <v>'M'</v>
      </c>
      <c r="N214" s="9" t="str">
        <f aca="false">IF(H214="Revisar","NULL",CONCATENATE("'",H214,"'"))</f>
        <v>'JESUS ENRIQUE LOSSADA'</v>
      </c>
      <c r="O214" s="9" t="str">
        <f aca="false">IF(I214="Revisar","NULL",CONCATENATE("'",I214,"'"))</f>
        <v>'ZU'</v>
      </c>
      <c r="P214" s="1" t="str">
        <f aca="false">"UPDATE estudiantes SET fecha_nacimiento="&amp;L214&amp;", sexo="&amp;M214&amp;", lugar_nacimiento="&amp;N214&amp;", entidad_federal="&amp;O214&amp;" WHERE cedula='"&amp;K214&amp;"';"</f>
        <v>UPDATE estudiantes SET fecha_nacimiento='2011-01-27', sexo='M', lugar_nacimiento='JESUS ENRIQUE LOSSADA', entidad_federal='ZU' WHERE cedula='34470778';</v>
      </c>
    </row>
    <row r="215" customFormat="false" ht="14.9" hidden="false" customHeight="false" outlineLevel="0" collapsed="false">
      <c r="A215" s="1" t="s">
        <v>15</v>
      </c>
      <c r="B215" s="1" t="s">
        <v>192</v>
      </c>
      <c r="C215" s="1" t="s">
        <v>53</v>
      </c>
      <c r="D215" s="1" t="s">
        <v>238</v>
      </c>
      <c r="E215" s="2" t="n">
        <v>45923</v>
      </c>
      <c r="F215" s="2" t="n">
        <f aca="false">IFERROR(VLOOKUP(TRIM($D215), Hoja4_2!$A$2:$L$10000, 4, 0), "Revisar")</f>
        <v>41242</v>
      </c>
      <c r="G215" s="7" t="str">
        <f aca="false">IFERROR(VLOOKUP(TRIM($D215), Hoja4_2!$A$2:$L$10000, 5, 0), "Revisar")</f>
        <v>FEMENINO</v>
      </c>
      <c r="H215" s="7" t="str">
        <f aca="false">IFERROR(VLOOKUP(TRIM($D215), Hoja4_2!$A$2:$L$10000, 7, 0), "Revisar")</f>
        <v>MARACAIBO</v>
      </c>
      <c r="I215" s="7" t="str">
        <f aca="false">IFERROR(VLOOKUP(TRIM($D215), Hoja4_2!$A$2:$L$10000, 9, 0), "Revisar")</f>
        <v>ZU</v>
      </c>
      <c r="J215" s="7" t="str">
        <f aca="false">IFERROR(VLOOKUP(TRIM($D215), Hoja4_2!$A$2:$L$10000, 12, 0), "Revisar")</f>
        <v>19810694</v>
      </c>
      <c r="K215" s="8" t="str">
        <f aca="false">TEXT(TRIM(D215),"0")</f>
        <v>34522615</v>
      </c>
      <c r="L215" s="1" t="str">
        <f aca="false">IF(F215="Revisar","NULL",CONCATENATE("'",TEXT(F215,"yyyy-mm-dd"),"'"))</f>
        <v>'2012-11-29'</v>
      </c>
      <c r="M215" s="9" t="str">
        <f aca="false">IF(G215="Revisar","NULL",CONCATENATE("'",MID(G215,1,1),"'"))</f>
        <v>'F'</v>
      </c>
      <c r="N215" s="9" t="str">
        <f aca="false">IF(H215="Revisar","NULL",CONCATENATE("'",H215,"'"))</f>
        <v>'MARACAIBO'</v>
      </c>
      <c r="O215" s="9" t="str">
        <f aca="false">IF(I215="Revisar","NULL",CONCATENATE("'",I215,"'"))</f>
        <v>'ZU'</v>
      </c>
      <c r="P215" s="1" t="str">
        <f aca="false">"UPDATE estudiantes SET fecha_nacimiento="&amp;L215&amp;", sexo="&amp;M215&amp;", lugar_nacimiento="&amp;N215&amp;", entidad_federal="&amp;O215&amp;" WHERE cedula='"&amp;K215&amp;"';"</f>
        <v>UPDATE estudiantes SET fecha_nacimiento='2012-11-29', sexo='F', lugar_nacimiento='MARACAIBO', entidad_federal='ZU' WHERE cedula='34522615';</v>
      </c>
    </row>
    <row r="216" customFormat="false" ht="14.9" hidden="false" customHeight="false" outlineLevel="0" collapsed="false">
      <c r="A216" s="1" t="s">
        <v>15</v>
      </c>
      <c r="B216" s="1" t="s">
        <v>192</v>
      </c>
      <c r="C216" s="1" t="s">
        <v>53</v>
      </c>
      <c r="D216" s="1" t="s">
        <v>239</v>
      </c>
      <c r="E216" s="2" t="n">
        <v>45923</v>
      </c>
      <c r="F216" s="2" t="n">
        <f aca="false">IFERROR(VLOOKUP(TRIM($D216), Hoja4_2!$A$2:$L$10000, 4, 0), "Revisar")</f>
        <v>41176</v>
      </c>
      <c r="G216" s="7" t="str">
        <f aca="false">IFERROR(VLOOKUP(TRIM($D216), Hoja4_2!$A$2:$L$10000, 5, 0), "Revisar")</f>
        <v>FEMENINO</v>
      </c>
      <c r="H216" s="7" t="str">
        <f aca="false">IFERROR(VLOOKUP(TRIM($D216), Hoja4_2!$A$2:$L$10000, 7, 0), "Revisar")</f>
        <v>JESUS ENRIQUE LOSSADA</v>
      </c>
      <c r="I216" s="7" t="str">
        <f aca="false">IFERROR(VLOOKUP(TRIM($D216), Hoja4_2!$A$2:$L$10000, 9, 0), "Revisar")</f>
        <v>ZU</v>
      </c>
      <c r="J216" s="7" t="str">
        <f aca="false">IFERROR(VLOOKUP(TRIM($D216), Hoja4_2!$A$2:$L$10000, 12, 0), "Revisar")</f>
        <v>15524051</v>
      </c>
      <c r="K216" s="8" t="str">
        <f aca="false">TEXT(TRIM(D216),"0")</f>
        <v>34565906</v>
      </c>
      <c r="L216" s="1" t="str">
        <f aca="false">IF(F216="Revisar","NULL",CONCATENATE("'",TEXT(F216,"yyyy-mm-dd"),"'"))</f>
        <v>'2012-09-24'</v>
      </c>
      <c r="M216" s="9" t="str">
        <f aca="false">IF(G216="Revisar","NULL",CONCATENATE("'",MID(G216,1,1),"'"))</f>
        <v>'F'</v>
      </c>
      <c r="N216" s="9" t="str">
        <f aca="false">IF(H216="Revisar","NULL",CONCATENATE("'",H216,"'"))</f>
        <v>'JESUS ENRIQUE LOSSADA'</v>
      </c>
      <c r="O216" s="9" t="str">
        <f aca="false">IF(I216="Revisar","NULL",CONCATENATE("'",I216,"'"))</f>
        <v>'ZU'</v>
      </c>
      <c r="P216" s="1" t="str">
        <f aca="false">"UPDATE estudiantes SET fecha_nacimiento="&amp;L216&amp;", sexo="&amp;M216&amp;", lugar_nacimiento="&amp;N216&amp;", entidad_federal="&amp;O216&amp;" WHERE cedula='"&amp;K216&amp;"';"</f>
        <v>UPDATE estudiantes SET fecha_nacimiento='2012-09-24', sexo='F', lugar_nacimiento='JESUS ENRIQUE LOSSADA', entidad_federal='ZU' WHERE cedula='34565906';</v>
      </c>
    </row>
    <row r="217" customFormat="false" ht="14.9" hidden="false" customHeight="false" outlineLevel="0" collapsed="false">
      <c r="A217" s="1" t="s">
        <v>15</v>
      </c>
      <c r="B217" s="1" t="s">
        <v>192</v>
      </c>
      <c r="C217" s="1" t="s">
        <v>53</v>
      </c>
      <c r="D217" s="1" t="s">
        <v>240</v>
      </c>
      <c r="E217" s="2" t="n">
        <v>45923</v>
      </c>
      <c r="F217" s="2" t="n">
        <f aca="false">IFERROR(VLOOKUP(TRIM($D217), Hoja4_2!$A$2:$L$10000, 4, 0), "Revisar")</f>
        <v>41266</v>
      </c>
      <c r="G217" s="7" t="str">
        <f aca="false">IFERROR(VLOOKUP(TRIM($D217), Hoja4_2!$A$2:$L$10000, 5, 0), "Revisar")</f>
        <v>MASCULINO</v>
      </c>
      <c r="H217" s="7" t="str">
        <f aca="false">IFERROR(VLOOKUP(TRIM($D217), Hoja4_2!$A$2:$L$10000, 7, 0), "Revisar")</f>
        <v>MARACAIBO</v>
      </c>
      <c r="I217" s="7" t="str">
        <f aca="false">IFERROR(VLOOKUP(TRIM($D217), Hoja4_2!$A$2:$L$10000, 9, 0), "Revisar")</f>
        <v>ZU</v>
      </c>
      <c r="J217" s="7" t="str">
        <f aca="false">IFERROR(VLOOKUP(TRIM($D217), Hoja4_2!$A$2:$L$10000, 12, 0), "Revisar")</f>
        <v>23466488</v>
      </c>
      <c r="K217" s="8" t="str">
        <f aca="false">TEXT(TRIM(D217),"0")</f>
        <v>34895417</v>
      </c>
      <c r="L217" s="1" t="str">
        <f aca="false">IF(F217="Revisar","NULL",CONCATENATE("'",TEXT(F217,"yyyy-mm-dd"),"'"))</f>
        <v>'2012-12-23'</v>
      </c>
      <c r="M217" s="9" t="str">
        <f aca="false">IF(G217="Revisar","NULL",CONCATENATE("'",MID(G217,1,1),"'"))</f>
        <v>'M'</v>
      </c>
      <c r="N217" s="9" t="str">
        <f aca="false">IF(H217="Revisar","NULL",CONCATENATE("'",H217,"'"))</f>
        <v>'MARACAIBO'</v>
      </c>
      <c r="O217" s="9" t="str">
        <f aca="false">IF(I217="Revisar","NULL",CONCATENATE("'",I217,"'"))</f>
        <v>'ZU'</v>
      </c>
      <c r="P217" s="1" t="str">
        <f aca="false">"UPDATE estudiantes SET fecha_nacimiento="&amp;L217&amp;", sexo="&amp;M217&amp;", lugar_nacimiento="&amp;N217&amp;", entidad_federal="&amp;O217&amp;" WHERE cedula='"&amp;K217&amp;"';"</f>
        <v>UPDATE estudiantes SET fecha_nacimiento='2012-12-23', sexo='M', lugar_nacimiento='MARACAIBO', entidad_federal='ZU' WHERE cedula='34895417';</v>
      </c>
    </row>
    <row r="218" customFormat="false" ht="14.9" hidden="false" customHeight="false" outlineLevel="0" collapsed="false">
      <c r="A218" s="1" t="s">
        <v>15</v>
      </c>
      <c r="B218" s="1" t="s">
        <v>192</v>
      </c>
      <c r="C218" s="1" t="s">
        <v>53</v>
      </c>
      <c r="D218" s="1" t="s">
        <v>241</v>
      </c>
      <c r="E218" s="2" t="n">
        <v>45923</v>
      </c>
      <c r="F218" s="2" t="n">
        <f aca="false">IFERROR(VLOOKUP(TRIM($D218), Hoja4_2!$A$2:$L$10000, 4, 0), "Revisar")</f>
        <v>41222</v>
      </c>
      <c r="G218" s="7" t="str">
        <f aca="false">IFERROR(VLOOKUP(TRIM($D218), Hoja4_2!$A$2:$L$10000, 5, 0), "Revisar")</f>
        <v>MASCULINO</v>
      </c>
      <c r="H218" s="7" t="str">
        <f aca="false">IFERROR(VLOOKUP(TRIM($D218), Hoja4_2!$A$2:$L$10000, 7, 0), "Revisar")</f>
        <v>MARACAIBO</v>
      </c>
      <c r="I218" s="7" t="str">
        <f aca="false">IFERROR(VLOOKUP(TRIM($D218), Hoja4_2!$A$2:$L$10000, 9, 0), "Revisar")</f>
        <v>ZU</v>
      </c>
      <c r="J218" s="7" t="str">
        <f aca="false">IFERROR(VLOOKUP(TRIM($D218), Hoja4_2!$A$2:$L$10000, 12, 0), "Revisar")</f>
        <v>15525432</v>
      </c>
      <c r="K218" s="8" t="str">
        <f aca="false">TEXT(TRIM(D218),"0")</f>
        <v>35065505</v>
      </c>
      <c r="L218" s="1" t="str">
        <f aca="false">IF(F218="Revisar","NULL",CONCATENATE("'",TEXT(F218,"yyyy-mm-dd"),"'"))</f>
        <v>'2012-11-09'</v>
      </c>
      <c r="M218" s="9" t="str">
        <f aca="false">IF(G218="Revisar","NULL",CONCATENATE("'",MID(G218,1,1),"'"))</f>
        <v>'M'</v>
      </c>
      <c r="N218" s="9" t="str">
        <f aca="false">IF(H218="Revisar","NULL",CONCATENATE("'",H218,"'"))</f>
        <v>'MARACAIBO'</v>
      </c>
      <c r="O218" s="9" t="str">
        <f aca="false">IF(I218="Revisar","NULL",CONCATENATE("'",I218,"'"))</f>
        <v>'ZU'</v>
      </c>
      <c r="P218" s="1" t="str">
        <f aca="false">"UPDATE estudiantes SET fecha_nacimiento="&amp;L218&amp;", sexo="&amp;M218&amp;", lugar_nacimiento="&amp;N218&amp;", entidad_federal="&amp;O218&amp;" WHERE cedula='"&amp;K218&amp;"';"</f>
        <v>UPDATE estudiantes SET fecha_nacimiento='2012-11-09', sexo='M', lugar_nacimiento='MARACAIBO', entidad_federal='ZU' WHERE cedula='35065505';</v>
      </c>
    </row>
    <row r="219" customFormat="false" ht="14.9" hidden="false" customHeight="false" outlineLevel="0" collapsed="false">
      <c r="A219" s="1" t="s">
        <v>15</v>
      </c>
      <c r="B219" s="1" t="s">
        <v>192</v>
      </c>
      <c r="C219" s="1" t="s">
        <v>53</v>
      </c>
      <c r="D219" s="1" t="s">
        <v>242</v>
      </c>
      <c r="E219" s="2" t="n">
        <v>45923</v>
      </c>
      <c r="F219" s="2" t="n">
        <f aca="false">IFERROR(VLOOKUP(TRIM($D219), Hoja4_2!$A$2:$L$10000, 4, 0), "Revisar")</f>
        <v>41417</v>
      </c>
      <c r="G219" s="7" t="str">
        <f aca="false">IFERROR(VLOOKUP(TRIM($D219), Hoja4_2!$A$2:$L$10000, 5, 0), "Revisar")</f>
        <v>MASCULINO</v>
      </c>
      <c r="H219" s="7" t="str">
        <f aca="false">IFERROR(VLOOKUP(TRIM($D219), Hoja4_2!$A$2:$L$10000, 7, 0), "Revisar")</f>
        <v>MARACAIBO</v>
      </c>
      <c r="I219" s="7" t="str">
        <f aca="false">IFERROR(VLOOKUP(TRIM($D219), Hoja4_2!$A$2:$L$10000, 9, 0), "Revisar")</f>
        <v>ZU</v>
      </c>
      <c r="J219" s="7" t="str">
        <f aca="false">IFERROR(VLOOKUP(TRIM($D219), Hoja4_2!$A$2:$L$10000, 12, 0), "Revisar")</f>
        <v>21039462</v>
      </c>
      <c r="K219" s="8" t="str">
        <f aca="false">TEXT(TRIM(D219),"0")</f>
        <v>35171992</v>
      </c>
      <c r="L219" s="1" t="str">
        <f aca="false">IF(F219="Revisar","NULL",CONCATENATE("'",TEXT(F219,"yyyy-mm-dd"),"'"))</f>
        <v>'2013-05-23'</v>
      </c>
      <c r="M219" s="9" t="str">
        <f aca="false">IF(G219="Revisar","NULL",CONCATENATE("'",MID(G219,1,1),"'"))</f>
        <v>'M'</v>
      </c>
      <c r="N219" s="9" t="str">
        <f aca="false">IF(H219="Revisar","NULL",CONCATENATE("'",H219,"'"))</f>
        <v>'MARACAIBO'</v>
      </c>
      <c r="O219" s="9" t="str">
        <f aca="false">IF(I219="Revisar","NULL",CONCATENATE("'",I219,"'"))</f>
        <v>'ZU'</v>
      </c>
      <c r="P219" s="1" t="str">
        <f aca="false">"UPDATE estudiantes SET fecha_nacimiento="&amp;L219&amp;", sexo="&amp;M219&amp;", lugar_nacimiento="&amp;N219&amp;", entidad_federal="&amp;O219&amp;" WHERE cedula='"&amp;K219&amp;"';"</f>
        <v>UPDATE estudiantes SET fecha_nacimiento='2013-05-23', sexo='M', lugar_nacimiento='MARACAIBO', entidad_federal='ZU' WHERE cedula='35171992';</v>
      </c>
    </row>
    <row r="220" customFormat="false" ht="14.9" hidden="false" customHeight="false" outlineLevel="0" collapsed="false">
      <c r="A220" s="1" t="s">
        <v>15</v>
      </c>
      <c r="B220" s="1" t="s">
        <v>192</v>
      </c>
      <c r="C220" s="1" t="s">
        <v>53</v>
      </c>
      <c r="D220" s="1" t="s">
        <v>243</v>
      </c>
      <c r="E220" s="2" t="n">
        <v>45923</v>
      </c>
      <c r="F220" s="2" t="n">
        <f aca="false">IFERROR(VLOOKUP(TRIM($D220), Hoja4_2!$A$2:$L$10000, 4, 0), "Revisar")</f>
        <v>41172</v>
      </c>
      <c r="G220" s="7" t="str">
        <f aca="false">IFERROR(VLOOKUP(TRIM($D220), Hoja4_2!$A$2:$L$10000, 5, 0), "Revisar")</f>
        <v>MASCULINO</v>
      </c>
      <c r="H220" s="7" t="str">
        <f aca="false">IFERROR(VLOOKUP(TRIM($D220), Hoja4_2!$A$2:$L$10000, 7, 0), "Revisar")</f>
        <v>MATURIN</v>
      </c>
      <c r="I220" s="7" t="str">
        <f aca="false">IFERROR(VLOOKUP(TRIM($D220), Hoja4_2!$A$2:$L$10000, 9, 0), "Revisar")</f>
        <v>MO</v>
      </c>
      <c r="J220" s="7" t="str">
        <f aca="false">IFERROR(VLOOKUP(TRIM($D220), Hoja4_2!$A$2:$L$10000, 12, 0), "Revisar")</f>
        <v>18081273</v>
      </c>
      <c r="K220" s="8" t="str">
        <f aca="false">TEXT(TRIM(D220),"0")</f>
        <v>36326971</v>
      </c>
      <c r="L220" s="1" t="str">
        <f aca="false">IF(F220="Revisar","NULL",CONCATENATE("'",TEXT(F220,"yyyy-mm-dd"),"'"))</f>
        <v>'2012-09-20'</v>
      </c>
      <c r="M220" s="9" t="str">
        <f aca="false">IF(G220="Revisar","NULL",CONCATENATE("'",MID(G220,1,1),"'"))</f>
        <v>'M'</v>
      </c>
      <c r="N220" s="9" t="str">
        <f aca="false">IF(H220="Revisar","NULL",CONCATENATE("'",H220,"'"))</f>
        <v>'MATURIN'</v>
      </c>
      <c r="O220" s="9" t="str">
        <f aca="false">IF(I220="Revisar","NULL",CONCATENATE("'",I220,"'"))</f>
        <v>'MO'</v>
      </c>
      <c r="P220" s="1" t="str">
        <f aca="false">"UPDATE estudiantes SET fecha_nacimiento="&amp;L220&amp;", sexo="&amp;M220&amp;", lugar_nacimiento="&amp;N220&amp;", entidad_federal="&amp;O220&amp;" WHERE cedula='"&amp;K220&amp;"';"</f>
        <v>UPDATE estudiantes SET fecha_nacimiento='2012-09-20', sexo='M', lugar_nacimiento='MATURIN', entidad_federal='MO' WHERE cedula='36326971';</v>
      </c>
    </row>
    <row r="221" customFormat="false" ht="14.9" hidden="false" customHeight="false" outlineLevel="0" collapsed="false">
      <c r="A221" s="1" t="s">
        <v>15</v>
      </c>
      <c r="B221" s="1" t="s">
        <v>192</v>
      </c>
      <c r="C221" s="1" t="s">
        <v>53</v>
      </c>
      <c r="D221" s="1" t="s">
        <v>244</v>
      </c>
      <c r="E221" s="2" t="n">
        <v>45923</v>
      </c>
      <c r="F221" s="2" t="n">
        <f aca="false">IFERROR(VLOOKUP(TRIM($D221), Hoja4_2!$A$2:$L$10000, 4, 0), "Revisar")</f>
        <v>41026</v>
      </c>
      <c r="G221" s="7" t="str">
        <f aca="false">IFERROR(VLOOKUP(TRIM($D221), Hoja4_2!$A$2:$L$10000, 5, 0), "Revisar")</f>
        <v>FEMENINO</v>
      </c>
      <c r="H221" s="7" t="str">
        <f aca="false">IFERROR(VLOOKUP(TRIM($D221), Hoja4_2!$A$2:$L$10000, 7, 0), "Revisar")</f>
        <v>MARACAIBO</v>
      </c>
      <c r="I221" s="7" t="str">
        <f aca="false">IFERROR(VLOOKUP(TRIM($D221), Hoja4_2!$A$2:$L$10000, 9, 0), "Revisar")</f>
        <v>ZU</v>
      </c>
      <c r="J221" s="7" t="str">
        <f aca="false">IFERROR(VLOOKUP(TRIM($D221), Hoja4_2!$A$2:$L$10000, 12, 0), "Revisar")</f>
        <v>12098828</v>
      </c>
      <c r="K221" s="8" t="str">
        <f aca="false">TEXT(TRIM(D221),"0")</f>
        <v>36430468</v>
      </c>
      <c r="L221" s="1" t="str">
        <f aca="false">IF(F221="Revisar","NULL",CONCATENATE("'",TEXT(F221,"yyyy-mm-dd"),"'"))</f>
        <v>'2012-04-27'</v>
      </c>
      <c r="M221" s="9" t="str">
        <f aca="false">IF(G221="Revisar","NULL",CONCATENATE("'",MID(G221,1,1),"'"))</f>
        <v>'F'</v>
      </c>
      <c r="N221" s="9" t="str">
        <f aca="false">IF(H221="Revisar","NULL",CONCATENATE("'",H221,"'"))</f>
        <v>'MARACAIBO'</v>
      </c>
      <c r="O221" s="9" t="str">
        <f aca="false">IF(I221="Revisar","NULL",CONCATENATE("'",I221,"'"))</f>
        <v>'ZU'</v>
      </c>
      <c r="P221" s="1" t="str">
        <f aca="false">"UPDATE estudiantes SET fecha_nacimiento="&amp;L221&amp;", sexo="&amp;M221&amp;", lugar_nacimiento="&amp;N221&amp;", entidad_federal="&amp;O221&amp;" WHERE cedula='"&amp;K221&amp;"';"</f>
        <v>UPDATE estudiantes SET fecha_nacimiento='2012-04-27', sexo='F', lugar_nacimiento='MARACAIBO', entidad_federal='ZU' WHERE cedula='36430468';</v>
      </c>
    </row>
    <row r="222" customFormat="false" ht="14.9" hidden="false" customHeight="false" outlineLevel="0" collapsed="false">
      <c r="A222" s="1" t="s">
        <v>15</v>
      </c>
      <c r="B222" s="1" t="s">
        <v>192</v>
      </c>
      <c r="C222" s="1" t="s">
        <v>53</v>
      </c>
      <c r="D222" s="1" t="s">
        <v>245</v>
      </c>
      <c r="E222" s="2" t="n">
        <v>45923</v>
      </c>
      <c r="F222" s="2" t="n">
        <f aca="false">IFERROR(VLOOKUP(TRIM($D222), Hoja4_2!$A$2:$L$10000, 4, 0), "Revisar")</f>
        <v>41026</v>
      </c>
      <c r="G222" s="7" t="str">
        <f aca="false">IFERROR(VLOOKUP(TRIM($D222), Hoja4_2!$A$2:$L$10000, 5, 0), "Revisar")</f>
        <v>FEMENINO</v>
      </c>
      <c r="H222" s="7" t="str">
        <f aca="false">IFERROR(VLOOKUP(TRIM($D222), Hoja4_2!$A$2:$L$10000, 7, 0), "Revisar")</f>
        <v>MARACAIBO</v>
      </c>
      <c r="I222" s="7" t="str">
        <f aca="false">IFERROR(VLOOKUP(TRIM($D222), Hoja4_2!$A$2:$L$10000, 9, 0), "Revisar")</f>
        <v>ZU</v>
      </c>
      <c r="J222" s="7" t="str">
        <f aca="false">IFERROR(VLOOKUP(TRIM($D222), Hoja4_2!$A$2:$L$10000, 12, 0), "Revisar")</f>
        <v>12098828</v>
      </c>
      <c r="K222" s="8" t="str">
        <f aca="false">TEXT(TRIM(D222),"0")</f>
        <v>36430469</v>
      </c>
      <c r="L222" s="1" t="str">
        <f aca="false">IF(F222="Revisar","NULL",CONCATENATE("'",TEXT(F222,"yyyy-mm-dd"),"'"))</f>
        <v>'2012-04-27'</v>
      </c>
      <c r="M222" s="9" t="str">
        <f aca="false">IF(G222="Revisar","NULL",CONCATENATE("'",MID(G222,1,1),"'"))</f>
        <v>'F'</v>
      </c>
      <c r="N222" s="9" t="str">
        <f aca="false">IF(H222="Revisar","NULL",CONCATENATE("'",H222,"'"))</f>
        <v>'MARACAIBO'</v>
      </c>
      <c r="O222" s="9" t="str">
        <f aca="false">IF(I222="Revisar","NULL",CONCATENATE("'",I222,"'"))</f>
        <v>'ZU'</v>
      </c>
      <c r="P222" s="1" t="str">
        <f aca="false">"UPDATE estudiantes SET fecha_nacimiento="&amp;L222&amp;", sexo="&amp;M222&amp;", lugar_nacimiento="&amp;N222&amp;", entidad_federal="&amp;O222&amp;" WHERE cedula='"&amp;K222&amp;"';"</f>
        <v>UPDATE estudiantes SET fecha_nacimiento='2012-04-27', sexo='F', lugar_nacimiento='MARACAIBO', entidad_federal='ZU' WHERE cedula='36430469';</v>
      </c>
    </row>
    <row r="223" customFormat="false" ht="14.9" hidden="false" customHeight="false" outlineLevel="0" collapsed="false">
      <c r="A223" s="1" t="s">
        <v>15</v>
      </c>
      <c r="B223" s="1" t="s">
        <v>192</v>
      </c>
      <c r="C223" s="1" t="s">
        <v>53</v>
      </c>
      <c r="D223" s="1" t="s">
        <v>246</v>
      </c>
      <c r="E223" s="2" t="n">
        <v>45923</v>
      </c>
      <c r="F223" s="2" t="n">
        <f aca="false">IFERROR(VLOOKUP(TRIM($D223), Hoja4_2!$A$2:$L$10000, 4, 0), "Revisar")</f>
        <v>41956</v>
      </c>
      <c r="G223" s="7" t="str">
        <f aca="false">IFERROR(VLOOKUP(TRIM($D223), Hoja4_2!$A$2:$L$10000, 5, 0), "Revisar")</f>
        <v>FEMENINO</v>
      </c>
      <c r="H223" s="7" t="str">
        <f aca="false">IFERROR(VLOOKUP(TRIM($D223), Hoja4_2!$A$2:$L$10000, 7, 0), "Revisar")</f>
        <v>MARACAIBO</v>
      </c>
      <c r="I223" s="7" t="str">
        <f aca="false">IFERROR(VLOOKUP(TRIM($D223), Hoja4_2!$A$2:$L$10000, 9, 0), "Revisar")</f>
        <v>ZU</v>
      </c>
      <c r="J223" s="7" t="str">
        <f aca="false">IFERROR(VLOOKUP(TRIM($D223), Hoja4_2!$A$2:$L$10000, 12, 0), "Revisar")</f>
        <v>20495466</v>
      </c>
      <c r="K223" s="8" t="str">
        <f aca="false">TEXT(TRIM(D223),"0")</f>
        <v>36431982</v>
      </c>
      <c r="L223" s="1" t="str">
        <f aca="false">IF(F223="Revisar","NULL",CONCATENATE("'",TEXT(F223,"yyyy-mm-dd"),"'"))</f>
        <v>'2014-11-13'</v>
      </c>
      <c r="M223" s="9" t="str">
        <f aca="false">IF(G223="Revisar","NULL",CONCATENATE("'",MID(G223,1,1),"'"))</f>
        <v>'F'</v>
      </c>
      <c r="N223" s="9" t="str">
        <f aca="false">IF(H223="Revisar","NULL",CONCATENATE("'",H223,"'"))</f>
        <v>'MARACAIBO'</v>
      </c>
      <c r="O223" s="9" t="str">
        <f aca="false">IF(I223="Revisar","NULL",CONCATENATE("'",I223,"'"))</f>
        <v>'ZU'</v>
      </c>
      <c r="P223" s="1" t="str">
        <f aca="false">"UPDATE estudiantes SET fecha_nacimiento="&amp;L223&amp;", sexo="&amp;M223&amp;", lugar_nacimiento="&amp;N223&amp;", entidad_federal="&amp;O223&amp;" WHERE cedula='"&amp;K223&amp;"';"</f>
        <v>UPDATE estudiantes SET fecha_nacimiento='2014-11-13', sexo='F', lugar_nacimiento='MARACAIBO', entidad_federal='ZU' WHERE cedula='36431982';</v>
      </c>
    </row>
    <row r="224" customFormat="false" ht="14.9" hidden="false" customHeight="false" outlineLevel="0" collapsed="false">
      <c r="A224" s="1" t="s">
        <v>15</v>
      </c>
      <c r="B224" s="1" t="s">
        <v>192</v>
      </c>
      <c r="C224" s="1" t="s">
        <v>53</v>
      </c>
      <c r="D224" s="1" t="s">
        <v>247</v>
      </c>
      <c r="E224" s="2" t="n">
        <v>45923</v>
      </c>
      <c r="F224" s="2" t="n">
        <f aca="false">IFERROR(VLOOKUP(TRIM($D224), Hoja4_2!$A$2:$L$10000, 4, 0), "Revisar")</f>
        <v>40946</v>
      </c>
      <c r="G224" s="7" t="str">
        <f aca="false">IFERROR(VLOOKUP(TRIM($D224), Hoja4_2!$A$2:$L$10000, 5, 0), "Revisar")</f>
        <v>FEMENINO</v>
      </c>
      <c r="H224" s="7" t="str">
        <f aca="false">IFERROR(VLOOKUP(TRIM($D224), Hoja4_2!$A$2:$L$10000, 7, 0), "Revisar")</f>
        <v>MARACAIBO</v>
      </c>
      <c r="I224" s="7" t="str">
        <f aca="false">IFERROR(VLOOKUP(TRIM($D224), Hoja4_2!$A$2:$L$10000, 9, 0), "Revisar")</f>
        <v>ZU</v>
      </c>
      <c r="J224" s="7" t="str">
        <f aca="false">IFERROR(VLOOKUP(TRIM($D224), Hoja4_2!$A$2:$L$10000, 12, 0), "Revisar")</f>
        <v>14117787</v>
      </c>
      <c r="K224" s="8" t="str">
        <f aca="false">TEXT(TRIM(D224),"0")</f>
        <v>36454569</v>
      </c>
      <c r="L224" s="1" t="str">
        <f aca="false">IF(F224="Revisar","NULL",CONCATENATE("'",TEXT(F224,"yyyy-mm-dd"),"'"))</f>
        <v>'2012-02-07'</v>
      </c>
      <c r="M224" s="9" t="str">
        <f aca="false">IF(G224="Revisar","NULL",CONCATENATE("'",MID(G224,1,1),"'"))</f>
        <v>'F'</v>
      </c>
      <c r="N224" s="9" t="str">
        <f aca="false">IF(H224="Revisar","NULL",CONCATENATE("'",H224,"'"))</f>
        <v>'MARACAIBO'</v>
      </c>
      <c r="O224" s="9" t="str">
        <f aca="false">IF(I224="Revisar","NULL",CONCATENATE("'",I224,"'"))</f>
        <v>'ZU'</v>
      </c>
      <c r="P224" s="1" t="str">
        <f aca="false">"UPDATE estudiantes SET fecha_nacimiento="&amp;L224&amp;", sexo="&amp;M224&amp;", lugar_nacimiento="&amp;N224&amp;", entidad_federal="&amp;O224&amp;" WHERE cedula='"&amp;K224&amp;"';"</f>
        <v>UPDATE estudiantes SET fecha_nacimiento='2012-02-07', sexo='F', lugar_nacimiento='MARACAIBO', entidad_federal='ZU' WHERE cedula='36454569';</v>
      </c>
    </row>
    <row r="225" customFormat="false" ht="14.9" hidden="false" customHeight="false" outlineLevel="0" collapsed="false">
      <c r="A225" s="1" t="s">
        <v>15</v>
      </c>
      <c r="B225" s="1" t="s">
        <v>192</v>
      </c>
      <c r="C225" s="1" t="s">
        <v>53</v>
      </c>
      <c r="D225" s="1" t="s">
        <v>248</v>
      </c>
      <c r="E225" s="2" t="n">
        <v>45923</v>
      </c>
      <c r="F225" s="2" t="n">
        <f aca="false">IFERROR(VLOOKUP(TRIM($D225), Hoja4_2!$A$2:$L$10000, 4, 0), "Revisar")</f>
        <v>40403</v>
      </c>
      <c r="G225" s="7" t="str">
        <f aca="false">IFERROR(VLOOKUP(TRIM($D225), Hoja4_2!$A$2:$L$10000, 5, 0), "Revisar")</f>
        <v>MASCULINO</v>
      </c>
      <c r="H225" s="7" t="str">
        <f aca="false">IFERROR(VLOOKUP(TRIM($D225), Hoja4_2!$A$2:$L$10000, 7, 0), "Revisar")</f>
        <v>MARACAIBO</v>
      </c>
      <c r="I225" s="7" t="str">
        <f aca="false">IFERROR(VLOOKUP(TRIM($D225), Hoja4_2!$A$2:$L$10000, 9, 0), "Revisar")</f>
        <v>ZU</v>
      </c>
      <c r="J225" s="7" t="str">
        <f aca="false">IFERROR(VLOOKUP(TRIM($D225), Hoja4_2!$A$2:$L$10000, 12, 0), "Revisar")</f>
        <v>23466448</v>
      </c>
      <c r="K225" s="8" t="str">
        <f aca="false">TEXT(TRIM(D225),"0")</f>
        <v>11023466448</v>
      </c>
      <c r="L225" s="1" t="str">
        <f aca="false">IF(F225="Revisar","NULL",CONCATENATE("'",TEXT(F225,"yyyy-mm-dd"),"'"))</f>
        <v>'2010-08-13'</v>
      </c>
      <c r="M225" s="9" t="str">
        <f aca="false">IF(G225="Revisar","NULL",CONCATENATE("'",MID(G225,1,1),"'"))</f>
        <v>'M'</v>
      </c>
      <c r="N225" s="9" t="str">
        <f aca="false">IF(H225="Revisar","NULL",CONCATENATE("'",H225,"'"))</f>
        <v>'MARACAIBO'</v>
      </c>
      <c r="O225" s="9" t="str">
        <f aca="false">IF(I225="Revisar","NULL",CONCATENATE("'",I225,"'"))</f>
        <v>'ZU'</v>
      </c>
      <c r="P225" s="1" t="str">
        <f aca="false">"UPDATE estudiantes SET fecha_nacimiento="&amp;L225&amp;", sexo="&amp;M225&amp;", lugar_nacimiento="&amp;N225&amp;", entidad_federal="&amp;O225&amp;" WHERE cedula='"&amp;K225&amp;"';"</f>
        <v>UPDATE estudiantes SET fecha_nacimiento='2010-08-13', sexo='M', lugar_nacimiento='MARACAIBO', entidad_federal='ZU' WHERE cedula='11023466448';</v>
      </c>
    </row>
    <row r="226" customFormat="false" ht="14.9" hidden="false" customHeight="false" outlineLevel="0" collapsed="false">
      <c r="A226" s="1" t="s">
        <v>15</v>
      </c>
      <c r="B226" s="1" t="s">
        <v>192</v>
      </c>
      <c r="C226" s="1" t="s">
        <v>53</v>
      </c>
      <c r="D226" s="1" t="s">
        <v>249</v>
      </c>
      <c r="E226" s="2" t="n">
        <v>45923</v>
      </c>
      <c r="F226" s="2" t="n">
        <f aca="false">IFERROR(VLOOKUP(TRIM($D226), Hoja4_2!$A$2:$L$10000, 4, 0), "Revisar")</f>
        <v>40709</v>
      </c>
      <c r="G226" s="7" t="str">
        <f aca="false">IFERROR(VLOOKUP(TRIM($D226), Hoja4_2!$A$2:$L$10000, 5, 0), "Revisar")</f>
        <v>FEMENINO</v>
      </c>
      <c r="H226" s="7" t="str">
        <f aca="false">IFERROR(VLOOKUP(TRIM($D226), Hoja4_2!$A$2:$L$10000, 7, 0), "Revisar")</f>
        <v>MARACAIBO</v>
      </c>
      <c r="I226" s="7" t="str">
        <f aca="false">IFERROR(VLOOKUP(TRIM($D226), Hoja4_2!$A$2:$L$10000, 9, 0), "Revisar")</f>
        <v>ZU</v>
      </c>
      <c r="J226" s="7" t="str">
        <f aca="false">IFERROR(VLOOKUP(TRIM($D226), Hoja4_2!$A$2:$L$10000, 12, 0), "Revisar")</f>
        <v>19016788</v>
      </c>
      <c r="K226" s="8" t="str">
        <f aca="false">TEXT(TRIM(D226),"0")</f>
        <v>11119016788</v>
      </c>
      <c r="L226" s="1" t="str">
        <f aca="false">IF(F226="Revisar","NULL",CONCATENATE("'",TEXT(F226,"yyyy-mm-dd"),"'"))</f>
        <v>'2011-06-15'</v>
      </c>
      <c r="M226" s="9" t="str">
        <f aca="false">IF(G226="Revisar","NULL",CONCATENATE("'",MID(G226,1,1),"'"))</f>
        <v>'F'</v>
      </c>
      <c r="N226" s="9" t="str">
        <f aca="false">IF(H226="Revisar","NULL",CONCATENATE("'",H226,"'"))</f>
        <v>'MARACAIBO'</v>
      </c>
      <c r="O226" s="9" t="str">
        <f aca="false">IF(I226="Revisar","NULL",CONCATENATE("'",I226,"'"))</f>
        <v>'ZU'</v>
      </c>
      <c r="P226" s="1" t="str">
        <f aca="false">"UPDATE estudiantes SET fecha_nacimiento="&amp;L226&amp;", sexo="&amp;M226&amp;", lugar_nacimiento="&amp;N226&amp;", entidad_federal="&amp;O226&amp;" WHERE cedula='"&amp;K226&amp;"';"</f>
        <v>UPDATE estudiantes SET fecha_nacimiento='2011-06-15', sexo='F', lugar_nacimiento='MARACAIBO', entidad_federal='ZU' WHERE cedula='11119016788';</v>
      </c>
    </row>
    <row r="227" customFormat="false" ht="14.9" hidden="false" customHeight="false" outlineLevel="0" collapsed="false">
      <c r="A227" s="1" t="s">
        <v>15</v>
      </c>
      <c r="B227" s="1" t="s">
        <v>192</v>
      </c>
      <c r="C227" s="1" t="s">
        <v>53</v>
      </c>
      <c r="D227" s="1" t="s">
        <v>250</v>
      </c>
      <c r="E227" s="2" t="n">
        <v>45924</v>
      </c>
      <c r="F227" s="2" t="n">
        <f aca="false">IFERROR(VLOOKUP(TRIM($D227), Hoja4_2!$A$2:$L$10000, 4, 0), "Revisar")</f>
        <v>40737</v>
      </c>
      <c r="G227" s="7" t="str">
        <f aca="false">IFERROR(VLOOKUP(TRIM($D227), Hoja4_2!$A$2:$L$10000, 5, 0), "Revisar")</f>
        <v>MASCULINO</v>
      </c>
      <c r="H227" s="7" t="str">
        <f aca="false">IFERROR(VLOOKUP(TRIM($D227), Hoja4_2!$A$2:$L$10000, 7, 0), "Revisar")</f>
        <v>MARACAIBO</v>
      </c>
      <c r="I227" s="7" t="str">
        <f aca="false">IFERROR(VLOOKUP(TRIM($D227), Hoja4_2!$A$2:$L$10000, 9, 0), "Revisar")</f>
        <v>ZU</v>
      </c>
      <c r="J227" s="7" t="str">
        <f aca="false">IFERROR(VLOOKUP(TRIM($D227), Hoja4_2!$A$2:$L$10000, 12, 0), "Revisar")</f>
        <v>23856424</v>
      </c>
      <c r="K227" s="8" t="str">
        <f aca="false">TEXT(TRIM(D227),"0")</f>
        <v>11123856424</v>
      </c>
      <c r="L227" s="1" t="str">
        <f aca="false">IF(F227="Revisar","NULL",CONCATENATE("'",TEXT(F227,"yyyy-mm-dd"),"'"))</f>
        <v>'2011-07-13'</v>
      </c>
      <c r="M227" s="9" t="str">
        <f aca="false">IF(G227="Revisar","NULL",CONCATENATE("'",MID(G227,1,1),"'"))</f>
        <v>'M'</v>
      </c>
      <c r="N227" s="9" t="str">
        <f aca="false">IF(H227="Revisar","NULL",CONCATENATE("'",H227,"'"))</f>
        <v>'MARACAIBO'</v>
      </c>
      <c r="O227" s="9" t="str">
        <f aca="false">IF(I227="Revisar","NULL",CONCATENATE("'",I227,"'"))</f>
        <v>'ZU'</v>
      </c>
      <c r="P227" s="1" t="str">
        <f aca="false">"UPDATE estudiantes SET fecha_nacimiento="&amp;L227&amp;", sexo="&amp;M227&amp;", lugar_nacimiento="&amp;N227&amp;", entidad_federal="&amp;O227&amp;" WHERE cedula='"&amp;K227&amp;"';"</f>
        <v>UPDATE estudiantes SET fecha_nacimiento='2011-07-13', sexo='M', lugar_nacimiento='MARACAIBO', entidad_federal='ZU' WHERE cedula='11123856424';</v>
      </c>
    </row>
    <row r="228" customFormat="false" ht="14.9" hidden="false" customHeight="false" outlineLevel="0" collapsed="false">
      <c r="A228" s="1" t="s">
        <v>15</v>
      </c>
      <c r="B228" s="1" t="s">
        <v>192</v>
      </c>
      <c r="C228" s="1" t="s">
        <v>53</v>
      </c>
      <c r="D228" s="1" t="s">
        <v>251</v>
      </c>
      <c r="E228" s="2" t="n">
        <v>45923</v>
      </c>
      <c r="F228" s="2" t="n">
        <f aca="false">IFERROR(VLOOKUP(TRIM($D228), Hoja4_2!$A$2:$L$10000, 4, 0), "Revisar")</f>
        <v>40936</v>
      </c>
      <c r="G228" s="7" t="str">
        <f aca="false">IFERROR(VLOOKUP(TRIM($D228), Hoja4_2!$A$2:$L$10000, 5, 0), "Revisar")</f>
        <v>FEMENINO</v>
      </c>
      <c r="H228" s="7" t="str">
        <f aca="false">IFERROR(VLOOKUP(TRIM($D228), Hoja4_2!$A$2:$L$10000, 7, 0), "Revisar")</f>
        <v>MARACAIBO</v>
      </c>
      <c r="I228" s="7" t="str">
        <f aca="false">IFERROR(VLOOKUP(TRIM($D228), Hoja4_2!$A$2:$L$10000, 9, 0), "Revisar")</f>
        <v>ZU</v>
      </c>
      <c r="J228" s="7" t="str">
        <f aca="false">IFERROR(VLOOKUP(TRIM($D228), Hoja4_2!$A$2:$L$10000, 12, 0), "Revisar")</f>
        <v>06805246</v>
      </c>
      <c r="K228" s="8" t="str">
        <f aca="false">TEXT(TRIM(D228),"0")</f>
        <v>11206805246</v>
      </c>
      <c r="L228" s="1" t="str">
        <f aca="false">IF(F228="Revisar","NULL",CONCATENATE("'",TEXT(F228,"yyyy-mm-dd"),"'"))</f>
        <v>'2012-01-28'</v>
      </c>
      <c r="M228" s="9" t="str">
        <f aca="false">IF(G228="Revisar","NULL",CONCATENATE("'",MID(G228,1,1),"'"))</f>
        <v>'F'</v>
      </c>
      <c r="N228" s="9" t="str">
        <f aca="false">IF(H228="Revisar","NULL",CONCATENATE("'",H228,"'"))</f>
        <v>'MARACAIBO'</v>
      </c>
      <c r="O228" s="9" t="str">
        <f aca="false">IF(I228="Revisar","NULL",CONCATENATE("'",I228,"'"))</f>
        <v>'ZU'</v>
      </c>
      <c r="P228" s="1" t="str">
        <f aca="false">"UPDATE estudiantes SET fecha_nacimiento="&amp;L228&amp;", sexo="&amp;M228&amp;", lugar_nacimiento="&amp;N228&amp;", entidad_federal="&amp;O228&amp;" WHERE cedula='"&amp;K228&amp;"';"</f>
        <v>UPDATE estudiantes SET fecha_nacimiento='2012-01-28', sexo='F', lugar_nacimiento='MARACAIBO', entidad_federal='ZU' WHERE cedula='11206805246';</v>
      </c>
    </row>
    <row r="229" customFormat="false" ht="14.9" hidden="false" customHeight="false" outlineLevel="0" collapsed="false">
      <c r="A229" s="1" t="s">
        <v>15</v>
      </c>
      <c r="B229" s="1" t="s">
        <v>192</v>
      </c>
      <c r="C229" s="1" t="s">
        <v>53</v>
      </c>
      <c r="D229" s="1" t="s">
        <v>252</v>
      </c>
      <c r="E229" s="2" t="n">
        <v>45923</v>
      </c>
      <c r="F229" s="2" t="n">
        <f aca="false">IFERROR(VLOOKUP(TRIM($D229), Hoja4_2!$A$2:$L$10000, 4, 0), "Revisar")</f>
        <v>40950</v>
      </c>
      <c r="G229" s="7" t="str">
        <f aca="false">IFERROR(VLOOKUP(TRIM($D229), Hoja4_2!$A$2:$L$10000, 5, 0), "Revisar")</f>
        <v>FEMENINO</v>
      </c>
      <c r="H229" s="7" t="str">
        <f aca="false">IFERROR(VLOOKUP(TRIM($D229), Hoja4_2!$A$2:$L$10000, 7, 0), "Revisar")</f>
        <v>JESUS ENRIQUE LOSSADA</v>
      </c>
      <c r="I229" s="7" t="str">
        <f aca="false">IFERROR(VLOOKUP(TRIM($D229), Hoja4_2!$A$2:$L$10000, 9, 0), "Revisar")</f>
        <v>ZU</v>
      </c>
      <c r="J229" s="7" t="str">
        <f aca="false">IFERROR(VLOOKUP(TRIM($D229), Hoja4_2!$A$2:$L$10000, 12, 0), "Revisar")</f>
        <v>07813088</v>
      </c>
      <c r="K229" s="8" t="str">
        <f aca="false">TEXT(TRIM(D229),"0")</f>
        <v>11207813088</v>
      </c>
      <c r="L229" s="1" t="str">
        <f aca="false">IF(F229="Revisar","NULL",CONCATENATE("'",TEXT(F229,"yyyy-mm-dd"),"'"))</f>
        <v>'2012-02-11'</v>
      </c>
      <c r="M229" s="9" t="str">
        <f aca="false">IF(G229="Revisar","NULL",CONCATENATE("'",MID(G229,1,1),"'"))</f>
        <v>'F'</v>
      </c>
      <c r="N229" s="9" t="str">
        <f aca="false">IF(H229="Revisar","NULL",CONCATENATE("'",H229,"'"))</f>
        <v>'JESUS ENRIQUE LOSSADA'</v>
      </c>
      <c r="O229" s="9" t="str">
        <f aca="false">IF(I229="Revisar","NULL",CONCATENATE("'",I229,"'"))</f>
        <v>'ZU'</v>
      </c>
      <c r="P229" s="1" t="str">
        <f aca="false">"UPDATE estudiantes SET fecha_nacimiento="&amp;L229&amp;", sexo="&amp;M229&amp;", lugar_nacimiento="&amp;N229&amp;", entidad_federal="&amp;O229&amp;" WHERE cedula='"&amp;K229&amp;"';"</f>
        <v>UPDATE estudiantes SET fecha_nacimiento='2012-02-11', sexo='F', lugar_nacimiento='JESUS ENRIQUE LOSSADA', entidad_federal='ZU' WHERE cedula='11207813088';</v>
      </c>
    </row>
    <row r="230" customFormat="false" ht="14.9" hidden="false" customHeight="false" outlineLevel="0" collapsed="false">
      <c r="A230" s="1" t="s">
        <v>15</v>
      </c>
      <c r="B230" s="1" t="s">
        <v>192</v>
      </c>
      <c r="C230" s="1" t="s">
        <v>53</v>
      </c>
      <c r="D230" s="1" t="s">
        <v>253</v>
      </c>
      <c r="E230" s="2" t="n">
        <v>45923</v>
      </c>
      <c r="F230" s="2" t="n">
        <f aca="false">IFERROR(VLOOKUP(TRIM($D230), Hoja4_2!$A$2:$L$10000, 4, 0), "Revisar")</f>
        <v>41072</v>
      </c>
      <c r="G230" s="7" t="str">
        <f aca="false">IFERROR(VLOOKUP(TRIM($D230), Hoja4_2!$A$2:$L$10000, 5, 0), "Revisar")</f>
        <v>MASCULINO</v>
      </c>
      <c r="H230" s="7" t="str">
        <f aca="false">IFERROR(VLOOKUP(TRIM($D230), Hoja4_2!$A$2:$L$10000, 7, 0), "Revisar")</f>
        <v>JESUS ENRIQUE LOSSADA</v>
      </c>
      <c r="I230" s="7" t="str">
        <f aca="false">IFERROR(VLOOKUP(TRIM($D230), Hoja4_2!$A$2:$L$10000, 9, 0), "Revisar")</f>
        <v>ZU</v>
      </c>
      <c r="J230" s="7" t="str">
        <f aca="false">IFERROR(VLOOKUP(TRIM($D230), Hoja4_2!$A$2:$L$10000, 12, 0), "Revisar")</f>
        <v>12047056</v>
      </c>
      <c r="K230" s="8" t="str">
        <f aca="false">TEXT(TRIM(D230),"0")</f>
        <v>11212047056</v>
      </c>
      <c r="L230" s="1" t="str">
        <f aca="false">IF(F230="Revisar","NULL",CONCATENATE("'",TEXT(F230,"yyyy-mm-dd"),"'"))</f>
        <v>'2012-06-12'</v>
      </c>
      <c r="M230" s="9" t="str">
        <f aca="false">IF(G230="Revisar","NULL",CONCATENATE("'",MID(G230,1,1),"'"))</f>
        <v>'M'</v>
      </c>
      <c r="N230" s="9" t="str">
        <f aca="false">IF(H230="Revisar","NULL",CONCATENATE("'",H230,"'"))</f>
        <v>'JESUS ENRIQUE LOSSADA'</v>
      </c>
      <c r="O230" s="9" t="str">
        <f aca="false">IF(I230="Revisar","NULL",CONCATENATE("'",I230,"'"))</f>
        <v>'ZU'</v>
      </c>
      <c r="P230" s="1" t="str">
        <f aca="false">"UPDATE estudiantes SET fecha_nacimiento="&amp;L230&amp;", sexo="&amp;M230&amp;", lugar_nacimiento="&amp;N230&amp;", entidad_federal="&amp;O230&amp;" WHERE cedula='"&amp;K230&amp;"';"</f>
        <v>UPDATE estudiantes SET fecha_nacimiento='2012-06-12', sexo='M', lugar_nacimiento='JESUS ENRIQUE LOSSADA', entidad_federal='ZU' WHERE cedula='11212047056';</v>
      </c>
    </row>
    <row r="231" customFormat="false" ht="14.9" hidden="false" customHeight="false" outlineLevel="0" collapsed="false">
      <c r="A231" s="1" t="s">
        <v>15</v>
      </c>
      <c r="B231" s="1" t="s">
        <v>192</v>
      </c>
      <c r="C231" s="1" t="s">
        <v>53</v>
      </c>
      <c r="D231" s="1" t="s">
        <v>254</v>
      </c>
      <c r="E231" s="2" t="n">
        <v>45923</v>
      </c>
      <c r="F231" s="2" t="n">
        <f aca="false">IFERROR(VLOOKUP(TRIM($D231), Hoja4_2!$A$2:$L$10000, 4, 0), "Revisar")</f>
        <v>41253</v>
      </c>
      <c r="G231" s="7" t="str">
        <f aca="false">IFERROR(VLOOKUP(TRIM($D231), Hoja4_2!$A$2:$L$10000, 5, 0), "Revisar")</f>
        <v>FEMENINO</v>
      </c>
      <c r="H231" s="7" t="str">
        <f aca="false">IFERROR(VLOOKUP(TRIM($D231), Hoja4_2!$A$2:$L$10000, 7, 0), "Revisar")</f>
        <v>MARACAIBO</v>
      </c>
      <c r="I231" s="7" t="str">
        <f aca="false">IFERROR(VLOOKUP(TRIM($D231), Hoja4_2!$A$2:$L$10000, 9, 0), "Revisar")</f>
        <v>ZU</v>
      </c>
      <c r="J231" s="7" t="str">
        <f aca="false">IFERROR(VLOOKUP(TRIM($D231), Hoja4_2!$A$2:$L$10000, 12, 0), "Revisar")</f>
        <v>12697333</v>
      </c>
      <c r="K231" s="8" t="str">
        <f aca="false">TEXT(TRIM(D231),"0")</f>
        <v>11212697333</v>
      </c>
      <c r="L231" s="1" t="str">
        <f aca="false">IF(F231="Revisar","NULL",CONCATENATE("'",TEXT(F231,"yyyy-mm-dd"),"'"))</f>
        <v>'2012-12-10'</v>
      </c>
      <c r="M231" s="9" t="str">
        <f aca="false">IF(G231="Revisar","NULL",CONCATENATE("'",MID(G231,1,1),"'"))</f>
        <v>'F'</v>
      </c>
      <c r="N231" s="9" t="str">
        <f aca="false">IF(H231="Revisar","NULL",CONCATENATE("'",H231,"'"))</f>
        <v>'MARACAIBO'</v>
      </c>
      <c r="O231" s="9" t="str">
        <f aca="false">IF(I231="Revisar","NULL",CONCATENATE("'",I231,"'"))</f>
        <v>'ZU'</v>
      </c>
      <c r="P231" s="1" t="str">
        <f aca="false">"UPDATE estudiantes SET fecha_nacimiento="&amp;L231&amp;", sexo="&amp;M231&amp;", lugar_nacimiento="&amp;N231&amp;", entidad_federal="&amp;O231&amp;" WHERE cedula='"&amp;K231&amp;"';"</f>
        <v>UPDATE estudiantes SET fecha_nacimiento='2012-12-10', sexo='F', lugar_nacimiento='MARACAIBO', entidad_federal='ZU' WHERE cedula='11212697333';</v>
      </c>
    </row>
    <row r="232" customFormat="false" ht="14.9" hidden="false" customHeight="false" outlineLevel="0" collapsed="false">
      <c r="A232" s="1" t="s">
        <v>15</v>
      </c>
      <c r="B232" s="1" t="s">
        <v>192</v>
      </c>
      <c r="C232" s="1" t="s">
        <v>53</v>
      </c>
      <c r="D232" s="1" t="s">
        <v>255</v>
      </c>
      <c r="E232" s="2" t="n">
        <v>45923</v>
      </c>
      <c r="F232" s="2" t="n">
        <f aca="false">IFERROR(VLOOKUP(TRIM($D232), Hoja4_2!$A$2:$L$10000, 4, 0), "Revisar")</f>
        <v>41112</v>
      </c>
      <c r="G232" s="7" t="str">
        <f aca="false">IFERROR(VLOOKUP(TRIM($D232), Hoja4_2!$A$2:$L$10000, 5, 0), "Revisar")</f>
        <v>MASCULINO</v>
      </c>
      <c r="H232" s="7" t="str">
        <f aca="false">IFERROR(VLOOKUP(TRIM($D232), Hoja4_2!$A$2:$L$10000, 7, 0), "Revisar")</f>
        <v>MARACAIBO</v>
      </c>
      <c r="I232" s="7" t="str">
        <f aca="false">IFERROR(VLOOKUP(TRIM($D232), Hoja4_2!$A$2:$L$10000, 9, 0), "Revisar")</f>
        <v>ZU</v>
      </c>
      <c r="J232" s="7" t="str">
        <f aca="false">IFERROR(VLOOKUP(TRIM($D232), Hoja4_2!$A$2:$L$10000, 12, 0), "Revisar")</f>
        <v>16298401</v>
      </c>
      <c r="K232" s="8" t="str">
        <f aca="false">TEXT(TRIM(D232),"0")</f>
        <v>11216298401</v>
      </c>
      <c r="L232" s="1" t="str">
        <f aca="false">IF(F232="Revisar","NULL",CONCATENATE("'",TEXT(F232,"yyyy-mm-dd"),"'"))</f>
        <v>'2012-07-22'</v>
      </c>
      <c r="M232" s="9" t="str">
        <f aca="false">IF(G232="Revisar","NULL",CONCATENATE("'",MID(G232,1,1),"'"))</f>
        <v>'M'</v>
      </c>
      <c r="N232" s="9" t="str">
        <f aca="false">IF(H232="Revisar","NULL",CONCATENATE("'",H232,"'"))</f>
        <v>'MARACAIBO'</v>
      </c>
      <c r="O232" s="9" t="str">
        <f aca="false">IF(I232="Revisar","NULL",CONCATENATE("'",I232,"'"))</f>
        <v>'ZU'</v>
      </c>
      <c r="P232" s="1" t="str">
        <f aca="false">"UPDATE estudiantes SET fecha_nacimiento="&amp;L232&amp;", sexo="&amp;M232&amp;", lugar_nacimiento="&amp;N232&amp;", entidad_federal="&amp;O232&amp;" WHERE cedula='"&amp;K232&amp;"';"</f>
        <v>UPDATE estudiantes SET fecha_nacimiento='2012-07-22', sexo='M', lugar_nacimiento='MARACAIBO', entidad_federal='ZU' WHERE cedula='11216298401';</v>
      </c>
    </row>
    <row r="233" customFormat="false" ht="14.9" hidden="false" customHeight="false" outlineLevel="0" collapsed="false">
      <c r="A233" s="1" t="s">
        <v>15</v>
      </c>
      <c r="B233" s="1" t="s">
        <v>192</v>
      </c>
      <c r="C233" s="1" t="s">
        <v>53</v>
      </c>
      <c r="D233" s="1" t="s">
        <v>256</v>
      </c>
      <c r="E233" s="2" t="n">
        <v>45923</v>
      </c>
      <c r="F233" s="2" t="n">
        <f aca="false">IFERROR(VLOOKUP(TRIM($D233), Hoja4_2!$A$2:$L$10000, 4, 0), "Revisar")</f>
        <v>41068</v>
      </c>
      <c r="G233" s="7" t="str">
        <f aca="false">IFERROR(VLOOKUP(TRIM($D233), Hoja4_2!$A$2:$L$10000, 5, 0), "Revisar")</f>
        <v>FEMENINO</v>
      </c>
      <c r="H233" s="7" t="str">
        <f aca="false">IFERROR(VLOOKUP(TRIM($D233), Hoja4_2!$A$2:$L$10000, 7, 0), "Revisar")</f>
        <v>MARACAIBO</v>
      </c>
      <c r="I233" s="7" t="str">
        <f aca="false">IFERROR(VLOOKUP(TRIM($D233), Hoja4_2!$A$2:$L$10000, 9, 0), "Revisar")</f>
        <v>ZU</v>
      </c>
      <c r="J233" s="7" t="str">
        <f aca="false">IFERROR(VLOOKUP(TRIM($D233), Hoja4_2!$A$2:$L$10000, 12, 0), "Revisar")</f>
        <v>16918390</v>
      </c>
      <c r="K233" s="8" t="str">
        <f aca="false">TEXT(TRIM(D233),"0")</f>
        <v>11216918390</v>
      </c>
      <c r="L233" s="1" t="str">
        <f aca="false">IF(F233="Revisar","NULL",CONCATENATE("'",TEXT(F233,"yyyy-mm-dd"),"'"))</f>
        <v>'2012-06-08'</v>
      </c>
      <c r="M233" s="9" t="str">
        <f aca="false">IF(G233="Revisar","NULL",CONCATENATE("'",MID(G233,1,1),"'"))</f>
        <v>'F'</v>
      </c>
      <c r="N233" s="9" t="str">
        <f aca="false">IF(H233="Revisar","NULL",CONCATENATE("'",H233,"'"))</f>
        <v>'MARACAIBO'</v>
      </c>
      <c r="O233" s="9" t="str">
        <f aca="false">IF(I233="Revisar","NULL",CONCATENATE("'",I233,"'"))</f>
        <v>'ZU'</v>
      </c>
      <c r="P233" s="1" t="str">
        <f aca="false">"UPDATE estudiantes SET fecha_nacimiento="&amp;L233&amp;", sexo="&amp;M233&amp;", lugar_nacimiento="&amp;N233&amp;", entidad_federal="&amp;O233&amp;" WHERE cedula='"&amp;K233&amp;"';"</f>
        <v>UPDATE estudiantes SET fecha_nacimiento='2012-06-08', sexo='F', lugar_nacimiento='MARACAIBO', entidad_federal='ZU' WHERE cedula='11216918390';</v>
      </c>
    </row>
    <row r="234" customFormat="false" ht="14.9" hidden="false" customHeight="false" outlineLevel="0" collapsed="false">
      <c r="A234" s="1" t="s">
        <v>15</v>
      </c>
      <c r="B234" s="1" t="s">
        <v>192</v>
      </c>
      <c r="C234" s="1" t="s">
        <v>53</v>
      </c>
      <c r="D234" s="1" t="s">
        <v>257</v>
      </c>
      <c r="E234" s="2" t="n">
        <v>45923</v>
      </c>
      <c r="F234" s="2" t="n">
        <f aca="false">IFERROR(VLOOKUP(TRIM($D234), Hoja4_2!$A$2:$L$10000, 4, 0), "Revisar")</f>
        <v>40915</v>
      </c>
      <c r="G234" s="7" t="str">
        <f aca="false">IFERROR(VLOOKUP(TRIM($D234), Hoja4_2!$A$2:$L$10000, 5, 0), "Revisar")</f>
        <v>FEMENINO</v>
      </c>
      <c r="H234" s="7" t="str">
        <f aca="false">IFERROR(VLOOKUP(TRIM($D234), Hoja4_2!$A$2:$L$10000, 7, 0), "Revisar")</f>
        <v>MARACAIBO</v>
      </c>
      <c r="I234" s="7" t="str">
        <f aca="false">IFERROR(VLOOKUP(TRIM($D234), Hoja4_2!$A$2:$L$10000, 9, 0), "Revisar")</f>
        <v>ZU</v>
      </c>
      <c r="J234" s="7" t="str">
        <f aca="false">IFERROR(VLOOKUP(TRIM($D234), Hoja4_2!$A$2:$L$10000, 12, 0), "Revisar")</f>
        <v>18518970</v>
      </c>
      <c r="K234" s="8" t="str">
        <f aca="false">TEXT(TRIM(D234),"0")</f>
        <v>11218518970</v>
      </c>
      <c r="L234" s="1" t="str">
        <f aca="false">IF(F234="Revisar","NULL",CONCATENATE("'",TEXT(F234,"yyyy-mm-dd"),"'"))</f>
        <v>'2012-01-07'</v>
      </c>
      <c r="M234" s="9" t="str">
        <f aca="false">IF(G234="Revisar","NULL",CONCATENATE("'",MID(G234,1,1),"'"))</f>
        <v>'F'</v>
      </c>
      <c r="N234" s="9" t="str">
        <f aca="false">IF(H234="Revisar","NULL",CONCATENATE("'",H234,"'"))</f>
        <v>'MARACAIBO'</v>
      </c>
      <c r="O234" s="9" t="str">
        <f aca="false">IF(I234="Revisar","NULL",CONCATENATE("'",I234,"'"))</f>
        <v>'ZU'</v>
      </c>
      <c r="P234" s="1" t="str">
        <f aca="false">"UPDATE estudiantes SET fecha_nacimiento="&amp;L234&amp;", sexo="&amp;M234&amp;", lugar_nacimiento="&amp;N234&amp;", entidad_federal="&amp;O234&amp;" WHERE cedula='"&amp;K234&amp;"';"</f>
        <v>UPDATE estudiantes SET fecha_nacimiento='2012-01-07', sexo='F', lugar_nacimiento='MARACAIBO', entidad_federal='ZU' WHERE cedula='11218518970';</v>
      </c>
    </row>
    <row r="235" customFormat="false" ht="14.9" hidden="false" customHeight="false" outlineLevel="0" collapsed="false">
      <c r="A235" s="1" t="s">
        <v>15</v>
      </c>
      <c r="B235" s="1" t="s">
        <v>192</v>
      </c>
      <c r="C235" s="1" t="s">
        <v>53</v>
      </c>
      <c r="D235" s="1" t="s">
        <v>258</v>
      </c>
      <c r="E235" s="2" t="n">
        <v>45923</v>
      </c>
      <c r="F235" s="2" t="n">
        <f aca="false">IFERROR(VLOOKUP(TRIM($D235), Hoja4_2!$A$2:$L$10000, 4, 0), "Revisar")</f>
        <v>41242</v>
      </c>
      <c r="G235" s="7" t="str">
        <f aca="false">IFERROR(VLOOKUP(TRIM($D235), Hoja4_2!$A$2:$L$10000, 5, 0), "Revisar")</f>
        <v>FEMENINO</v>
      </c>
      <c r="H235" s="7" t="str">
        <f aca="false">IFERROR(VLOOKUP(TRIM($D235), Hoja4_2!$A$2:$L$10000, 7, 0), "Revisar")</f>
        <v>SAN FRANCISCO</v>
      </c>
      <c r="I235" s="7" t="str">
        <f aca="false">IFERROR(VLOOKUP(TRIM($D235), Hoja4_2!$A$2:$L$10000, 9, 0), "Revisar")</f>
        <v>ZU</v>
      </c>
      <c r="J235" s="7" t="str">
        <f aca="false">IFERROR(VLOOKUP(TRIM($D235), Hoja4_2!$A$2:$L$10000, 12, 0), "Revisar")</f>
        <v>20058741</v>
      </c>
      <c r="K235" s="8" t="str">
        <f aca="false">TEXT(TRIM(D235),"0")</f>
        <v>11220058741</v>
      </c>
      <c r="L235" s="1" t="str">
        <f aca="false">IF(F235="Revisar","NULL",CONCATENATE("'",TEXT(F235,"yyyy-mm-dd"),"'"))</f>
        <v>'2012-11-29'</v>
      </c>
      <c r="M235" s="9" t="str">
        <f aca="false">IF(G235="Revisar","NULL",CONCATENATE("'",MID(G235,1,1),"'"))</f>
        <v>'F'</v>
      </c>
      <c r="N235" s="9" t="str">
        <f aca="false">IF(H235="Revisar","NULL",CONCATENATE("'",H235,"'"))</f>
        <v>'SAN FRANCISCO'</v>
      </c>
      <c r="O235" s="9" t="str">
        <f aca="false">IF(I235="Revisar","NULL",CONCATENATE("'",I235,"'"))</f>
        <v>'ZU'</v>
      </c>
      <c r="P235" s="1" t="str">
        <f aca="false">"UPDATE estudiantes SET fecha_nacimiento="&amp;L235&amp;", sexo="&amp;M235&amp;", lugar_nacimiento="&amp;N235&amp;", entidad_federal="&amp;O235&amp;" WHERE cedula='"&amp;K235&amp;"';"</f>
        <v>UPDATE estudiantes SET fecha_nacimiento='2012-11-29', sexo='F', lugar_nacimiento='SAN FRANCISCO', entidad_federal='ZU' WHERE cedula='11220058741';</v>
      </c>
    </row>
    <row r="236" customFormat="false" ht="14.9" hidden="false" customHeight="false" outlineLevel="0" collapsed="false">
      <c r="A236" s="1" t="s">
        <v>15</v>
      </c>
      <c r="B236" s="1" t="s">
        <v>192</v>
      </c>
      <c r="C236" s="1" t="s">
        <v>53</v>
      </c>
      <c r="D236" s="1" t="s">
        <v>259</v>
      </c>
      <c r="E236" s="2" t="n">
        <v>45923</v>
      </c>
      <c r="F236" s="2" t="n">
        <f aca="false">IFERROR(VLOOKUP(TRIM($D236), Hoja4_2!$A$2:$L$10000, 4, 0), "Revisar")</f>
        <v>40931</v>
      </c>
      <c r="G236" s="7" t="str">
        <f aca="false">IFERROR(VLOOKUP(TRIM($D236), Hoja4_2!$A$2:$L$10000, 5, 0), "Revisar")</f>
        <v>FEMENINO</v>
      </c>
      <c r="H236" s="7" t="str">
        <f aca="false">IFERROR(VLOOKUP(TRIM($D236), Hoja4_2!$A$2:$L$10000, 7, 0), "Revisar")</f>
        <v>MARACAIBO</v>
      </c>
      <c r="I236" s="7" t="str">
        <f aca="false">IFERROR(VLOOKUP(TRIM($D236), Hoja4_2!$A$2:$L$10000, 9, 0), "Revisar")</f>
        <v>ZU</v>
      </c>
      <c r="J236" s="7" t="str">
        <f aca="false">IFERROR(VLOOKUP(TRIM($D236), Hoja4_2!$A$2:$L$10000, 12, 0), "Revisar")</f>
        <v>21511047</v>
      </c>
      <c r="K236" s="8" t="str">
        <f aca="false">TEXT(TRIM(D236),"0")</f>
        <v>11221511047</v>
      </c>
      <c r="L236" s="1" t="str">
        <f aca="false">IF(F236="Revisar","NULL",CONCATENATE("'",TEXT(F236,"yyyy-mm-dd"),"'"))</f>
        <v>'2012-01-23'</v>
      </c>
      <c r="M236" s="9" t="str">
        <f aca="false">IF(G236="Revisar","NULL",CONCATENATE("'",MID(G236,1,1),"'"))</f>
        <v>'F'</v>
      </c>
      <c r="N236" s="9" t="str">
        <f aca="false">IF(H236="Revisar","NULL",CONCATENATE("'",H236,"'"))</f>
        <v>'MARACAIBO'</v>
      </c>
      <c r="O236" s="9" t="str">
        <f aca="false">IF(I236="Revisar","NULL",CONCATENATE("'",I236,"'"))</f>
        <v>'ZU'</v>
      </c>
      <c r="P236" s="1" t="str">
        <f aca="false">"UPDATE estudiantes SET fecha_nacimiento="&amp;L236&amp;", sexo="&amp;M236&amp;", lugar_nacimiento="&amp;N236&amp;", entidad_federal="&amp;O236&amp;" WHERE cedula='"&amp;K236&amp;"';"</f>
        <v>UPDATE estudiantes SET fecha_nacimiento='2012-01-23', sexo='F', lugar_nacimiento='MARACAIBO', entidad_federal='ZU' WHERE cedula='11221511047';</v>
      </c>
    </row>
    <row r="237" customFormat="false" ht="14.9" hidden="false" customHeight="false" outlineLevel="0" collapsed="false">
      <c r="A237" s="1" t="s">
        <v>15</v>
      </c>
      <c r="B237" s="1" t="s">
        <v>192</v>
      </c>
      <c r="C237" s="1" t="s">
        <v>53</v>
      </c>
      <c r="D237" s="1" t="s">
        <v>260</v>
      </c>
      <c r="E237" s="2" t="n">
        <v>45923</v>
      </c>
      <c r="F237" s="2" t="n">
        <f aca="false">IFERROR(VLOOKUP(TRIM($D237), Hoja4_2!$A$2:$L$10000, 4, 0), "Revisar")</f>
        <v>41257</v>
      </c>
      <c r="G237" s="7" t="str">
        <f aca="false">IFERROR(VLOOKUP(TRIM($D237), Hoja4_2!$A$2:$L$10000, 5, 0), "Revisar")</f>
        <v>FEMENINO</v>
      </c>
      <c r="H237" s="7" t="str">
        <f aca="false">IFERROR(VLOOKUP(TRIM($D237), Hoja4_2!$A$2:$L$10000, 7, 0), "Revisar")</f>
        <v>MARACAIBO</v>
      </c>
      <c r="I237" s="7" t="str">
        <f aca="false">IFERROR(VLOOKUP(TRIM($D237), Hoja4_2!$A$2:$L$10000, 9, 0), "Revisar")</f>
        <v>ZU</v>
      </c>
      <c r="J237" s="7" t="str">
        <f aca="false">IFERROR(VLOOKUP(TRIM($D237), Hoja4_2!$A$2:$L$10000, 12, 0), "Revisar")</f>
        <v>23752051</v>
      </c>
      <c r="K237" s="8" t="str">
        <f aca="false">TEXT(TRIM(D237),"0")</f>
        <v>11223752051</v>
      </c>
      <c r="L237" s="1" t="str">
        <f aca="false">IF(F237="Revisar","NULL",CONCATENATE("'",TEXT(F237,"yyyy-mm-dd"),"'"))</f>
        <v>'2012-12-14'</v>
      </c>
      <c r="M237" s="9" t="str">
        <f aca="false">IF(G237="Revisar","NULL",CONCATENATE("'",MID(G237,1,1),"'"))</f>
        <v>'F'</v>
      </c>
      <c r="N237" s="9" t="str">
        <f aca="false">IF(H237="Revisar","NULL",CONCATENATE("'",H237,"'"))</f>
        <v>'MARACAIBO'</v>
      </c>
      <c r="O237" s="9" t="str">
        <f aca="false">IF(I237="Revisar","NULL",CONCATENATE("'",I237,"'"))</f>
        <v>'ZU'</v>
      </c>
      <c r="P237" s="1" t="str">
        <f aca="false">"UPDATE estudiantes SET fecha_nacimiento="&amp;L237&amp;", sexo="&amp;M237&amp;", lugar_nacimiento="&amp;N237&amp;", entidad_federal="&amp;O237&amp;" WHERE cedula='"&amp;K237&amp;"';"</f>
        <v>UPDATE estudiantes SET fecha_nacimiento='2012-12-14', sexo='F', lugar_nacimiento='MARACAIBO', entidad_federal='ZU' WHERE cedula='11223752051';</v>
      </c>
    </row>
    <row r="238" customFormat="false" ht="14.9" hidden="false" customHeight="false" outlineLevel="0" collapsed="false">
      <c r="A238" s="1" t="s">
        <v>15</v>
      </c>
      <c r="B238" s="1" t="s">
        <v>192</v>
      </c>
      <c r="C238" s="1" t="s">
        <v>53</v>
      </c>
      <c r="D238" s="1" t="s">
        <v>261</v>
      </c>
      <c r="E238" s="2" t="n">
        <v>45923</v>
      </c>
      <c r="F238" s="2" t="n">
        <f aca="false">IFERROR(VLOOKUP(TRIM($D238), Hoja4_2!$A$2:$L$10000, 4, 0), "Revisar")</f>
        <v>41469</v>
      </c>
      <c r="G238" s="7" t="str">
        <f aca="false">IFERROR(VLOOKUP(TRIM($D238), Hoja4_2!$A$2:$L$10000, 5, 0), "Revisar")</f>
        <v>FEMENINO</v>
      </c>
      <c r="H238" s="7" t="str">
        <f aca="false">IFERROR(VLOOKUP(TRIM($D238), Hoja4_2!$A$2:$L$10000, 7, 0), "Revisar")</f>
        <v>MARACAIBO</v>
      </c>
      <c r="I238" s="7" t="str">
        <f aca="false">IFERROR(VLOOKUP(TRIM($D238), Hoja4_2!$A$2:$L$10000, 9, 0), "Revisar")</f>
        <v>ZU</v>
      </c>
      <c r="J238" s="7" t="str">
        <f aca="false">IFERROR(VLOOKUP(TRIM($D238), Hoja4_2!$A$2:$L$10000, 12, 0), "Revisar")</f>
        <v>15260612</v>
      </c>
      <c r="K238" s="8" t="str">
        <f aca="false">TEXT(TRIM(D238),"0")</f>
        <v>11315260612</v>
      </c>
      <c r="L238" s="1" t="str">
        <f aca="false">IF(F238="Revisar","NULL",CONCATENATE("'",TEXT(F238,"yyyy-mm-dd"),"'"))</f>
        <v>'2013-07-14'</v>
      </c>
      <c r="M238" s="9" t="str">
        <f aca="false">IF(G238="Revisar","NULL",CONCATENATE("'",MID(G238,1,1),"'"))</f>
        <v>'F'</v>
      </c>
      <c r="N238" s="9" t="str">
        <f aca="false">IF(H238="Revisar","NULL",CONCATENATE("'",H238,"'"))</f>
        <v>'MARACAIBO'</v>
      </c>
      <c r="O238" s="9" t="str">
        <f aca="false">IF(I238="Revisar","NULL",CONCATENATE("'",I238,"'"))</f>
        <v>'ZU'</v>
      </c>
      <c r="P238" s="1" t="str">
        <f aca="false">"UPDATE estudiantes SET fecha_nacimiento="&amp;L238&amp;", sexo="&amp;M238&amp;", lugar_nacimiento="&amp;N238&amp;", entidad_federal="&amp;O238&amp;" WHERE cedula='"&amp;K238&amp;"';"</f>
        <v>UPDATE estudiantes SET fecha_nacimiento='2013-07-14', sexo='F', lugar_nacimiento='MARACAIBO', entidad_federal='ZU' WHERE cedula='11315260612';</v>
      </c>
    </row>
    <row r="239" customFormat="false" ht="14.9" hidden="false" customHeight="false" outlineLevel="0" collapsed="false">
      <c r="A239" s="1" t="s">
        <v>15</v>
      </c>
      <c r="B239" s="1" t="s">
        <v>192</v>
      </c>
      <c r="C239" s="1" t="s">
        <v>53</v>
      </c>
      <c r="D239" s="1" t="s">
        <v>262</v>
      </c>
      <c r="E239" s="2" t="n">
        <v>45923</v>
      </c>
      <c r="F239" s="2" t="n">
        <f aca="false">IFERROR(VLOOKUP(TRIM($D239), Hoja4_2!$A$2:$L$10000, 4, 0), "Revisar")</f>
        <v>41321</v>
      </c>
      <c r="G239" s="7" t="str">
        <f aca="false">IFERROR(VLOOKUP(TRIM($D239), Hoja4_2!$A$2:$L$10000, 5, 0), "Revisar")</f>
        <v>MASCULINO</v>
      </c>
      <c r="H239" s="7" t="str">
        <f aca="false">IFERROR(VLOOKUP(TRIM($D239), Hoja4_2!$A$2:$L$10000, 7, 0), "Revisar")</f>
        <v>MARACAIBO</v>
      </c>
      <c r="I239" s="7" t="str">
        <f aca="false">IFERROR(VLOOKUP(TRIM($D239), Hoja4_2!$A$2:$L$10000, 9, 0), "Revisar")</f>
        <v>ZU</v>
      </c>
      <c r="J239" s="7" t="str">
        <f aca="false">IFERROR(VLOOKUP(TRIM($D239), Hoja4_2!$A$2:$L$10000, 12, 0), "Revisar")</f>
        <v>15983770</v>
      </c>
      <c r="K239" s="8" t="str">
        <f aca="false">TEXT(TRIM(D239),"0")</f>
        <v>11315987770</v>
      </c>
      <c r="L239" s="1" t="str">
        <f aca="false">IF(F239="Revisar","NULL",CONCATENATE("'",TEXT(F239,"yyyy-mm-dd"),"'"))</f>
        <v>'2013-02-16'</v>
      </c>
      <c r="M239" s="9" t="str">
        <f aca="false">IF(G239="Revisar","NULL",CONCATENATE("'",MID(G239,1,1),"'"))</f>
        <v>'M'</v>
      </c>
      <c r="N239" s="9" t="str">
        <f aca="false">IF(H239="Revisar","NULL",CONCATENATE("'",H239,"'"))</f>
        <v>'MARACAIBO'</v>
      </c>
      <c r="O239" s="9" t="str">
        <f aca="false">IF(I239="Revisar","NULL",CONCATENATE("'",I239,"'"))</f>
        <v>'ZU'</v>
      </c>
      <c r="P239" s="1" t="str">
        <f aca="false">"UPDATE estudiantes SET fecha_nacimiento="&amp;L239&amp;", sexo="&amp;M239&amp;", lugar_nacimiento="&amp;N239&amp;", entidad_federal="&amp;O239&amp;" WHERE cedula='"&amp;K239&amp;"';"</f>
        <v>UPDATE estudiantes SET fecha_nacimiento='2013-02-16', sexo='M', lugar_nacimiento='MARACAIBO', entidad_federal='ZU' WHERE cedula='11315987770';</v>
      </c>
    </row>
    <row r="240" customFormat="false" ht="14.9" hidden="false" customHeight="false" outlineLevel="0" collapsed="false">
      <c r="A240" s="1" t="s">
        <v>15</v>
      </c>
      <c r="B240" s="1" t="s">
        <v>192</v>
      </c>
      <c r="C240" s="1" t="s">
        <v>53</v>
      </c>
      <c r="D240" s="1" t="s">
        <v>263</v>
      </c>
      <c r="E240" s="2" t="n">
        <v>45923</v>
      </c>
      <c r="F240" s="2" t="n">
        <f aca="false">IFERROR(VLOOKUP(TRIM($D240), Hoja4_2!$A$2:$L$10000, 4, 0), "Revisar")</f>
        <v>41293</v>
      </c>
      <c r="G240" s="7" t="str">
        <f aca="false">IFERROR(VLOOKUP(TRIM($D240), Hoja4_2!$A$2:$L$10000, 5, 0), "Revisar")</f>
        <v>FEMENINO</v>
      </c>
      <c r="H240" s="7" t="str">
        <f aca="false">IFERROR(VLOOKUP(TRIM($D240), Hoja4_2!$A$2:$L$10000, 7, 0), "Revisar")</f>
        <v>MARACAIBO</v>
      </c>
      <c r="I240" s="7" t="str">
        <f aca="false">IFERROR(VLOOKUP(TRIM($D240), Hoja4_2!$A$2:$L$10000, 9, 0), "Revisar")</f>
        <v>ZU</v>
      </c>
      <c r="J240" s="7" t="str">
        <f aca="false">IFERROR(VLOOKUP(TRIM($D240), Hoja4_2!$A$2:$L$10000, 12, 0), "Revisar")</f>
        <v>18662184</v>
      </c>
      <c r="K240" s="8" t="str">
        <f aca="false">TEXT(TRIM(D240),"0")</f>
        <v>11318662184</v>
      </c>
      <c r="L240" s="1" t="str">
        <f aca="false">IF(F240="Revisar","NULL",CONCATENATE("'",TEXT(F240,"yyyy-mm-dd"),"'"))</f>
        <v>'2013-01-19'</v>
      </c>
      <c r="M240" s="9" t="str">
        <f aca="false">IF(G240="Revisar","NULL",CONCATENATE("'",MID(G240,1,1),"'"))</f>
        <v>'F'</v>
      </c>
      <c r="N240" s="9" t="str">
        <f aca="false">IF(H240="Revisar","NULL",CONCATENATE("'",H240,"'"))</f>
        <v>'MARACAIBO'</v>
      </c>
      <c r="O240" s="9" t="str">
        <f aca="false">IF(I240="Revisar","NULL",CONCATENATE("'",I240,"'"))</f>
        <v>'ZU'</v>
      </c>
      <c r="P240" s="1" t="str">
        <f aca="false">"UPDATE estudiantes SET fecha_nacimiento="&amp;L240&amp;", sexo="&amp;M240&amp;", lugar_nacimiento="&amp;N240&amp;", entidad_federal="&amp;O240&amp;" WHERE cedula='"&amp;K240&amp;"';"</f>
        <v>UPDATE estudiantes SET fecha_nacimiento='2013-01-19', sexo='F', lugar_nacimiento='MARACAIBO', entidad_federal='ZU' WHERE cedula='11318662184';</v>
      </c>
    </row>
    <row r="241" customFormat="false" ht="14.9" hidden="false" customHeight="false" outlineLevel="0" collapsed="false">
      <c r="A241" s="1" t="s">
        <v>15</v>
      </c>
      <c r="B241" s="1" t="s">
        <v>192</v>
      </c>
      <c r="C241" s="1" t="s">
        <v>53</v>
      </c>
      <c r="D241" s="1" t="s">
        <v>264</v>
      </c>
      <c r="E241" s="2" t="n">
        <v>45923</v>
      </c>
      <c r="F241" s="2" t="n">
        <f aca="false">IFERROR(VLOOKUP(TRIM($D241), Hoja4_2!$A$2:$L$10000, 4, 0), "Revisar")</f>
        <v>41292</v>
      </c>
      <c r="G241" s="7" t="str">
        <f aca="false">IFERROR(VLOOKUP(TRIM($D241), Hoja4_2!$A$2:$L$10000, 5, 0), "Revisar")</f>
        <v>FEMENINO</v>
      </c>
      <c r="H241" s="7" t="str">
        <f aca="false">IFERROR(VLOOKUP(TRIM($D241), Hoja4_2!$A$2:$L$10000, 7, 0), "Revisar")</f>
        <v>MARACAIBO</v>
      </c>
      <c r="I241" s="7" t="str">
        <f aca="false">IFERROR(VLOOKUP(TRIM($D241), Hoja4_2!$A$2:$L$10000, 9, 0), "Revisar")</f>
        <v>ZU</v>
      </c>
      <c r="J241" s="7" t="str">
        <f aca="false">IFERROR(VLOOKUP(TRIM($D241), Hoja4_2!$A$2:$L$10000, 12, 0), "Revisar")</f>
        <v>19989803</v>
      </c>
      <c r="K241" s="8" t="str">
        <f aca="false">TEXT(TRIM(D241),"0")</f>
        <v>11319989803</v>
      </c>
      <c r="L241" s="1" t="str">
        <f aca="false">IF(F241="Revisar","NULL",CONCATENATE("'",TEXT(F241,"yyyy-mm-dd"),"'"))</f>
        <v>'2013-01-18'</v>
      </c>
      <c r="M241" s="9" t="str">
        <f aca="false">IF(G241="Revisar","NULL",CONCATENATE("'",MID(G241,1,1),"'"))</f>
        <v>'F'</v>
      </c>
      <c r="N241" s="9" t="str">
        <f aca="false">IF(H241="Revisar","NULL",CONCATENATE("'",H241,"'"))</f>
        <v>'MARACAIBO'</v>
      </c>
      <c r="O241" s="9" t="str">
        <f aca="false">IF(I241="Revisar","NULL",CONCATENATE("'",I241,"'"))</f>
        <v>'ZU'</v>
      </c>
      <c r="P241" s="1" t="str">
        <f aca="false">"UPDATE estudiantes SET fecha_nacimiento="&amp;L241&amp;", sexo="&amp;M241&amp;", lugar_nacimiento="&amp;N241&amp;", entidad_federal="&amp;O241&amp;" WHERE cedula='"&amp;K241&amp;"';"</f>
        <v>UPDATE estudiantes SET fecha_nacimiento='2013-01-18', sexo='F', lugar_nacimiento='MARACAIBO', entidad_federal='ZU' WHERE cedula='11319989803';</v>
      </c>
    </row>
    <row r="242" customFormat="false" ht="14.9" hidden="false" customHeight="false" outlineLevel="0" collapsed="false">
      <c r="A242" s="1" t="s">
        <v>15</v>
      </c>
      <c r="B242" s="1" t="s">
        <v>192</v>
      </c>
      <c r="C242" s="1" t="s">
        <v>89</v>
      </c>
      <c r="D242" s="1" t="s">
        <v>265</v>
      </c>
      <c r="E242" s="2" t="n">
        <v>45923</v>
      </c>
      <c r="F242" s="2" t="n">
        <f aca="false">IFERROR(VLOOKUP(TRIM($D242), Hoja4_2!$A$2:$L$10000, 4, 0), "Revisar")</f>
        <v>41080</v>
      </c>
      <c r="G242" s="7" t="str">
        <f aca="false">IFERROR(VLOOKUP(TRIM($D242), Hoja4_2!$A$2:$L$10000, 5, 0), "Revisar")</f>
        <v>MASCULINO</v>
      </c>
      <c r="H242" s="7" t="str">
        <f aca="false">IFERROR(VLOOKUP(TRIM($D242), Hoja4_2!$A$2:$L$10000, 7, 0), "Revisar")</f>
        <v>JESUS ENRIQUE LOSSADA </v>
      </c>
      <c r="I242" s="7" t="str">
        <f aca="false">IFERROR(VLOOKUP(TRIM($D242), Hoja4_2!$A$2:$L$10000, 9, 0), "Revisar")</f>
        <v>ZU</v>
      </c>
      <c r="J242" s="7" t="str">
        <f aca="false">IFERROR(VLOOKUP(TRIM($D242), Hoja4_2!$A$2:$L$10000, 12, 0), "Revisar")</f>
        <v>19308113</v>
      </c>
      <c r="K242" s="8" t="str">
        <f aca="false">TEXT(TRIM(D242),"0")</f>
        <v>34399607</v>
      </c>
      <c r="L242" s="1" t="str">
        <f aca="false">IF(F242="Revisar","NULL",CONCATENATE("'",TEXT(F242,"yyyy-mm-dd"),"'"))</f>
        <v>'2012-06-20'</v>
      </c>
      <c r="M242" s="9" t="str">
        <f aca="false">IF(G242="Revisar","NULL",CONCATENATE("'",MID(G242,1,1),"'"))</f>
        <v>'M'</v>
      </c>
      <c r="N242" s="9" t="str">
        <f aca="false">IF(H242="Revisar","NULL",CONCATENATE("'",H242,"'"))</f>
        <v>'JESUS ENRIQUE LOSSADA '</v>
      </c>
      <c r="O242" s="9" t="str">
        <f aca="false">IF(I242="Revisar","NULL",CONCATENATE("'",I242,"'"))</f>
        <v>'ZU'</v>
      </c>
      <c r="P242" s="1" t="str">
        <f aca="false">"UPDATE estudiantes SET fecha_nacimiento="&amp;L242&amp;", sexo="&amp;M242&amp;", lugar_nacimiento="&amp;N242&amp;", entidad_federal="&amp;O242&amp;" WHERE cedula='"&amp;K242&amp;"';"</f>
        <v>UPDATE estudiantes SET fecha_nacimiento='2012-06-20', sexo='M', lugar_nacimiento='JESUS ENRIQUE LOSSADA ', entidad_federal='ZU' WHERE cedula='34399607';</v>
      </c>
    </row>
    <row r="243" customFormat="false" ht="14.9" hidden="false" customHeight="false" outlineLevel="0" collapsed="false">
      <c r="A243" s="1" t="s">
        <v>15</v>
      </c>
      <c r="B243" s="1" t="s">
        <v>192</v>
      </c>
      <c r="C243" s="1" t="s">
        <v>89</v>
      </c>
      <c r="D243" s="1" t="s">
        <v>266</v>
      </c>
      <c r="E243" s="2" t="n">
        <v>45923</v>
      </c>
      <c r="F243" s="2" t="n">
        <f aca="false">IFERROR(VLOOKUP(TRIM($D243), Hoja4_2!$A$2:$L$10000, 4, 0), "Revisar")</f>
        <v>40743</v>
      </c>
      <c r="G243" s="7" t="str">
        <f aca="false">IFERROR(VLOOKUP(TRIM($D243), Hoja4_2!$A$2:$L$10000, 5, 0), "Revisar")</f>
        <v>FEMENINO</v>
      </c>
      <c r="H243" s="7" t="str">
        <f aca="false">IFERROR(VLOOKUP(TRIM($D243), Hoja4_2!$A$2:$L$10000, 7, 0), "Revisar")</f>
        <v>MARACAIBO</v>
      </c>
      <c r="I243" s="7" t="str">
        <f aca="false">IFERROR(VLOOKUP(TRIM($D243), Hoja4_2!$A$2:$L$10000, 9, 0), "Revisar")</f>
        <v>ZU</v>
      </c>
      <c r="J243" s="7" t="str">
        <f aca="false">IFERROR(VLOOKUP(TRIM($D243), Hoja4_2!$A$2:$L$10000, 12, 0), "Revisar")</f>
        <v>17099213</v>
      </c>
      <c r="K243" s="8" t="str">
        <f aca="false">TEXT(TRIM(D243),"0")</f>
        <v>34408137</v>
      </c>
      <c r="L243" s="1" t="str">
        <f aca="false">IF(F243="Revisar","NULL",CONCATENATE("'",TEXT(F243,"yyyy-mm-dd"),"'"))</f>
        <v>'2011-07-19'</v>
      </c>
      <c r="M243" s="9" t="str">
        <f aca="false">IF(G243="Revisar","NULL",CONCATENATE("'",MID(G243,1,1),"'"))</f>
        <v>'F'</v>
      </c>
      <c r="N243" s="9" t="str">
        <f aca="false">IF(H243="Revisar","NULL",CONCATENATE("'",H243,"'"))</f>
        <v>'MARACAIBO'</v>
      </c>
      <c r="O243" s="9" t="str">
        <f aca="false">IF(I243="Revisar","NULL",CONCATENATE("'",I243,"'"))</f>
        <v>'ZU'</v>
      </c>
      <c r="P243" s="1" t="str">
        <f aca="false">"UPDATE estudiantes SET fecha_nacimiento="&amp;L243&amp;", sexo="&amp;M243&amp;", lugar_nacimiento="&amp;N243&amp;", entidad_federal="&amp;O243&amp;" WHERE cedula='"&amp;K243&amp;"';"</f>
        <v>UPDATE estudiantes SET fecha_nacimiento='2011-07-19', sexo='F', lugar_nacimiento='MARACAIBO', entidad_federal='ZU' WHERE cedula='34408137';</v>
      </c>
    </row>
    <row r="244" customFormat="false" ht="14.9" hidden="false" customHeight="false" outlineLevel="0" collapsed="false">
      <c r="A244" s="1" t="s">
        <v>15</v>
      </c>
      <c r="B244" s="1" t="s">
        <v>192</v>
      </c>
      <c r="C244" s="1" t="s">
        <v>89</v>
      </c>
      <c r="D244" s="1" t="s">
        <v>267</v>
      </c>
      <c r="E244" s="2" t="n">
        <v>45923</v>
      </c>
      <c r="F244" s="2" t="n">
        <f aca="false">IFERROR(VLOOKUP(TRIM($D244), Hoja4_2!$A$2:$L$10000, 4, 0), "Revisar")</f>
        <v>41033</v>
      </c>
      <c r="G244" s="7" t="str">
        <f aca="false">IFERROR(VLOOKUP(TRIM($D244), Hoja4_2!$A$2:$L$10000, 5, 0), "Revisar")</f>
        <v>FEMENINO</v>
      </c>
      <c r="H244" s="7" t="str">
        <f aca="false">IFERROR(VLOOKUP(TRIM($D244), Hoja4_2!$A$2:$L$10000, 7, 0), "Revisar")</f>
        <v>MARACAIBO</v>
      </c>
      <c r="I244" s="7" t="str">
        <f aca="false">IFERROR(VLOOKUP(TRIM($D244), Hoja4_2!$A$2:$L$10000, 9, 0), "Revisar")</f>
        <v>ZU</v>
      </c>
      <c r="J244" s="7" t="str">
        <f aca="false">IFERROR(VLOOKUP(TRIM($D244), Hoja4_2!$A$2:$L$10000, 12, 0), "Revisar")</f>
        <v>17566896</v>
      </c>
      <c r="K244" s="8" t="str">
        <f aca="false">TEXT(TRIM(D244),"0")</f>
        <v>34423638</v>
      </c>
      <c r="L244" s="1" t="str">
        <f aca="false">IF(F244="Revisar","NULL",CONCATENATE("'",TEXT(F244,"yyyy-mm-dd"),"'"))</f>
        <v>'2012-05-04'</v>
      </c>
      <c r="M244" s="9" t="str">
        <f aca="false">IF(G244="Revisar","NULL",CONCATENATE("'",MID(G244,1,1),"'"))</f>
        <v>'F'</v>
      </c>
      <c r="N244" s="9" t="str">
        <f aca="false">IF(H244="Revisar","NULL",CONCATENATE("'",H244,"'"))</f>
        <v>'MARACAIBO'</v>
      </c>
      <c r="O244" s="9" t="str">
        <f aca="false">IF(I244="Revisar","NULL",CONCATENATE("'",I244,"'"))</f>
        <v>'ZU'</v>
      </c>
      <c r="P244" s="1" t="str">
        <f aca="false">"UPDATE estudiantes SET fecha_nacimiento="&amp;L244&amp;", sexo="&amp;M244&amp;", lugar_nacimiento="&amp;N244&amp;", entidad_federal="&amp;O244&amp;" WHERE cedula='"&amp;K244&amp;"';"</f>
        <v>UPDATE estudiantes SET fecha_nacimiento='2012-05-04', sexo='F', lugar_nacimiento='MARACAIBO', entidad_federal='ZU' WHERE cedula='34423638';</v>
      </c>
    </row>
    <row r="245" customFormat="false" ht="14.9" hidden="false" customHeight="false" outlineLevel="0" collapsed="false">
      <c r="A245" s="1" t="s">
        <v>15</v>
      </c>
      <c r="B245" s="1" t="s">
        <v>192</v>
      </c>
      <c r="C245" s="1" t="s">
        <v>89</v>
      </c>
      <c r="D245" s="1" t="s">
        <v>268</v>
      </c>
      <c r="E245" s="2" t="n">
        <v>45923</v>
      </c>
      <c r="F245" s="2" t="n">
        <f aca="false">IFERROR(VLOOKUP(TRIM($D245), Hoja4_2!$A$2:$L$10000, 4, 0), "Revisar")</f>
        <v>41013</v>
      </c>
      <c r="G245" s="7" t="str">
        <f aca="false">IFERROR(VLOOKUP(TRIM($D245), Hoja4_2!$A$2:$L$10000, 5, 0), "Revisar")</f>
        <v>MASCULINO</v>
      </c>
      <c r="H245" s="7" t="str">
        <f aca="false">IFERROR(VLOOKUP(TRIM($D245), Hoja4_2!$A$2:$L$10000, 7, 0), "Revisar")</f>
        <v>MARACAIBO</v>
      </c>
      <c r="I245" s="7" t="str">
        <f aca="false">IFERROR(VLOOKUP(TRIM($D245), Hoja4_2!$A$2:$L$10000, 9, 0), "Revisar")</f>
        <v>ZU</v>
      </c>
      <c r="J245" s="7" t="str">
        <f aca="false">IFERROR(VLOOKUP(TRIM($D245), Hoja4_2!$A$2:$L$10000, 12, 0), "Revisar")</f>
        <v>13001467</v>
      </c>
      <c r="K245" s="8" t="str">
        <f aca="false">TEXT(TRIM(D245),"0")</f>
        <v>34474589</v>
      </c>
      <c r="L245" s="1" t="str">
        <f aca="false">IF(F245="Revisar","NULL",CONCATENATE("'",TEXT(F245,"yyyy-mm-dd"),"'"))</f>
        <v>'2012-04-14'</v>
      </c>
      <c r="M245" s="9" t="str">
        <f aca="false">IF(G245="Revisar","NULL",CONCATENATE("'",MID(G245,1,1),"'"))</f>
        <v>'M'</v>
      </c>
      <c r="N245" s="9" t="str">
        <f aca="false">IF(H245="Revisar","NULL",CONCATENATE("'",H245,"'"))</f>
        <v>'MARACAIBO'</v>
      </c>
      <c r="O245" s="9" t="str">
        <f aca="false">IF(I245="Revisar","NULL",CONCATENATE("'",I245,"'"))</f>
        <v>'ZU'</v>
      </c>
      <c r="P245" s="1" t="str">
        <f aca="false">"UPDATE estudiantes SET fecha_nacimiento="&amp;L245&amp;", sexo="&amp;M245&amp;", lugar_nacimiento="&amp;N245&amp;", entidad_federal="&amp;O245&amp;" WHERE cedula='"&amp;K245&amp;"';"</f>
        <v>UPDATE estudiantes SET fecha_nacimiento='2012-04-14', sexo='M', lugar_nacimiento='MARACAIBO', entidad_federal='ZU' WHERE cedula='34474589';</v>
      </c>
    </row>
    <row r="246" customFormat="false" ht="14.9" hidden="false" customHeight="false" outlineLevel="0" collapsed="false">
      <c r="A246" s="1" t="s">
        <v>15</v>
      </c>
      <c r="B246" s="1" t="s">
        <v>192</v>
      </c>
      <c r="C246" s="1" t="s">
        <v>89</v>
      </c>
      <c r="D246" s="1" t="s">
        <v>269</v>
      </c>
      <c r="E246" s="2" t="n">
        <v>45923</v>
      </c>
      <c r="F246" s="2" t="n">
        <f aca="false">IFERROR(VLOOKUP(TRIM($D246), Hoja4_2!$A$2:$L$10000, 4, 0), "Revisar")</f>
        <v>41220</v>
      </c>
      <c r="G246" s="7" t="str">
        <f aca="false">IFERROR(VLOOKUP(TRIM($D246), Hoja4_2!$A$2:$L$10000, 5, 0), "Revisar")</f>
        <v>MASCULINO</v>
      </c>
      <c r="H246" s="7" t="str">
        <f aca="false">IFERROR(VLOOKUP(TRIM($D246), Hoja4_2!$A$2:$L$10000, 7, 0), "Revisar")</f>
        <v>MARACAIBO</v>
      </c>
      <c r="I246" s="7" t="str">
        <f aca="false">IFERROR(VLOOKUP(TRIM($D246), Hoja4_2!$A$2:$L$10000, 9, 0), "Revisar")</f>
        <v>ZU</v>
      </c>
      <c r="J246" s="7" t="str">
        <f aca="false">IFERROR(VLOOKUP(TRIM($D246), Hoja4_2!$A$2:$L$10000, 12, 0), "Revisar")</f>
        <v>20685030</v>
      </c>
      <c r="K246" s="8" t="str">
        <f aca="false">TEXT(TRIM(D246),"0")</f>
        <v>34525856</v>
      </c>
      <c r="L246" s="1" t="str">
        <f aca="false">IF(F246="Revisar","NULL",CONCATENATE("'",TEXT(F246,"yyyy-mm-dd"),"'"))</f>
        <v>'2012-11-07'</v>
      </c>
      <c r="M246" s="9" t="str">
        <f aca="false">IF(G246="Revisar","NULL",CONCATENATE("'",MID(G246,1,1),"'"))</f>
        <v>'M'</v>
      </c>
      <c r="N246" s="9" t="str">
        <f aca="false">IF(H246="Revisar","NULL",CONCATENATE("'",H246,"'"))</f>
        <v>'MARACAIBO'</v>
      </c>
      <c r="O246" s="9" t="str">
        <f aca="false">IF(I246="Revisar","NULL",CONCATENATE("'",I246,"'"))</f>
        <v>'ZU'</v>
      </c>
      <c r="P246" s="1" t="str">
        <f aca="false">"UPDATE estudiantes SET fecha_nacimiento="&amp;L246&amp;", sexo="&amp;M246&amp;", lugar_nacimiento="&amp;N246&amp;", entidad_federal="&amp;O246&amp;" WHERE cedula='"&amp;K246&amp;"';"</f>
        <v>UPDATE estudiantes SET fecha_nacimiento='2012-11-07', sexo='M', lugar_nacimiento='MARACAIBO', entidad_federal='ZU' WHERE cedula='34525856';</v>
      </c>
    </row>
    <row r="247" customFormat="false" ht="14.9" hidden="false" customHeight="false" outlineLevel="0" collapsed="false">
      <c r="A247" s="1" t="s">
        <v>15</v>
      </c>
      <c r="B247" s="1" t="s">
        <v>192</v>
      </c>
      <c r="C247" s="1" t="s">
        <v>89</v>
      </c>
      <c r="D247" s="1" t="s">
        <v>270</v>
      </c>
      <c r="E247" s="2" t="n">
        <v>45923</v>
      </c>
      <c r="F247" s="2" t="n">
        <f aca="false">IFERROR(VLOOKUP(TRIM($D247), Hoja4_2!$A$2:$L$10000, 4, 0), "Revisar")</f>
        <v>40920</v>
      </c>
      <c r="G247" s="7" t="str">
        <f aca="false">IFERROR(VLOOKUP(TRIM($D247), Hoja4_2!$A$2:$L$10000, 5, 0), "Revisar")</f>
        <v>MASCULINO</v>
      </c>
      <c r="H247" s="7" t="str">
        <f aca="false">IFERROR(VLOOKUP(TRIM($D247), Hoja4_2!$A$2:$L$10000, 7, 0), "Revisar")</f>
        <v>MARACAIBO</v>
      </c>
      <c r="I247" s="7" t="str">
        <f aca="false">IFERROR(VLOOKUP(TRIM($D247), Hoja4_2!$A$2:$L$10000, 9, 0), "Revisar")</f>
        <v>ZU</v>
      </c>
      <c r="J247" s="7" t="str">
        <f aca="false">IFERROR(VLOOKUP(TRIM($D247), Hoja4_2!$A$2:$L$10000, 12, 0), "Revisar")</f>
        <v>20442234</v>
      </c>
      <c r="K247" s="8" t="str">
        <f aca="false">TEXT(TRIM(D247),"0")</f>
        <v>34525861</v>
      </c>
      <c r="L247" s="1" t="str">
        <f aca="false">IF(F247="Revisar","NULL",CONCATENATE("'",TEXT(F247,"yyyy-mm-dd"),"'"))</f>
        <v>'2012-01-12'</v>
      </c>
      <c r="M247" s="9" t="str">
        <f aca="false">IF(G247="Revisar","NULL",CONCATENATE("'",MID(G247,1,1),"'"))</f>
        <v>'M'</v>
      </c>
      <c r="N247" s="9" t="str">
        <f aca="false">IF(H247="Revisar","NULL",CONCATENATE("'",H247,"'"))</f>
        <v>'MARACAIBO'</v>
      </c>
      <c r="O247" s="9" t="str">
        <f aca="false">IF(I247="Revisar","NULL",CONCATENATE("'",I247,"'"))</f>
        <v>'ZU'</v>
      </c>
      <c r="P247" s="1" t="str">
        <f aca="false">"UPDATE estudiantes SET fecha_nacimiento="&amp;L247&amp;", sexo="&amp;M247&amp;", lugar_nacimiento="&amp;N247&amp;", entidad_federal="&amp;O247&amp;" WHERE cedula='"&amp;K247&amp;"';"</f>
        <v>UPDATE estudiantes SET fecha_nacimiento='2012-01-12', sexo='M', lugar_nacimiento='MARACAIBO', entidad_federal='ZU' WHERE cedula='34525861';</v>
      </c>
    </row>
    <row r="248" customFormat="false" ht="14.9" hidden="false" customHeight="false" outlineLevel="0" collapsed="false">
      <c r="A248" s="1" t="s">
        <v>15</v>
      </c>
      <c r="B248" s="1" t="s">
        <v>192</v>
      </c>
      <c r="C248" s="1" t="s">
        <v>89</v>
      </c>
      <c r="D248" s="1" t="s">
        <v>271</v>
      </c>
      <c r="E248" s="2" t="n">
        <v>45923</v>
      </c>
      <c r="F248" s="2" t="n">
        <f aca="false">IFERROR(VLOOKUP(TRIM($D248), Hoja4_2!$A$2:$L$10000, 4, 0), "Revisar")</f>
        <v>40521</v>
      </c>
      <c r="G248" s="7" t="str">
        <f aca="false">IFERROR(VLOOKUP(TRIM($D248), Hoja4_2!$A$2:$L$10000, 5, 0), "Revisar")</f>
        <v>FEMENINO</v>
      </c>
      <c r="H248" s="7" t="str">
        <f aca="false">IFERROR(VLOOKUP(TRIM($D248), Hoja4_2!$A$2:$L$10000, 7, 0), "Revisar")</f>
        <v>MARACAIBO</v>
      </c>
      <c r="I248" s="7" t="str">
        <f aca="false">IFERROR(VLOOKUP(TRIM($D248), Hoja4_2!$A$2:$L$10000, 9, 0), "Revisar")</f>
        <v>ZU</v>
      </c>
      <c r="J248" s="7" t="str">
        <f aca="false">IFERROR(VLOOKUP(TRIM($D248), Hoja4_2!$A$2:$L$10000, 12, 0), "Revisar")</f>
        <v>24413275</v>
      </c>
      <c r="K248" s="8" t="str">
        <f aca="false">TEXT(TRIM(D248),"0")</f>
        <v>34674895</v>
      </c>
      <c r="L248" s="1" t="str">
        <f aca="false">IF(F248="Revisar","NULL",CONCATENATE("'",TEXT(F248,"yyyy-mm-dd"),"'"))</f>
        <v>'2010-12-09'</v>
      </c>
      <c r="M248" s="9" t="str">
        <f aca="false">IF(G248="Revisar","NULL",CONCATENATE("'",MID(G248,1,1),"'"))</f>
        <v>'F'</v>
      </c>
      <c r="N248" s="9" t="str">
        <f aca="false">IF(H248="Revisar","NULL",CONCATENATE("'",H248,"'"))</f>
        <v>'MARACAIBO'</v>
      </c>
      <c r="O248" s="9" t="str">
        <f aca="false">IF(I248="Revisar","NULL",CONCATENATE("'",I248,"'"))</f>
        <v>'ZU'</v>
      </c>
      <c r="P248" s="1" t="str">
        <f aca="false">"UPDATE estudiantes SET fecha_nacimiento="&amp;L248&amp;", sexo="&amp;M248&amp;", lugar_nacimiento="&amp;N248&amp;", entidad_federal="&amp;O248&amp;" WHERE cedula='"&amp;K248&amp;"';"</f>
        <v>UPDATE estudiantes SET fecha_nacimiento='2010-12-09', sexo='F', lugar_nacimiento='MARACAIBO', entidad_federal='ZU' WHERE cedula='34674895';</v>
      </c>
    </row>
    <row r="249" customFormat="false" ht="14.9" hidden="false" customHeight="false" outlineLevel="0" collapsed="false">
      <c r="A249" s="1" t="s">
        <v>15</v>
      </c>
      <c r="B249" s="1" t="s">
        <v>192</v>
      </c>
      <c r="C249" s="1" t="s">
        <v>89</v>
      </c>
      <c r="D249" s="1" t="s">
        <v>272</v>
      </c>
      <c r="E249" s="2" t="n">
        <v>45923</v>
      </c>
      <c r="F249" s="2" t="n">
        <f aca="false">IFERROR(VLOOKUP(TRIM($D249), Hoja4_2!$A$2:$L$10000, 4, 0), "Revisar")</f>
        <v>41190</v>
      </c>
      <c r="G249" s="7" t="str">
        <f aca="false">IFERROR(VLOOKUP(TRIM($D249), Hoja4_2!$A$2:$L$10000, 5, 0), "Revisar")</f>
        <v>MASCULINO</v>
      </c>
      <c r="H249" s="7" t="str">
        <f aca="false">IFERROR(VLOOKUP(TRIM($D249), Hoja4_2!$A$2:$L$10000, 7, 0), "Revisar")</f>
        <v>MARACAIBO</v>
      </c>
      <c r="I249" s="7" t="str">
        <f aca="false">IFERROR(VLOOKUP(TRIM($D249), Hoja4_2!$A$2:$L$10000, 9, 0), "Revisar")</f>
        <v>ZU</v>
      </c>
      <c r="J249" s="7" t="str">
        <f aca="false">IFERROR(VLOOKUP(TRIM($D249), Hoja4_2!$A$2:$L$10000, 12, 0), "Revisar")</f>
        <v>19178251</v>
      </c>
      <c r="K249" s="8" t="str">
        <f aca="false">TEXT(TRIM(D249),"0")</f>
        <v>34827759</v>
      </c>
      <c r="L249" s="1" t="str">
        <f aca="false">IF(F249="Revisar","NULL",CONCATENATE("'",TEXT(F249,"yyyy-mm-dd"),"'"))</f>
        <v>'2012-10-08'</v>
      </c>
      <c r="M249" s="9" t="str">
        <f aca="false">IF(G249="Revisar","NULL",CONCATENATE("'",MID(G249,1,1),"'"))</f>
        <v>'M'</v>
      </c>
      <c r="N249" s="9" t="str">
        <f aca="false">IF(H249="Revisar","NULL",CONCATENATE("'",H249,"'"))</f>
        <v>'MARACAIBO'</v>
      </c>
      <c r="O249" s="9" t="str">
        <f aca="false">IF(I249="Revisar","NULL",CONCATENATE("'",I249,"'"))</f>
        <v>'ZU'</v>
      </c>
      <c r="P249" s="1" t="str">
        <f aca="false">"UPDATE estudiantes SET fecha_nacimiento="&amp;L249&amp;", sexo="&amp;M249&amp;", lugar_nacimiento="&amp;N249&amp;", entidad_federal="&amp;O249&amp;" WHERE cedula='"&amp;K249&amp;"';"</f>
        <v>UPDATE estudiantes SET fecha_nacimiento='2012-10-08', sexo='M', lugar_nacimiento='MARACAIBO', entidad_federal='ZU' WHERE cedula='34827759';</v>
      </c>
    </row>
    <row r="250" customFormat="false" ht="14.9" hidden="false" customHeight="false" outlineLevel="0" collapsed="false">
      <c r="A250" s="1" t="s">
        <v>15</v>
      </c>
      <c r="B250" s="1" t="s">
        <v>192</v>
      </c>
      <c r="C250" s="1" t="s">
        <v>89</v>
      </c>
      <c r="D250" s="1" t="s">
        <v>273</v>
      </c>
      <c r="E250" s="2" t="n">
        <v>45923</v>
      </c>
      <c r="F250" s="2" t="n">
        <f aca="false">IFERROR(VLOOKUP(TRIM($D250), Hoja4_2!$A$2:$L$10000, 4, 0), "Revisar")</f>
        <v>41436</v>
      </c>
      <c r="G250" s="7" t="str">
        <f aca="false">IFERROR(VLOOKUP(TRIM($D250), Hoja4_2!$A$2:$L$10000, 5, 0), "Revisar")</f>
        <v>FEMENINO</v>
      </c>
      <c r="H250" s="7" t="str">
        <f aca="false">IFERROR(VLOOKUP(TRIM($D250), Hoja4_2!$A$2:$L$10000, 7, 0), "Revisar")</f>
        <v>MARACAIBO</v>
      </c>
      <c r="I250" s="7" t="str">
        <f aca="false">IFERROR(VLOOKUP(TRIM($D250), Hoja4_2!$A$2:$L$10000, 9, 0), "Revisar")</f>
        <v>ZU</v>
      </c>
      <c r="J250" s="7" t="str">
        <f aca="false">IFERROR(VLOOKUP(TRIM($D250), Hoja4_2!$A$2:$L$10000, 12, 0), "Revisar")</f>
        <v>20030555</v>
      </c>
      <c r="K250" s="8" t="str">
        <f aca="false">TEXT(TRIM(D250),"0")</f>
        <v>35022003</v>
      </c>
      <c r="L250" s="1" t="str">
        <f aca="false">IF(F250="Revisar","NULL",CONCATENATE("'",TEXT(F250,"yyyy-mm-dd"),"'"))</f>
        <v>'2013-06-11'</v>
      </c>
      <c r="M250" s="9" t="str">
        <f aca="false">IF(G250="Revisar","NULL",CONCATENATE("'",MID(G250,1,1),"'"))</f>
        <v>'F'</v>
      </c>
      <c r="N250" s="9" t="str">
        <f aca="false">IF(H250="Revisar","NULL",CONCATENATE("'",H250,"'"))</f>
        <v>'MARACAIBO'</v>
      </c>
      <c r="O250" s="9" t="str">
        <f aca="false">IF(I250="Revisar","NULL",CONCATENATE("'",I250,"'"))</f>
        <v>'ZU'</v>
      </c>
      <c r="P250" s="1" t="str">
        <f aca="false">"UPDATE estudiantes SET fecha_nacimiento="&amp;L250&amp;", sexo="&amp;M250&amp;", lugar_nacimiento="&amp;N250&amp;", entidad_federal="&amp;O250&amp;" WHERE cedula='"&amp;K250&amp;"';"</f>
        <v>UPDATE estudiantes SET fecha_nacimiento='2013-06-11', sexo='F', lugar_nacimiento='MARACAIBO', entidad_federal='ZU' WHERE cedula='35022003';</v>
      </c>
    </row>
    <row r="251" customFormat="false" ht="14.9" hidden="false" customHeight="false" outlineLevel="0" collapsed="false">
      <c r="A251" s="1" t="s">
        <v>15</v>
      </c>
      <c r="B251" s="1" t="s">
        <v>192</v>
      </c>
      <c r="C251" s="1" t="s">
        <v>89</v>
      </c>
      <c r="D251" s="1" t="s">
        <v>274</v>
      </c>
      <c r="E251" s="2" t="n">
        <v>45923</v>
      </c>
      <c r="F251" s="2" t="n">
        <f aca="false">IFERROR(VLOOKUP(TRIM($D251), Hoja4_2!$A$2:$L$10000, 4, 0), "Revisar")</f>
        <v>41314</v>
      </c>
      <c r="G251" s="7" t="str">
        <f aca="false">IFERROR(VLOOKUP(TRIM($D251), Hoja4_2!$A$2:$L$10000, 5, 0), "Revisar")</f>
        <v>FEMENINO</v>
      </c>
      <c r="H251" s="7" t="str">
        <f aca="false">IFERROR(VLOOKUP(TRIM($D251), Hoja4_2!$A$2:$L$10000, 7, 0), "Revisar")</f>
        <v>MARACAIBO</v>
      </c>
      <c r="I251" s="7" t="str">
        <f aca="false">IFERROR(VLOOKUP(TRIM($D251), Hoja4_2!$A$2:$L$10000, 9, 0), "Revisar")</f>
        <v>ZU</v>
      </c>
      <c r="J251" s="7" t="str">
        <f aca="false">IFERROR(VLOOKUP(TRIM($D251), Hoja4_2!$A$2:$L$10000, 12, 0), "Revisar")</f>
        <v>20779211</v>
      </c>
      <c r="K251" s="8" t="str">
        <f aca="false">TEXT(TRIM(D251),"0")</f>
        <v>35066345</v>
      </c>
      <c r="L251" s="1" t="str">
        <f aca="false">IF(F251="Revisar","NULL",CONCATENATE("'",TEXT(F251,"yyyy-mm-dd"),"'"))</f>
        <v>'2013-02-09'</v>
      </c>
      <c r="M251" s="9" t="str">
        <f aca="false">IF(G251="Revisar","NULL",CONCATENATE("'",MID(G251,1,1),"'"))</f>
        <v>'F'</v>
      </c>
      <c r="N251" s="9" t="str">
        <f aca="false">IF(H251="Revisar","NULL",CONCATENATE("'",H251,"'"))</f>
        <v>'MARACAIBO'</v>
      </c>
      <c r="O251" s="9" t="str">
        <f aca="false">IF(I251="Revisar","NULL",CONCATENATE("'",I251,"'"))</f>
        <v>'ZU'</v>
      </c>
      <c r="P251" s="1" t="str">
        <f aca="false">"UPDATE estudiantes SET fecha_nacimiento="&amp;L251&amp;", sexo="&amp;M251&amp;", lugar_nacimiento="&amp;N251&amp;", entidad_federal="&amp;O251&amp;" WHERE cedula='"&amp;K251&amp;"';"</f>
        <v>UPDATE estudiantes SET fecha_nacimiento='2013-02-09', sexo='F', lugar_nacimiento='MARACAIBO', entidad_federal='ZU' WHERE cedula='35066345';</v>
      </c>
    </row>
    <row r="252" customFormat="false" ht="14.9" hidden="false" customHeight="false" outlineLevel="0" collapsed="false">
      <c r="A252" s="1" t="s">
        <v>15</v>
      </c>
      <c r="B252" s="1" t="s">
        <v>192</v>
      </c>
      <c r="C252" s="1" t="s">
        <v>89</v>
      </c>
      <c r="D252" s="1" t="s">
        <v>275</v>
      </c>
      <c r="E252" s="2" t="n">
        <v>45923</v>
      </c>
      <c r="F252" s="2" t="n">
        <f aca="false">IFERROR(VLOOKUP(TRIM($D252), Hoja4_2!$A$2:$L$10000, 4, 0), "Revisar")</f>
        <v>41228</v>
      </c>
      <c r="G252" s="7" t="str">
        <f aca="false">IFERROR(VLOOKUP(TRIM($D252), Hoja4_2!$A$2:$L$10000, 5, 0), "Revisar")</f>
        <v>FEMENINO</v>
      </c>
      <c r="H252" s="7" t="str">
        <f aca="false">IFERROR(VLOOKUP(TRIM($D252), Hoja4_2!$A$2:$L$10000, 7, 0), "Revisar")</f>
        <v>JESUS ENRIQUE LOSSADA</v>
      </c>
      <c r="I252" s="7" t="str">
        <f aca="false">IFERROR(VLOOKUP(TRIM($D252), Hoja4_2!$A$2:$L$10000, 9, 0), "Revisar")</f>
        <v>ZU</v>
      </c>
      <c r="J252" s="7" t="str">
        <f aca="false">IFERROR(VLOOKUP(TRIM($D252), Hoja4_2!$A$2:$L$10000, 12, 0), "Revisar")</f>
        <v>20030555</v>
      </c>
      <c r="K252" s="8" t="str">
        <f aca="false">TEXT(TRIM(D252),"0")</f>
        <v>35071084</v>
      </c>
      <c r="L252" s="1" t="str">
        <f aca="false">IF(F252="Revisar","NULL",CONCATENATE("'",TEXT(F252,"yyyy-mm-dd"),"'"))</f>
        <v>'2012-11-15'</v>
      </c>
      <c r="M252" s="9" t="str">
        <f aca="false">IF(G252="Revisar","NULL",CONCATENATE("'",MID(G252,1,1),"'"))</f>
        <v>'F'</v>
      </c>
      <c r="N252" s="9" t="str">
        <f aca="false">IF(H252="Revisar","NULL",CONCATENATE("'",H252,"'"))</f>
        <v>'JESUS ENRIQUE LOSSADA'</v>
      </c>
      <c r="O252" s="9" t="str">
        <f aca="false">IF(I252="Revisar","NULL",CONCATENATE("'",I252,"'"))</f>
        <v>'ZU'</v>
      </c>
      <c r="P252" s="1" t="str">
        <f aca="false">"UPDATE estudiantes SET fecha_nacimiento="&amp;L252&amp;", sexo="&amp;M252&amp;", lugar_nacimiento="&amp;N252&amp;", entidad_federal="&amp;O252&amp;" WHERE cedula='"&amp;K252&amp;"';"</f>
        <v>UPDATE estudiantes SET fecha_nacimiento='2012-11-15', sexo='F', lugar_nacimiento='JESUS ENRIQUE LOSSADA', entidad_federal='ZU' WHERE cedula='35071084';</v>
      </c>
    </row>
    <row r="253" customFormat="false" ht="14.9" hidden="false" customHeight="false" outlineLevel="0" collapsed="false">
      <c r="A253" s="1" t="s">
        <v>15</v>
      </c>
      <c r="B253" s="1" t="s">
        <v>192</v>
      </c>
      <c r="C253" s="1" t="s">
        <v>89</v>
      </c>
      <c r="D253" s="1" t="s">
        <v>276</v>
      </c>
      <c r="E253" s="2" t="n">
        <v>45923</v>
      </c>
      <c r="F253" s="2" t="n">
        <f aca="false">IFERROR(VLOOKUP(TRIM($D253), Hoja4_2!$A$2:$L$10000, 4, 0), "Revisar")</f>
        <v>41085</v>
      </c>
      <c r="G253" s="7" t="str">
        <f aca="false">IFERROR(VLOOKUP(TRIM($D253), Hoja4_2!$A$2:$L$10000, 5, 0), "Revisar")</f>
        <v>MASCULINO</v>
      </c>
      <c r="H253" s="7" t="str">
        <f aca="false">IFERROR(VLOOKUP(TRIM($D253), Hoja4_2!$A$2:$L$10000, 7, 0), "Revisar")</f>
        <v>JESUS ENRIQUE LOSSADA</v>
      </c>
      <c r="I253" s="7" t="str">
        <f aca="false">IFERROR(VLOOKUP(TRIM($D253), Hoja4_2!$A$2:$L$10000, 9, 0), "Revisar")</f>
        <v>ZU</v>
      </c>
      <c r="J253" s="7" t="str">
        <f aca="false">IFERROR(VLOOKUP(TRIM($D253), Hoja4_2!$A$2:$L$10000, 12, 0), "Revisar")</f>
        <v>17071724</v>
      </c>
      <c r="K253" s="8" t="str">
        <f aca="false">TEXT(TRIM(D253),"0")</f>
        <v>35138178</v>
      </c>
      <c r="L253" s="1" t="str">
        <f aca="false">IF(F253="Revisar","NULL",CONCATENATE("'",TEXT(F253,"yyyy-mm-dd"),"'"))</f>
        <v>'2012-06-25'</v>
      </c>
      <c r="M253" s="9" t="str">
        <f aca="false">IF(G253="Revisar","NULL",CONCATENATE("'",MID(G253,1,1),"'"))</f>
        <v>'M'</v>
      </c>
      <c r="N253" s="9" t="str">
        <f aca="false">IF(H253="Revisar","NULL",CONCATENATE("'",H253,"'"))</f>
        <v>'JESUS ENRIQUE LOSSADA'</v>
      </c>
      <c r="O253" s="9" t="str">
        <f aca="false">IF(I253="Revisar","NULL",CONCATENATE("'",I253,"'"))</f>
        <v>'ZU'</v>
      </c>
      <c r="P253" s="1" t="str">
        <f aca="false">"UPDATE estudiantes SET fecha_nacimiento="&amp;L253&amp;", sexo="&amp;M253&amp;", lugar_nacimiento="&amp;N253&amp;", entidad_federal="&amp;O253&amp;" WHERE cedula='"&amp;K253&amp;"';"</f>
        <v>UPDATE estudiantes SET fecha_nacimiento='2012-06-25', sexo='M', lugar_nacimiento='JESUS ENRIQUE LOSSADA', entidad_federal='ZU' WHERE cedula='35138178';</v>
      </c>
    </row>
    <row r="254" customFormat="false" ht="14.9" hidden="false" customHeight="false" outlineLevel="0" collapsed="false">
      <c r="A254" s="1" t="s">
        <v>15</v>
      </c>
      <c r="B254" s="1" t="s">
        <v>192</v>
      </c>
      <c r="C254" s="1" t="s">
        <v>89</v>
      </c>
      <c r="D254" s="1" t="s">
        <v>277</v>
      </c>
      <c r="E254" s="2" t="n">
        <v>46034</v>
      </c>
      <c r="F254" s="2" t="n">
        <f aca="false">IFERROR(VLOOKUP(TRIM($D254), Hoja4_2!$A$2:$L$10000, 4, 0), "Revisar")</f>
        <v>41398</v>
      </c>
      <c r="G254" s="7" t="str">
        <f aca="false">IFERROR(VLOOKUP(TRIM($D254), Hoja4_2!$A$2:$L$10000, 5, 0), "Revisar")</f>
        <v>MASCULINO</v>
      </c>
      <c r="H254" s="7" t="str">
        <f aca="false">IFERROR(VLOOKUP(TRIM($D254), Hoja4_2!$A$2:$L$10000, 7, 0), "Revisar")</f>
        <v>JESUS ENRIQUE LOSSADA</v>
      </c>
      <c r="I254" s="7" t="str">
        <f aca="false">IFERROR(VLOOKUP(TRIM($D254), Hoja4_2!$A$2:$L$10000, 9, 0), "Revisar")</f>
        <v>ZU</v>
      </c>
      <c r="J254" s="7" t="str">
        <f aca="false">IFERROR(VLOOKUP(TRIM($D254), Hoja4_2!$A$2:$L$10000, 12, 0), "Revisar")</f>
        <v>16836588</v>
      </c>
      <c r="K254" s="8" t="str">
        <f aca="false">TEXT(TRIM(D254),"0")</f>
        <v>36303431</v>
      </c>
      <c r="L254" s="1" t="str">
        <f aca="false">IF(F254="Revisar","NULL",CONCATENATE("'",TEXT(F254,"yyyy-mm-dd"),"'"))</f>
        <v>'2013-05-04'</v>
      </c>
      <c r="M254" s="9" t="str">
        <f aca="false">IF(G254="Revisar","NULL",CONCATENATE("'",MID(G254,1,1),"'"))</f>
        <v>'M'</v>
      </c>
      <c r="N254" s="9" t="str">
        <f aca="false">IF(H254="Revisar","NULL",CONCATENATE("'",H254,"'"))</f>
        <v>'JESUS ENRIQUE LOSSADA'</v>
      </c>
      <c r="O254" s="9" t="str">
        <f aca="false">IF(I254="Revisar","NULL",CONCATENATE("'",I254,"'"))</f>
        <v>'ZU'</v>
      </c>
      <c r="P254" s="1" t="str">
        <f aca="false">"UPDATE estudiantes SET fecha_nacimiento="&amp;L254&amp;", sexo="&amp;M254&amp;", lugar_nacimiento="&amp;N254&amp;", entidad_federal="&amp;O254&amp;" WHERE cedula='"&amp;K254&amp;"';"</f>
        <v>UPDATE estudiantes SET fecha_nacimiento='2013-05-04', sexo='M', lugar_nacimiento='JESUS ENRIQUE LOSSADA', entidad_federal='ZU' WHERE cedula='36303431';</v>
      </c>
    </row>
    <row r="255" customFormat="false" ht="14.9" hidden="false" customHeight="false" outlineLevel="0" collapsed="false">
      <c r="A255" s="1" t="s">
        <v>15</v>
      </c>
      <c r="B255" s="1" t="s">
        <v>192</v>
      </c>
      <c r="C255" s="1" t="s">
        <v>89</v>
      </c>
      <c r="D255" s="1" t="s">
        <v>278</v>
      </c>
      <c r="E255" s="2" t="n">
        <v>45923</v>
      </c>
      <c r="F255" s="2" t="n">
        <f aca="false">IFERROR(VLOOKUP(TRIM($D255), Hoja4_2!$A$2:$L$10000, 4, 0), "Revisar")</f>
        <v>41034</v>
      </c>
      <c r="G255" s="7" t="str">
        <f aca="false">IFERROR(VLOOKUP(TRIM($D255), Hoja4_2!$A$2:$L$10000, 5, 0), "Revisar")</f>
        <v>FEMENINO</v>
      </c>
      <c r="H255" s="7" t="str">
        <f aca="false">IFERROR(VLOOKUP(TRIM($D255), Hoja4_2!$A$2:$L$10000, 7, 0), "Revisar")</f>
        <v>MARACAIBO</v>
      </c>
      <c r="I255" s="7" t="str">
        <f aca="false">IFERROR(VLOOKUP(TRIM($D255), Hoja4_2!$A$2:$L$10000, 9, 0), "Revisar")</f>
        <v>ZU</v>
      </c>
      <c r="J255" s="7" t="str">
        <f aca="false">IFERROR(VLOOKUP(TRIM($D255), Hoja4_2!$A$2:$L$10000, 12, 0), "Revisar")</f>
        <v>20834472</v>
      </c>
      <c r="K255" s="8" t="str">
        <f aca="false">TEXT(TRIM(D255),"0")</f>
        <v>36576270</v>
      </c>
      <c r="L255" s="1" t="str">
        <f aca="false">IF(F255="Revisar","NULL",CONCATENATE("'",TEXT(F255,"yyyy-mm-dd"),"'"))</f>
        <v>'2012-05-05'</v>
      </c>
      <c r="M255" s="9" t="str">
        <f aca="false">IF(G255="Revisar","NULL",CONCATENATE("'",MID(G255,1,1),"'"))</f>
        <v>'F'</v>
      </c>
      <c r="N255" s="9" t="str">
        <f aca="false">IF(H255="Revisar","NULL",CONCATENATE("'",H255,"'"))</f>
        <v>'MARACAIBO'</v>
      </c>
      <c r="O255" s="9" t="str">
        <f aca="false">IF(I255="Revisar","NULL",CONCATENATE("'",I255,"'"))</f>
        <v>'ZU'</v>
      </c>
      <c r="P255" s="1" t="str">
        <f aca="false">"UPDATE estudiantes SET fecha_nacimiento="&amp;L255&amp;", sexo="&amp;M255&amp;", lugar_nacimiento="&amp;N255&amp;", entidad_federal="&amp;O255&amp;" WHERE cedula='"&amp;K255&amp;"';"</f>
        <v>UPDATE estudiantes SET fecha_nacimiento='2012-05-05', sexo='F', lugar_nacimiento='MARACAIBO', entidad_federal='ZU' WHERE cedula='36576270';</v>
      </c>
    </row>
    <row r="256" customFormat="false" ht="14.9" hidden="false" customHeight="false" outlineLevel="0" collapsed="false">
      <c r="A256" s="1" t="s">
        <v>15</v>
      </c>
      <c r="B256" s="1" t="s">
        <v>192</v>
      </c>
      <c r="C256" s="1" t="s">
        <v>89</v>
      </c>
      <c r="D256" s="1" t="s">
        <v>279</v>
      </c>
      <c r="E256" s="2" t="n">
        <v>45923</v>
      </c>
      <c r="F256" s="2" t="n">
        <f aca="false">IFERROR(VLOOKUP(TRIM($D256), Hoja4_2!$A$2:$L$10000, 4, 0), "Revisar")</f>
        <v>41074</v>
      </c>
      <c r="G256" s="7" t="str">
        <f aca="false">IFERROR(VLOOKUP(TRIM($D256), Hoja4_2!$A$2:$L$10000, 5, 0), "Revisar")</f>
        <v>FEMENINO</v>
      </c>
      <c r="H256" s="7" t="str">
        <f aca="false">IFERROR(VLOOKUP(TRIM($D256), Hoja4_2!$A$2:$L$10000, 7, 0), "Revisar")</f>
        <v>JESUS ENRIQUE LOSSADA</v>
      </c>
      <c r="I256" s="7" t="str">
        <f aca="false">IFERROR(VLOOKUP(TRIM($D256), Hoja4_2!$A$2:$L$10000, 9, 0), "Revisar")</f>
        <v>ZU</v>
      </c>
      <c r="J256" s="7" t="str">
        <f aca="false">IFERROR(VLOOKUP(TRIM($D256), Hoja4_2!$A$2:$L$10000, 12, 0), "Revisar")</f>
        <v>19838570</v>
      </c>
      <c r="K256" s="8" t="str">
        <f aca="false">TEXT(TRIM(D256),"0")</f>
        <v>36613213</v>
      </c>
      <c r="L256" s="1" t="str">
        <f aca="false">IF(F256="Revisar","NULL",CONCATENATE("'",TEXT(F256,"yyyy-mm-dd"),"'"))</f>
        <v>'2012-06-14'</v>
      </c>
      <c r="M256" s="9" t="str">
        <f aca="false">IF(G256="Revisar","NULL",CONCATENATE("'",MID(G256,1,1),"'"))</f>
        <v>'F'</v>
      </c>
      <c r="N256" s="9" t="str">
        <f aca="false">IF(H256="Revisar","NULL",CONCATENATE("'",H256,"'"))</f>
        <v>'JESUS ENRIQUE LOSSADA'</v>
      </c>
      <c r="O256" s="9" t="str">
        <f aca="false">IF(I256="Revisar","NULL",CONCATENATE("'",I256,"'"))</f>
        <v>'ZU'</v>
      </c>
      <c r="P256" s="1" t="str">
        <f aca="false">"UPDATE estudiantes SET fecha_nacimiento="&amp;L256&amp;", sexo="&amp;M256&amp;", lugar_nacimiento="&amp;N256&amp;", entidad_federal="&amp;O256&amp;" WHERE cedula='"&amp;K256&amp;"';"</f>
        <v>UPDATE estudiantes SET fecha_nacimiento='2012-06-14', sexo='F', lugar_nacimiento='JESUS ENRIQUE LOSSADA', entidad_federal='ZU' WHERE cedula='36613213';</v>
      </c>
    </row>
    <row r="257" customFormat="false" ht="14.9" hidden="false" customHeight="false" outlineLevel="0" collapsed="false">
      <c r="A257" s="1" t="s">
        <v>15</v>
      </c>
      <c r="B257" s="1" t="s">
        <v>192</v>
      </c>
      <c r="C257" s="1" t="s">
        <v>89</v>
      </c>
      <c r="D257" s="1" t="s">
        <v>280</v>
      </c>
      <c r="E257" s="2" t="n">
        <v>45925</v>
      </c>
      <c r="F257" s="2" t="n">
        <f aca="false">IFERROR(VLOOKUP(TRIM($D257), Hoja4_2!$A$2:$L$10000, 4, 0), "Revisar")</f>
        <v>41196</v>
      </c>
      <c r="G257" s="7" t="str">
        <f aca="false">IFERROR(VLOOKUP(TRIM($D257), Hoja4_2!$A$2:$L$10000, 5, 0), "Revisar")</f>
        <v>MASCULINO</v>
      </c>
      <c r="H257" s="7" t="str">
        <f aca="false">IFERROR(VLOOKUP(TRIM($D257), Hoja4_2!$A$2:$L$10000, 7, 0), "Revisar")</f>
        <v>MARACAIBO</v>
      </c>
      <c r="I257" s="7" t="str">
        <f aca="false">IFERROR(VLOOKUP(TRIM($D257), Hoja4_2!$A$2:$L$10000, 9, 0), "Revisar")</f>
        <v>ZU</v>
      </c>
      <c r="J257" s="7" t="str">
        <f aca="false">IFERROR(VLOOKUP(TRIM($D257), Hoja4_2!$A$2:$L$10000, 12, 0), "Revisar")</f>
        <v>23466448</v>
      </c>
      <c r="K257" s="8" t="str">
        <f aca="false">TEXT(TRIM(D257),"0")</f>
        <v>36625212</v>
      </c>
      <c r="L257" s="1" t="str">
        <f aca="false">IF(F257="Revisar","NULL",CONCATENATE("'",TEXT(F257,"yyyy-mm-dd"),"'"))</f>
        <v>'2012-10-14'</v>
      </c>
      <c r="M257" s="9" t="str">
        <f aca="false">IF(G257="Revisar","NULL",CONCATENATE("'",MID(G257,1,1),"'"))</f>
        <v>'M'</v>
      </c>
      <c r="N257" s="9" t="str">
        <f aca="false">IF(H257="Revisar","NULL",CONCATENATE("'",H257,"'"))</f>
        <v>'MARACAIBO'</v>
      </c>
      <c r="O257" s="9" t="str">
        <f aca="false">IF(I257="Revisar","NULL",CONCATENATE("'",I257,"'"))</f>
        <v>'ZU'</v>
      </c>
      <c r="P257" s="1" t="str">
        <f aca="false">"UPDATE estudiantes SET fecha_nacimiento="&amp;L257&amp;", sexo="&amp;M257&amp;", lugar_nacimiento="&amp;N257&amp;", entidad_federal="&amp;O257&amp;" WHERE cedula='"&amp;K257&amp;"';"</f>
        <v>UPDATE estudiantes SET fecha_nacimiento='2012-10-14', sexo='M', lugar_nacimiento='MARACAIBO', entidad_federal='ZU' WHERE cedula='36625212';</v>
      </c>
    </row>
    <row r="258" customFormat="false" ht="14.9" hidden="false" customHeight="false" outlineLevel="0" collapsed="false">
      <c r="A258" s="1" t="s">
        <v>15</v>
      </c>
      <c r="B258" s="1" t="s">
        <v>192</v>
      </c>
      <c r="C258" s="1" t="s">
        <v>89</v>
      </c>
      <c r="D258" s="1" t="s">
        <v>281</v>
      </c>
      <c r="E258" s="2" t="n">
        <v>46000</v>
      </c>
      <c r="F258" s="2" t="n">
        <f aca="false">IFERROR(VLOOKUP(TRIM($D258), Hoja4_2!$A$2:$L$10000, 4, 0), "Revisar")</f>
        <v>40591</v>
      </c>
      <c r="G258" s="7" t="str">
        <f aca="false">IFERROR(VLOOKUP(TRIM($D258), Hoja4_2!$A$2:$L$10000, 5, 0), "Revisar")</f>
        <v>MASCULINO</v>
      </c>
      <c r="H258" s="7" t="str">
        <f aca="false">IFERROR(VLOOKUP(TRIM($D258), Hoja4_2!$A$2:$L$10000, 7, 0), "Revisar")</f>
        <v>MARACAIBO</v>
      </c>
      <c r="I258" s="7" t="str">
        <f aca="false">IFERROR(VLOOKUP(TRIM($D258), Hoja4_2!$A$2:$L$10000, 9, 0), "Revisar")</f>
        <v>ZU</v>
      </c>
      <c r="J258" s="7" t="str">
        <f aca="false">IFERROR(VLOOKUP(TRIM($D258), Hoja4_2!$A$2:$L$10000, 12, 0), "Revisar")</f>
        <v>19906306</v>
      </c>
      <c r="K258" s="8" t="str">
        <f aca="false">TEXT(TRIM(D258),"0")</f>
        <v>36672027</v>
      </c>
      <c r="L258" s="1" t="str">
        <f aca="false">IF(F258="Revisar","NULL",CONCATENATE("'",TEXT(F258,"yyyy-mm-dd"),"'"))</f>
        <v>'2011-02-17'</v>
      </c>
      <c r="M258" s="9" t="str">
        <f aca="false">IF(G258="Revisar","NULL",CONCATENATE("'",MID(G258,1,1),"'"))</f>
        <v>'M'</v>
      </c>
      <c r="N258" s="9" t="str">
        <f aca="false">IF(H258="Revisar","NULL",CONCATENATE("'",H258,"'"))</f>
        <v>'MARACAIBO'</v>
      </c>
      <c r="O258" s="9" t="str">
        <f aca="false">IF(I258="Revisar","NULL",CONCATENATE("'",I258,"'"))</f>
        <v>'ZU'</v>
      </c>
      <c r="P258" s="1" t="str">
        <f aca="false">"UPDATE estudiantes SET fecha_nacimiento="&amp;L258&amp;", sexo="&amp;M258&amp;", lugar_nacimiento="&amp;N258&amp;", entidad_federal="&amp;O258&amp;" WHERE cedula='"&amp;K258&amp;"';"</f>
        <v>UPDATE estudiantes SET fecha_nacimiento='2011-02-17', sexo='M', lugar_nacimiento='MARACAIBO', entidad_federal='ZU' WHERE cedula='36672027';</v>
      </c>
    </row>
    <row r="259" customFormat="false" ht="14.9" hidden="false" customHeight="false" outlineLevel="0" collapsed="false">
      <c r="A259" s="1" t="s">
        <v>15</v>
      </c>
      <c r="B259" s="1" t="s">
        <v>192</v>
      </c>
      <c r="C259" s="1" t="s">
        <v>89</v>
      </c>
      <c r="D259" s="1" t="s">
        <v>282</v>
      </c>
      <c r="E259" s="2" t="n">
        <v>45923</v>
      </c>
      <c r="F259" s="2" t="n">
        <f aca="false">IFERROR(VLOOKUP(TRIM($D259), Hoja4_2!$A$2:$L$10000, 4, 0), "Revisar")</f>
        <v>40327</v>
      </c>
      <c r="G259" s="7" t="str">
        <f aca="false">IFERROR(VLOOKUP(TRIM($D259), Hoja4_2!$A$2:$L$10000, 5, 0), "Revisar")</f>
        <v>MASCULINO</v>
      </c>
      <c r="H259" s="7" t="str">
        <f aca="false">IFERROR(VLOOKUP(TRIM($D259), Hoja4_2!$A$2:$L$10000, 7, 0), "Revisar")</f>
        <v>MARACAIBO</v>
      </c>
      <c r="I259" s="7" t="str">
        <f aca="false">IFERROR(VLOOKUP(TRIM($D259), Hoja4_2!$A$2:$L$10000, 9, 0), "Revisar")</f>
        <v>ZU</v>
      </c>
      <c r="J259" s="7" t="str">
        <f aca="false">IFERROR(VLOOKUP(TRIM($D259), Hoja4_2!$A$2:$L$10000, 12, 0), "Revisar")</f>
        <v>18384544</v>
      </c>
      <c r="K259" s="8" t="str">
        <f aca="false">TEXT(TRIM(D259),"0")</f>
        <v>11025296415</v>
      </c>
      <c r="L259" s="1" t="str">
        <f aca="false">IF(F259="Revisar","NULL",CONCATENATE("'",TEXT(F259,"yyyy-mm-dd"),"'"))</f>
        <v>'2010-05-29'</v>
      </c>
      <c r="M259" s="9" t="str">
        <f aca="false">IF(G259="Revisar","NULL",CONCATENATE("'",MID(G259,1,1),"'"))</f>
        <v>'M'</v>
      </c>
      <c r="N259" s="9" t="str">
        <f aca="false">IF(H259="Revisar","NULL",CONCATENATE("'",H259,"'"))</f>
        <v>'MARACAIBO'</v>
      </c>
      <c r="O259" s="9" t="str">
        <f aca="false">IF(I259="Revisar","NULL",CONCATENATE("'",I259,"'"))</f>
        <v>'ZU'</v>
      </c>
      <c r="P259" s="1" t="str">
        <f aca="false">"UPDATE estudiantes SET fecha_nacimiento="&amp;L259&amp;", sexo="&amp;M259&amp;", lugar_nacimiento="&amp;N259&amp;", entidad_federal="&amp;O259&amp;" WHERE cedula='"&amp;K259&amp;"';"</f>
        <v>UPDATE estudiantes SET fecha_nacimiento='2010-05-29', sexo='M', lugar_nacimiento='MARACAIBO', entidad_federal='ZU' WHERE cedula='11025296415';</v>
      </c>
    </row>
    <row r="260" customFormat="false" ht="14.9" hidden="false" customHeight="false" outlineLevel="0" collapsed="false">
      <c r="A260" s="1" t="s">
        <v>15</v>
      </c>
      <c r="B260" s="1" t="s">
        <v>192</v>
      </c>
      <c r="C260" s="1" t="s">
        <v>89</v>
      </c>
      <c r="D260" s="1" t="s">
        <v>283</v>
      </c>
      <c r="E260" s="2" t="n">
        <v>45923</v>
      </c>
      <c r="F260" s="2" t="n">
        <f aca="false">IFERROR(VLOOKUP(TRIM($D260), Hoja4_2!$A$2:$L$10000, 4, 0), "Revisar")</f>
        <v>40852</v>
      </c>
      <c r="G260" s="7" t="str">
        <f aca="false">IFERROR(VLOOKUP(TRIM($D260), Hoja4_2!$A$2:$L$10000, 5, 0), "Revisar")</f>
        <v>FEMENINO</v>
      </c>
      <c r="H260" s="7" t="str">
        <f aca="false">IFERROR(VLOOKUP(TRIM($D260), Hoja4_2!$A$2:$L$10000, 7, 0), "Revisar")</f>
        <v>SAN JUAN</v>
      </c>
      <c r="I260" s="7" t="str">
        <f aca="false">IFERROR(VLOOKUP(TRIM($D260), Hoja4_2!$A$2:$L$10000, 9, 0), "Revisar")</f>
        <v>EX</v>
      </c>
      <c r="J260" s="7" t="str">
        <f aca="false">IFERROR(VLOOKUP(TRIM($D260), Hoja4_2!$A$2:$L$10000, 12, 0), "Revisar")</f>
        <v>23466358</v>
      </c>
      <c r="K260" s="8" t="str">
        <f aca="false">TEXT(TRIM(D260),"0")</f>
        <v>11123466358</v>
      </c>
      <c r="L260" s="1" t="str">
        <f aca="false">IF(F260="Revisar","NULL",CONCATENATE("'",TEXT(F260,"yyyy-mm-dd"),"'"))</f>
        <v>'2011-11-05'</v>
      </c>
      <c r="M260" s="9" t="str">
        <f aca="false">IF(G260="Revisar","NULL",CONCATENATE("'",MID(G260,1,1),"'"))</f>
        <v>'F'</v>
      </c>
      <c r="N260" s="9" t="str">
        <f aca="false">IF(H260="Revisar","NULL",CONCATENATE("'",H260,"'"))</f>
        <v>'SAN JUAN'</v>
      </c>
      <c r="O260" s="9" t="str">
        <f aca="false">IF(I260="Revisar","NULL",CONCATENATE("'",I260,"'"))</f>
        <v>'EX'</v>
      </c>
      <c r="P260" s="1" t="str">
        <f aca="false">"UPDATE estudiantes SET fecha_nacimiento="&amp;L260&amp;", sexo="&amp;M260&amp;", lugar_nacimiento="&amp;N260&amp;", entidad_federal="&amp;O260&amp;" WHERE cedula='"&amp;K260&amp;"';"</f>
        <v>UPDATE estudiantes SET fecha_nacimiento='2011-11-05', sexo='F', lugar_nacimiento='SAN JUAN', entidad_federal='EX' WHERE cedula='11123466358';</v>
      </c>
    </row>
    <row r="261" customFormat="false" ht="14.9" hidden="false" customHeight="false" outlineLevel="0" collapsed="false">
      <c r="A261" s="1" t="s">
        <v>15</v>
      </c>
      <c r="B261" s="1" t="s">
        <v>192</v>
      </c>
      <c r="C261" s="1" t="s">
        <v>89</v>
      </c>
      <c r="D261" s="1" t="s">
        <v>284</v>
      </c>
      <c r="E261" s="2" t="n">
        <v>45923</v>
      </c>
      <c r="F261" s="2" t="n">
        <f aca="false">IFERROR(VLOOKUP(TRIM($D261), Hoja4_2!$A$2:$L$10000, 4, 0), "Revisar")</f>
        <v>41178</v>
      </c>
      <c r="G261" s="7" t="str">
        <f aca="false">IFERROR(VLOOKUP(TRIM($D261), Hoja4_2!$A$2:$L$10000, 5, 0), "Revisar")</f>
        <v>MASCULINO</v>
      </c>
      <c r="H261" s="7" t="str">
        <f aca="false">IFERROR(VLOOKUP(TRIM($D261), Hoja4_2!$A$2:$L$10000, 7, 0), "Revisar")</f>
        <v>MARACAIBO</v>
      </c>
      <c r="I261" s="7" t="str">
        <f aca="false">IFERROR(VLOOKUP(TRIM($D261), Hoja4_2!$A$2:$L$10000, 9, 0), "Revisar")</f>
        <v>ZU</v>
      </c>
      <c r="J261" s="7" t="str">
        <f aca="false">IFERROR(VLOOKUP(TRIM($D261), Hoja4_2!$A$2:$L$10000, 12, 0), "Revisar")</f>
        <v>07773194</v>
      </c>
      <c r="K261" s="8" t="str">
        <f aca="false">TEXT(TRIM(D261),"0")</f>
        <v>11207773194</v>
      </c>
      <c r="L261" s="1" t="str">
        <f aca="false">IF(F261="Revisar","NULL",CONCATENATE("'",TEXT(F261,"yyyy-mm-dd"),"'"))</f>
        <v>'2012-09-26'</v>
      </c>
      <c r="M261" s="9" t="str">
        <f aca="false">IF(G261="Revisar","NULL",CONCATENATE("'",MID(G261,1,1),"'"))</f>
        <v>'M'</v>
      </c>
      <c r="N261" s="9" t="str">
        <f aca="false">IF(H261="Revisar","NULL",CONCATENATE("'",H261,"'"))</f>
        <v>'MARACAIBO'</v>
      </c>
      <c r="O261" s="9" t="str">
        <f aca="false">IF(I261="Revisar","NULL",CONCATENATE("'",I261,"'"))</f>
        <v>'ZU'</v>
      </c>
      <c r="P261" s="1" t="str">
        <f aca="false">"UPDATE estudiantes SET fecha_nacimiento="&amp;L261&amp;", sexo="&amp;M261&amp;", lugar_nacimiento="&amp;N261&amp;", entidad_federal="&amp;O261&amp;" WHERE cedula='"&amp;K261&amp;"';"</f>
        <v>UPDATE estudiantes SET fecha_nacimiento='2012-09-26', sexo='M', lugar_nacimiento='MARACAIBO', entidad_federal='ZU' WHERE cedula='11207773194';</v>
      </c>
    </row>
    <row r="262" customFormat="false" ht="14.9" hidden="false" customHeight="false" outlineLevel="0" collapsed="false">
      <c r="A262" s="1" t="s">
        <v>15</v>
      </c>
      <c r="B262" s="1" t="s">
        <v>192</v>
      </c>
      <c r="C262" s="1" t="s">
        <v>89</v>
      </c>
      <c r="D262" s="1" t="s">
        <v>285</v>
      </c>
      <c r="E262" s="2" t="n">
        <v>45923</v>
      </c>
      <c r="F262" s="2" t="n">
        <f aca="false">IFERROR(VLOOKUP(TRIM($D262), Hoja4_2!$A$2:$L$10000, 4, 0), "Revisar")</f>
        <v>41045</v>
      </c>
      <c r="G262" s="7" t="str">
        <f aca="false">IFERROR(VLOOKUP(TRIM($D262), Hoja4_2!$A$2:$L$10000, 5, 0), "Revisar")</f>
        <v>FEMENINO</v>
      </c>
      <c r="H262" s="7" t="str">
        <f aca="false">IFERROR(VLOOKUP(TRIM($D262), Hoja4_2!$A$2:$L$10000, 7, 0), "Revisar")</f>
        <v>MARACAIBO</v>
      </c>
      <c r="I262" s="7" t="str">
        <f aca="false">IFERROR(VLOOKUP(TRIM($D262), Hoja4_2!$A$2:$L$10000, 9, 0), "Revisar")</f>
        <v>ZU</v>
      </c>
      <c r="J262" s="7" t="str">
        <f aca="false">IFERROR(VLOOKUP(TRIM($D262), Hoja4_2!$A$2:$L$10000, 12, 0), "Revisar")</f>
        <v>12327525</v>
      </c>
      <c r="K262" s="8" t="str">
        <f aca="false">TEXT(TRIM(D262),"0")</f>
        <v>11212327525</v>
      </c>
      <c r="L262" s="1" t="str">
        <f aca="false">IF(F262="Revisar","NULL",CONCATENATE("'",TEXT(F262,"yyyy-mm-dd"),"'"))</f>
        <v>'2012-05-16'</v>
      </c>
      <c r="M262" s="9" t="str">
        <f aca="false">IF(G262="Revisar","NULL",CONCATENATE("'",MID(G262,1,1),"'"))</f>
        <v>'F'</v>
      </c>
      <c r="N262" s="9" t="str">
        <f aca="false">IF(H262="Revisar","NULL",CONCATENATE("'",H262,"'"))</f>
        <v>'MARACAIBO'</v>
      </c>
      <c r="O262" s="9" t="str">
        <f aca="false">IF(I262="Revisar","NULL",CONCATENATE("'",I262,"'"))</f>
        <v>'ZU'</v>
      </c>
      <c r="P262" s="1" t="str">
        <f aca="false">"UPDATE estudiantes SET fecha_nacimiento="&amp;L262&amp;", sexo="&amp;M262&amp;", lugar_nacimiento="&amp;N262&amp;", entidad_federal="&amp;O262&amp;" WHERE cedula='"&amp;K262&amp;"';"</f>
        <v>UPDATE estudiantes SET fecha_nacimiento='2012-05-16', sexo='F', lugar_nacimiento='MARACAIBO', entidad_federal='ZU' WHERE cedula='11212327525';</v>
      </c>
    </row>
    <row r="263" customFormat="false" ht="14.9" hidden="false" customHeight="false" outlineLevel="0" collapsed="false">
      <c r="A263" s="1" t="s">
        <v>15</v>
      </c>
      <c r="B263" s="1" t="s">
        <v>192</v>
      </c>
      <c r="C263" s="1" t="s">
        <v>89</v>
      </c>
      <c r="D263" s="1" t="s">
        <v>286</v>
      </c>
      <c r="E263" s="2" t="n">
        <v>45923</v>
      </c>
      <c r="F263" s="2" t="n">
        <f aca="false">IFERROR(VLOOKUP(TRIM($D263), Hoja4_2!$A$2:$L$10000, 4, 0), "Revisar")</f>
        <v>41042</v>
      </c>
      <c r="G263" s="7" t="str">
        <f aca="false">IFERROR(VLOOKUP(TRIM($D263), Hoja4_2!$A$2:$L$10000, 5, 0), "Revisar")</f>
        <v>MASCULINO</v>
      </c>
      <c r="H263" s="7" t="str">
        <f aca="false">IFERROR(VLOOKUP(TRIM($D263), Hoja4_2!$A$2:$L$10000, 7, 0), "Revisar")</f>
        <v>JESUS ENRIQUE LOSSADA</v>
      </c>
      <c r="I263" s="7" t="str">
        <f aca="false">IFERROR(VLOOKUP(TRIM($D263), Hoja4_2!$A$2:$L$10000, 9, 0), "Revisar")</f>
        <v>ZU</v>
      </c>
      <c r="J263" s="7" t="str">
        <f aca="false">IFERROR(VLOOKUP(TRIM($D263), Hoja4_2!$A$2:$L$10000, 12, 0), "Revisar")</f>
        <v>17566807</v>
      </c>
      <c r="K263" s="8" t="str">
        <f aca="false">TEXT(TRIM(D263),"0")</f>
        <v>11217566807</v>
      </c>
      <c r="L263" s="1" t="str">
        <f aca="false">IF(F263="Revisar","NULL",CONCATENATE("'",TEXT(F263,"yyyy-mm-dd"),"'"))</f>
        <v>'2012-05-13'</v>
      </c>
      <c r="M263" s="9" t="str">
        <f aca="false">IF(G263="Revisar","NULL",CONCATENATE("'",MID(G263,1,1),"'"))</f>
        <v>'M'</v>
      </c>
      <c r="N263" s="9" t="str">
        <f aca="false">IF(H263="Revisar","NULL",CONCATENATE("'",H263,"'"))</f>
        <v>'JESUS ENRIQUE LOSSADA'</v>
      </c>
      <c r="O263" s="9" t="str">
        <f aca="false">IF(I263="Revisar","NULL",CONCATENATE("'",I263,"'"))</f>
        <v>'ZU'</v>
      </c>
      <c r="P263" s="1" t="str">
        <f aca="false">"UPDATE estudiantes SET fecha_nacimiento="&amp;L263&amp;", sexo="&amp;M263&amp;", lugar_nacimiento="&amp;N263&amp;", entidad_federal="&amp;O263&amp;" WHERE cedula='"&amp;K263&amp;"';"</f>
        <v>UPDATE estudiantes SET fecha_nacimiento='2012-05-13', sexo='M', lugar_nacimiento='JESUS ENRIQUE LOSSADA', entidad_federal='ZU' WHERE cedula='11217566807';</v>
      </c>
    </row>
    <row r="264" customFormat="false" ht="14.9" hidden="false" customHeight="false" outlineLevel="0" collapsed="false">
      <c r="A264" s="1" t="s">
        <v>15</v>
      </c>
      <c r="B264" s="1" t="s">
        <v>192</v>
      </c>
      <c r="C264" s="1" t="s">
        <v>89</v>
      </c>
      <c r="D264" s="1" t="s">
        <v>287</v>
      </c>
      <c r="E264" s="2" t="n">
        <v>45923</v>
      </c>
      <c r="F264" s="2" t="n">
        <f aca="false">IFERROR(VLOOKUP(TRIM($D264), Hoja4_2!$A$2:$L$10000, 4, 0), "Revisar")</f>
        <v>41052</v>
      </c>
      <c r="G264" s="7" t="str">
        <f aca="false">IFERROR(VLOOKUP(TRIM($D264), Hoja4_2!$A$2:$L$10000, 5, 0), "Revisar")</f>
        <v>MASCULINO</v>
      </c>
      <c r="H264" s="7" t="str">
        <f aca="false">IFERROR(VLOOKUP(TRIM($D264), Hoja4_2!$A$2:$L$10000, 7, 0), "Revisar")</f>
        <v>MARACAIBO</v>
      </c>
      <c r="I264" s="7" t="str">
        <f aca="false">IFERROR(VLOOKUP(TRIM($D264), Hoja4_2!$A$2:$L$10000, 9, 0), "Revisar")</f>
        <v>ZU</v>
      </c>
      <c r="J264" s="7" t="str">
        <f aca="false">IFERROR(VLOOKUP(TRIM($D264), Hoja4_2!$A$2:$L$10000, 12, 0), "Revisar")</f>
        <v>18429572</v>
      </c>
      <c r="K264" s="8" t="str">
        <f aca="false">TEXT(TRIM(D264),"0")</f>
        <v>11218429572</v>
      </c>
      <c r="L264" s="1" t="str">
        <f aca="false">IF(F264="Revisar","NULL",CONCATENATE("'",TEXT(F264,"yyyy-mm-dd"),"'"))</f>
        <v>'2012-05-23'</v>
      </c>
      <c r="M264" s="9" t="str">
        <f aca="false">IF(G264="Revisar","NULL",CONCATENATE("'",MID(G264,1,1),"'"))</f>
        <v>'M'</v>
      </c>
      <c r="N264" s="9" t="str">
        <f aca="false">IF(H264="Revisar","NULL",CONCATENATE("'",H264,"'"))</f>
        <v>'MARACAIBO'</v>
      </c>
      <c r="O264" s="9" t="str">
        <f aca="false">IF(I264="Revisar","NULL",CONCATENATE("'",I264,"'"))</f>
        <v>'ZU'</v>
      </c>
      <c r="P264" s="1" t="str">
        <f aca="false">"UPDATE estudiantes SET fecha_nacimiento="&amp;L264&amp;", sexo="&amp;M264&amp;", lugar_nacimiento="&amp;N264&amp;", entidad_federal="&amp;O264&amp;" WHERE cedula='"&amp;K264&amp;"';"</f>
        <v>UPDATE estudiantes SET fecha_nacimiento='2012-05-23', sexo='M', lugar_nacimiento='MARACAIBO', entidad_federal='ZU' WHERE cedula='11218429572';</v>
      </c>
    </row>
    <row r="265" customFormat="false" ht="14.9" hidden="false" customHeight="false" outlineLevel="0" collapsed="false">
      <c r="A265" s="1" t="s">
        <v>15</v>
      </c>
      <c r="B265" s="1" t="s">
        <v>192</v>
      </c>
      <c r="C265" s="1" t="s">
        <v>89</v>
      </c>
      <c r="D265" s="1" t="s">
        <v>288</v>
      </c>
      <c r="E265" s="2" t="n">
        <v>45923</v>
      </c>
      <c r="F265" s="2" t="n">
        <f aca="false">IFERROR(VLOOKUP(TRIM($D265), Hoja4_2!$A$2:$L$10000, 4, 0), "Revisar")</f>
        <v>41102</v>
      </c>
      <c r="G265" s="7" t="str">
        <f aca="false">IFERROR(VLOOKUP(TRIM($D265), Hoja4_2!$A$2:$L$10000, 5, 0), "Revisar")</f>
        <v>MASCULINO</v>
      </c>
      <c r="H265" s="7" t="str">
        <f aca="false">IFERROR(VLOOKUP(TRIM($D265), Hoja4_2!$A$2:$L$10000, 7, 0), "Revisar")</f>
        <v>MARACAIBO</v>
      </c>
      <c r="I265" s="7" t="str">
        <f aca="false">IFERROR(VLOOKUP(TRIM($D265), Hoja4_2!$A$2:$L$10000, 9, 0), "Revisar")</f>
        <v>ZU</v>
      </c>
      <c r="J265" s="7" t="str">
        <f aca="false">IFERROR(VLOOKUP(TRIM($D265), Hoja4_2!$A$2:$L$10000, 12, 0), "Revisar")</f>
        <v>18822924</v>
      </c>
      <c r="K265" s="8" t="str">
        <f aca="false">TEXT(TRIM(D265),"0")</f>
        <v>11218822924</v>
      </c>
      <c r="L265" s="1" t="str">
        <f aca="false">IF(F265="Revisar","NULL",CONCATENATE("'",TEXT(F265,"yyyy-mm-dd"),"'"))</f>
        <v>'2012-07-12'</v>
      </c>
      <c r="M265" s="9" t="str">
        <f aca="false">IF(G265="Revisar","NULL",CONCATENATE("'",MID(G265,1,1),"'"))</f>
        <v>'M'</v>
      </c>
      <c r="N265" s="9" t="str">
        <f aca="false">IF(H265="Revisar","NULL",CONCATENATE("'",H265,"'"))</f>
        <v>'MARACAIBO'</v>
      </c>
      <c r="O265" s="9" t="str">
        <f aca="false">IF(I265="Revisar","NULL",CONCATENATE("'",I265,"'"))</f>
        <v>'ZU'</v>
      </c>
      <c r="P265" s="1" t="str">
        <f aca="false">"UPDATE estudiantes SET fecha_nacimiento="&amp;L265&amp;", sexo="&amp;M265&amp;", lugar_nacimiento="&amp;N265&amp;", entidad_federal="&amp;O265&amp;" WHERE cedula='"&amp;K265&amp;"';"</f>
        <v>UPDATE estudiantes SET fecha_nacimiento='2012-07-12', sexo='M', lugar_nacimiento='MARACAIBO', entidad_federal='ZU' WHERE cedula='11218822924';</v>
      </c>
    </row>
    <row r="266" customFormat="false" ht="14.9" hidden="false" customHeight="false" outlineLevel="0" collapsed="false">
      <c r="A266" s="1" t="s">
        <v>15</v>
      </c>
      <c r="B266" s="1" t="s">
        <v>192</v>
      </c>
      <c r="C266" s="1" t="s">
        <v>89</v>
      </c>
      <c r="D266" s="1" t="s">
        <v>289</v>
      </c>
      <c r="E266" s="2" t="n">
        <v>45923</v>
      </c>
      <c r="F266" s="2" t="n">
        <f aca="false">IFERROR(VLOOKUP(TRIM($D266), Hoja4_2!$A$2:$L$10000, 4, 0), "Revisar")</f>
        <v>40970</v>
      </c>
      <c r="G266" s="7" t="str">
        <f aca="false">IFERROR(VLOOKUP(TRIM($D266), Hoja4_2!$A$2:$L$10000, 5, 0), "Revisar")</f>
        <v>FEMENINO</v>
      </c>
      <c r="H266" s="7" t="str">
        <f aca="false">IFERROR(VLOOKUP(TRIM($D266), Hoja4_2!$A$2:$L$10000, 7, 0), "Revisar")</f>
        <v>MARACAIBO</v>
      </c>
      <c r="I266" s="7" t="str">
        <f aca="false">IFERROR(VLOOKUP(TRIM($D266), Hoja4_2!$A$2:$L$10000, 9, 0), "Revisar")</f>
        <v>ZU</v>
      </c>
      <c r="J266" s="7" t="str">
        <f aca="false">IFERROR(VLOOKUP(TRIM($D266), Hoja4_2!$A$2:$L$10000, 12, 0), "Revisar")</f>
        <v>18918505</v>
      </c>
      <c r="K266" s="8" t="str">
        <f aca="false">TEXT(TRIM(D266),"0")</f>
        <v>11218918505</v>
      </c>
      <c r="L266" s="1" t="str">
        <f aca="false">IF(F266="Revisar","NULL",CONCATENATE("'",TEXT(F266,"yyyy-mm-dd"),"'"))</f>
        <v>'2012-03-02'</v>
      </c>
      <c r="M266" s="9" t="str">
        <f aca="false">IF(G266="Revisar","NULL",CONCATENATE("'",MID(G266,1,1),"'"))</f>
        <v>'F'</v>
      </c>
      <c r="N266" s="9" t="str">
        <f aca="false">IF(H266="Revisar","NULL",CONCATENATE("'",H266,"'"))</f>
        <v>'MARACAIBO'</v>
      </c>
      <c r="O266" s="9" t="str">
        <f aca="false">IF(I266="Revisar","NULL",CONCATENATE("'",I266,"'"))</f>
        <v>'ZU'</v>
      </c>
      <c r="P266" s="1" t="str">
        <f aca="false">"UPDATE estudiantes SET fecha_nacimiento="&amp;L266&amp;", sexo="&amp;M266&amp;", lugar_nacimiento="&amp;N266&amp;", entidad_federal="&amp;O266&amp;" WHERE cedula='"&amp;K266&amp;"';"</f>
        <v>UPDATE estudiantes SET fecha_nacimiento='2012-03-02', sexo='F', lugar_nacimiento='MARACAIBO', entidad_federal='ZU' WHERE cedula='11218918505';</v>
      </c>
    </row>
    <row r="267" customFormat="false" ht="14.9" hidden="false" customHeight="false" outlineLevel="0" collapsed="false">
      <c r="A267" s="1" t="s">
        <v>15</v>
      </c>
      <c r="B267" s="1" t="s">
        <v>192</v>
      </c>
      <c r="C267" s="1" t="s">
        <v>89</v>
      </c>
      <c r="D267" s="1" t="s">
        <v>290</v>
      </c>
      <c r="E267" s="2" t="n">
        <v>45923</v>
      </c>
      <c r="F267" s="2" t="n">
        <f aca="false">IFERROR(VLOOKUP(TRIM($D267), Hoja4_2!$A$2:$L$10000, 4, 0), "Revisar")</f>
        <v>41069</v>
      </c>
      <c r="G267" s="7" t="str">
        <f aca="false">IFERROR(VLOOKUP(TRIM($D267), Hoja4_2!$A$2:$L$10000, 5, 0), "Revisar")</f>
        <v>FEMENINO</v>
      </c>
      <c r="H267" s="7" t="str">
        <f aca="false">IFERROR(VLOOKUP(TRIM($D267), Hoja4_2!$A$2:$L$10000, 7, 0), "Revisar")</f>
        <v>MARACAIBO</v>
      </c>
      <c r="I267" s="7" t="str">
        <f aca="false">IFERROR(VLOOKUP(TRIM($D267), Hoja4_2!$A$2:$L$10000, 9, 0), "Revisar")</f>
        <v>ZU</v>
      </c>
      <c r="J267" s="7" t="str">
        <f aca="false">IFERROR(VLOOKUP(TRIM($D267), Hoja4_2!$A$2:$L$10000, 12, 0), "Revisar")</f>
        <v>17565205</v>
      </c>
      <c r="K267" s="8" t="str">
        <f aca="false">TEXT(TRIM(D267),"0")</f>
        <v>11219211028</v>
      </c>
      <c r="L267" s="1" t="str">
        <f aca="false">IF(F267="Revisar","NULL",CONCATENATE("'",TEXT(F267,"yyyy-mm-dd"),"'"))</f>
        <v>'2012-06-09'</v>
      </c>
      <c r="M267" s="9" t="str">
        <f aca="false">IF(G267="Revisar","NULL",CONCATENATE("'",MID(G267,1,1),"'"))</f>
        <v>'F'</v>
      </c>
      <c r="N267" s="9" t="str">
        <f aca="false">IF(H267="Revisar","NULL",CONCATENATE("'",H267,"'"))</f>
        <v>'MARACAIBO'</v>
      </c>
      <c r="O267" s="9" t="str">
        <f aca="false">IF(I267="Revisar","NULL",CONCATENATE("'",I267,"'"))</f>
        <v>'ZU'</v>
      </c>
      <c r="P267" s="1" t="str">
        <f aca="false">"UPDATE estudiantes SET fecha_nacimiento="&amp;L267&amp;", sexo="&amp;M267&amp;", lugar_nacimiento="&amp;N267&amp;", entidad_federal="&amp;O267&amp;" WHERE cedula='"&amp;K267&amp;"';"</f>
        <v>UPDATE estudiantes SET fecha_nacimiento='2012-06-09', sexo='F', lugar_nacimiento='MARACAIBO', entidad_federal='ZU' WHERE cedula='11219211028';</v>
      </c>
    </row>
    <row r="268" customFormat="false" ht="14.9" hidden="false" customHeight="false" outlineLevel="0" collapsed="false">
      <c r="A268" s="1" t="s">
        <v>15</v>
      </c>
      <c r="B268" s="1" t="s">
        <v>192</v>
      </c>
      <c r="C268" s="1" t="s">
        <v>89</v>
      </c>
      <c r="D268" s="1" t="s">
        <v>291</v>
      </c>
      <c r="E268" s="2" t="n">
        <v>45923</v>
      </c>
      <c r="F268" s="2" t="n">
        <f aca="false">IFERROR(VLOOKUP(TRIM($D268), Hoja4_2!$A$2:$L$10000, 4, 0), "Revisar")</f>
        <v>41103</v>
      </c>
      <c r="G268" s="7" t="str">
        <f aca="false">IFERROR(VLOOKUP(TRIM($D268), Hoja4_2!$A$2:$L$10000, 5, 0), "Revisar")</f>
        <v>FEMENINO</v>
      </c>
      <c r="H268" s="7" t="str">
        <f aca="false">IFERROR(VLOOKUP(TRIM($D268), Hoja4_2!$A$2:$L$10000, 7, 0), "Revisar")</f>
        <v>MARACAIBO</v>
      </c>
      <c r="I268" s="7" t="str">
        <f aca="false">IFERROR(VLOOKUP(TRIM($D268), Hoja4_2!$A$2:$L$10000, 9, 0), "Revisar")</f>
        <v>ZU</v>
      </c>
      <c r="J268" s="7" t="str">
        <f aca="false">IFERROR(VLOOKUP(TRIM($D268), Hoja4_2!$A$2:$L$10000, 12, 0), "Revisar")</f>
        <v>21509628</v>
      </c>
      <c r="K268" s="8" t="str">
        <f aca="false">TEXT(TRIM(D268),"0")</f>
        <v>11221509628</v>
      </c>
      <c r="L268" s="1" t="str">
        <f aca="false">IF(F268="Revisar","NULL",CONCATENATE("'",TEXT(F268,"yyyy-mm-dd"),"'"))</f>
        <v>'2012-07-13'</v>
      </c>
      <c r="M268" s="9" t="str">
        <f aca="false">IF(G268="Revisar","NULL",CONCATENATE("'",MID(G268,1,1),"'"))</f>
        <v>'F'</v>
      </c>
      <c r="N268" s="9" t="str">
        <f aca="false">IF(H268="Revisar","NULL",CONCATENATE("'",H268,"'"))</f>
        <v>'MARACAIBO'</v>
      </c>
      <c r="O268" s="9" t="str">
        <f aca="false">IF(I268="Revisar","NULL",CONCATENATE("'",I268,"'"))</f>
        <v>'ZU'</v>
      </c>
      <c r="P268" s="1" t="str">
        <f aca="false">"UPDATE estudiantes SET fecha_nacimiento="&amp;L268&amp;", sexo="&amp;M268&amp;", lugar_nacimiento="&amp;N268&amp;", entidad_federal="&amp;O268&amp;" WHERE cedula='"&amp;K268&amp;"';"</f>
        <v>UPDATE estudiantes SET fecha_nacimiento='2012-07-13', sexo='F', lugar_nacimiento='MARACAIBO', entidad_federal='ZU' WHERE cedula='11221509628';</v>
      </c>
    </row>
    <row r="269" customFormat="false" ht="14.9" hidden="false" customHeight="false" outlineLevel="0" collapsed="false">
      <c r="A269" s="1" t="s">
        <v>15</v>
      </c>
      <c r="B269" s="1" t="s">
        <v>192</v>
      </c>
      <c r="C269" s="1" t="s">
        <v>89</v>
      </c>
      <c r="D269" s="1" t="s">
        <v>292</v>
      </c>
      <c r="E269" s="2" t="n">
        <v>45923</v>
      </c>
      <c r="F269" s="2" t="n">
        <f aca="false">IFERROR(VLOOKUP(TRIM($D269), Hoja4_2!$A$2:$L$10000, 4, 0), "Revisar")</f>
        <v>41166</v>
      </c>
      <c r="G269" s="7" t="str">
        <f aca="false">IFERROR(VLOOKUP(TRIM($D269), Hoja4_2!$A$2:$L$10000, 5, 0), "Revisar")</f>
        <v>FEMENINO</v>
      </c>
      <c r="H269" s="7" t="str">
        <f aca="false">IFERROR(VLOOKUP(TRIM($D269), Hoja4_2!$A$2:$L$10000, 7, 0), "Revisar")</f>
        <v>MARACAIBO</v>
      </c>
      <c r="I269" s="7" t="str">
        <f aca="false">IFERROR(VLOOKUP(TRIM($D269), Hoja4_2!$A$2:$L$10000, 9, 0), "Revisar")</f>
        <v>ZU</v>
      </c>
      <c r="J269" s="7" t="str">
        <f aca="false">IFERROR(VLOOKUP(TRIM($D269), Hoja4_2!$A$2:$L$10000, 12, 0), "Revisar")</f>
        <v>21510341</v>
      </c>
      <c r="K269" s="8" t="str">
        <f aca="false">TEXT(TRIM(D269),"0")</f>
        <v>11221510341</v>
      </c>
      <c r="L269" s="1" t="str">
        <f aca="false">IF(F269="Revisar","NULL",CONCATENATE("'",TEXT(F269,"yyyy-mm-dd"),"'"))</f>
        <v>'2012-09-14'</v>
      </c>
      <c r="M269" s="9" t="str">
        <f aca="false">IF(G269="Revisar","NULL",CONCATENATE("'",MID(G269,1,1),"'"))</f>
        <v>'F'</v>
      </c>
      <c r="N269" s="9" t="str">
        <f aca="false">IF(H269="Revisar","NULL",CONCATENATE("'",H269,"'"))</f>
        <v>'MARACAIBO'</v>
      </c>
      <c r="O269" s="9" t="str">
        <f aca="false">IF(I269="Revisar","NULL",CONCATENATE("'",I269,"'"))</f>
        <v>'ZU'</v>
      </c>
      <c r="P269" s="1" t="str">
        <f aca="false">"UPDATE estudiantes SET fecha_nacimiento="&amp;L269&amp;", sexo="&amp;M269&amp;", lugar_nacimiento="&amp;N269&amp;", entidad_federal="&amp;O269&amp;" WHERE cedula='"&amp;K269&amp;"';"</f>
        <v>UPDATE estudiantes SET fecha_nacimiento='2012-09-14', sexo='F', lugar_nacimiento='MARACAIBO', entidad_federal='ZU' WHERE cedula='11221510341';</v>
      </c>
    </row>
    <row r="270" customFormat="false" ht="14.9" hidden="false" customHeight="false" outlineLevel="0" collapsed="false">
      <c r="A270" s="1" t="s">
        <v>15</v>
      </c>
      <c r="B270" s="1" t="s">
        <v>192</v>
      </c>
      <c r="C270" s="1" t="s">
        <v>89</v>
      </c>
      <c r="D270" s="1" t="s">
        <v>293</v>
      </c>
      <c r="E270" s="2" t="n">
        <v>45923</v>
      </c>
      <c r="F270" s="2" t="n">
        <f aca="false">IFERROR(VLOOKUP(TRIM($D270), Hoja4_2!$A$2:$L$10000, 4, 0), "Revisar")</f>
        <v>41128</v>
      </c>
      <c r="G270" s="7" t="str">
        <f aca="false">IFERROR(VLOOKUP(TRIM($D270), Hoja4_2!$A$2:$L$10000, 5, 0), "Revisar")</f>
        <v>FEMENINO</v>
      </c>
      <c r="H270" s="7" t="str">
        <f aca="false">IFERROR(VLOOKUP(TRIM($D270), Hoja4_2!$A$2:$L$10000, 7, 0), "Revisar")</f>
        <v>MARACAIBO</v>
      </c>
      <c r="I270" s="7" t="str">
        <f aca="false">IFERROR(VLOOKUP(TRIM($D270), Hoja4_2!$A$2:$L$10000, 9, 0), "Revisar")</f>
        <v>ZU</v>
      </c>
      <c r="J270" s="7" t="str">
        <f aca="false">IFERROR(VLOOKUP(TRIM($D270), Hoja4_2!$A$2:$L$10000, 12, 0), "Revisar")</f>
        <v>22088262</v>
      </c>
      <c r="K270" s="8" t="str">
        <f aca="false">TEXT(TRIM(D270),"0")</f>
        <v>11222088262</v>
      </c>
      <c r="L270" s="1" t="str">
        <f aca="false">IF(F270="Revisar","NULL",CONCATENATE("'",TEXT(F270,"yyyy-mm-dd"),"'"))</f>
        <v>'2012-08-07'</v>
      </c>
      <c r="M270" s="9" t="str">
        <f aca="false">IF(G270="Revisar","NULL",CONCATENATE("'",MID(G270,1,1),"'"))</f>
        <v>'F'</v>
      </c>
      <c r="N270" s="9" t="str">
        <f aca="false">IF(H270="Revisar","NULL",CONCATENATE("'",H270,"'"))</f>
        <v>'MARACAIBO'</v>
      </c>
      <c r="O270" s="9" t="str">
        <f aca="false">IF(I270="Revisar","NULL",CONCATENATE("'",I270,"'"))</f>
        <v>'ZU'</v>
      </c>
      <c r="P270" s="1" t="str">
        <f aca="false">"UPDATE estudiantes SET fecha_nacimiento="&amp;L270&amp;", sexo="&amp;M270&amp;", lugar_nacimiento="&amp;N270&amp;", entidad_federal="&amp;O270&amp;" WHERE cedula='"&amp;K270&amp;"';"</f>
        <v>UPDATE estudiantes SET fecha_nacimiento='2012-08-07', sexo='F', lugar_nacimiento='MARACAIBO', entidad_federal='ZU' WHERE cedula='11222088262';</v>
      </c>
    </row>
    <row r="271" customFormat="false" ht="14.9" hidden="false" customHeight="false" outlineLevel="0" collapsed="false">
      <c r="A271" s="1" t="s">
        <v>15</v>
      </c>
      <c r="B271" s="1" t="s">
        <v>192</v>
      </c>
      <c r="C271" s="1" t="s">
        <v>89</v>
      </c>
      <c r="D271" s="1" t="s">
        <v>294</v>
      </c>
      <c r="E271" s="2" t="n">
        <v>45923</v>
      </c>
      <c r="F271" s="2" t="n">
        <f aca="false">IFERROR(VLOOKUP(TRIM($D271), Hoja4_2!$A$2:$L$10000, 4, 0), "Revisar")</f>
        <v>41054</v>
      </c>
      <c r="G271" s="7" t="str">
        <f aca="false">IFERROR(VLOOKUP(TRIM($D271), Hoja4_2!$A$2:$L$10000, 5, 0), "Revisar")</f>
        <v>FEMENINO</v>
      </c>
      <c r="H271" s="7" t="str">
        <f aca="false">IFERROR(VLOOKUP(TRIM($D271), Hoja4_2!$A$2:$L$10000, 7, 0), "Revisar")</f>
        <v>MARACAIBO</v>
      </c>
      <c r="I271" s="7" t="str">
        <f aca="false">IFERROR(VLOOKUP(TRIM($D271), Hoja4_2!$A$2:$L$10000, 9, 0), "Revisar")</f>
        <v>ZU</v>
      </c>
      <c r="J271" s="7" t="str">
        <f aca="false">IFERROR(VLOOKUP(TRIM($D271), Hoja4_2!$A$2:$L$10000, 12, 0), "Revisar")</f>
        <v>24249414</v>
      </c>
      <c r="K271" s="8" t="str">
        <f aca="false">TEXT(TRIM(D271),"0")</f>
        <v>11224249414</v>
      </c>
      <c r="L271" s="1" t="str">
        <f aca="false">IF(F271="Revisar","NULL",CONCATENATE("'",TEXT(F271,"yyyy-mm-dd"),"'"))</f>
        <v>'2012-05-25'</v>
      </c>
      <c r="M271" s="9" t="str">
        <f aca="false">IF(G271="Revisar","NULL",CONCATENATE("'",MID(G271,1,1),"'"))</f>
        <v>'F'</v>
      </c>
      <c r="N271" s="9" t="str">
        <f aca="false">IF(H271="Revisar","NULL",CONCATENATE("'",H271,"'"))</f>
        <v>'MARACAIBO'</v>
      </c>
      <c r="O271" s="9" t="str">
        <f aca="false">IF(I271="Revisar","NULL",CONCATENATE("'",I271,"'"))</f>
        <v>'ZU'</v>
      </c>
      <c r="P271" s="1" t="str">
        <f aca="false">"UPDATE estudiantes SET fecha_nacimiento="&amp;L271&amp;", sexo="&amp;M271&amp;", lugar_nacimiento="&amp;N271&amp;", entidad_federal="&amp;O271&amp;" WHERE cedula='"&amp;K271&amp;"';"</f>
        <v>UPDATE estudiantes SET fecha_nacimiento='2012-05-25', sexo='F', lugar_nacimiento='MARACAIBO', entidad_federal='ZU' WHERE cedula='11224249414';</v>
      </c>
    </row>
    <row r="272" customFormat="false" ht="14.9" hidden="false" customHeight="false" outlineLevel="0" collapsed="false">
      <c r="A272" s="1" t="s">
        <v>15</v>
      </c>
      <c r="B272" s="1" t="s">
        <v>192</v>
      </c>
      <c r="C272" s="1" t="s">
        <v>89</v>
      </c>
      <c r="D272" s="1" t="s">
        <v>295</v>
      </c>
      <c r="E272" s="2" t="n">
        <v>45923</v>
      </c>
      <c r="F272" s="2" t="n">
        <f aca="false">IFERROR(VLOOKUP(TRIM($D272), Hoja4_2!$A$2:$L$10000, 4, 0), "Revisar")</f>
        <v>41003</v>
      </c>
      <c r="G272" s="7" t="str">
        <f aca="false">IFERROR(VLOOKUP(TRIM($D272), Hoja4_2!$A$2:$L$10000, 5, 0), "Revisar")</f>
        <v>FEMENINO</v>
      </c>
      <c r="H272" s="7" t="str">
        <f aca="false">IFERROR(VLOOKUP(TRIM($D272), Hoja4_2!$A$2:$L$10000, 7, 0), "Revisar")</f>
        <v>MARACAIBO</v>
      </c>
      <c r="I272" s="7" t="str">
        <f aca="false">IFERROR(VLOOKUP(TRIM($D272), Hoja4_2!$A$2:$L$10000, 9, 0), "Revisar")</f>
        <v>ZU</v>
      </c>
      <c r="J272" s="7" t="str">
        <f aca="false">IFERROR(VLOOKUP(TRIM($D272), Hoja4_2!$A$2:$L$10000, 12, 0), "Revisar")</f>
        <v>24250421</v>
      </c>
      <c r="K272" s="8" t="str">
        <f aca="false">TEXT(TRIM(D272),"0")</f>
        <v>11224250421</v>
      </c>
      <c r="L272" s="1" t="str">
        <f aca="false">IF(F272="Revisar","NULL",CONCATENATE("'",TEXT(F272,"yyyy-mm-dd"),"'"))</f>
        <v>'2012-04-04'</v>
      </c>
      <c r="M272" s="9" t="str">
        <f aca="false">IF(G272="Revisar","NULL",CONCATENATE("'",MID(G272,1,1),"'"))</f>
        <v>'F'</v>
      </c>
      <c r="N272" s="9" t="str">
        <f aca="false">IF(H272="Revisar","NULL",CONCATENATE("'",H272,"'"))</f>
        <v>'MARACAIBO'</v>
      </c>
      <c r="O272" s="9" t="str">
        <f aca="false">IF(I272="Revisar","NULL",CONCATENATE("'",I272,"'"))</f>
        <v>'ZU'</v>
      </c>
      <c r="P272" s="1" t="str">
        <f aca="false">"UPDATE estudiantes SET fecha_nacimiento="&amp;L272&amp;", sexo="&amp;M272&amp;", lugar_nacimiento="&amp;N272&amp;", entidad_federal="&amp;O272&amp;" WHERE cedula='"&amp;K272&amp;"';"</f>
        <v>UPDATE estudiantes SET fecha_nacimiento='2012-04-04', sexo='F', lugar_nacimiento='MARACAIBO', entidad_federal='ZU' WHERE cedula='11224250421';</v>
      </c>
    </row>
    <row r="273" customFormat="false" ht="14.9" hidden="false" customHeight="false" outlineLevel="0" collapsed="false">
      <c r="A273" s="1" t="s">
        <v>15</v>
      </c>
      <c r="B273" s="1" t="s">
        <v>192</v>
      </c>
      <c r="C273" s="1" t="s">
        <v>89</v>
      </c>
      <c r="D273" s="1" t="s">
        <v>296</v>
      </c>
      <c r="E273" s="2" t="n">
        <v>45923</v>
      </c>
      <c r="F273" s="2" t="n">
        <f aca="false">IFERROR(VLOOKUP(TRIM($D273), Hoja4_2!$A$2:$L$10000, 4, 0), "Revisar")</f>
        <v>41346</v>
      </c>
      <c r="G273" s="7" t="str">
        <f aca="false">IFERROR(VLOOKUP(TRIM($D273), Hoja4_2!$A$2:$L$10000, 5, 0), "Revisar")</f>
        <v>FEMENINO</v>
      </c>
      <c r="H273" s="7" t="str">
        <f aca="false">IFERROR(VLOOKUP(TRIM($D273), Hoja4_2!$A$2:$L$10000, 7, 0), "Revisar")</f>
        <v>MARACAIBO</v>
      </c>
      <c r="I273" s="7" t="str">
        <f aca="false">IFERROR(VLOOKUP(TRIM($D273), Hoja4_2!$A$2:$L$10000, 9, 0), "Revisar")</f>
        <v>ZU</v>
      </c>
      <c r="J273" s="7" t="str">
        <f aca="false">IFERROR(VLOOKUP(TRIM($D273), Hoja4_2!$A$2:$L$10000, 12, 0), "Revisar")</f>
        <v>14207344</v>
      </c>
      <c r="K273" s="8" t="str">
        <f aca="false">TEXT(TRIM(D273),"0")</f>
        <v>11314207344</v>
      </c>
      <c r="L273" s="1" t="str">
        <f aca="false">IF(F273="Revisar","NULL",CONCATENATE("'",TEXT(F273,"yyyy-mm-dd"),"'"))</f>
        <v>'2013-03-13'</v>
      </c>
      <c r="M273" s="9" t="str">
        <f aca="false">IF(G273="Revisar","NULL",CONCATENATE("'",MID(G273,1,1),"'"))</f>
        <v>'F'</v>
      </c>
      <c r="N273" s="9" t="str">
        <f aca="false">IF(H273="Revisar","NULL",CONCATENATE("'",H273,"'"))</f>
        <v>'MARACAIBO'</v>
      </c>
      <c r="O273" s="9" t="str">
        <f aca="false">IF(I273="Revisar","NULL",CONCATENATE("'",I273,"'"))</f>
        <v>'ZU'</v>
      </c>
      <c r="P273" s="1" t="str">
        <f aca="false">"UPDATE estudiantes SET fecha_nacimiento="&amp;L273&amp;", sexo="&amp;M273&amp;", lugar_nacimiento="&amp;N273&amp;", entidad_federal="&amp;O273&amp;" WHERE cedula='"&amp;K273&amp;"';"</f>
        <v>UPDATE estudiantes SET fecha_nacimiento='2013-03-13', sexo='F', lugar_nacimiento='MARACAIBO', entidad_federal='ZU' WHERE cedula='11314207344';</v>
      </c>
    </row>
    <row r="274" customFormat="false" ht="14.9" hidden="false" customHeight="false" outlineLevel="0" collapsed="false">
      <c r="A274" s="1" t="s">
        <v>15</v>
      </c>
      <c r="B274" s="1" t="s">
        <v>192</v>
      </c>
      <c r="C274" s="1" t="s">
        <v>89</v>
      </c>
      <c r="D274" s="1" t="s">
        <v>297</v>
      </c>
      <c r="E274" s="2" t="n">
        <v>45923</v>
      </c>
      <c r="F274" s="2" t="n">
        <f aca="false">IFERROR(VLOOKUP(TRIM($D274), Hoja4_2!$A$2:$L$10000, 4, 0), "Revisar")</f>
        <v>41568</v>
      </c>
      <c r="G274" s="7" t="str">
        <f aca="false">IFERROR(VLOOKUP(TRIM($D274), Hoja4_2!$A$2:$L$10000, 5, 0), "Revisar")</f>
        <v>FEMENINO</v>
      </c>
      <c r="H274" s="7" t="str">
        <f aca="false">IFERROR(VLOOKUP(TRIM($D274), Hoja4_2!$A$2:$L$10000, 7, 0), "Revisar")</f>
        <v>JESUS ENRIQUE LOSSADA</v>
      </c>
      <c r="I274" s="7" t="str">
        <f aca="false">IFERROR(VLOOKUP(TRIM($D274), Hoja4_2!$A$2:$L$10000, 9, 0), "Revisar")</f>
        <v>ZU</v>
      </c>
      <c r="J274" s="7" t="str">
        <f aca="false">IFERROR(VLOOKUP(TRIM($D274), Hoja4_2!$A$2:$L$10000, 12, 0), "Revisar")</f>
        <v>17565051</v>
      </c>
      <c r="K274" s="8" t="str">
        <f aca="false">TEXT(TRIM(D274),"0")</f>
        <v>11317566051</v>
      </c>
      <c r="L274" s="1" t="str">
        <f aca="false">IF(F274="Revisar","NULL",CONCATENATE("'",TEXT(F274,"yyyy-mm-dd"),"'"))</f>
        <v>'2013-10-21'</v>
      </c>
      <c r="M274" s="9" t="str">
        <f aca="false">IF(G274="Revisar","NULL",CONCATENATE("'",MID(G274,1,1),"'"))</f>
        <v>'F'</v>
      </c>
      <c r="N274" s="9" t="str">
        <f aca="false">IF(H274="Revisar","NULL",CONCATENATE("'",H274,"'"))</f>
        <v>'JESUS ENRIQUE LOSSADA'</v>
      </c>
      <c r="O274" s="9" t="str">
        <f aca="false">IF(I274="Revisar","NULL",CONCATENATE("'",I274,"'"))</f>
        <v>'ZU'</v>
      </c>
      <c r="P274" s="1" t="str">
        <f aca="false">"UPDATE estudiantes SET fecha_nacimiento="&amp;L274&amp;", sexo="&amp;M274&amp;", lugar_nacimiento="&amp;N274&amp;", entidad_federal="&amp;O274&amp;" WHERE cedula='"&amp;K274&amp;"';"</f>
        <v>UPDATE estudiantes SET fecha_nacimiento='2013-10-21', sexo='F', lugar_nacimiento='JESUS ENRIQUE LOSSADA', entidad_federal='ZU' WHERE cedula='11317566051';</v>
      </c>
    </row>
    <row r="275" customFormat="false" ht="14.9" hidden="false" customHeight="false" outlineLevel="0" collapsed="false">
      <c r="A275" s="1" t="s">
        <v>15</v>
      </c>
      <c r="B275" s="1" t="s">
        <v>192</v>
      </c>
      <c r="C275" s="1" t="s">
        <v>89</v>
      </c>
      <c r="D275" s="1" t="s">
        <v>298</v>
      </c>
      <c r="E275" s="2" t="n">
        <v>45923</v>
      </c>
      <c r="F275" s="2" t="n">
        <f aca="false">IFERROR(VLOOKUP(TRIM($D275), Hoja4_2!$A$2:$L$10000, 4, 0), "Revisar")</f>
        <v>41551</v>
      </c>
      <c r="G275" s="7" t="str">
        <f aca="false">IFERROR(VLOOKUP(TRIM($D275), Hoja4_2!$A$2:$L$10000, 5, 0), "Revisar")</f>
        <v>MASCULINO</v>
      </c>
      <c r="H275" s="7" t="str">
        <f aca="false">IFERROR(VLOOKUP(TRIM($D275), Hoja4_2!$A$2:$L$10000, 7, 0), "Revisar")</f>
        <v>MARACAIBO</v>
      </c>
      <c r="I275" s="7" t="str">
        <f aca="false">IFERROR(VLOOKUP(TRIM($D275), Hoja4_2!$A$2:$L$10000, 9, 0), "Revisar")</f>
        <v>ZU</v>
      </c>
      <c r="J275" s="7" t="str">
        <f aca="false">IFERROR(VLOOKUP(TRIM($D275), Hoja4_2!$A$2:$L$10000, 12, 0), "Revisar")</f>
        <v>20204606</v>
      </c>
      <c r="K275" s="8" t="str">
        <f aca="false">TEXT(TRIM(D275),"0")</f>
        <v>11320204606</v>
      </c>
      <c r="L275" s="1" t="str">
        <f aca="false">IF(F275="Revisar","NULL",CONCATENATE("'",TEXT(F275,"yyyy-mm-dd"),"'"))</f>
        <v>'2013-10-04'</v>
      </c>
      <c r="M275" s="9" t="str">
        <f aca="false">IF(G275="Revisar","NULL",CONCATENATE("'",MID(G275,1,1),"'"))</f>
        <v>'M'</v>
      </c>
      <c r="N275" s="9" t="str">
        <f aca="false">IF(H275="Revisar","NULL",CONCATENATE("'",H275,"'"))</f>
        <v>'MARACAIBO'</v>
      </c>
      <c r="O275" s="9" t="str">
        <f aca="false">IF(I275="Revisar","NULL",CONCATENATE("'",I275,"'"))</f>
        <v>'ZU'</v>
      </c>
      <c r="P275" s="1" t="str">
        <f aca="false">"UPDATE estudiantes SET fecha_nacimiento="&amp;L275&amp;", sexo="&amp;M275&amp;", lugar_nacimiento="&amp;N275&amp;", entidad_federal="&amp;O275&amp;" WHERE cedula='"&amp;K275&amp;"';"</f>
        <v>UPDATE estudiantes SET fecha_nacimiento='2013-10-04', sexo='M', lugar_nacimiento='MARACAIBO', entidad_federal='ZU' WHERE cedula='11320204606';</v>
      </c>
    </row>
    <row r="276" customFormat="false" ht="14.9" hidden="false" customHeight="false" outlineLevel="0" collapsed="false">
      <c r="A276" s="1" t="s">
        <v>15</v>
      </c>
      <c r="B276" s="1" t="s">
        <v>192</v>
      </c>
      <c r="C276" s="1" t="s">
        <v>89</v>
      </c>
      <c r="D276" s="1" t="s">
        <v>299</v>
      </c>
      <c r="E276" s="2" t="n">
        <v>45923</v>
      </c>
      <c r="F276" s="2" t="n">
        <f aca="false">IFERROR(VLOOKUP(TRIM($D276), Hoja4_2!$A$2:$L$10000, 4, 0), "Revisar")</f>
        <v>41496</v>
      </c>
      <c r="G276" s="7" t="str">
        <f aca="false">IFERROR(VLOOKUP(TRIM($D276), Hoja4_2!$A$2:$L$10000, 5, 0), "Revisar")</f>
        <v>MASCULINO</v>
      </c>
      <c r="H276" s="7" t="str">
        <f aca="false">IFERROR(VLOOKUP(TRIM($D276), Hoja4_2!$A$2:$L$10000, 7, 0), "Revisar")</f>
        <v>MARACAIBO</v>
      </c>
      <c r="I276" s="7" t="str">
        <f aca="false">IFERROR(VLOOKUP(TRIM($D276), Hoja4_2!$A$2:$L$10000, 9, 0), "Revisar")</f>
        <v>ZU</v>
      </c>
      <c r="J276" s="7" t="str">
        <f aca="false">IFERROR(VLOOKUP(TRIM($D276), Hoja4_2!$A$2:$L$10000, 12, 0), "Revisar")</f>
        <v>22152681</v>
      </c>
      <c r="K276" s="8" t="str">
        <f aca="false">TEXT(TRIM(D276),"0")</f>
        <v>11322152681</v>
      </c>
      <c r="L276" s="1" t="str">
        <f aca="false">IF(F276="Revisar","NULL",CONCATENATE("'",TEXT(F276,"yyyy-mm-dd"),"'"))</f>
        <v>'2013-08-10'</v>
      </c>
      <c r="M276" s="9" t="str">
        <f aca="false">IF(G276="Revisar","NULL",CONCATENATE("'",MID(G276,1,1),"'"))</f>
        <v>'M'</v>
      </c>
      <c r="N276" s="9" t="str">
        <f aca="false">IF(H276="Revisar","NULL",CONCATENATE("'",H276,"'"))</f>
        <v>'MARACAIBO'</v>
      </c>
      <c r="O276" s="9" t="str">
        <f aca="false">IF(I276="Revisar","NULL",CONCATENATE("'",I276,"'"))</f>
        <v>'ZU'</v>
      </c>
      <c r="P276" s="1" t="str">
        <f aca="false">"UPDATE estudiantes SET fecha_nacimiento="&amp;L276&amp;", sexo="&amp;M276&amp;", lugar_nacimiento="&amp;N276&amp;", entidad_federal="&amp;O276&amp;" WHERE cedula='"&amp;K276&amp;"';"</f>
        <v>UPDATE estudiantes SET fecha_nacimiento='2013-08-10', sexo='M', lugar_nacimiento='MARACAIBO', entidad_federal='ZU' WHERE cedula='11322152681';</v>
      </c>
    </row>
    <row r="277" customFormat="false" ht="14.9" hidden="false" customHeight="false" outlineLevel="0" collapsed="false">
      <c r="A277" s="1" t="s">
        <v>15</v>
      </c>
      <c r="B277" s="1" t="s">
        <v>192</v>
      </c>
      <c r="C277" s="1" t="s">
        <v>129</v>
      </c>
      <c r="D277" s="1" t="s">
        <v>300</v>
      </c>
      <c r="E277" s="2" t="n">
        <v>45924</v>
      </c>
      <c r="F277" s="2" t="n">
        <f aca="false">IFERROR(VLOOKUP(TRIM($D277), Hoja4_2!$A$2:$L$10000, 4, 0), "Revisar")</f>
        <v>40502</v>
      </c>
      <c r="G277" s="7" t="str">
        <f aca="false">IFERROR(VLOOKUP(TRIM($D277), Hoja4_2!$A$2:$L$10000, 5, 0), "Revisar")</f>
        <v>MASCULINO</v>
      </c>
      <c r="H277" s="7" t="str">
        <f aca="false">IFERROR(VLOOKUP(TRIM($D277), Hoja4_2!$A$2:$L$10000, 7, 0), "Revisar")</f>
        <v>MARACAIBO</v>
      </c>
      <c r="I277" s="7" t="str">
        <f aca="false">IFERROR(VLOOKUP(TRIM($D277), Hoja4_2!$A$2:$L$10000, 9, 0), "Revisar")</f>
        <v>ZU</v>
      </c>
      <c r="J277" s="7" t="str">
        <f aca="false">IFERROR(VLOOKUP(TRIM($D277), Hoja4_2!$A$2:$L$10000, 12, 0), "Revisar")</f>
        <v>13001482</v>
      </c>
      <c r="K277" s="8" t="str">
        <f aca="false">TEXT(TRIM(D277),"0")</f>
        <v>33724640</v>
      </c>
      <c r="L277" s="1" t="str">
        <f aca="false">IF(F277="Revisar","NULL",CONCATENATE("'",TEXT(F277,"yyyy-mm-dd"),"'"))</f>
        <v>'2010-11-20'</v>
      </c>
      <c r="M277" s="9" t="str">
        <f aca="false">IF(G277="Revisar","NULL",CONCATENATE("'",MID(G277,1,1),"'"))</f>
        <v>'M'</v>
      </c>
      <c r="N277" s="9" t="str">
        <f aca="false">IF(H277="Revisar","NULL",CONCATENATE("'",H277,"'"))</f>
        <v>'MARACAIBO'</v>
      </c>
      <c r="O277" s="9" t="str">
        <f aca="false">IF(I277="Revisar","NULL",CONCATENATE("'",I277,"'"))</f>
        <v>'ZU'</v>
      </c>
      <c r="P277" s="1" t="str">
        <f aca="false">"UPDATE estudiantes SET fecha_nacimiento="&amp;L277&amp;", sexo="&amp;M277&amp;", lugar_nacimiento="&amp;N277&amp;", entidad_federal="&amp;O277&amp;" WHERE cedula='"&amp;K277&amp;"';"</f>
        <v>UPDATE estudiantes SET fecha_nacimiento='2010-11-20', sexo='M', lugar_nacimiento='MARACAIBO', entidad_federal='ZU' WHERE cedula='33724640';</v>
      </c>
    </row>
    <row r="278" customFormat="false" ht="14.9" hidden="false" customHeight="false" outlineLevel="0" collapsed="false">
      <c r="A278" s="1" t="s">
        <v>15</v>
      </c>
      <c r="B278" s="1" t="s">
        <v>192</v>
      </c>
      <c r="C278" s="1" t="s">
        <v>129</v>
      </c>
      <c r="D278" s="1" t="s">
        <v>301</v>
      </c>
      <c r="E278" s="2" t="n">
        <v>45925</v>
      </c>
      <c r="F278" s="2" t="n">
        <f aca="false">IFERROR(VLOOKUP(TRIM($D278), Hoja4_2!$A$2:$L$10000, 4, 0), "Revisar")</f>
        <v>40255</v>
      </c>
      <c r="G278" s="7" t="str">
        <f aca="false">IFERROR(VLOOKUP(TRIM($D278), Hoja4_2!$A$2:$L$10000, 5, 0), "Revisar")</f>
        <v>MASCULINO</v>
      </c>
      <c r="H278" s="7" t="str">
        <f aca="false">IFERROR(VLOOKUP(TRIM($D278), Hoja4_2!$A$2:$L$10000, 7, 0), "Revisar")</f>
        <v>MARACAIBO</v>
      </c>
      <c r="I278" s="7" t="str">
        <f aca="false">IFERROR(VLOOKUP(TRIM($D278), Hoja4_2!$A$2:$L$10000, 9, 0), "Revisar")</f>
        <v>ZU</v>
      </c>
      <c r="J278" s="7" t="str">
        <f aca="false">IFERROR(VLOOKUP(TRIM($D278), Hoja4_2!$A$2:$L$10000, 12, 0), "Revisar")</f>
        <v>15260762</v>
      </c>
      <c r="K278" s="8" t="str">
        <f aca="false">TEXT(TRIM(D278),"0")</f>
        <v>34298726</v>
      </c>
      <c r="L278" s="1" t="str">
        <f aca="false">IF(F278="Revisar","NULL",CONCATENATE("'",TEXT(F278,"yyyy-mm-dd"),"'"))</f>
        <v>'2010-03-18'</v>
      </c>
      <c r="M278" s="9" t="str">
        <f aca="false">IF(G278="Revisar","NULL",CONCATENATE("'",MID(G278,1,1),"'"))</f>
        <v>'M'</v>
      </c>
      <c r="N278" s="9" t="str">
        <f aca="false">IF(H278="Revisar","NULL",CONCATENATE("'",H278,"'"))</f>
        <v>'MARACAIBO'</v>
      </c>
      <c r="O278" s="9" t="str">
        <f aca="false">IF(I278="Revisar","NULL",CONCATENATE("'",I278,"'"))</f>
        <v>'ZU'</v>
      </c>
      <c r="P278" s="1" t="str">
        <f aca="false">"UPDATE estudiantes SET fecha_nacimiento="&amp;L278&amp;", sexo="&amp;M278&amp;", lugar_nacimiento="&amp;N278&amp;", entidad_federal="&amp;O278&amp;" WHERE cedula='"&amp;K278&amp;"';"</f>
        <v>UPDATE estudiantes SET fecha_nacimiento='2010-03-18', sexo='M', lugar_nacimiento='MARACAIBO', entidad_federal='ZU' WHERE cedula='34298726';</v>
      </c>
    </row>
    <row r="279" customFormat="false" ht="14.9" hidden="false" customHeight="false" outlineLevel="0" collapsed="false">
      <c r="A279" s="1" t="s">
        <v>15</v>
      </c>
      <c r="B279" s="1" t="s">
        <v>192</v>
      </c>
      <c r="C279" s="1" t="s">
        <v>129</v>
      </c>
      <c r="D279" s="1" t="s">
        <v>302</v>
      </c>
      <c r="E279" s="2" t="n">
        <v>45924</v>
      </c>
      <c r="F279" s="2" t="n">
        <f aca="false">IFERROR(VLOOKUP(TRIM($D279), Hoja4_2!$A$2:$L$10000, 4, 0), "Revisar")</f>
        <v>41020</v>
      </c>
      <c r="G279" s="7" t="str">
        <f aca="false">IFERROR(VLOOKUP(TRIM($D279), Hoja4_2!$A$2:$L$10000, 5, 0), "Revisar")</f>
        <v>FEMENINO</v>
      </c>
      <c r="H279" s="7" t="str">
        <f aca="false">IFERROR(VLOOKUP(TRIM($D279), Hoja4_2!$A$2:$L$10000, 7, 0), "Revisar")</f>
        <v>JESUS ENRIQUE LOSSADA </v>
      </c>
      <c r="I279" s="7" t="str">
        <f aca="false">IFERROR(VLOOKUP(TRIM($D279), Hoja4_2!$A$2:$L$10000, 9, 0), "Revisar")</f>
        <v>ZU</v>
      </c>
      <c r="J279" s="7" t="str">
        <f aca="false">IFERROR(VLOOKUP(TRIM($D279), Hoja4_2!$A$2:$L$10000, 12, 0), "Revisar")</f>
        <v>13001482</v>
      </c>
      <c r="K279" s="8" t="str">
        <f aca="false">TEXT(TRIM(D279),"0")</f>
        <v>34462342</v>
      </c>
      <c r="L279" s="1" t="str">
        <f aca="false">IF(F279="Revisar","NULL",CONCATENATE("'",TEXT(F279,"yyyy-mm-dd"),"'"))</f>
        <v>'2012-04-21'</v>
      </c>
      <c r="M279" s="9" t="str">
        <f aca="false">IF(G279="Revisar","NULL",CONCATENATE("'",MID(G279,1,1),"'"))</f>
        <v>'F'</v>
      </c>
      <c r="N279" s="9" t="str">
        <f aca="false">IF(H279="Revisar","NULL",CONCATENATE("'",H279,"'"))</f>
        <v>'JESUS ENRIQUE LOSSADA '</v>
      </c>
      <c r="O279" s="9" t="str">
        <f aca="false">IF(I279="Revisar","NULL",CONCATENATE("'",I279,"'"))</f>
        <v>'ZU'</v>
      </c>
      <c r="P279" s="1" t="str">
        <f aca="false">"UPDATE estudiantes SET fecha_nacimiento="&amp;L279&amp;", sexo="&amp;M279&amp;", lugar_nacimiento="&amp;N279&amp;", entidad_federal="&amp;O279&amp;" WHERE cedula='"&amp;K279&amp;"';"</f>
        <v>UPDATE estudiantes SET fecha_nacimiento='2012-04-21', sexo='F', lugar_nacimiento='JESUS ENRIQUE LOSSADA ', entidad_federal='ZU' WHERE cedula='34462342';</v>
      </c>
    </row>
    <row r="280" customFormat="false" ht="14.9" hidden="false" customHeight="false" outlineLevel="0" collapsed="false">
      <c r="A280" s="1" t="s">
        <v>15</v>
      </c>
      <c r="B280" s="1" t="s">
        <v>192</v>
      </c>
      <c r="C280" s="1" t="s">
        <v>129</v>
      </c>
      <c r="D280" s="1" t="s">
        <v>303</v>
      </c>
      <c r="E280" s="2" t="n">
        <v>45924</v>
      </c>
      <c r="F280" s="2" t="n">
        <f aca="false">IFERROR(VLOOKUP(TRIM($D280), Hoja4_2!$A$2:$L$10000, 4, 0), "Revisar")</f>
        <v>40998</v>
      </c>
      <c r="G280" s="7" t="str">
        <f aca="false">IFERROR(VLOOKUP(TRIM($D280), Hoja4_2!$A$2:$L$10000, 5, 0), "Revisar")</f>
        <v>FEMENINO</v>
      </c>
      <c r="H280" s="7" t="str">
        <f aca="false">IFERROR(VLOOKUP(TRIM($D280), Hoja4_2!$A$2:$L$10000, 7, 0), "Revisar")</f>
        <v>MARACAIBO</v>
      </c>
      <c r="I280" s="7" t="str">
        <f aca="false">IFERROR(VLOOKUP(TRIM($D280), Hoja4_2!$A$2:$L$10000, 9, 0), "Revisar")</f>
        <v>ZU</v>
      </c>
      <c r="J280" s="7" t="str">
        <f aca="false">IFERROR(VLOOKUP(TRIM($D280), Hoja4_2!$A$2:$L$10000, 12, 0), "Revisar")</f>
        <v>14737126</v>
      </c>
      <c r="K280" s="8" t="str">
        <f aca="false">TEXT(TRIM(D280),"0")</f>
        <v>34474803</v>
      </c>
      <c r="L280" s="1" t="str">
        <f aca="false">IF(F280="Revisar","NULL",CONCATENATE("'",TEXT(F280,"yyyy-mm-dd"),"'"))</f>
        <v>'2012-03-30'</v>
      </c>
      <c r="M280" s="9" t="str">
        <f aca="false">IF(G280="Revisar","NULL",CONCATENATE("'",MID(G280,1,1),"'"))</f>
        <v>'F'</v>
      </c>
      <c r="N280" s="9" t="str">
        <f aca="false">IF(H280="Revisar","NULL",CONCATENATE("'",H280,"'"))</f>
        <v>'MARACAIBO'</v>
      </c>
      <c r="O280" s="9" t="str">
        <f aca="false">IF(I280="Revisar","NULL",CONCATENATE("'",I280,"'"))</f>
        <v>'ZU'</v>
      </c>
      <c r="P280" s="1" t="str">
        <f aca="false">"UPDATE estudiantes SET fecha_nacimiento="&amp;L280&amp;", sexo="&amp;M280&amp;", lugar_nacimiento="&amp;N280&amp;", entidad_federal="&amp;O280&amp;" WHERE cedula='"&amp;K280&amp;"';"</f>
        <v>UPDATE estudiantes SET fecha_nacimiento='2012-03-30', sexo='F', lugar_nacimiento='MARACAIBO', entidad_federal='ZU' WHERE cedula='34474803';</v>
      </c>
    </row>
    <row r="281" customFormat="false" ht="14.9" hidden="false" customHeight="false" outlineLevel="0" collapsed="false">
      <c r="A281" s="1" t="s">
        <v>15</v>
      </c>
      <c r="B281" s="1" t="s">
        <v>192</v>
      </c>
      <c r="C281" s="1" t="s">
        <v>129</v>
      </c>
      <c r="D281" s="1" t="s">
        <v>304</v>
      </c>
      <c r="E281" s="2" t="n">
        <v>45924</v>
      </c>
      <c r="F281" s="2" t="n">
        <f aca="false">IFERROR(VLOOKUP(TRIM($D281), Hoja4_2!$A$2:$L$10000, 4, 0), "Revisar")</f>
        <v>40973</v>
      </c>
      <c r="G281" s="7" t="str">
        <f aca="false">IFERROR(VLOOKUP(TRIM($D281), Hoja4_2!$A$2:$L$10000, 5, 0), "Revisar")</f>
        <v>MASCULINO</v>
      </c>
      <c r="H281" s="7" t="str">
        <f aca="false">IFERROR(VLOOKUP(TRIM($D281), Hoja4_2!$A$2:$L$10000, 7, 0), "Revisar")</f>
        <v>MARACAIBO</v>
      </c>
      <c r="I281" s="7" t="str">
        <f aca="false">IFERROR(VLOOKUP(TRIM($D281), Hoja4_2!$A$2:$L$10000, 9, 0), "Revisar")</f>
        <v>ZU</v>
      </c>
      <c r="J281" s="7" t="str">
        <f aca="false">IFERROR(VLOOKUP(TRIM($D281), Hoja4_2!$A$2:$L$10000, 12, 0), "Revisar")</f>
        <v>21039265</v>
      </c>
      <c r="K281" s="8" t="str">
        <f aca="false">TEXT(TRIM(D281),"0")</f>
        <v>34550839</v>
      </c>
      <c r="L281" s="1" t="str">
        <f aca="false">IF(F281="Revisar","NULL",CONCATENATE("'",TEXT(F281,"yyyy-mm-dd"),"'"))</f>
        <v>'2012-03-05'</v>
      </c>
      <c r="M281" s="9" t="str">
        <f aca="false">IF(G281="Revisar","NULL",CONCATENATE("'",MID(G281,1,1),"'"))</f>
        <v>'M'</v>
      </c>
      <c r="N281" s="9" t="str">
        <f aca="false">IF(H281="Revisar","NULL",CONCATENATE("'",H281,"'"))</f>
        <v>'MARACAIBO'</v>
      </c>
      <c r="O281" s="9" t="str">
        <f aca="false">IF(I281="Revisar","NULL",CONCATENATE("'",I281,"'"))</f>
        <v>'ZU'</v>
      </c>
      <c r="P281" s="1" t="str">
        <f aca="false">"UPDATE estudiantes SET fecha_nacimiento="&amp;L281&amp;", sexo="&amp;M281&amp;", lugar_nacimiento="&amp;N281&amp;", entidad_federal="&amp;O281&amp;" WHERE cedula='"&amp;K281&amp;"';"</f>
        <v>UPDATE estudiantes SET fecha_nacimiento='2012-03-05', sexo='M', lugar_nacimiento='MARACAIBO', entidad_federal='ZU' WHERE cedula='34550839';</v>
      </c>
    </row>
    <row r="282" customFormat="false" ht="14.9" hidden="false" customHeight="false" outlineLevel="0" collapsed="false">
      <c r="A282" s="1" t="s">
        <v>15</v>
      </c>
      <c r="B282" s="1" t="s">
        <v>192</v>
      </c>
      <c r="C282" s="1" t="s">
        <v>129</v>
      </c>
      <c r="D282" s="1" t="s">
        <v>305</v>
      </c>
      <c r="E282" s="2" t="n">
        <v>45924</v>
      </c>
      <c r="F282" s="2" t="n">
        <f aca="false">IFERROR(VLOOKUP(TRIM($D282), Hoja4_2!$A$2:$L$10000, 4, 0), "Revisar")</f>
        <v>40836</v>
      </c>
      <c r="G282" s="7" t="str">
        <f aca="false">IFERROR(VLOOKUP(TRIM($D282), Hoja4_2!$A$2:$L$10000, 5, 0), "Revisar")</f>
        <v>MASCULINO</v>
      </c>
      <c r="H282" s="7" t="str">
        <f aca="false">IFERROR(VLOOKUP(TRIM($D282), Hoja4_2!$A$2:$L$10000, 7, 0), "Revisar")</f>
        <v>JESUS ENRIQUE LOSSADA</v>
      </c>
      <c r="I282" s="7" t="str">
        <f aca="false">IFERROR(VLOOKUP(TRIM($D282), Hoja4_2!$A$2:$L$10000, 9, 0), "Revisar")</f>
        <v>ZU</v>
      </c>
      <c r="J282" s="7" t="str">
        <f aca="false">IFERROR(VLOOKUP(TRIM($D282), Hoja4_2!$A$2:$L$10000, 12, 0), "Revisar")</f>
        <v>09743297</v>
      </c>
      <c r="K282" s="8" t="str">
        <f aca="false">TEXT(TRIM(D282),"0")</f>
        <v>34715473</v>
      </c>
      <c r="L282" s="1" t="str">
        <f aca="false">IF(F282="Revisar","NULL",CONCATENATE("'",TEXT(F282,"yyyy-mm-dd"),"'"))</f>
        <v>'2011-10-20'</v>
      </c>
      <c r="M282" s="9" t="str">
        <f aca="false">IF(G282="Revisar","NULL",CONCATENATE("'",MID(G282,1,1),"'"))</f>
        <v>'M'</v>
      </c>
      <c r="N282" s="9" t="str">
        <f aca="false">IF(H282="Revisar","NULL",CONCATENATE("'",H282,"'"))</f>
        <v>'JESUS ENRIQUE LOSSADA'</v>
      </c>
      <c r="O282" s="9" t="str">
        <f aca="false">IF(I282="Revisar","NULL",CONCATENATE("'",I282,"'"))</f>
        <v>'ZU'</v>
      </c>
      <c r="P282" s="1" t="str">
        <f aca="false">"UPDATE estudiantes SET fecha_nacimiento="&amp;L282&amp;", sexo="&amp;M282&amp;", lugar_nacimiento="&amp;N282&amp;", entidad_federal="&amp;O282&amp;" WHERE cedula='"&amp;K282&amp;"';"</f>
        <v>UPDATE estudiantes SET fecha_nacimiento='2011-10-20', sexo='M', lugar_nacimiento='JESUS ENRIQUE LOSSADA', entidad_federal='ZU' WHERE cedula='34715473';</v>
      </c>
    </row>
    <row r="283" customFormat="false" ht="14.9" hidden="false" customHeight="false" outlineLevel="0" collapsed="false">
      <c r="A283" s="1" t="s">
        <v>15</v>
      </c>
      <c r="B283" s="1" t="s">
        <v>192</v>
      </c>
      <c r="C283" s="1" t="s">
        <v>129</v>
      </c>
      <c r="D283" s="1" t="s">
        <v>306</v>
      </c>
      <c r="E283" s="2" t="n">
        <v>45924</v>
      </c>
      <c r="F283" s="2" t="n">
        <f aca="false">IFERROR(VLOOKUP(TRIM($D283), Hoja4_2!$A$2:$L$10000, 4, 0), "Revisar")</f>
        <v>41219</v>
      </c>
      <c r="G283" s="7" t="str">
        <f aca="false">IFERROR(VLOOKUP(TRIM($D283), Hoja4_2!$A$2:$L$10000, 5, 0), "Revisar")</f>
        <v>FEMENINO</v>
      </c>
      <c r="H283" s="7" t="str">
        <f aca="false">IFERROR(VLOOKUP(TRIM($D283), Hoja4_2!$A$2:$L$10000, 7, 0), "Revisar")</f>
        <v>MARACAIBO</v>
      </c>
      <c r="I283" s="7" t="str">
        <f aca="false">IFERROR(VLOOKUP(TRIM($D283), Hoja4_2!$A$2:$L$10000, 9, 0), "Revisar")</f>
        <v>ZU</v>
      </c>
      <c r="J283" s="7" t="str">
        <f aca="false">IFERROR(VLOOKUP(TRIM($D283), Hoja4_2!$A$2:$L$10000, 12, 0), "Revisar")</f>
        <v>17938271</v>
      </c>
      <c r="K283" s="8" t="str">
        <f aca="false">TEXT(TRIM(D283),"0")</f>
        <v>34810431</v>
      </c>
      <c r="L283" s="1" t="str">
        <f aca="false">IF(F283="Revisar","NULL",CONCATENATE("'",TEXT(F283,"yyyy-mm-dd"),"'"))</f>
        <v>'2012-11-06'</v>
      </c>
      <c r="M283" s="9" t="str">
        <f aca="false">IF(G283="Revisar","NULL",CONCATENATE("'",MID(G283,1,1),"'"))</f>
        <v>'F'</v>
      </c>
      <c r="N283" s="9" t="str">
        <f aca="false">IF(H283="Revisar","NULL",CONCATENATE("'",H283,"'"))</f>
        <v>'MARACAIBO'</v>
      </c>
      <c r="O283" s="9" t="str">
        <f aca="false">IF(I283="Revisar","NULL",CONCATENATE("'",I283,"'"))</f>
        <v>'ZU'</v>
      </c>
      <c r="P283" s="1" t="str">
        <f aca="false">"UPDATE estudiantes SET fecha_nacimiento="&amp;L283&amp;", sexo="&amp;M283&amp;", lugar_nacimiento="&amp;N283&amp;", entidad_federal="&amp;O283&amp;" WHERE cedula='"&amp;K283&amp;"';"</f>
        <v>UPDATE estudiantes SET fecha_nacimiento='2012-11-06', sexo='F', lugar_nacimiento='MARACAIBO', entidad_federal='ZU' WHERE cedula='34810431';</v>
      </c>
    </row>
    <row r="284" customFormat="false" ht="14.9" hidden="false" customHeight="false" outlineLevel="0" collapsed="false">
      <c r="A284" s="1" t="s">
        <v>15</v>
      </c>
      <c r="B284" s="1" t="s">
        <v>192</v>
      </c>
      <c r="C284" s="1" t="s">
        <v>129</v>
      </c>
      <c r="D284" s="1" t="s">
        <v>307</v>
      </c>
      <c r="E284" s="2" t="n">
        <v>45943</v>
      </c>
      <c r="F284" s="2" t="n">
        <f aca="false">IFERROR(VLOOKUP(TRIM($D284), Hoja4_2!$A$2:$L$10000, 4, 0), "Revisar")</f>
        <v>41170</v>
      </c>
      <c r="G284" s="7" t="str">
        <f aca="false">IFERROR(VLOOKUP(TRIM($D284), Hoja4_2!$A$2:$L$10000, 5, 0), "Revisar")</f>
        <v>MASCULINO</v>
      </c>
      <c r="H284" s="7" t="str">
        <f aca="false">IFERROR(VLOOKUP(TRIM($D284), Hoja4_2!$A$2:$L$10000, 7, 0), "Revisar")</f>
        <v>MARACAIBO</v>
      </c>
      <c r="I284" s="7" t="str">
        <f aca="false">IFERROR(VLOOKUP(TRIM($D284), Hoja4_2!$A$2:$L$10000, 9, 0), "Revisar")</f>
        <v>ZU</v>
      </c>
      <c r="J284" s="7" t="str">
        <f aca="false">IFERROR(VLOOKUP(TRIM($D284), Hoja4_2!$A$2:$L$10000, 12, 0), "Revisar")</f>
        <v>14458722</v>
      </c>
      <c r="K284" s="8" t="str">
        <f aca="false">TEXT(TRIM(D284),"0")</f>
        <v>35065504</v>
      </c>
      <c r="L284" s="1" t="str">
        <f aca="false">IF(F284="Revisar","NULL",CONCATENATE("'",TEXT(F284,"yyyy-mm-dd"),"'"))</f>
        <v>'2012-09-18'</v>
      </c>
      <c r="M284" s="9" t="str">
        <f aca="false">IF(G284="Revisar","NULL",CONCATENATE("'",MID(G284,1,1),"'"))</f>
        <v>'M'</v>
      </c>
      <c r="N284" s="9" t="str">
        <f aca="false">IF(H284="Revisar","NULL",CONCATENATE("'",H284,"'"))</f>
        <v>'MARACAIBO'</v>
      </c>
      <c r="O284" s="9" t="str">
        <f aca="false">IF(I284="Revisar","NULL",CONCATENATE("'",I284,"'"))</f>
        <v>'ZU'</v>
      </c>
      <c r="P284" s="1" t="str">
        <f aca="false">"UPDATE estudiantes SET fecha_nacimiento="&amp;L284&amp;", sexo="&amp;M284&amp;", lugar_nacimiento="&amp;N284&amp;", entidad_federal="&amp;O284&amp;" WHERE cedula='"&amp;K284&amp;"';"</f>
        <v>UPDATE estudiantes SET fecha_nacimiento='2012-09-18', sexo='M', lugar_nacimiento='MARACAIBO', entidad_federal='ZU' WHERE cedula='35065504';</v>
      </c>
    </row>
    <row r="285" customFormat="false" ht="14.9" hidden="false" customHeight="false" outlineLevel="0" collapsed="false">
      <c r="A285" s="1" t="s">
        <v>15</v>
      </c>
      <c r="B285" s="1" t="s">
        <v>192</v>
      </c>
      <c r="C285" s="1" t="s">
        <v>129</v>
      </c>
      <c r="D285" s="1" t="s">
        <v>308</v>
      </c>
      <c r="E285" s="2" t="n">
        <v>45924</v>
      </c>
      <c r="F285" s="2" t="n">
        <f aca="false">IFERROR(VLOOKUP(TRIM($D285), Hoja4_2!$A$2:$L$10000, 4, 0), "Revisar")</f>
        <v>41151</v>
      </c>
      <c r="G285" s="7" t="str">
        <f aca="false">IFERROR(VLOOKUP(TRIM($D285), Hoja4_2!$A$2:$L$10000, 5, 0), "Revisar")</f>
        <v>MASCULINO</v>
      </c>
      <c r="H285" s="7" t="str">
        <f aca="false">IFERROR(VLOOKUP(TRIM($D285), Hoja4_2!$A$2:$L$10000, 7, 0), "Revisar")</f>
        <v>MARACAIBO</v>
      </c>
      <c r="I285" s="7" t="str">
        <f aca="false">IFERROR(VLOOKUP(TRIM($D285), Hoja4_2!$A$2:$L$10000, 9, 0), "Revisar")</f>
        <v>ZU</v>
      </c>
      <c r="J285" s="7" t="str">
        <f aca="false">IFERROR(VLOOKUP(TRIM($D285), Hoja4_2!$A$2:$L$10000, 12, 0), "Revisar")</f>
        <v>14208461</v>
      </c>
      <c r="K285" s="8" t="str">
        <f aca="false">TEXT(TRIM(D285),"0")</f>
        <v>36242058</v>
      </c>
      <c r="L285" s="1" t="str">
        <f aca="false">IF(F285="Revisar","NULL",CONCATENATE("'",TEXT(F285,"yyyy-mm-dd"),"'"))</f>
        <v>'2012-08-30'</v>
      </c>
      <c r="M285" s="9" t="str">
        <f aca="false">IF(G285="Revisar","NULL",CONCATENATE("'",MID(G285,1,1),"'"))</f>
        <v>'M'</v>
      </c>
      <c r="N285" s="9" t="str">
        <f aca="false">IF(H285="Revisar","NULL",CONCATENATE("'",H285,"'"))</f>
        <v>'MARACAIBO'</v>
      </c>
      <c r="O285" s="9" t="str">
        <f aca="false">IF(I285="Revisar","NULL",CONCATENATE("'",I285,"'"))</f>
        <v>'ZU'</v>
      </c>
      <c r="P285" s="1" t="str">
        <f aca="false">"UPDATE estudiantes SET fecha_nacimiento="&amp;L285&amp;", sexo="&amp;M285&amp;", lugar_nacimiento="&amp;N285&amp;", entidad_federal="&amp;O285&amp;" WHERE cedula='"&amp;K285&amp;"';"</f>
        <v>UPDATE estudiantes SET fecha_nacimiento='2012-08-30', sexo='M', lugar_nacimiento='MARACAIBO', entidad_federal='ZU' WHERE cedula='36242058';</v>
      </c>
    </row>
    <row r="286" customFormat="false" ht="14.9" hidden="false" customHeight="false" outlineLevel="0" collapsed="false">
      <c r="A286" s="1" t="s">
        <v>15</v>
      </c>
      <c r="B286" s="1" t="s">
        <v>192</v>
      </c>
      <c r="C286" s="1" t="s">
        <v>129</v>
      </c>
      <c r="D286" s="1" t="s">
        <v>309</v>
      </c>
      <c r="E286" s="2" t="n">
        <v>45924</v>
      </c>
      <c r="F286" s="2" t="n">
        <f aca="false">IFERROR(VLOOKUP(TRIM($D286), Hoja4_2!$A$2:$L$10000, 4, 0), "Revisar")</f>
        <v>41285</v>
      </c>
      <c r="G286" s="7" t="str">
        <f aca="false">IFERROR(VLOOKUP(TRIM($D286), Hoja4_2!$A$2:$L$10000, 5, 0), "Revisar")</f>
        <v>MASCULINO</v>
      </c>
      <c r="H286" s="7" t="str">
        <f aca="false">IFERROR(VLOOKUP(TRIM($D286), Hoja4_2!$A$2:$L$10000, 7, 0), "Revisar")</f>
        <v>MARACAIBO</v>
      </c>
      <c r="I286" s="7" t="str">
        <f aca="false">IFERROR(VLOOKUP(TRIM($D286), Hoja4_2!$A$2:$L$10000, 9, 0), "Revisar")</f>
        <v>ZU</v>
      </c>
      <c r="J286" s="7" t="str">
        <f aca="false">IFERROR(VLOOKUP(TRIM($D286), Hoja4_2!$A$2:$L$10000, 12, 0), "Revisar")</f>
        <v>17634629</v>
      </c>
      <c r="K286" s="8" t="str">
        <f aca="false">TEXT(TRIM(D286),"0")</f>
        <v>36281900</v>
      </c>
      <c r="L286" s="1" t="str">
        <f aca="false">IF(F286="Revisar","NULL",CONCATENATE("'",TEXT(F286,"yyyy-mm-dd"),"'"))</f>
        <v>'2013-01-11'</v>
      </c>
      <c r="M286" s="9" t="str">
        <f aca="false">IF(G286="Revisar","NULL",CONCATENATE("'",MID(G286,1,1),"'"))</f>
        <v>'M'</v>
      </c>
      <c r="N286" s="9" t="str">
        <f aca="false">IF(H286="Revisar","NULL",CONCATENATE("'",H286,"'"))</f>
        <v>'MARACAIBO'</v>
      </c>
      <c r="O286" s="9" t="str">
        <f aca="false">IF(I286="Revisar","NULL",CONCATENATE("'",I286,"'"))</f>
        <v>'ZU'</v>
      </c>
      <c r="P286" s="1" t="str">
        <f aca="false">"UPDATE estudiantes SET fecha_nacimiento="&amp;L286&amp;", sexo="&amp;M286&amp;", lugar_nacimiento="&amp;N286&amp;", entidad_federal="&amp;O286&amp;" WHERE cedula='"&amp;K286&amp;"';"</f>
        <v>UPDATE estudiantes SET fecha_nacimiento='2013-01-11', sexo='M', lugar_nacimiento='MARACAIBO', entidad_federal='ZU' WHERE cedula='36281900';</v>
      </c>
    </row>
    <row r="287" customFormat="false" ht="13.8" hidden="false" customHeight="false" outlineLevel="0" collapsed="false">
      <c r="A287" s="1" t="s">
        <v>15</v>
      </c>
      <c r="B287" s="1" t="s">
        <v>192</v>
      </c>
      <c r="C287" s="1" t="s">
        <v>129</v>
      </c>
      <c r="D287" s="1" t="s">
        <v>310</v>
      </c>
      <c r="E287" s="2" t="n">
        <v>45924</v>
      </c>
      <c r="F287" s="2" t="s">
        <v>82</v>
      </c>
      <c r="G287" s="2" t="s">
        <v>82</v>
      </c>
      <c r="H287" s="2" t="s">
        <v>82</v>
      </c>
      <c r="I287" s="2" t="s">
        <v>82</v>
      </c>
      <c r="J287" s="2" t="s">
        <v>82</v>
      </c>
      <c r="K287" s="8" t="str">
        <f aca="false">TEXT(TRIM(D287),"0")</f>
        <v>37299883</v>
      </c>
      <c r="L287" s="1" t="str">
        <f aca="false">IF(F287="Revisar","NULL",CONCATENATE("'",TEXT(F287,"yyyy-mm-dd"),"'"))</f>
        <v>'NULL'</v>
      </c>
      <c r="M287" s="9" t="str">
        <f aca="false">IF(G287="Revisar","NULL",CONCATENATE("'",MID(G287,1,1),"'"))</f>
        <v>'N'</v>
      </c>
      <c r="N287" s="9" t="str">
        <f aca="false">IF(H287="Revisar","NULL",CONCATENATE("'",H287,"'"))</f>
        <v>'NULL'</v>
      </c>
      <c r="O287" s="9" t="str">
        <f aca="false">IF(I287="Revisar","NULL",CONCATENATE("'",I287,"'"))</f>
        <v>'NULL'</v>
      </c>
      <c r="P287" s="1" t="str">
        <f aca="false">"UPDATE estudiantes SET fecha_nacimiento="&amp;L287&amp;", sexo="&amp;M287&amp;", lugar_nacimiento="&amp;N287&amp;", entidad_federal="&amp;O287&amp;" WHERE cedula='"&amp;K287&amp;"';"</f>
        <v>UPDATE estudiantes SET fecha_nacimiento='NULL', sexo='N', lugar_nacimiento='NULL', entidad_federal='NULL' WHERE cedula='37299883';</v>
      </c>
    </row>
    <row r="288" customFormat="false" ht="14.9" hidden="false" customHeight="false" outlineLevel="0" collapsed="false">
      <c r="A288" s="1" t="s">
        <v>15</v>
      </c>
      <c r="B288" s="1" t="s">
        <v>192</v>
      </c>
      <c r="C288" s="1" t="s">
        <v>129</v>
      </c>
      <c r="D288" s="1" t="s">
        <v>311</v>
      </c>
      <c r="E288" s="2" t="n">
        <v>45924</v>
      </c>
      <c r="F288" s="2" t="n">
        <f aca="false">IFERROR(VLOOKUP(TRIM($D288), Hoja4_2!$A$2:$L$10000, 4, 0), "Revisar")</f>
        <v>40494</v>
      </c>
      <c r="G288" s="7" t="str">
        <f aca="false">IFERROR(VLOOKUP(TRIM($D288), Hoja4_2!$A$2:$L$10000, 5, 0), "Revisar")</f>
        <v>MASCULINO</v>
      </c>
      <c r="H288" s="7" t="str">
        <f aca="false">IFERROR(VLOOKUP(TRIM($D288), Hoja4_2!$A$2:$L$10000, 7, 0), "Revisar")</f>
        <v>MARACAIBO</v>
      </c>
      <c r="I288" s="7" t="str">
        <f aca="false">IFERROR(VLOOKUP(TRIM($D288), Hoja4_2!$A$2:$L$10000, 9, 0), "Revisar")</f>
        <v>ZU</v>
      </c>
      <c r="J288" s="7" t="str">
        <f aca="false">IFERROR(VLOOKUP(TRIM($D288), Hoja4_2!$A$2:$L$10000, 12, 0), "Revisar")</f>
        <v>17184601</v>
      </c>
      <c r="K288" s="8" t="str">
        <f aca="false">TEXT(TRIM(D288),"0")</f>
        <v>11017184601</v>
      </c>
      <c r="L288" s="1" t="str">
        <f aca="false">IF(F288="Revisar","NULL",CONCATENATE("'",TEXT(F288,"yyyy-mm-dd"),"'"))</f>
        <v>'2010-11-12'</v>
      </c>
      <c r="M288" s="9" t="str">
        <f aca="false">IF(G288="Revisar","NULL",CONCATENATE("'",MID(G288,1,1),"'"))</f>
        <v>'M'</v>
      </c>
      <c r="N288" s="9" t="str">
        <f aca="false">IF(H288="Revisar","NULL",CONCATENATE("'",H288,"'"))</f>
        <v>'MARACAIBO'</v>
      </c>
      <c r="O288" s="9" t="str">
        <f aca="false">IF(I288="Revisar","NULL",CONCATENATE("'",I288,"'"))</f>
        <v>'ZU'</v>
      </c>
      <c r="P288" s="1" t="str">
        <f aca="false">"UPDATE estudiantes SET fecha_nacimiento="&amp;L288&amp;", sexo="&amp;M288&amp;", lugar_nacimiento="&amp;N288&amp;", entidad_federal="&amp;O288&amp;" WHERE cedula='"&amp;K288&amp;"';"</f>
        <v>UPDATE estudiantes SET fecha_nacimiento='2010-11-12', sexo='M', lugar_nacimiento='MARACAIBO', entidad_federal='ZU' WHERE cedula='11017184601';</v>
      </c>
    </row>
    <row r="289" customFormat="false" ht="14.9" hidden="false" customHeight="false" outlineLevel="0" collapsed="false">
      <c r="A289" s="1" t="s">
        <v>15</v>
      </c>
      <c r="B289" s="1" t="s">
        <v>192</v>
      </c>
      <c r="C289" s="1" t="s">
        <v>129</v>
      </c>
      <c r="D289" s="1" t="s">
        <v>312</v>
      </c>
      <c r="E289" s="2" t="n">
        <v>45924</v>
      </c>
      <c r="F289" s="2" t="n">
        <f aca="false">IFERROR(VLOOKUP(TRIM($D289), Hoja4_2!$A$2:$L$10000, 4, 0), "Revisar")</f>
        <v>40405</v>
      </c>
      <c r="G289" s="7" t="str">
        <f aca="false">IFERROR(VLOOKUP(TRIM($D289), Hoja4_2!$A$2:$L$10000, 5, 0), "Revisar")</f>
        <v>MASCULINO</v>
      </c>
      <c r="H289" s="7" t="str">
        <f aca="false">IFERROR(VLOOKUP(TRIM($D289), Hoja4_2!$A$2:$L$10000, 7, 0), "Revisar")</f>
        <v>MARACAIBO</v>
      </c>
      <c r="I289" s="7" t="str">
        <f aca="false">IFERROR(VLOOKUP(TRIM($D289), Hoja4_2!$A$2:$L$10000, 9, 0), "Revisar")</f>
        <v>ZU</v>
      </c>
      <c r="J289" s="7" t="str">
        <f aca="false">IFERROR(VLOOKUP(TRIM($D289), Hoja4_2!$A$2:$L$10000, 12, 0), "Revisar")</f>
        <v>18382324</v>
      </c>
      <c r="K289" s="8" t="str">
        <f aca="false">TEXT(TRIM(D289),"0")</f>
        <v>11018382324</v>
      </c>
      <c r="L289" s="1" t="str">
        <f aca="false">IF(F289="Revisar","NULL",CONCATENATE("'",TEXT(F289,"yyyy-mm-dd"),"'"))</f>
        <v>'2010-08-15'</v>
      </c>
      <c r="M289" s="9" t="str">
        <f aca="false">IF(G289="Revisar","NULL",CONCATENATE("'",MID(G289,1,1),"'"))</f>
        <v>'M'</v>
      </c>
      <c r="N289" s="9" t="str">
        <f aca="false">IF(H289="Revisar","NULL",CONCATENATE("'",H289,"'"))</f>
        <v>'MARACAIBO'</v>
      </c>
      <c r="O289" s="9" t="str">
        <f aca="false">IF(I289="Revisar","NULL",CONCATENATE("'",I289,"'"))</f>
        <v>'ZU'</v>
      </c>
      <c r="P289" s="1" t="str">
        <f aca="false">"UPDATE estudiantes SET fecha_nacimiento="&amp;L289&amp;", sexo="&amp;M289&amp;", lugar_nacimiento="&amp;N289&amp;", entidad_federal="&amp;O289&amp;" WHERE cedula='"&amp;K289&amp;"';"</f>
        <v>UPDATE estudiantes SET fecha_nacimiento='2010-08-15', sexo='M', lugar_nacimiento='MARACAIBO', entidad_federal='ZU' WHERE cedula='11018382324';</v>
      </c>
    </row>
    <row r="290" customFormat="false" ht="14.9" hidden="false" customHeight="false" outlineLevel="0" collapsed="false">
      <c r="A290" s="1" t="s">
        <v>15</v>
      </c>
      <c r="B290" s="1" t="s">
        <v>192</v>
      </c>
      <c r="C290" s="1" t="s">
        <v>129</v>
      </c>
      <c r="D290" s="1" t="s">
        <v>313</v>
      </c>
      <c r="E290" s="2" t="n">
        <v>45924</v>
      </c>
      <c r="F290" s="2" t="n">
        <f aca="false">IFERROR(VLOOKUP(TRIM($D290), Hoja4_2!$A$2:$L$10000, 4, 0), "Revisar")</f>
        <v>40675</v>
      </c>
      <c r="G290" s="7" t="str">
        <f aca="false">IFERROR(VLOOKUP(TRIM($D290), Hoja4_2!$A$2:$L$10000, 5, 0), "Revisar")</f>
        <v>MASCULINO</v>
      </c>
      <c r="H290" s="7" t="str">
        <f aca="false">IFERROR(VLOOKUP(TRIM($D290), Hoja4_2!$A$2:$L$10000, 7, 0), "Revisar")</f>
        <v>MARACAIBO</v>
      </c>
      <c r="I290" s="7" t="str">
        <f aca="false">IFERROR(VLOOKUP(TRIM($D290), Hoja4_2!$A$2:$L$10000, 9, 0), "Revisar")</f>
        <v>ZU</v>
      </c>
      <c r="J290" s="7" t="str">
        <f aca="false">IFERROR(VLOOKUP(TRIM($D290), Hoja4_2!$A$2:$L$10000, 12, 0), "Revisar")</f>
        <v>12442875</v>
      </c>
      <c r="K290" s="8" t="str">
        <f aca="false">TEXT(TRIM(D290),"0")</f>
        <v>11112442875</v>
      </c>
      <c r="L290" s="1" t="str">
        <f aca="false">IF(F290="Revisar","NULL",CONCATENATE("'",TEXT(F290,"yyyy-mm-dd"),"'"))</f>
        <v>'2011-05-12'</v>
      </c>
      <c r="M290" s="9" t="str">
        <f aca="false">IF(G290="Revisar","NULL",CONCATENATE("'",MID(G290,1,1),"'"))</f>
        <v>'M'</v>
      </c>
      <c r="N290" s="9" t="str">
        <f aca="false">IF(H290="Revisar","NULL",CONCATENATE("'",H290,"'"))</f>
        <v>'MARACAIBO'</v>
      </c>
      <c r="O290" s="9" t="str">
        <f aca="false">IF(I290="Revisar","NULL",CONCATENATE("'",I290,"'"))</f>
        <v>'ZU'</v>
      </c>
      <c r="P290" s="1" t="str">
        <f aca="false">"UPDATE estudiantes SET fecha_nacimiento="&amp;L290&amp;", sexo="&amp;M290&amp;", lugar_nacimiento="&amp;N290&amp;", entidad_federal="&amp;O290&amp;" WHERE cedula='"&amp;K290&amp;"';"</f>
        <v>UPDATE estudiantes SET fecha_nacimiento='2011-05-12', sexo='M', lugar_nacimiento='MARACAIBO', entidad_federal='ZU' WHERE cedula='11112442875';</v>
      </c>
    </row>
    <row r="291" customFormat="false" ht="14.9" hidden="false" customHeight="false" outlineLevel="0" collapsed="false">
      <c r="A291" s="1" t="s">
        <v>15</v>
      </c>
      <c r="B291" s="1" t="s">
        <v>192</v>
      </c>
      <c r="C291" s="1" t="s">
        <v>129</v>
      </c>
      <c r="D291" s="1" t="s">
        <v>314</v>
      </c>
      <c r="E291" s="2" t="n">
        <v>45924</v>
      </c>
      <c r="F291" s="2" t="n">
        <f aca="false">IFERROR(VLOOKUP(TRIM($D291), Hoja4_2!$A$2:$L$10000, 4, 0), "Revisar")</f>
        <v>40695</v>
      </c>
      <c r="G291" s="7" t="str">
        <f aca="false">IFERROR(VLOOKUP(TRIM($D291), Hoja4_2!$A$2:$L$10000, 5, 0), "Revisar")</f>
        <v>MASCULINO</v>
      </c>
      <c r="H291" s="7" t="str">
        <f aca="false">IFERROR(VLOOKUP(TRIM($D291), Hoja4_2!$A$2:$L$10000, 7, 0), "Revisar")</f>
        <v>MARACAIBO</v>
      </c>
      <c r="I291" s="7" t="str">
        <f aca="false">IFERROR(VLOOKUP(TRIM($D291), Hoja4_2!$A$2:$L$10000, 9, 0), "Revisar")</f>
        <v>ZU</v>
      </c>
      <c r="J291" s="7" t="str">
        <f aca="false">IFERROR(VLOOKUP(TRIM($D291), Hoja4_2!$A$2:$L$10000, 12, 0), "Revisar")</f>
        <v>12621007</v>
      </c>
      <c r="K291" s="8" t="str">
        <f aca="false">TEXT(TRIM(D291),"0")</f>
        <v>11112621007</v>
      </c>
      <c r="L291" s="1" t="str">
        <f aca="false">IF(F291="Revisar","NULL",CONCATENATE("'",TEXT(F291,"yyyy-mm-dd"),"'"))</f>
        <v>'2011-06-01'</v>
      </c>
      <c r="M291" s="9" t="str">
        <f aca="false">IF(G291="Revisar","NULL",CONCATENATE("'",MID(G291,1,1),"'"))</f>
        <v>'M'</v>
      </c>
      <c r="N291" s="9" t="str">
        <f aca="false">IF(H291="Revisar","NULL",CONCATENATE("'",H291,"'"))</f>
        <v>'MARACAIBO'</v>
      </c>
      <c r="O291" s="9" t="str">
        <f aca="false">IF(I291="Revisar","NULL",CONCATENATE("'",I291,"'"))</f>
        <v>'ZU'</v>
      </c>
      <c r="P291" s="1" t="str">
        <f aca="false">"UPDATE estudiantes SET fecha_nacimiento="&amp;L291&amp;", sexo="&amp;M291&amp;", lugar_nacimiento="&amp;N291&amp;", entidad_federal="&amp;O291&amp;" WHERE cedula='"&amp;K291&amp;"';"</f>
        <v>UPDATE estudiantes SET fecha_nacimiento='2011-06-01', sexo='M', lugar_nacimiento='MARACAIBO', entidad_federal='ZU' WHERE cedula='11112621007';</v>
      </c>
    </row>
    <row r="292" customFormat="false" ht="14.9" hidden="false" customHeight="false" outlineLevel="0" collapsed="false">
      <c r="A292" s="1" t="s">
        <v>15</v>
      </c>
      <c r="B292" s="1" t="s">
        <v>192</v>
      </c>
      <c r="C292" s="1" t="s">
        <v>129</v>
      </c>
      <c r="D292" s="1" t="s">
        <v>315</v>
      </c>
      <c r="E292" s="2" t="n">
        <v>45924</v>
      </c>
      <c r="F292" s="2" t="n">
        <f aca="false">IFERROR(VLOOKUP(TRIM($D292), Hoja4_2!$A$2:$L$10000, 4, 0), "Revisar")</f>
        <v>40587</v>
      </c>
      <c r="G292" s="7" t="str">
        <f aca="false">IFERROR(VLOOKUP(TRIM($D292), Hoja4_2!$A$2:$L$10000, 5, 0), "Revisar")</f>
        <v>MASCULINO</v>
      </c>
      <c r="H292" s="7" t="str">
        <f aca="false">IFERROR(VLOOKUP(TRIM($D292), Hoja4_2!$A$2:$L$10000, 7, 0), "Revisar")</f>
        <v>MARACAIBO</v>
      </c>
      <c r="I292" s="7" t="str">
        <f aca="false">IFERROR(VLOOKUP(TRIM($D292), Hoja4_2!$A$2:$L$10000, 9, 0), "Revisar")</f>
        <v>ZU</v>
      </c>
      <c r="J292" s="7" t="str">
        <f aca="false">IFERROR(VLOOKUP(TRIM($D292), Hoja4_2!$A$2:$L$10000, 12, 0), "Revisar")</f>
        <v>14862697</v>
      </c>
      <c r="K292" s="8" t="str">
        <f aca="false">TEXT(TRIM(D292),"0")</f>
        <v>11114862697</v>
      </c>
      <c r="L292" s="1" t="str">
        <f aca="false">IF(F292="Revisar","NULL",CONCATENATE("'",TEXT(F292,"yyyy-mm-dd"),"'"))</f>
        <v>'2011-02-13'</v>
      </c>
      <c r="M292" s="9" t="str">
        <f aca="false">IF(G292="Revisar","NULL",CONCATENATE("'",MID(G292,1,1),"'"))</f>
        <v>'M'</v>
      </c>
      <c r="N292" s="9" t="str">
        <f aca="false">IF(H292="Revisar","NULL",CONCATENATE("'",H292,"'"))</f>
        <v>'MARACAIBO'</v>
      </c>
      <c r="O292" s="9" t="str">
        <f aca="false">IF(I292="Revisar","NULL",CONCATENATE("'",I292,"'"))</f>
        <v>'ZU'</v>
      </c>
      <c r="P292" s="1" t="str">
        <f aca="false">"UPDATE estudiantes SET fecha_nacimiento="&amp;L292&amp;", sexo="&amp;M292&amp;", lugar_nacimiento="&amp;N292&amp;", entidad_federal="&amp;O292&amp;" WHERE cedula='"&amp;K292&amp;"';"</f>
        <v>UPDATE estudiantes SET fecha_nacimiento='2011-02-13', sexo='M', lugar_nacimiento='MARACAIBO', entidad_federal='ZU' WHERE cedula='11114862697';</v>
      </c>
    </row>
    <row r="293" customFormat="false" ht="14.9" hidden="false" customHeight="false" outlineLevel="0" collapsed="false">
      <c r="A293" s="1" t="s">
        <v>15</v>
      </c>
      <c r="B293" s="1" t="s">
        <v>192</v>
      </c>
      <c r="C293" s="1" t="s">
        <v>129</v>
      </c>
      <c r="D293" s="1" t="s">
        <v>316</v>
      </c>
      <c r="E293" s="2" t="n">
        <v>45924</v>
      </c>
      <c r="F293" s="2" t="n">
        <f aca="false">IFERROR(VLOOKUP(TRIM($D293), Hoja4_2!$A$2:$L$10000, 4, 0), "Revisar")</f>
        <v>40249</v>
      </c>
      <c r="G293" s="7" t="str">
        <f aca="false">IFERROR(VLOOKUP(TRIM($D293), Hoja4_2!$A$2:$L$10000, 5, 0), "Revisar")</f>
        <v>MASCULINO</v>
      </c>
      <c r="H293" s="7" t="str">
        <f aca="false">IFERROR(VLOOKUP(TRIM($D293), Hoja4_2!$A$2:$L$10000, 7, 0), "Revisar")</f>
        <v>MARACAIBO</v>
      </c>
      <c r="I293" s="7" t="str">
        <f aca="false">IFERROR(VLOOKUP(TRIM($D293), Hoja4_2!$A$2:$L$10000, 9, 0), "Revisar")</f>
        <v>ZU</v>
      </c>
      <c r="J293" s="7" t="str">
        <f aca="false">IFERROR(VLOOKUP(TRIM($D293), Hoja4_2!$A$2:$L$10000, 12, 0), "Revisar")</f>
        <v>99999999</v>
      </c>
      <c r="K293" s="8" t="str">
        <f aca="false">TEXT(TRIM(D293),"0")</f>
        <v>11117180826</v>
      </c>
      <c r="L293" s="1" t="str">
        <f aca="false">IF(F293="Revisar","NULL",CONCATENATE("'",TEXT(F293,"yyyy-mm-dd"),"'"))</f>
        <v>'2010-03-12'</v>
      </c>
      <c r="M293" s="9" t="str">
        <f aca="false">IF(G293="Revisar","NULL",CONCATENATE("'",MID(G293,1,1),"'"))</f>
        <v>'M'</v>
      </c>
      <c r="N293" s="9" t="str">
        <f aca="false">IF(H293="Revisar","NULL",CONCATENATE("'",H293,"'"))</f>
        <v>'MARACAIBO'</v>
      </c>
      <c r="O293" s="9" t="str">
        <f aca="false">IF(I293="Revisar","NULL",CONCATENATE("'",I293,"'"))</f>
        <v>'ZU'</v>
      </c>
      <c r="P293" s="1" t="str">
        <f aca="false">"UPDATE estudiantes SET fecha_nacimiento="&amp;L293&amp;", sexo="&amp;M293&amp;", lugar_nacimiento="&amp;N293&amp;", entidad_federal="&amp;O293&amp;" WHERE cedula='"&amp;K293&amp;"';"</f>
        <v>UPDATE estudiantes SET fecha_nacimiento='2010-03-12', sexo='M', lugar_nacimiento='MARACAIBO', entidad_federal='ZU' WHERE cedula='11117180826';</v>
      </c>
    </row>
    <row r="294" customFormat="false" ht="14.9" hidden="false" customHeight="false" outlineLevel="0" collapsed="false">
      <c r="A294" s="1" t="s">
        <v>15</v>
      </c>
      <c r="B294" s="1" t="s">
        <v>192</v>
      </c>
      <c r="C294" s="1" t="s">
        <v>129</v>
      </c>
      <c r="D294" s="1" t="s">
        <v>317</v>
      </c>
      <c r="E294" s="2" t="n">
        <v>45924</v>
      </c>
      <c r="F294" s="2" t="n">
        <f aca="false">IFERROR(VLOOKUP(TRIM($D294), Hoja4_2!$A$2:$L$10000, 4, 0), "Revisar")</f>
        <v>40598</v>
      </c>
      <c r="G294" s="7" t="str">
        <f aca="false">IFERROR(VLOOKUP(TRIM($D294), Hoja4_2!$A$2:$L$10000, 5, 0), "Revisar")</f>
        <v>FEMENINO</v>
      </c>
      <c r="H294" s="7" t="str">
        <f aca="false">IFERROR(VLOOKUP(TRIM($D294), Hoja4_2!$A$2:$L$10000, 7, 0), "Revisar")</f>
        <v>JESUS ENRIQUE LOSSADA</v>
      </c>
      <c r="I294" s="7" t="str">
        <f aca="false">IFERROR(VLOOKUP(TRIM($D294), Hoja4_2!$A$2:$L$10000, 9, 0), "Revisar")</f>
        <v>ZU</v>
      </c>
      <c r="J294" s="7" t="str">
        <f aca="false">IFERROR(VLOOKUP(TRIM($D294), Hoja4_2!$A$2:$L$10000, 12, 0), "Revisar")</f>
        <v>99999999</v>
      </c>
      <c r="K294" s="8" t="str">
        <f aca="false">TEXT(TRIM(D294),"0")</f>
        <v>11118285274</v>
      </c>
      <c r="L294" s="1" t="str">
        <f aca="false">IF(F294="Revisar","NULL",CONCATENATE("'",TEXT(F294,"yyyy-mm-dd"),"'"))</f>
        <v>'2011-02-24'</v>
      </c>
      <c r="M294" s="9" t="str">
        <f aca="false">IF(G294="Revisar","NULL",CONCATENATE("'",MID(G294,1,1),"'"))</f>
        <v>'F'</v>
      </c>
      <c r="N294" s="9" t="str">
        <f aca="false">IF(H294="Revisar","NULL",CONCATENATE("'",H294,"'"))</f>
        <v>'JESUS ENRIQUE LOSSADA'</v>
      </c>
      <c r="O294" s="9" t="str">
        <f aca="false">IF(I294="Revisar","NULL",CONCATENATE("'",I294,"'"))</f>
        <v>'ZU'</v>
      </c>
      <c r="P294" s="1" t="str">
        <f aca="false">"UPDATE estudiantes SET fecha_nacimiento="&amp;L294&amp;", sexo="&amp;M294&amp;", lugar_nacimiento="&amp;N294&amp;", entidad_federal="&amp;O294&amp;" WHERE cedula='"&amp;K294&amp;"';"</f>
        <v>UPDATE estudiantes SET fecha_nacimiento='2011-02-24', sexo='F', lugar_nacimiento='JESUS ENRIQUE LOSSADA', entidad_federal='ZU' WHERE cedula='11118285274';</v>
      </c>
    </row>
    <row r="295" customFormat="false" ht="14.9" hidden="false" customHeight="false" outlineLevel="0" collapsed="false">
      <c r="A295" s="1" t="s">
        <v>15</v>
      </c>
      <c r="B295" s="1" t="s">
        <v>192</v>
      </c>
      <c r="C295" s="1" t="s">
        <v>129</v>
      </c>
      <c r="D295" s="1" t="s">
        <v>318</v>
      </c>
      <c r="E295" s="2" t="n">
        <v>45924</v>
      </c>
      <c r="F295" s="2" t="n">
        <f aca="false">IFERROR(VLOOKUP(TRIM($D295), Hoja4_2!$A$2:$L$10000, 4, 0), "Revisar")</f>
        <v>40676</v>
      </c>
      <c r="G295" s="7" t="str">
        <f aca="false">IFERROR(VLOOKUP(TRIM($D295), Hoja4_2!$A$2:$L$10000, 5, 0), "Revisar")</f>
        <v>FEMENINO</v>
      </c>
      <c r="H295" s="7" t="str">
        <f aca="false">IFERROR(VLOOKUP(TRIM($D295), Hoja4_2!$A$2:$L$10000, 7, 0), "Revisar")</f>
        <v>ROSARIO DE PERIJA</v>
      </c>
      <c r="I295" s="7" t="str">
        <f aca="false">IFERROR(VLOOKUP(TRIM($D295), Hoja4_2!$A$2:$L$10000, 9, 0), "Revisar")</f>
        <v>ZU</v>
      </c>
      <c r="J295" s="7" t="str">
        <f aca="false">IFERROR(VLOOKUP(TRIM($D295), Hoja4_2!$A$2:$L$10000, 12, 0), "Revisar")</f>
        <v>19408913</v>
      </c>
      <c r="K295" s="8" t="str">
        <f aca="false">TEXT(TRIM(D295),"0")</f>
        <v>11119408913</v>
      </c>
      <c r="L295" s="1" t="str">
        <f aca="false">IF(F295="Revisar","NULL",CONCATENATE("'",TEXT(F295,"yyyy-mm-dd"),"'"))</f>
        <v>'2011-05-13'</v>
      </c>
      <c r="M295" s="9" t="str">
        <f aca="false">IF(G295="Revisar","NULL",CONCATENATE("'",MID(G295,1,1),"'"))</f>
        <v>'F'</v>
      </c>
      <c r="N295" s="9" t="str">
        <f aca="false">IF(H295="Revisar","NULL",CONCATENATE("'",H295,"'"))</f>
        <v>'ROSARIO DE PERIJA'</v>
      </c>
      <c r="O295" s="9" t="str">
        <f aca="false">IF(I295="Revisar","NULL",CONCATENATE("'",I295,"'"))</f>
        <v>'ZU'</v>
      </c>
      <c r="P295" s="1" t="str">
        <f aca="false">"UPDATE estudiantes SET fecha_nacimiento="&amp;L295&amp;", sexo="&amp;M295&amp;", lugar_nacimiento="&amp;N295&amp;", entidad_federal="&amp;O295&amp;" WHERE cedula='"&amp;K295&amp;"';"</f>
        <v>UPDATE estudiantes SET fecha_nacimiento='2011-05-13', sexo='F', lugar_nacimiento='ROSARIO DE PERIJA', entidad_federal='ZU' WHERE cedula='11119408913';</v>
      </c>
    </row>
    <row r="296" customFormat="false" ht="14.9" hidden="false" customHeight="false" outlineLevel="0" collapsed="false">
      <c r="A296" s="1" t="s">
        <v>15</v>
      </c>
      <c r="B296" s="1" t="s">
        <v>192</v>
      </c>
      <c r="C296" s="1" t="s">
        <v>129</v>
      </c>
      <c r="D296" s="1" t="s">
        <v>319</v>
      </c>
      <c r="E296" s="2" t="n">
        <v>45924</v>
      </c>
      <c r="F296" s="2" t="n">
        <f aca="false">IFERROR(VLOOKUP(TRIM($D296), Hoja4_2!$A$2:$L$10000, 4, 0), "Revisar")</f>
        <v>40860</v>
      </c>
      <c r="G296" s="7" t="str">
        <f aca="false">IFERROR(VLOOKUP(TRIM($D296), Hoja4_2!$A$2:$L$10000, 5, 0), "Revisar")</f>
        <v>MASCULINO</v>
      </c>
      <c r="H296" s="7" t="str">
        <f aca="false">IFERROR(VLOOKUP(TRIM($D296), Hoja4_2!$A$2:$L$10000, 7, 0), "Revisar")</f>
        <v>MARACAIBO</v>
      </c>
      <c r="I296" s="7" t="str">
        <f aca="false">IFERROR(VLOOKUP(TRIM($D296), Hoja4_2!$A$2:$L$10000, 9, 0), "Revisar")</f>
        <v>ZU</v>
      </c>
      <c r="J296" s="7" t="str">
        <f aca="false">IFERROR(VLOOKUP(TRIM($D296), Hoja4_2!$A$2:$L$10000, 12, 0), "Revisar")</f>
        <v>17070774</v>
      </c>
      <c r="K296" s="8" t="str">
        <f aca="false">TEXT(TRIM(D296),"0")</f>
        <v>11217070774</v>
      </c>
      <c r="L296" s="1" t="str">
        <f aca="false">IF(F296="Revisar","NULL",CONCATENATE("'",TEXT(F296,"yyyy-mm-dd"),"'"))</f>
        <v>'2011-11-13'</v>
      </c>
      <c r="M296" s="9" t="str">
        <f aca="false">IF(G296="Revisar","NULL",CONCATENATE("'",MID(G296,1,1),"'"))</f>
        <v>'M'</v>
      </c>
      <c r="N296" s="9" t="str">
        <f aca="false">IF(H296="Revisar","NULL",CONCATENATE("'",H296,"'"))</f>
        <v>'MARACAIBO'</v>
      </c>
      <c r="O296" s="9" t="str">
        <f aca="false">IF(I296="Revisar","NULL",CONCATENATE("'",I296,"'"))</f>
        <v>'ZU'</v>
      </c>
      <c r="P296" s="1" t="str">
        <f aca="false">"UPDATE estudiantes SET fecha_nacimiento="&amp;L296&amp;", sexo="&amp;M296&amp;", lugar_nacimiento="&amp;N296&amp;", entidad_federal="&amp;O296&amp;" WHERE cedula='"&amp;K296&amp;"';"</f>
        <v>UPDATE estudiantes SET fecha_nacimiento='2011-11-13', sexo='M', lugar_nacimiento='MARACAIBO', entidad_federal='ZU' WHERE cedula='11217070774';</v>
      </c>
    </row>
    <row r="297" customFormat="false" ht="14.9" hidden="false" customHeight="false" outlineLevel="0" collapsed="false">
      <c r="A297" s="1" t="s">
        <v>15</v>
      </c>
      <c r="B297" s="1" t="s">
        <v>192</v>
      </c>
      <c r="C297" s="1" t="s">
        <v>129</v>
      </c>
      <c r="D297" s="1" t="s">
        <v>320</v>
      </c>
      <c r="E297" s="2" t="n">
        <v>45924</v>
      </c>
      <c r="F297" s="2" t="n">
        <f aca="false">IFERROR(VLOOKUP(TRIM($D297), Hoja4_2!$A$2:$L$10000, 4, 0), "Revisar")</f>
        <v>41164</v>
      </c>
      <c r="G297" s="7" t="str">
        <f aca="false">IFERROR(VLOOKUP(TRIM($D297), Hoja4_2!$A$2:$L$10000, 5, 0), "Revisar")</f>
        <v>MASCULINO</v>
      </c>
      <c r="H297" s="7" t="str">
        <f aca="false">IFERROR(VLOOKUP(TRIM($D297), Hoja4_2!$A$2:$L$10000, 7, 0), "Revisar")</f>
        <v>MARACAIBO</v>
      </c>
      <c r="I297" s="7" t="str">
        <f aca="false">IFERROR(VLOOKUP(TRIM($D297), Hoja4_2!$A$2:$L$10000, 9, 0), "Revisar")</f>
        <v>ZU</v>
      </c>
      <c r="J297" s="7" t="str">
        <f aca="false">IFERROR(VLOOKUP(TRIM($D297), Hoja4_2!$A$2:$L$10000, 12, 0), "Revisar")</f>
        <v>17565063</v>
      </c>
      <c r="K297" s="8" t="str">
        <f aca="false">TEXT(TRIM(D297),"0")</f>
        <v>11217565063</v>
      </c>
      <c r="L297" s="1" t="str">
        <f aca="false">IF(F297="Revisar","NULL",CONCATENATE("'",TEXT(F297,"yyyy-mm-dd"),"'"))</f>
        <v>'2012-09-12'</v>
      </c>
      <c r="M297" s="9" t="str">
        <f aca="false">IF(G297="Revisar","NULL",CONCATENATE("'",MID(G297,1,1),"'"))</f>
        <v>'M'</v>
      </c>
      <c r="N297" s="9" t="str">
        <f aca="false">IF(H297="Revisar","NULL",CONCATENATE("'",H297,"'"))</f>
        <v>'MARACAIBO'</v>
      </c>
      <c r="O297" s="9" t="str">
        <f aca="false">IF(I297="Revisar","NULL",CONCATENATE("'",I297,"'"))</f>
        <v>'ZU'</v>
      </c>
      <c r="P297" s="1" t="str">
        <f aca="false">"UPDATE estudiantes SET fecha_nacimiento="&amp;L297&amp;", sexo="&amp;M297&amp;", lugar_nacimiento="&amp;N297&amp;", entidad_federal="&amp;O297&amp;" WHERE cedula='"&amp;K297&amp;"';"</f>
        <v>UPDATE estudiantes SET fecha_nacimiento='2012-09-12', sexo='M', lugar_nacimiento='MARACAIBO', entidad_federal='ZU' WHERE cedula='11217565063';</v>
      </c>
    </row>
    <row r="298" customFormat="false" ht="14.9" hidden="false" customHeight="false" outlineLevel="0" collapsed="false">
      <c r="A298" s="1" t="s">
        <v>15</v>
      </c>
      <c r="B298" s="1" t="s">
        <v>192</v>
      </c>
      <c r="C298" s="1" t="s">
        <v>129</v>
      </c>
      <c r="D298" s="1" t="s">
        <v>321</v>
      </c>
      <c r="E298" s="2" t="n">
        <v>45924</v>
      </c>
      <c r="F298" s="2" t="n">
        <f aca="false">IFERROR(VLOOKUP(TRIM($D298), Hoja4_2!$A$2:$L$10000, 4, 0), "Revisar")</f>
        <v>40984</v>
      </c>
      <c r="G298" s="7" t="str">
        <f aca="false">IFERROR(VLOOKUP(TRIM($D298), Hoja4_2!$A$2:$L$10000, 5, 0), "Revisar")</f>
        <v>FEMENINO</v>
      </c>
      <c r="H298" s="7" t="str">
        <f aca="false">IFERROR(VLOOKUP(TRIM($D298), Hoja4_2!$A$2:$L$10000, 7, 0), "Revisar")</f>
        <v>MARACAIBO</v>
      </c>
      <c r="I298" s="7" t="str">
        <f aca="false">IFERROR(VLOOKUP(TRIM($D298), Hoja4_2!$A$2:$L$10000, 9, 0), "Revisar")</f>
        <v>ZU</v>
      </c>
      <c r="J298" s="7" t="str">
        <f aca="false">IFERROR(VLOOKUP(TRIM($D298), Hoja4_2!$A$2:$L$10000, 12, 0), "Revisar")</f>
        <v>18394489</v>
      </c>
      <c r="K298" s="8" t="str">
        <f aca="false">TEXT(TRIM(D298),"0")</f>
        <v>11218394489</v>
      </c>
      <c r="L298" s="1" t="str">
        <f aca="false">IF(F298="Revisar","NULL",CONCATENATE("'",TEXT(F298,"yyyy-mm-dd"),"'"))</f>
        <v>'2012-03-16'</v>
      </c>
      <c r="M298" s="9" t="str">
        <f aca="false">IF(G298="Revisar","NULL",CONCATENATE("'",MID(G298,1,1),"'"))</f>
        <v>'F'</v>
      </c>
      <c r="N298" s="9" t="str">
        <f aca="false">IF(H298="Revisar","NULL",CONCATENATE("'",H298,"'"))</f>
        <v>'MARACAIBO'</v>
      </c>
      <c r="O298" s="9" t="str">
        <f aca="false">IF(I298="Revisar","NULL",CONCATENATE("'",I298,"'"))</f>
        <v>'ZU'</v>
      </c>
      <c r="P298" s="1" t="str">
        <f aca="false">"UPDATE estudiantes SET fecha_nacimiento="&amp;L298&amp;", sexo="&amp;M298&amp;", lugar_nacimiento="&amp;N298&amp;", entidad_federal="&amp;O298&amp;" WHERE cedula='"&amp;K298&amp;"';"</f>
        <v>UPDATE estudiantes SET fecha_nacimiento='2012-03-16', sexo='F', lugar_nacimiento='MARACAIBO', entidad_federal='ZU' WHERE cedula='11218394489';</v>
      </c>
    </row>
    <row r="299" customFormat="false" ht="14.9" hidden="false" customHeight="false" outlineLevel="0" collapsed="false">
      <c r="A299" s="1" t="s">
        <v>15</v>
      </c>
      <c r="B299" s="1" t="s">
        <v>192</v>
      </c>
      <c r="C299" s="1" t="s">
        <v>129</v>
      </c>
      <c r="D299" s="1" t="s">
        <v>322</v>
      </c>
      <c r="E299" s="2" t="n">
        <v>45924</v>
      </c>
      <c r="F299" s="2" t="n">
        <f aca="false">IFERROR(VLOOKUP(TRIM($D299), Hoja4_2!$A$2:$L$10000, 4, 0), "Revisar")</f>
        <v>41203</v>
      </c>
      <c r="G299" s="7" t="str">
        <f aca="false">IFERROR(VLOOKUP(TRIM($D299), Hoja4_2!$A$2:$L$10000, 5, 0), "Revisar")</f>
        <v>MASCULINO</v>
      </c>
      <c r="H299" s="7" t="str">
        <f aca="false">IFERROR(VLOOKUP(TRIM($D299), Hoja4_2!$A$2:$L$10000, 7, 0), "Revisar")</f>
        <v>MARACAIBO</v>
      </c>
      <c r="I299" s="7" t="str">
        <f aca="false">IFERROR(VLOOKUP(TRIM($D299), Hoja4_2!$A$2:$L$10000, 9, 0), "Revisar")</f>
        <v>ZU</v>
      </c>
      <c r="J299" s="7" t="str">
        <f aca="false">IFERROR(VLOOKUP(TRIM($D299), Hoja4_2!$A$2:$L$10000, 12, 0), "Revisar")</f>
        <v>18662109</v>
      </c>
      <c r="K299" s="8" t="str">
        <f aca="false">TEXT(TRIM(D299),"0")</f>
        <v>11218662109</v>
      </c>
      <c r="L299" s="1" t="str">
        <f aca="false">IF(F299="Revisar","NULL",CONCATENATE("'",TEXT(F299,"yyyy-mm-dd"),"'"))</f>
        <v>'2012-10-21'</v>
      </c>
      <c r="M299" s="9" t="str">
        <f aca="false">IF(G299="Revisar","NULL",CONCATENATE("'",MID(G299,1,1),"'"))</f>
        <v>'M'</v>
      </c>
      <c r="N299" s="9" t="str">
        <f aca="false">IF(H299="Revisar","NULL",CONCATENATE("'",H299,"'"))</f>
        <v>'MARACAIBO'</v>
      </c>
      <c r="O299" s="9" t="str">
        <f aca="false">IF(I299="Revisar","NULL",CONCATENATE("'",I299,"'"))</f>
        <v>'ZU'</v>
      </c>
      <c r="P299" s="1" t="str">
        <f aca="false">"UPDATE estudiantes SET fecha_nacimiento="&amp;L299&amp;", sexo="&amp;M299&amp;", lugar_nacimiento="&amp;N299&amp;", entidad_federal="&amp;O299&amp;" WHERE cedula='"&amp;K299&amp;"';"</f>
        <v>UPDATE estudiantes SET fecha_nacimiento='2012-10-21', sexo='M', lugar_nacimiento='MARACAIBO', entidad_federal='ZU' WHERE cedula='11218662109';</v>
      </c>
    </row>
    <row r="300" customFormat="false" ht="14.9" hidden="false" customHeight="false" outlineLevel="0" collapsed="false">
      <c r="A300" s="1" t="s">
        <v>15</v>
      </c>
      <c r="B300" s="1" t="s">
        <v>192</v>
      </c>
      <c r="C300" s="1" t="s">
        <v>129</v>
      </c>
      <c r="D300" s="1" t="s">
        <v>323</v>
      </c>
      <c r="E300" s="2" t="n">
        <v>45924</v>
      </c>
      <c r="F300" s="2" t="n">
        <f aca="false">IFERROR(VLOOKUP(TRIM($D300), Hoja4_2!$A$2:$L$10000, 4, 0), "Revisar")</f>
        <v>41199</v>
      </c>
      <c r="G300" s="7" t="str">
        <f aca="false">IFERROR(VLOOKUP(TRIM($D300), Hoja4_2!$A$2:$L$10000, 5, 0), "Revisar")</f>
        <v>MASCULINO</v>
      </c>
      <c r="H300" s="7" t="str">
        <f aca="false">IFERROR(VLOOKUP(TRIM($D300), Hoja4_2!$A$2:$L$10000, 7, 0), "Revisar")</f>
        <v>MARACAIBO</v>
      </c>
      <c r="I300" s="7" t="str">
        <f aca="false">IFERROR(VLOOKUP(TRIM($D300), Hoja4_2!$A$2:$L$10000, 9, 0), "Revisar")</f>
        <v>ZU</v>
      </c>
      <c r="J300" s="7" t="str">
        <f aca="false">IFERROR(VLOOKUP(TRIM($D300), Hoja4_2!$A$2:$L$10000, 12, 0), "Revisar")</f>
        <v>19016782</v>
      </c>
      <c r="K300" s="8" t="str">
        <f aca="false">TEXT(TRIM(D300),"0")</f>
        <v>11219016782</v>
      </c>
      <c r="L300" s="1" t="str">
        <f aca="false">IF(F300="Revisar","NULL",CONCATENATE("'",TEXT(F300,"yyyy-mm-dd"),"'"))</f>
        <v>'2012-10-17'</v>
      </c>
      <c r="M300" s="9" t="str">
        <f aca="false">IF(G300="Revisar","NULL",CONCATENATE("'",MID(G300,1,1),"'"))</f>
        <v>'M'</v>
      </c>
      <c r="N300" s="9" t="str">
        <f aca="false">IF(H300="Revisar","NULL",CONCATENATE("'",H300,"'"))</f>
        <v>'MARACAIBO'</v>
      </c>
      <c r="O300" s="9" t="str">
        <f aca="false">IF(I300="Revisar","NULL",CONCATENATE("'",I300,"'"))</f>
        <v>'ZU'</v>
      </c>
      <c r="P300" s="1" t="str">
        <f aca="false">"UPDATE estudiantes SET fecha_nacimiento="&amp;L300&amp;", sexo="&amp;M300&amp;", lugar_nacimiento="&amp;N300&amp;", entidad_federal="&amp;O300&amp;" WHERE cedula='"&amp;K300&amp;"';"</f>
        <v>UPDATE estudiantes SET fecha_nacimiento='2012-10-17', sexo='M', lugar_nacimiento='MARACAIBO', entidad_federal='ZU' WHERE cedula='11219016782';</v>
      </c>
    </row>
    <row r="301" customFormat="false" ht="14.9" hidden="false" customHeight="false" outlineLevel="0" collapsed="false">
      <c r="A301" s="1" t="s">
        <v>15</v>
      </c>
      <c r="B301" s="1" t="s">
        <v>192</v>
      </c>
      <c r="C301" s="1" t="s">
        <v>129</v>
      </c>
      <c r="D301" s="1" t="s">
        <v>324</v>
      </c>
      <c r="E301" s="2" t="n">
        <v>45924</v>
      </c>
      <c r="F301" s="2" t="n">
        <f aca="false">IFERROR(VLOOKUP(TRIM($D301), Hoja4_2!$A$2:$L$10000, 4, 0), "Revisar")</f>
        <v>41212</v>
      </c>
      <c r="G301" s="7" t="str">
        <f aca="false">IFERROR(VLOOKUP(TRIM($D301), Hoja4_2!$A$2:$L$10000, 5, 0), "Revisar")</f>
        <v>FEMENINO</v>
      </c>
      <c r="H301" s="7" t="str">
        <f aca="false">IFERROR(VLOOKUP(TRIM($D301), Hoja4_2!$A$2:$L$10000, 7, 0), "Revisar")</f>
        <v>MARACAIBO</v>
      </c>
      <c r="I301" s="7" t="str">
        <f aca="false">IFERROR(VLOOKUP(TRIM($D301), Hoja4_2!$A$2:$L$10000, 9, 0), "Revisar")</f>
        <v>ZU</v>
      </c>
      <c r="J301" s="7" t="str">
        <f aca="false">IFERROR(VLOOKUP(TRIM($D301), Hoja4_2!$A$2:$L$10000, 12, 0), "Revisar")</f>
        <v>19450519</v>
      </c>
      <c r="K301" s="8" t="str">
        <f aca="false">TEXT(TRIM(D301),"0")</f>
        <v>11219450519</v>
      </c>
      <c r="L301" s="1" t="str">
        <f aca="false">IF(F301="Revisar","NULL",CONCATENATE("'",TEXT(F301,"yyyy-mm-dd"),"'"))</f>
        <v>'2012-10-30'</v>
      </c>
      <c r="M301" s="9" t="str">
        <f aca="false">IF(G301="Revisar","NULL",CONCATENATE("'",MID(G301,1,1),"'"))</f>
        <v>'F'</v>
      </c>
      <c r="N301" s="9" t="str">
        <f aca="false">IF(H301="Revisar","NULL",CONCATENATE("'",H301,"'"))</f>
        <v>'MARACAIBO'</v>
      </c>
      <c r="O301" s="9" t="str">
        <f aca="false">IF(I301="Revisar","NULL",CONCATENATE("'",I301,"'"))</f>
        <v>'ZU'</v>
      </c>
      <c r="P301" s="1" t="str">
        <f aca="false">"UPDATE estudiantes SET fecha_nacimiento="&amp;L301&amp;", sexo="&amp;M301&amp;", lugar_nacimiento="&amp;N301&amp;", entidad_federal="&amp;O301&amp;" WHERE cedula='"&amp;K301&amp;"';"</f>
        <v>UPDATE estudiantes SET fecha_nacimiento='2012-10-30', sexo='F', lugar_nacimiento='MARACAIBO', entidad_federal='ZU' WHERE cedula='11219450519';</v>
      </c>
    </row>
    <row r="302" customFormat="false" ht="14.9" hidden="false" customHeight="false" outlineLevel="0" collapsed="false">
      <c r="A302" s="1" t="s">
        <v>15</v>
      </c>
      <c r="B302" s="1" t="s">
        <v>192</v>
      </c>
      <c r="C302" s="1" t="s">
        <v>129</v>
      </c>
      <c r="D302" s="1" t="s">
        <v>325</v>
      </c>
      <c r="E302" s="2" t="n">
        <v>45924</v>
      </c>
      <c r="F302" s="2" t="n">
        <f aca="false">IFERROR(VLOOKUP(TRIM($D302), Hoja4_2!$A$2:$L$10000, 4, 0), "Revisar")</f>
        <v>41107</v>
      </c>
      <c r="G302" s="7" t="str">
        <f aca="false">IFERROR(VLOOKUP(TRIM($D302), Hoja4_2!$A$2:$L$10000, 5, 0), "Revisar")</f>
        <v>FEMENINO</v>
      </c>
      <c r="H302" s="7" t="str">
        <f aca="false">IFERROR(VLOOKUP(TRIM($D302), Hoja4_2!$A$2:$L$10000, 7, 0), "Revisar")</f>
        <v>MARACAIBO</v>
      </c>
      <c r="I302" s="7" t="str">
        <f aca="false">IFERROR(VLOOKUP(TRIM($D302), Hoja4_2!$A$2:$L$10000, 9, 0), "Revisar")</f>
        <v>ZU</v>
      </c>
      <c r="J302" s="7" t="str">
        <f aca="false">IFERROR(VLOOKUP(TRIM($D302), Hoja4_2!$A$2:$L$10000, 12, 0), "Revisar")</f>
        <v>20440706</v>
      </c>
      <c r="K302" s="8" t="str">
        <f aca="false">TEXT(TRIM(D302),"0")</f>
        <v>11220440706</v>
      </c>
      <c r="L302" s="1" t="str">
        <f aca="false">IF(F302="Revisar","NULL",CONCATENATE("'",TEXT(F302,"yyyy-mm-dd"),"'"))</f>
        <v>'2012-07-17'</v>
      </c>
      <c r="M302" s="9" t="str">
        <f aca="false">IF(G302="Revisar","NULL",CONCATENATE("'",MID(G302,1,1),"'"))</f>
        <v>'F'</v>
      </c>
      <c r="N302" s="9" t="str">
        <f aca="false">IF(H302="Revisar","NULL",CONCATENATE("'",H302,"'"))</f>
        <v>'MARACAIBO'</v>
      </c>
      <c r="O302" s="9" t="str">
        <f aca="false">IF(I302="Revisar","NULL",CONCATENATE("'",I302,"'"))</f>
        <v>'ZU'</v>
      </c>
      <c r="P302" s="1" t="str">
        <f aca="false">"UPDATE estudiantes SET fecha_nacimiento="&amp;L302&amp;", sexo="&amp;M302&amp;", lugar_nacimiento="&amp;N302&amp;", entidad_federal="&amp;O302&amp;" WHERE cedula='"&amp;K302&amp;"';"</f>
        <v>UPDATE estudiantes SET fecha_nacimiento='2012-07-17', sexo='F', lugar_nacimiento='MARACAIBO', entidad_federal='ZU' WHERE cedula='11220440706';</v>
      </c>
    </row>
    <row r="303" customFormat="false" ht="14.9" hidden="false" customHeight="false" outlineLevel="0" collapsed="false">
      <c r="A303" s="1" t="s">
        <v>15</v>
      </c>
      <c r="B303" s="1" t="s">
        <v>192</v>
      </c>
      <c r="C303" s="1" t="s">
        <v>129</v>
      </c>
      <c r="D303" s="1" t="s">
        <v>326</v>
      </c>
      <c r="E303" s="2" t="n">
        <v>45924</v>
      </c>
      <c r="F303" s="2" t="n">
        <f aca="false">IFERROR(VLOOKUP(TRIM($D303), Hoja4_2!$A$2:$L$10000, 4, 0), "Revisar")</f>
        <v>41352</v>
      </c>
      <c r="G303" s="7" t="str">
        <f aca="false">IFERROR(VLOOKUP(TRIM($D303), Hoja4_2!$A$2:$L$10000, 5, 0), "Revisar")</f>
        <v>MASCULINO</v>
      </c>
      <c r="H303" s="7" t="str">
        <f aca="false">IFERROR(VLOOKUP(TRIM($D303), Hoja4_2!$A$2:$L$10000, 7, 0), "Revisar")</f>
        <v>MARACAIBO</v>
      </c>
      <c r="I303" s="7" t="str">
        <f aca="false">IFERROR(VLOOKUP(TRIM($D303), Hoja4_2!$A$2:$L$10000, 9, 0), "Revisar")</f>
        <v>ZU</v>
      </c>
      <c r="J303" s="7" t="str">
        <f aca="false">IFERROR(VLOOKUP(TRIM($D303), Hoja4_2!$A$2:$L$10000, 12, 0), "Revisar")</f>
        <v>21039153</v>
      </c>
      <c r="K303" s="8" t="str">
        <f aca="false">TEXT(TRIM(D303),"0")</f>
        <v>11321039153</v>
      </c>
      <c r="L303" s="1" t="str">
        <f aca="false">IF(F303="Revisar","NULL",CONCATENATE("'",TEXT(F303,"yyyy-mm-dd"),"'"))</f>
        <v>'2013-03-19'</v>
      </c>
      <c r="M303" s="9" t="str">
        <f aca="false">IF(G303="Revisar","NULL",CONCATENATE("'",MID(G303,1,1),"'"))</f>
        <v>'M'</v>
      </c>
      <c r="N303" s="9" t="str">
        <f aca="false">IF(H303="Revisar","NULL",CONCATENATE("'",H303,"'"))</f>
        <v>'MARACAIBO'</v>
      </c>
      <c r="O303" s="9" t="str">
        <f aca="false">IF(I303="Revisar","NULL",CONCATENATE("'",I303,"'"))</f>
        <v>'ZU'</v>
      </c>
      <c r="P303" s="1" t="str">
        <f aca="false">"UPDATE estudiantes SET fecha_nacimiento="&amp;L303&amp;", sexo="&amp;M303&amp;", lugar_nacimiento="&amp;N303&amp;", entidad_federal="&amp;O303&amp;" WHERE cedula='"&amp;K303&amp;"';"</f>
        <v>UPDATE estudiantes SET fecha_nacimiento='2013-03-19', sexo='M', lugar_nacimiento='MARACAIBO', entidad_federal='ZU' WHERE cedula='11321039153';</v>
      </c>
    </row>
    <row r="304" customFormat="false" ht="14.9" hidden="false" customHeight="false" outlineLevel="0" collapsed="false">
      <c r="A304" s="1" t="s">
        <v>15</v>
      </c>
      <c r="B304" s="1" t="s">
        <v>192</v>
      </c>
      <c r="C304" s="1" t="s">
        <v>129</v>
      </c>
      <c r="D304" s="1" t="s">
        <v>327</v>
      </c>
      <c r="E304" s="2" t="n">
        <v>45924</v>
      </c>
      <c r="F304" s="2" t="n">
        <f aca="false">IFERROR(VLOOKUP(TRIM($D304), Hoja4_2!$A$2:$L$10000, 4, 0), "Revisar")</f>
        <v>41036</v>
      </c>
      <c r="G304" s="7" t="str">
        <f aca="false">IFERROR(VLOOKUP(TRIM($D304), Hoja4_2!$A$2:$L$10000, 5, 0), "Revisar")</f>
        <v>MASCULINO</v>
      </c>
      <c r="H304" s="7" t="str">
        <f aca="false">IFERROR(VLOOKUP(TRIM($D304), Hoja4_2!$A$2:$L$10000, 7, 0), "Revisar")</f>
        <v>JESUS ENRIQUE LOSSADA</v>
      </c>
      <c r="I304" s="7" t="str">
        <f aca="false">IFERROR(VLOOKUP(TRIM($D304), Hoja4_2!$A$2:$L$10000, 9, 0), "Revisar")</f>
        <v>ZU</v>
      </c>
      <c r="J304" s="7" t="str">
        <f aca="false">IFERROR(VLOOKUP(TRIM($D304), Hoja4_2!$A$2:$L$10000, 12, 0), "Revisar")</f>
        <v>23466502</v>
      </c>
      <c r="K304" s="8" t="str">
        <f aca="false">TEXT(TRIM(D304),"0")</f>
        <v>11523466502</v>
      </c>
      <c r="L304" s="1" t="str">
        <f aca="false">IF(F304="Revisar","NULL",CONCATENATE("'",TEXT(F304,"yyyy-mm-dd"),"'"))</f>
        <v>'2012-05-07'</v>
      </c>
      <c r="M304" s="9" t="str">
        <f aca="false">IF(G304="Revisar","NULL",CONCATENATE("'",MID(G304,1,1),"'"))</f>
        <v>'M'</v>
      </c>
      <c r="N304" s="9" t="str">
        <f aca="false">IF(H304="Revisar","NULL",CONCATENATE("'",H304,"'"))</f>
        <v>'JESUS ENRIQUE LOSSADA'</v>
      </c>
      <c r="O304" s="9" t="str">
        <f aca="false">IF(I304="Revisar","NULL",CONCATENATE("'",I304,"'"))</f>
        <v>'ZU'</v>
      </c>
      <c r="P304" s="1" t="str">
        <f aca="false">"UPDATE estudiantes SET fecha_nacimiento="&amp;L304&amp;", sexo="&amp;M304&amp;", lugar_nacimiento="&amp;N304&amp;", entidad_federal="&amp;O304&amp;" WHERE cedula='"&amp;K304&amp;"';"</f>
        <v>UPDATE estudiantes SET fecha_nacimiento='2012-05-07', sexo='M', lugar_nacimiento='JESUS ENRIQUE LOSSADA', entidad_federal='ZU' WHERE cedula='11523466502';</v>
      </c>
    </row>
    <row r="305" customFormat="false" ht="14.9" hidden="false" customHeight="false" outlineLevel="0" collapsed="false">
      <c r="A305" s="1" t="s">
        <v>15</v>
      </c>
      <c r="B305" s="1" t="s">
        <v>192</v>
      </c>
      <c r="C305" s="1" t="s">
        <v>129</v>
      </c>
      <c r="D305" s="1" t="s">
        <v>328</v>
      </c>
      <c r="E305" s="2" t="n">
        <v>45924</v>
      </c>
      <c r="F305" s="2" t="n">
        <f aca="false">IFERROR(VLOOKUP(TRIM($D305), Hoja4_2!$A$2:$L$10000, 4, 0), "Revisar")</f>
        <v>41164</v>
      </c>
      <c r="G305" s="7" t="str">
        <f aca="false">IFERROR(VLOOKUP(TRIM($D305), Hoja4_2!$A$2:$L$10000, 5, 0), "Revisar")</f>
        <v>MASCULINO</v>
      </c>
      <c r="H305" s="7" t="str">
        <f aca="false">IFERROR(VLOOKUP(TRIM($D305), Hoja4_2!$A$2:$L$10000, 7, 0), "Revisar")</f>
        <v>MARACAIBO</v>
      </c>
      <c r="I305" s="7" t="str">
        <f aca="false">IFERROR(VLOOKUP(TRIM($D305), Hoja4_2!$A$2:$L$10000, 9, 0), "Revisar")</f>
        <v>ZU</v>
      </c>
      <c r="J305" s="7" t="str">
        <f aca="false">IFERROR(VLOOKUP(TRIM($D305), Hoja4_2!$A$2:$L$10000, 12, 0), "Revisar")</f>
        <v>17565063</v>
      </c>
      <c r="K305" s="8" t="str">
        <f aca="false">TEXT(TRIM(D305),"0")</f>
        <v>21217565063</v>
      </c>
      <c r="L305" s="1" t="str">
        <f aca="false">IF(F305="Revisar","NULL",CONCATENATE("'",TEXT(F305,"yyyy-mm-dd"),"'"))</f>
        <v>'2012-09-12'</v>
      </c>
      <c r="M305" s="9" t="str">
        <f aca="false">IF(G305="Revisar","NULL",CONCATENATE("'",MID(G305,1,1),"'"))</f>
        <v>'M'</v>
      </c>
      <c r="N305" s="9" t="str">
        <f aca="false">IF(H305="Revisar","NULL",CONCATENATE("'",H305,"'"))</f>
        <v>'MARACAIBO'</v>
      </c>
      <c r="O305" s="9" t="str">
        <f aca="false">IF(I305="Revisar","NULL",CONCATENATE("'",I305,"'"))</f>
        <v>'ZU'</v>
      </c>
      <c r="P305" s="1" t="str">
        <f aca="false">"UPDATE estudiantes SET fecha_nacimiento="&amp;L305&amp;", sexo="&amp;M305&amp;", lugar_nacimiento="&amp;N305&amp;", entidad_federal="&amp;O305&amp;" WHERE cedula='"&amp;K305&amp;"';"</f>
        <v>UPDATE estudiantes SET fecha_nacimiento='2012-09-12', sexo='M', lugar_nacimiento='MARACAIBO', entidad_federal='ZU' WHERE cedula='21217565063';</v>
      </c>
    </row>
    <row r="306" customFormat="false" ht="14.9" hidden="false" customHeight="false" outlineLevel="0" collapsed="false">
      <c r="A306" s="1" t="s">
        <v>15</v>
      </c>
      <c r="B306" s="1" t="s">
        <v>192</v>
      </c>
      <c r="C306" s="1" t="s">
        <v>160</v>
      </c>
      <c r="D306" s="1" t="s">
        <v>329</v>
      </c>
      <c r="E306" s="2" t="n">
        <v>45924</v>
      </c>
      <c r="F306" s="2" t="n">
        <f aca="false">IFERROR(VLOOKUP(TRIM($D306), Hoja4_2!$A$2:$L$10000, 4, 0), "Revisar")</f>
        <v>40612</v>
      </c>
      <c r="G306" s="7" t="str">
        <f aca="false">IFERROR(VLOOKUP(TRIM($D306), Hoja4_2!$A$2:$L$10000, 5, 0), "Revisar")</f>
        <v>MASCULINO</v>
      </c>
      <c r="H306" s="7" t="str">
        <f aca="false">IFERROR(VLOOKUP(TRIM($D306), Hoja4_2!$A$2:$L$10000, 7, 0), "Revisar")</f>
        <v>MARACAIBO</v>
      </c>
      <c r="I306" s="7" t="str">
        <f aca="false">IFERROR(VLOOKUP(TRIM($D306), Hoja4_2!$A$2:$L$10000, 9, 0), "Revisar")</f>
        <v>ZU</v>
      </c>
      <c r="J306" s="7" t="str">
        <f aca="false">IFERROR(VLOOKUP(TRIM($D306), Hoja4_2!$A$2:$L$10000, 12, 0), "Revisar")</f>
        <v>23466542</v>
      </c>
      <c r="K306" s="8" t="str">
        <f aca="false">TEXT(TRIM(D306),"0")</f>
        <v>34801409</v>
      </c>
      <c r="L306" s="1" t="str">
        <f aca="false">IF(F306="Revisar","NULL",CONCATENATE("'",TEXT(F306,"yyyy-mm-dd"),"'"))</f>
        <v>'2011-03-10'</v>
      </c>
      <c r="M306" s="9" t="str">
        <f aca="false">IF(G306="Revisar","NULL",CONCATENATE("'",MID(G306,1,1),"'"))</f>
        <v>'M'</v>
      </c>
      <c r="N306" s="9" t="str">
        <f aca="false">IF(H306="Revisar","NULL",CONCATENATE("'",H306,"'"))</f>
        <v>'MARACAIBO'</v>
      </c>
      <c r="O306" s="9" t="str">
        <f aca="false">IF(I306="Revisar","NULL",CONCATENATE("'",I306,"'"))</f>
        <v>'ZU'</v>
      </c>
      <c r="P306" s="1" t="str">
        <f aca="false">"UPDATE estudiantes SET fecha_nacimiento="&amp;L306&amp;", sexo="&amp;M306&amp;", lugar_nacimiento="&amp;N306&amp;", entidad_federal="&amp;O306&amp;" WHERE cedula='"&amp;K306&amp;"';"</f>
        <v>UPDATE estudiantes SET fecha_nacimiento='2011-03-10', sexo='M', lugar_nacimiento='MARACAIBO', entidad_federal='ZU' WHERE cedula='34801409';</v>
      </c>
    </row>
    <row r="307" customFormat="false" ht="14.9" hidden="false" customHeight="false" outlineLevel="0" collapsed="false">
      <c r="A307" s="1" t="s">
        <v>15</v>
      </c>
      <c r="B307" s="1" t="s">
        <v>192</v>
      </c>
      <c r="C307" s="1" t="s">
        <v>160</v>
      </c>
      <c r="D307" s="1" t="s">
        <v>330</v>
      </c>
      <c r="E307" s="2" t="n">
        <v>45924</v>
      </c>
      <c r="F307" s="2" t="n">
        <f aca="false">IFERROR(VLOOKUP(TRIM($D307), Hoja4_2!$A$2:$L$10000, 4, 0), "Revisar")</f>
        <v>40661</v>
      </c>
      <c r="G307" s="7" t="str">
        <f aca="false">IFERROR(VLOOKUP(TRIM($D307), Hoja4_2!$A$2:$L$10000, 5, 0), "Revisar")</f>
        <v>FEMENINO</v>
      </c>
      <c r="H307" s="7" t="str">
        <f aca="false">IFERROR(VLOOKUP(TRIM($D307), Hoja4_2!$A$2:$L$10000, 7, 0), "Revisar")</f>
        <v>MARACAIBO</v>
      </c>
      <c r="I307" s="7" t="str">
        <f aca="false">IFERROR(VLOOKUP(TRIM($D307), Hoja4_2!$A$2:$L$10000, 9, 0), "Revisar")</f>
        <v>ZU</v>
      </c>
      <c r="J307" s="7" t="str">
        <f aca="false">IFERROR(VLOOKUP(TRIM($D307), Hoja4_2!$A$2:$L$10000, 12, 0), "Revisar")</f>
        <v>19988704</v>
      </c>
      <c r="K307" s="8" t="str">
        <f aca="false">TEXT(TRIM(D307),"0")</f>
        <v>34914171</v>
      </c>
      <c r="L307" s="1" t="str">
        <f aca="false">IF(F307="Revisar","NULL",CONCATENATE("'",TEXT(F307,"yyyy-mm-dd"),"'"))</f>
        <v>'2011-04-28'</v>
      </c>
      <c r="M307" s="9" t="str">
        <f aca="false">IF(G307="Revisar","NULL",CONCATENATE("'",MID(G307,1,1),"'"))</f>
        <v>'F'</v>
      </c>
      <c r="N307" s="9" t="str">
        <f aca="false">IF(H307="Revisar","NULL",CONCATENATE("'",H307,"'"))</f>
        <v>'MARACAIBO'</v>
      </c>
      <c r="O307" s="9" t="str">
        <f aca="false">IF(I307="Revisar","NULL",CONCATENATE("'",I307,"'"))</f>
        <v>'ZU'</v>
      </c>
      <c r="P307" s="1" t="str">
        <f aca="false">"UPDATE estudiantes SET fecha_nacimiento="&amp;L307&amp;", sexo="&amp;M307&amp;", lugar_nacimiento="&amp;N307&amp;", entidad_federal="&amp;O307&amp;" WHERE cedula='"&amp;K307&amp;"';"</f>
        <v>UPDATE estudiantes SET fecha_nacimiento='2011-04-28', sexo='F', lugar_nacimiento='MARACAIBO', entidad_federal='ZU' WHERE cedula='34914171';</v>
      </c>
    </row>
    <row r="308" customFormat="false" ht="14.9" hidden="false" customHeight="false" outlineLevel="0" collapsed="false">
      <c r="A308" s="1" t="s">
        <v>15</v>
      </c>
      <c r="B308" s="1" t="s">
        <v>192</v>
      </c>
      <c r="C308" s="1" t="s">
        <v>160</v>
      </c>
      <c r="D308" s="1" t="s">
        <v>331</v>
      </c>
      <c r="E308" s="2" t="n">
        <v>45924</v>
      </c>
      <c r="F308" s="2" t="n">
        <f aca="false">IFERROR(VLOOKUP(TRIM($D308), Hoja4_2!$A$2:$L$10000, 4, 0), "Revisar")</f>
        <v>41164</v>
      </c>
      <c r="G308" s="7" t="str">
        <f aca="false">IFERROR(VLOOKUP(TRIM($D308), Hoja4_2!$A$2:$L$10000, 5, 0), "Revisar")</f>
        <v>FEMENINO</v>
      </c>
      <c r="H308" s="7" t="str">
        <f aca="false">IFERROR(VLOOKUP(TRIM($D308), Hoja4_2!$A$2:$L$10000, 7, 0), "Revisar")</f>
        <v>MARACAIBO</v>
      </c>
      <c r="I308" s="7" t="str">
        <f aca="false">IFERROR(VLOOKUP(TRIM($D308), Hoja4_2!$A$2:$L$10000, 9, 0), "Revisar")</f>
        <v>ZU</v>
      </c>
      <c r="J308" s="7" t="str">
        <f aca="false">IFERROR(VLOOKUP(TRIM($D308), Hoja4_2!$A$2:$L$10000, 12, 0), "Revisar")</f>
        <v>14458724</v>
      </c>
      <c r="K308" s="8" t="str">
        <f aca="false">TEXT(TRIM(D308),"0")</f>
        <v>35028560</v>
      </c>
      <c r="L308" s="1" t="str">
        <f aca="false">IF(F308="Revisar","NULL",CONCATENATE("'",TEXT(F308,"yyyy-mm-dd"),"'"))</f>
        <v>'2012-09-12'</v>
      </c>
      <c r="M308" s="9" t="str">
        <f aca="false">IF(G308="Revisar","NULL",CONCATENATE("'",MID(G308,1,1),"'"))</f>
        <v>'F'</v>
      </c>
      <c r="N308" s="9" t="str">
        <f aca="false">IF(H308="Revisar","NULL",CONCATENATE("'",H308,"'"))</f>
        <v>'MARACAIBO'</v>
      </c>
      <c r="O308" s="9" t="str">
        <f aca="false">IF(I308="Revisar","NULL",CONCATENATE("'",I308,"'"))</f>
        <v>'ZU'</v>
      </c>
      <c r="P308" s="1" t="str">
        <f aca="false">"UPDATE estudiantes SET fecha_nacimiento="&amp;L308&amp;", sexo="&amp;M308&amp;", lugar_nacimiento="&amp;N308&amp;", entidad_federal="&amp;O308&amp;" WHERE cedula='"&amp;K308&amp;"';"</f>
        <v>UPDATE estudiantes SET fecha_nacimiento='2012-09-12', sexo='F', lugar_nacimiento='MARACAIBO', entidad_federal='ZU' WHERE cedula='35028560';</v>
      </c>
    </row>
    <row r="309" customFormat="false" ht="14.9" hidden="false" customHeight="false" outlineLevel="0" collapsed="false">
      <c r="A309" s="1" t="s">
        <v>15</v>
      </c>
      <c r="B309" s="1" t="s">
        <v>192</v>
      </c>
      <c r="C309" s="1" t="s">
        <v>160</v>
      </c>
      <c r="D309" s="1" t="s">
        <v>332</v>
      </c>
      <c r="E309" s="2" t="n">
        <v>45924</v>
      </c>
      <c r="F309" s="2" t="n">
        <f aca="false">IFERROR(VLOOKUP(TRIM($D309), Hoja4_2!$A$2:$L$10000, 4, 0), "Revisar")</f>
        <v>40864</v>
      </c>
      <c r="G309" s="7" t="str">
        <f aca="false">IFERROR(VLOOKUP(TRIM($D309), Hoja4_2!$A$2:$L$10000, 5, 0), "Revisar")</f>
        <v>MASCULINO</v>
      </c>
      <c r="H309" s="7" t="str">
        <f aca="false">IFERROR(VLOOKUP(TRIM($D309), Hoja4_2!$A$2:$L$10000, 7, 0), "Revisar")</f>
        <v>MARACAIBO</v>
      </c>
      <c r="I309" s="7" t="str">
        <f aca="false">IFERROR(VLOOKUP(TRIM($D309), Hoja4_2!$A$2:$L$10000, 9, 0), "Revisar")</f>
        <v>ZU</v>
      </c>
      <c r="J309" s="7" t="str">
        <f aca="false">IFERROR(VLOOKUP(TRIM($D309), Hoja4_2!$A$2:$L$10000, 12, 0), "Revisar")</f>
        <v>23466372</v>
      </c>
      <c r="K309" s="8" t="str">
        <f aca="false">TEXT(TRIM(D309),"0")</f>
        <v>35147220</v>
      </c>
      <c r="L309" s="1" t="str">
        <f aca="false">IF(F309="Revisar","NULL",CONCATENATE("'",TEXT(F309,"yyyy-mm-dd"),"'"))</f>
        <v>'2011-11-17'</v>
      </c>
      <c r="M309" s="9" t="str">
        <f aca="false">IF(G309="Revisar","NULL",CONCATENATE("'",MID(G309,1,1),"'"))</f>
        <v>'M'</v>
      </c>
      <c r="N309" s="9" t="str">
        <f aca="false">IF(H309="Revisar","NULL",CONCATENATE("'",H309,"'"))</f>
        <v>'MARACAIBO'</v>
      </c>
      <c r="O309" s="9" t="str">
        <f aca="false">IF(I309="Revisar","NULL",CONCATENATE("'",I309,"'"))</f>
        <v>'ZU'</v>
      </c>
      <c r="P309" s="1" t="str">
        <f aca="false">"UPDATE estudiantes SET fecha_nacimiento="&amp;L309&amp;", sexo="&amp;M309&amp;", lugar_nacimiento="&amp;N309&amp;", entidad_federal="&amp;O309&amp;" WHERE cedula='"&amp;K309&amp;"';"</f>
        <v>UPDATE estudiantes SET fecha_nacimiento='2011-11-17', sexo='M', lugar_nacimiento='MARACAIBO', entidad_federal='ZU' WHERE cedula='35147220';</v>
      </c>
    </row>
    <row r="310" customFormat="false" ht="14.9" hidden="false" customHeight="false" outlineLevel="0" collapsed="false">
      <c r="A310" s="1" t="s">
        <v>15</v>
      </c>
      <c r="B310" s="1" t="s">
        <v>192</v>
      </c>
      <c r="C310" s="1" t="s">
        <v>160</v>
      </c>
      <c r="D310" s="1" t="s">
        <v>333</v>
      </c>
      <c r="E310" s="2" t="n">
        <v>45924</v>
      </c>
      <c r="F310" s="2" t="n">
        <f aca="false">IFERROR(VLOOKUP(TRIM($D310), Hoja4_2!$A$2:$L$10000, 4, 0), "Revisar")</f>
        <v>41166</v>
      </c>
      <c r="G310" s="7" t="str">
        <f aca="false">IFERROR(VLOOKUP(TRIM($D310), Hoja4_2!$A$2:$L$10000, 5, 0), "Revisar")</f>
        <v>MASCULINO</v>
      </c>
      <c r="H310" s="7" t="str">
        <f aca="false">IFERROR(VLOOKUP(TRIM($D310), Hoja4_2!$A$2:$L$10000, 7, 0), "Revisar")</f>
        <v>JESUS ENRIQUE LOSSADA</v>
      </c>
      <c r="I310" s="7" t="str">
        <f aca="false">IFERROR(VLOOKUP(TRIM($D310), Hoja4_2!$A$2:$L$10000, 9, 0), "Revisar")</f>
        <v>ZU</v>
      </c>
      <c r="J310" s="7" t="str">
        <f aca="false">IFERROR(VLOOKUP(TRIM($D310), Hoja4_2!$A$2:$L$10000, 12, 0), "Revisar")</f>
        <v>20660263</v>
      </c>
      <c r="K310" s="8" t="str">
        <f aca="false">TEXT(TRIM(D310),"0")</f>
        <v>36348983</v>
      </c>
      <c r="L310" s="1" t="str">
        <f aca="false">IF(F310="Revisar","NULL",CONCATENATE("'",TEXT(F310,"yyyy-mm-dd"),"'"))</f>
        <v>'2012-09-14'</v>
      </c>
      <c r="M310" s="9" t="str">
        <f aca="false">IF(G310="Revisar","NULL",CONCATENATE("'",MID(G310,1,1),"'"))</f>
        <v>'M'</v>
      </c>
      <c r="N310" s="9" t="str">
        <f aca="false">IF(H310="Revisar","NULL",CONCATENATE("'",H310,"'"))</f>
        <v>'JESUS ENRIQUE LOSSADA'</v>
      </c>
      <c r="O310" s="9" t="str">
        <f aca="false">IF(I310="Revisar","NULL",CONCATENATE("'",I310,"'"))</f>
        <v>'ZU'</v>
      </c>
      <c r="P310" s="1" t="str">
        <f aca="false">"UPDATE estudiantes SET fecha_nacimiento="&amp;L310&amp;", sexo="&amp;M310&amp;", lugar_nacimiento="&amp;N310&amp;", entidad_federal="&amp;O310&amp;" WHERE cedula='"&amp;K310&amp;"';"</f>
        <v>UPDATE estudiantes SET fecha_nacimiento='2012-09-14', sexo='M', lugar_nacimiento='JESUS ENRIQUE LOSSADA', entidad_federal='ZU' WHERE cedula='36348983';</v>
      </c>
    </row>
    <row r="311" customFormat="false" ht="14.9" hidden="false" customHeight="false" outlineLevel="0" collapsed="false">
      <c r="A311" s="1" t="s">
        <v>15</v>
      </c>
      <c r="B311" s="1" t="s">
        <v>192</v>
      </c>
      <c r="C311" s="1" t="s">
        <v>160</v>
      </c>
      <c r="D311" s="1" t="s">
        <v>334</v>
      </c>
      <c r="E311" s="2" t="n">
        <v>45924</v>
      </c>
      <c r="F311" s="2" t="n">
        <f aca="false">IFERROR(VLOOKUP(TRIM($D311), Hoja4_2!$A$2:$L$10000, 4, 0), "Revisar")</f>
        <v>40915</v>
      </c>
      <c r="G311" s="7" t="str">
        <f aca="false">IFERROR(VLOOKUP(TRIM($D311), Hoja4_2!$A$2:$L$10000, 5, 0), "Revisar")</f>
        <v>FEMENINO</v>
      </c>
      <c r="H311" s="7" t="str">
        <f aca="false">IFERROR(VLOOKUP(TRIM($D311), Hoja4_2!$A$2:$L$10000, 7, 0), "Revisar")</f>
        <v>JESUS ENRIQUE LOSSADA</v>
      </c>
      <c r="I311" s="7" t="str">
        <f aca="false">IFERROR(VLOOKUP(TRIM($D311), Hoja4_2!$A$2:$L$10000, 9, 0), "Revisar")</f>
        <v>ZU</v>
      </c>
      <c r="J311" s="7" t="str">
        <f aca="false">IFERROR(VLOOKUP(TRIM($D311), Hoja4_2!$A$2:$L$10000, 12, 0), "Revisar")</f>
        <v>21229769</v>
      </c>
      <c r="K311" s="8" t="str">
        <f aca="false">TEXT(TRIM(D311),"0")</f>
        <v>36486372</v>
      </c>
      <c r="L311" s="1" t="str">
        <f aca="false">IF(F311="Revisar","NULL",CONCATENATE("'",TEXT(F311,"yyyy-mm-dd"),"'"))</f>
        <v>'2012-01-07'</v>
      </c>
      <c r="M311" s="9" t="str">
        <f aca="false">IF(G311="Revisar","NULL",CONCATENATE("'",MID(G311,1,1),"'"))</f>
        <v>'F'</v>
      </c>
      <c r="N311" s="9" t="str">
        <f aca="false">IF(H311="Revisar","NULL",CONCATENATE("'",H311,"'"))</f>
        <v>'JESUS ENRIQUE LOSSADA'</v>
      </c>
      <c r="O311" s="9" t="str">
        <f aca="false">IF(I311="Revisar","NULL",CONCATENATE("'",I311,"'"))</f>
        <v>'ZU'</v>
      </c>
      <c r="P311" s="1" t="str">
        <f aca="false">"UPDATE estudiantes SET fecha_nacimiento="&amp;L311&amp;", sexo="&amp;M311&amp;", lugar_nacimiento="&amp;N311&amp;", entidad_federal="&amp;O311&amp;" WHERE cedula='"&amp;K311&amp;"';"</f>
        <v>UPDATE estudiantes SET fecha_nacimiento='2012-01-07', sexo='F', lugar_nacimiento='JESUS ENRIQUE LOSSADA', entidad_federal='ZU' WHERE cedula='36486372';</v>
      </c>
    </row>
    <row r="312" customFormat="false" ht="14.9" hidden="false" customHeight="false" outlineLevel="0" collapsed="false">
      <c r="A312" s="1" t="s">
        <v>15</v>
      </c>
      <c r="B312" s="1" t="s">
        <v>192</v>
      </c>
      <c r="C312" s="1" t="s">
        <v>160</v>
      </c>
      <c r="D312" s="1" t="s">
        <v>335</v>
      </c>
      <c r="E312" s="2" t="n">
        <v>45924</v>
      </c>
      <c r="F312" s="2" t="n">
        <f aca="false">IFERROR(VLOOKUP(TRIM($D312), Hoja4_2!$A$2:$L$10000, 4, 0), "Revisar")</f>
        <v>40917</v>
      </c>
      <c r="G312" s="7" t="str">
        <f aca="false">IFERROR(VLOOKUP(TRIM($D312), Hoja4_2!$A$2:$L$10000, 5, 0), "Revisar")</f>
        <v>FEMENINO</v>
      </c>
      <c r="H312" s="7" t="str">
        <f aca="false">IFERROR(VLOOKUP(TRIM($D312), Hoja4_2!$A$2:$L$10000, 7, 0), "Revisar")</f>
        <v>JESUS ENRIQUE LOSSADA</v>
      </c>
      <c r="I312" s="7" t="str">
        <f aca="false">IFERROR(VLOOKUP(TRIM($D312), Hoja4_2!$A$2:$L$10000, 9, 0), "Revisar")</f>
        <v>ZU</v>
      </c>
      <c r="J312" s="7" t="str">
        <f aca="false">IFERROR(VLOOKUP(TRIM($D312), Hoja4_2!$A$2:$L$10000, 12, 0), "Revisar")</f>
        <v>23466406</v>
      </c>
      <c r="K312" s="8" t="str">
        <f aca="false">TEXT(TRIM(D312),"0")</f>
        <v>36580938</v>
      </c>
      <c r="L312" s="1" t="str">
        <f aca="false">IF(F312="Revisar","NULL",CONCATENATE("'",TEXT(F312,"yyyy-mm-dd"),"'"))</f>
        <v>'2012-01-09'</v>
      </c>
      <c r="M312" s="9" t="str">
        <f aca="false">IF(G312="Revisar","NULL",CONCATENATE("'",MID(G312,1,1),"'"))</f>
        <v>'F'</v>
      </c>
      <c r="N312" s="9" t="str">
        <f aca="false">IF(H312="Revisar","NULL",CONCATENATE("'",H312,"'"))</f>
        <v>'JESUS ENRIQUE LOSSADA'</v>
      </c>
      <c r="O312" s="9" t="str">
        <f aca="false">IF(I312="Revisar","NULL",CONCATENATE("'",I312,"'"))</f>
        <v>'ZU'</v>
      </c>
      <c r="P312" s="1" t="str">
        <f aca="false">"UPDATE estudiantes SET fecha_nacimiento="&amp;L312&amp;", sexo="&amp;M312&amp;", lugar_nacimiento="&amp;N312&amp;", entidad_federal="&amp;O312&amp;" WHERE cedula='"&amp;K312&amp;"';"</f>
        <v>UPDATE estudiantes SET fecha_nacimiento='2012-01-09', sexo='F', lugar_nacimiento='JESUS ENRIQUE LOSSADA', entidad_federal='ZU' WHERE cedula='36580938';</v>
      </c>
    </row>
    <row r="313" customFormat="false" ht="14.9" hidden="false" customHeight="false" outlineLevel="0" collapsed="false">
      <c r="A313" s="1" t="s">
        <v>15</v>
      </c>
      <c r="B313" s="1" t="s">
        <v>192</v>
      </c>
      <c r="C313" s="1" t="s">
        <v>160</v>
      </c>
      <c r="D313" s="1" t="s">
        <v>336</v>
      </c>
      <c r="E313" s="2" t="n">
        <v>45924</v>
      </c>
      <c r="F313" s="2" t="n">
        <f aca="false">IFERROR(VLOOKUP(TRIM($D313), Hoja4_2!$A$2:$L$10000, 4, 0), "Revisar")</f>
        <v>40406</v>
      </c>
      <c r="G313" s="7" t="str">
        <f aca="false">IFERROR(VLOOKUP(TRIM($D313), Hoja4_2!$A$2:$L$10000, 5, 0), "Revisar")</f>
        <v>MASCULINO</v>
      </c>
      <c r="H313" s="7" t="str">
        <f aca="false">IFERROR(VLOOKUP(TRIM($D313), Hoja4_2!$A$2:$L$10000, 7, 0), "Revisar")</f>
        <v>MARACAIBO</v>
      </c>
      <c r="I313" s="7" t="str">
        <f aca="false">IFERROR(VLOOKUP(TRIM($D313), Hoja4_2!$A$2:$L$10000, 9, 0), "Revisar")</f>
        <v>ZU</v>
      </c>
      <c r="J313" s="7" t="str">
        <f aca="false">IFERROR(VLOOKUP(TRIM($D313), Hoja4_2!$A$2:$L$10000, 12, 0), "Revisar")</f>
        <v>73228876</v>
      </c>
      <c r="K313" s="8" t="str">
        <f aca="false">TEXT(TRIM(D313),"0")</f>
        <v>11016298584</v>
      </c>
      <c r="L313" s="1" t="str">
        <f aca="false">IF(F313="Revisar","NULL",CONCATENATE("'",TEXT(F313,"yyyy-mm-dd"),"'"))</f>
        <v>'2010-08-16'</v>
      </c>
      <c r="M313" s="9" t="str">
        <f aca="false">IF(G313="Revisar","NULL",CONCATENATE("'",MID(G313,1,1),"'"))</f>
        <v>'M'</v>
      </c>
      <c r="N313" s="9" t="str">
        <f aca="false">IF(H313="Revisar","NULL",CONCATENATE("'",H313,"'"))</f>
        <v>'MARACAIBO'</v>
      </c>
      <c r="O313" s="9" t="str">
        <f aca="false">IF(I313="Revisar","NULL",CONCATENATE("'",I313,"'"))</f>
        <v>'ZU'</v>
      </c>
      <c r="P313" s="1" t="str">
        <f aca="false">"UPDATE estudiantes SET fecha_nacimiento="&amp;L313&amp;", sexo="&amp;M313&amp;", lugar_nacimiento="&amp;N313&amp;", entidad_federal="&amp;O313&amp;" WHERE cedula='"&amp;K313&amp;"';"</f>
        <v>UPDATE estudiantes SET fecha_nacimiento='2010-08-16', sexo='M', lugar_nacimiento='MARACAIBO', entidad_federal='ZU' WHERE cedula='11016298584';</v>
      </c>
    </row>
    <row r="314" customFormat="false" ht="14.9" hidden="false" customHeight="false" outlineLevel="0" collapsed="false">
      <c r="A314" s="1" t="s">
        <v>15</v>
      </c>
      <c r="B314" s="1" t="s">
        <v>192</v>
      </c>
      <c r="C314" s="1" t="s">
        <v>160</v>
      </c>
      <c r="D314" s="1" t="s">
        <v>337</v>
      </c>
      <c r="E314" s="2" t="n">
        <v>45924</v>
      </c>
      <c r="F314" s="2" t="n">
        <f aca="false">IFERROR(VLOOKUP(TRIM($D314), Hoja4_2!$A$2:$L$10000, 4, 0), "Revisar")</f>
        <v>40520</v>
      </c>
      <c r="G314" s="7" t="str">
        <f aca="false">IFERROR(VLOOKUP(TRIM($D314), Hoja4_2!$A$2:$L$10000, 5, 0), "Revisar")</f>
        <v>FEMENINO</v>
      </c>
      <c r="H314" s="7" t="str">
        <f aca="false">IFERROR(VLOOKUP(TRIM($D314), Hoja4_2!$A$2:$L$10000, 7, 0), "Revisar")</f>
        <v>MARACAIBO</v>
      </c>
      <c r="I314" s="7" t="str">
        <f aca="false">IFERROR(VLOOKUP(TRIM($D314), Hoja4_2!$A$2:$L$10000, 9, 0), "Revisar")</f>
        <v>ZU</v>
      </c>
      <c r="J314" s="7" t="str">
        <f aca="false">IFERROR(VLOOKUP(TRIM($D314), Hoja4_2!$A$2:$L$10000, 12, 0), "Revisar")</f>
        <v>20508337</v>
      </c>
      <c r="K314" s="8" t="str">
        <f aca="false">TEXT(TRIM(D314),"0")</f>
        <v>11020508337</v>
      </c>
      <c r="L314" s="1" t="str">
        <f aca="false">IF(F314="Revisar","NULL",CONCATENATE("'",TEXT(F314,"yyyy-mm-dd"),"'"))</f>
        <v>'2010-12-08'</v>
      </c>
      <c r="M314" s="9" t="str">
        <f aca="false">IF(G314="Revisar","NULL",CONCATENATE("'",MID(G314,1,1),"'"))</f>
        <v>'F'</v>
      </c>
      <c r="N314" s="9" t="str">
        <f aca="false">IF(H314="Revisar","NULL",CONCATENATE("'",H314,"'"))</f>
        <v>'MARACAIBO'</v>
      </c>
      <c r="O314" s="9" t="str">
        <f aca="false">IF(I314="Revisar","NULL",CONCATENATE("'",I314,"'"))</f>
        <v>'ZU'</v>
      </c>
      <c r="P314" s="1" t="str">
        <f aca="false">"UPDATE estudiantes SET fecha_nacimiento="&amp;L314&amp;", sexo="&amp;M314&amp;", lugar_nacimiento="&amp;N314&amp;", entidad_federal="&amp;O314&amp;" WHERE cedula='"&amp;K314&amp;"';"</f>
        <v>UPDATE estudiantes SET fecha_nacimiento='2010-12-08', sexo='F', lugar_nacimiento='MARACAIBO', entidad_federal='ZU' WHERE cedula='11020508337';</v>
      </c>
    </row>
    <row r="315" customFormat="false" ht="14.9" hidden="false" customHeight="false" outlineLevel="0" collapsed="false">
      <c r="A315" s="1" t="s">
        <v>15</v>
      </c>
      <c r="B315" s="1" t="s">
        <v>192</v>
      </c>
      <c r="C315" s="1" t="s">
        <v>160</v>
      </c>
      <c r="D315" s="1" t="s">
        <v>338</v>
      </c>
      <c r="E315" s="2" t="n">
        <v>45924</v>
      </c>
      <c r="F315" s="2" t="n">
        <f aca="false">IFERROR(VLOOKUP(TRIM($D315), Hoja4_2!$A$2:$L$10000, 4, 0), "Revisar")</f>
        <v>40672</v>
      </c>
      <c r="G315" s="7" t="str">
        <f aca="false">IFERROR(VLOOKUP(TRIM($D315), Hoja4_2!$A$2:$L$10000, 5, 0), "Revisar")</f>
        <v>MASCULINO</v>
      </c>
      <c r="H315" s="7" t="str">
        <f aca="false">IFERROR(VLOOKUP(TRIM($D315), Hoja4_2!$A$2:$L$10000, 7, 0), "Revisar")</f>
        <v>JESUS ENRIQUE LOSSADA</v>
      </c>
      <c r="I315" s="7" t="str">
        <f aca="false">IFERROR(VLOOKUP(TRIM($D315), Hoja4_2!$A$2:$L$10000, 9, 0), "Revisar")</f>
        <v>ZU</v>
      </c>
      <c r="J315" s="7" t="str">
        <f aca="false">IFERROR(VLOOKUP(TRIM($D315), Hoja4_2!$A$2:$L$10000, 12, 0), "Revisar")</f>
        <v>99999999</v>
      </c>
      <c r="K315" s="8" t="str">
        <f aca="false">TEXT(TRIM(D315),"0")</f>
        <v>11112257673</v>
      </c>
      <c r="L315" s="1" t="str">
        <f aca="false">IF(F315="Revisar","NULL",CONCATENATE("'",TEXT(F315,"yyyy-mm-dd"),"'"))</f>
        <v>'2011-05-09'</v>
      </c>
      <c r="M315" s="9" t="str">
        <f aca="false">IF(G315="Revisar","NULL",CONCATENATE("'",MID(G315,1,1),"'"))</f>
        <v>'M'</v>
      </c>
      <c r="N315" s="9" t="str">
        <f aca="false">IF(H315="Revisar","NULL",CONCATENATE("'",H315,"'"))</f>
        <v>'JESUS ENRIQUE LOSSADA'</v>
      </c>
      <c r="O315" s="9" t="str">
        <f aca="false">IF(I315="Revisar","NULL",CONCATENATE("'",I315,"'"))</f>
        <v>'ZU'</v>
      </c>
      <c r="P315" s="1" t="str">
        <f aca="false">"UPDATE estudiantes SET fecha_nacimiento="&amp;L315&amp;", sexo="&amp;M315&amp;", lugar_nacimiento="&amp;N315&amp;", entidad_federal="&amp;O315&amp;" WHERE cedula='"&amp;K315&amp;"';"</f>
        <v>UPDATE estudiantes SET fecha_nacimiento='2011-05-09', sexo='M', lugar_nacimiento='JESUS ENRIQUE LOSSADA', entidad_federal='ZU' WHERE cedula='11112257673';</v>
      </c>
    </row>
    <row r="316" customFormat="false" ht="14.9" hidden="false" customHeight="false" outlineLevel="0" collapsed="false">
      <c r="A316" s="1" t="s">
        <v>15</v>
      </c>
      <c r="B316" s="1" t="s">
        <v>192</v>
      </c>
      <c r="C316" s="1" t="s">
        <v>160</v>
      </c>
      <c r="D316" s="1" t="s">
        <v>339</v>
      </c>
      <c r="E316" s="2" t="n">
        <v>45929</v>
      </c>
      <c r="F316" s="2" t="n">
        <f aca="false">IFERROR(VLOOKUP(TRIM($D316), Hoja4_2!$A$2:$L$10000, 4, 0), "Revisar")</f>
        <v>40588</v>
      </c>
      <c r="G316" s="7" t="str">
        <f aca="false">IFERROR(VLOOKUP(TRIM($D316), Hoja4_2!$A$2:$L$10000, 5, 0), "Revisar")</f>
        <v>MASCULINO</v>
      </c>
      <c r="H316" s="7" t="str">
        <f aca="false">IFERROR(VLOOKUP(TRIM($D316), Hoja4_2!$A$2:$L$10000, 7, 0), "Revisar")</f>
        <v>MARACAIBO</v>
      </c>
      <c r="I316" s="7" t="str">
        <f aca="false">IFERROR(VLOOKUP(TRIM($D316), Hoja4_2!$A$2:$L$10000, 9, 0), "Revisar")</f>
        <v>ZU</v>
      </c>
      <c r="J316" s="7" t="str">
        <f aca="false">IFERROR(VLOOKUP(TRIM($D316), Hoja4_2!$A$2:$L$10000, 12, 0), "Revisar")</f>
        <v>20277168</v>
      </c>
      <c r="K316" s="8" t="str">
        <f aca="false">TEXT(TRIM(D316),"0")</f>
        <v>11120277168</v>
      </c>
      <c r="L316" s="1" t="str">
        <f aca="false">IF(F316="Revisar","NULL",CONCATENATE("'",TEXT(F316,"yyyy-mm-dd"),"'"))</f>
        <v>'2011-02-14'</v>
      </c>
      <c r="M316" s="9" t="str">
        <f aca="false">IF(G316="Revisar","NULL",CONCATENATE("'",MID(G316,1,1),"'"))</f>
        <v>'M'</v>
      </c>
      <c r="N316" s="9" t="str">
        <f aca="false">IF(H316="Revisar","NULL",CONCATENATE("'",H316,"'"))</f>
        <v>'MARACAIBO'</v>
      </c>
      <c r="O316" s="9" t="str">
        <f aca="false">IF(I316="Revisar","NULL",CONCATENATE("'",I316,"'"))</f>
        <v>'ZU'</v>
      </c>
      <c r="P316" s="1" t="str">
        <f aca="false">"UPDATE estudiantes SET fecha_nacimiento="&amp;L316&amp;", sexo="&amp;M316&amp;", lugar_nacimiento="&amp;N316&amp;", entidad_federal="&amp;O316&amp;" WHERE cedula='"&amp;K316&amp;"';"</f>
        <v>UPDATE estudiantes SET fecha_nacimiento='2011-02-14', sexo='M', lugar_nacimiento='MARACAIBO', entidad_federal='ZU' WHERE cedula='11120277168';</v>
      </c>
    </row>
    <row r="317" customFormat="false" ht="14.9" hidden="false" customHeight="false" outlineLevel="0" collapsed="false">
      <c r="A317" s="1" t="s">
        <v>15</v>
      </c>
      <c r="B317" s="1" t="s">
        <v>192</v>
      </c>
      <c r="C317" s="1" t="s">
        <v>160</v>
      </c>
      <c r="D317" s="1" t="s">
        <v>340</v>
      </c>
      <c r="E317" s="2" t="n">
        <v>45924</v>
      </c>
      <c r="F317" s="2" t="n">
        <f aca="false">IFERROR(VLOOKUP(TRIM($D317), Hoja4_2!$A$2:$L$10000, 4, 0), "Revisar")</f>
        <v>40806</v>
      </c>
      <c r="G317" s="7" t="str">
        <f aca="false">IFERROR(VLOOKUP(TRIM($D317), Hoja4_2!$A$2:$L$10000, 5, 0), "Revisar")</f>
        <v>MASCULINO</v>
      </c>
      <c r="H317" s="7" t="str">
        <f aca="false">IFERROR(VLOOKUP(TRIM($D317), Hoja4_2!$A$2:$L$10000, 7, 0), "Revisar")</f>
        <v>MARACAIBO</v>
      </c>
      <c r="I317" s="7" t="str">
        <f aca="false">IFERROR(VLOOKUP(TRIM($D317), Hoja4_2!$A$2:$L$10000, 9, 0), "Revisar")</f>
        <v>ZU</v>
      </c>
      <c r="J317" s="7" t="str">
        <f aca="false">IFERROR(VLOOKUP(TRIM($D317), Hoja4_2!$A$2:$L$10000, 12, 0), "Revisar")</f>
        <v>20508650</v>
      </c>
      <c r="K317" s="8" t="str">
        <f aca="false">TEXT(TRIM(D317),"0")</f>
        <v>11120508650</v>
      </c>
      <c r="L317" s="1" t="str">
        <f aca="false">IF(F317="Revisar","NULL",CONCATENATE("'",TEXT(F317,"yyyy-mm-dd"),"'"))</f>
        <v>'2011-09-20'</v>
      </c>
      <c r="M317" s="9" t="str">
        <f aca="false">IF(G317="Revisar","NULL",CONCATENATE("'",MID(G317,1,1),"'"))</f>
        <v>'M'</v>
      </c>
      <c r="N317" s="9" t="str">
        <f aca="false">IF(H317="Revisar","NULL",CONCATENATE("'",H317,"'"))</f>
        <v>'MARACAIBO'</v>
      </c>
      <c r="O317" s="9" t="str">
        <f aca="false">IF(I317="Revisar","NULL",CONCATENATE("'",I317,"'"))</f>
        <v>'ZU'</v>
      </c>
      <c r="P317" s="1" t="str">
        <f aca="false">"UPDATE estudiantes SET fecha_nacimiento="&amp;L317&amp;", sexo="&amp;M317&amp;", lugar_nacimiento="&amp;N317&amp;", entidad_federal="&amp;O317&amp;" WHERE cedula='"&amp;K317&amp;"';"</f>
        <v>UPDATE estudiantes SET fecha_nacimiento='2011-09-20', sexo='M', lugar_nacimiento='MARACAIBO', entidad_federal='ZU' WHERE cedula='11120508650';</v>
      </c>
    </row>
    <row r="318" customFormat="false" ht="14.9" hidden="false" customHeight="false" outlineLevel="0" collapsed="false">
      <c r="A318" s="1" t="s">
        <v>15</v>
      </c>
      <c r="B318" s="1" t="s">
        <v>192</v>
      </c>
      <c r="C318" s="1" t="s">
        <v>160</v>
      </c>
      <c r="D318" s="1" t="s">
        <v>341</v>
      </c>
      <c r="E318" s="2" t="n">
        <v>45924</v>
      </c>
      <c r="F318" s="2" t="n">
        <f aca="false">IFERROR(VLOOKUP(TRIM($D318), Hoja4_2!$A$2:$L$10000, 4, 0), "Revisar")</f>
        <v>41226</v>
      </c>
      <c r="G318" s="7" t="str">
        <f aca="false">IFERROR(VLOOKUP(TRIM($D318), Hoja4_2!$A$2:$L$10000, 5, 0), "Revisar")</f>
        <v>FEMENINO</v>
      </c>
      <c r="H318" s="7" t="str">
        <f aca="false">IFERROR(VLOOKUP(TRIM($D318), Hoja4_2!$A$2:$L$10000, 7, 0), "Revisar")</f>
        <v>JESUS ENRIQUE LOSSADA</v>
      </c>
      <c r="I318" s="7" t="str">
        <f aca="false">IFERROR(VLOOKUP(TRIM($D318), Hoja4_2!$A$2:$L$10000, 9, 0), "Revisar")</f>
        <v>ZU</v>
      </c>
      <c r="J318" s="7" t="str">
        <f aca="false">IFERROR(VLOOKUP(TRIM($D318), Hoja4_2!$A$2:$L$10000, 12, 0), "Revisar")</f>
        <v>21078335</v>
      </c>
      <c r="K318" s="8" t="str">
        <f aca="false">TEXT(TRIM(D318),"0")</f>
        <v>11121078335</v>
      </c>
      <c r="L318" s="1" t="str">
        <f aca="false">IF(F318="Revisar","NULL",CONCATENATE("'",TEXT(F318,"yyyy-mm-dd"),"'"))</f>
        <v>'2012-11-13'</v>
      </c>
      <c r="M318" s="9" t="str">
        <f aca="false">IF(G318="Revisar","NULL",CONCATENATE("'",MID(G318,1,1),"'"))</f>
        <v>'F'</v>
      </c>
      <c r="N318" s="9" t="str">
        <f aca="false">IF(H318="Revisar","NULL",CONCATENATE("'",H318,"'"))</f>
        <v>'JESUS ENRIQUE LOSSADA'</v>
      </c>
      <c r="O318" s="9" t="str">
        <f aca="false">IF(I318="Revisar","NULL",CONCATENATE("'",I318,"'"))</f>
        <v>'ZU'</v>
      </c>
      <c r="P318" s="1" t="str">
        <f aca="false">"UPDATE estudiantes SET fecha_nacimiento="&amp;L318&amp;", sexo="&amp;M318&amp;", lugar_nacimiento="&amp;N318&amp;", entidad_federal="&amp;O318&amp;" WHERE cedula='"&amp;K318&amp;"';"</f>
        <v>UPDATE estudiantes SET fecha_nacimiento='2012-11-13', sexo='F', lugar_nacimiento='JESUS ENRIQUE LOSSADA', entidad_federal='ZU' WHERE cedula='11121078335';</v>
      </c>
    </row>
    <row r="319" customFormat="false" ht="14.9" hidden="false" customHeight="false" outlineLevel="0" collapsed="false">
      <c r="A319" s="1" t="s">
        <v>15</v>
      </c>
      <c r="B319" s="1" t="s">
        <v>192</v>
      </c>
      <c r="C319" s="1" t="s">
        <v>160</v>
      </c>
      <c r="D319" s="1" t="s">
        <v>342</v>
      </c>
      <c r="E319" s="2" t="n">
        <v>45924</v>
      </c>
      <c r="F319" s="2" t="n">
        <f aca="false">IFERROR(VLOOKUP(TRIM($D319), Hoja4_2!$A$2:$L$10000, 4, 0), "Revisar")</f>
        <v>41160</v>
      </c>
      <c r="G319" s="7" t="str">
        <f aca="false">IFERROR(VLOOKUP(TRIM($D319), Hoja4_2!$A$2:$L$10000, 5, 0), "Revisar")</f>
        <v>FEMENINO</v>
      </c>
      <c r="H319" s="7" t="str">
        <f aca="false">IFERROR(VLOOKUP(TRIM($D319), Hoja4_2!$A$2:$L$10000, 7, 0), "Revisar")</f>
        <v>MARACAIBO</v>
      </c>
      <c r="I319" s="7" t="str">
        <f aca="false">IFERROR(VLOOKUP(TRIM($D319), Hoja4_2!$A$2:$L$10000, 9, 0), "Revisar")</f>
        <v>ZU</v>
      </c>
      <c r="J319" s="7" t="str">
        <f aca="false">IFERROR(VLOOKUP(TRIM($D319), Hoja4_2!$A$2:$L$10000, 12, 0), "Revisar")</f>
        <v>08508062</v>
      </c>
      <c r="K319" s="8" t="str">
        <f aca="false">TEXT(TRIM(D319),"0")</f>
        <v>11208508062</v>
      </c>
      <c r="L319" s="1" t="str">
        <f aca="false">IF(F319="Revisar","NULL",CONCATENATE("'",TEXT(F319,"yyyy-mm-dd"),"'"))</f>
        <v>'2012-09-08'</v>
      </c>
      <c r="M319" s="9" t="str">
        <f aca="false">IF(G319="Revisar","NULL",CONCATENATE("'",MID(G319,1,1),"'"))</f>
        <v>'F'</v>
      </c>
      <c r="N319" s="9" t="str">
        <f aca="false">IF(H319="Revisar","NULL",CONCATENATE("'",H319,"'"))</f>
        <v>'MARACAIBO'</v>
      </c>
      <c r="O319" s="9" t="str">
        <f aca="false">IF(I319="Revisar","NULL",CONCATENATE("'",I319,"'"))</f>
        <v>'ZU'</v>
      </c>
      <c r="P319" s="1" t="str">
        <f aca="false">"UPDATE estudiantes SET fecha_nacimiento="&amp;L319&amp;", sexo="&amp;M319&amp;", lugar_nacimiento="&amp;N319&amp;", entidad_federal="&amp;O319&amp;" WHERE cedula='"&amp;K319&amp;"';"</f>
        <v>UPDATE estudiantes SET fecha_nacimiento='2012-09-08', sexo='F', lugar_nacimiento='MARACAIBO', entidad_federal='ZU' WHERE cedula='11208508062';</v>
      </c>
    </row>
    <row r="320" customFormat="false" ht="14.9" hidden="false" customHeight="false" outlineLevel="0" collapsed="false">
      <c r="A320" s="1" t="s">
        <v>15</v>
      </c>
      <c r="B320" s="1" t="s">
        <v>192</v>
      </c>
      <c r="C320" s="1" t="s">
        <v>160</v>
      </c>
      <c r="D320" s="1" t="s">
        <v>343</v>
      </c>
      <c r="E320" s="2" t="n">
        <v>46133</v>
      </c>
      <c r="F320" s="2" t="n">
        <f aca="false">IFERROR(VLOOKUP(TRIM($D320), Hoja4_2!$A$2:$L$10000, 4, 0), "Revisar")</f>
        <v>40997</v>
      </c>
      <c r="G320" s="7" t="str">
        <f aca="false">IFERROR(VLOOKUP(TRIM($D320), Hoja4_2!$A$2:$L$10000, 5, 0), "Revisar")</f>
        <v>MASCULINO</v>
      </c>
      <c r="H320" s="7" t="str">
        <f aca="false">IFERROR(VLOOKUP(TRIM($D320), Hoja4_2!$A$2:$L$10000, 7, 0), "Revisar")</f>
        <v>MARACAIBO</v>
      </c>
      <c r="I320" s="7" t="str">
        <f aca="false">IFERROR(VLOOKUP(TRIM($D320), Hoja4_2!$A$2:$L$10000, 9, 0), "Revisar")</f>
        <v>ZU</v>
      </c>
      <c r="J320" s="7" t="str">
        <f aca="false">IFERROR(VLOOKUP(TRIM($D320), Hoja4_2!$A$2:$L$10000, 12, 0), "Revisar")</f>
        <v>16621631</v>
      </c>
      <c r="K320" s="8" t="str">
        <f aca="false">TEXT(TRIM(D320),"0")</f>
        <v>11216621631</v>
      </c>
      <c r="L320" s="1" t="str">
        <f aca="false">IF(F320="Revisar","NULL",CONCATENATE("'",TEXT(F320,"yyyy-mm-dd"),"'"))</f>
        <v>'2012-03-29'</v>
      </c>
      <c r="M320" s="9" t="str">
        <f aca="false">IF(G320="Revisar","NULL",CONCATENATE("'",MID(G320,1,1),"'"))</f>
        <v>'M'</v>
      </c>
      <c r="N320" s="9" t="str">
        <f aca="false">IF(H320="Revisar","NULL",CONCATENATE("'",H320,"'"))</f>
        <v>'MARACAIBO'</v>
      </c>
      <c r="O320" s="9" t="str">
        <f aca="false">IF(I320="Revisar","NULL",CONCATENATE("'",I320,"'"))</f>
        <v>'ZU'</v>
      </c>
      <c r="P320" s="1" t="str">
        <f aca="false">"UPDATE estudiantes SET fecha_nacimiento="&amp;L320&amp;", sexo="&amp;M320&amp;", lugar_nacimiento="&amp;N320&amp;", entidad_federal="&amp;O320&amp;" WHERE cedula='"&amp;K320&amp;"';"</f>
        <v>UPDATE estudiantes SET fecha_nacimiento='2012-03-29', sexo='M', lugar_nacimiento='MARACAIBO', entidad_federal='ZU' WHERE cedula='11216621631';</v>
      </c>
    </row>
    <row r="321" customFormat="false" ht="14.9" hidden="false" customHeight="false" outlineLevel="0" collapsed="false">
      <c r="A321" s="1" t="s">
        <v>15</v>
      </c>
      <c r="B321" s="1" t="s">
        <v>192</v>
      </c>
      <c r="C321" s="1" t="s">
        <v>160</v>
      </c>
      <c r="D321" s="1" t="s">
        <v>344</v>
      </c>
      <c r="E321" s="2" t="n">
        <v>45924</v>
      </c>
      <c r="F321" s="2" t="n">
        <f aca="false">IFERROR(VLOOKUP(TRIM($D321), Hoja4_2!$A$2:$L$10000, 4, 0), "Revisar")</f>
        <v>41253</v>
      </c>
      <c r="G321" s="7" t="str">
        <f aca="false">IFERROR(VLOOKUP(TRIM($D321), Hoja4_2!$A$2:$L$10000, 5, 0), "Revisar")</f>
        <v>FEMENINO</v>
      </c>
      <c r="H321" s="7" t="str">
        <f aca="false">IFERROR(VLOOKUP(TRIM($D321), Hoja4_2!$A$2:$L$10000, 7, 0), "Revisar")</f>
        <v>MARACAIBO</v>
      </c>
      <c r="I321" s="7" t="str">
        <f aca="false">IFERROR(VLOOKUP(TRIM($D321), Hoja4_2!$A$2:$L$10000, 9, 0), "Revisar")</f>
        <v>ZU</v>
      </c>
      <c r="J321" s="7" t="str">
        <f aca="false">IFERROR(VLOOKUP(TRIM($D321), Hoja4_2!$A$2:$L$10000, 12, 0), "Revisar")</f>
        <v>17260054</v>
      </c>
      <c r="K321" s="8" t="str">
        <f aca="false">TEXT(TRIM(D321),"0")</f>
        <v>11217260054</v>
      </c>
      <c r="L321" s="1" t="str">
        <f aca="false">IF(F321="Revisar","NULL",CONCATENATE("'",TEXT(F321,"yyyy-mm-dd"),"'"))</f>
        <v>'2012-12-10'</v>
      </c>
      <c r="M321" s="9" t="str">
        <f aca="false">IF(G321="Revisar","NULL",CONCATENATE("'",MID(G321,1,1),"'"))</f>
        <v>'F'</v>
      </c>
      <c r="N321" s="9" t="str">
        <f aca="false">IF(H321="Revisar","NULL",CONCATENATE("'",H321,"'"))</f>
        <v>'MARACAIBO'</v>
      </c>
      <c r="O321" s="9" t="str">
        <f aca="false">IF(I321="Revisar","NULL",CONCATENATE("'",I321,"'"))</f>
        <v>'ZU'</v>
      </c>
      <c r="P321" s="1" t="str">
        <f aca="false">"UPDATE estudiantes SET fecha_nacimiento="&amp;L321&amp;", sexo="&amp;M321&amp;", lugar_nacimiento="&amp;N321&amp;", entidad_federal="&amp;O321&amp;" WHERE cedula='"&amp;K321&amp;"';"</f>
        <v>UPDATE estudiantes SET fecha_nacimiento='2012-12-10', sexo='F', lugar_nacimiento='MARACAIBO', entidad_federal='ZU' WHERE cedula='11217260054';</v>
      </c>
    </row>
    <row r="322" customFormat="false" ht="14.9" hidden="false" customHeight="false" outlineLevel="0" collapsed="false">
      <c r="A322" s="1" t="s">
        <v>15</v>
      </c>
      <c r="B322" s="1" t="s">
        <v>192</v>
      </c>
      <c r="C322" s="1" t="s">
        <v>160</v>
      </c>
      <c r="D322" s="1" t="s">
        <v>345</v>
      </c>
      <c r="E322" s="2" t="n">
        <v>45924</v>
      </c>
      <c r="F322" s="2" t="n">
        <f aca="false">IFERROR(VLOOKUP(TRIM($D322), Hoja4_2!$A$2:$L$10000, 4, 0), "Revisar")</f>
        <v>40988</v>
      </c>
      <c r="G322" s="7" t="str">
        <f aca="false">IFERROR(VLOOKUP(TRIM($D322), Hoja4_2!$A$2:$L$10000, 5, 0), "Revisar")</f>
        <v>MASCULINO</v>
      </c>
      <c r="H322" s="7" t="str">
        <f aca="false">IFERROR(VLOOKUP(TRIM($D322), Hoja4_2!$A$2:$L$10000, 7, 0), "Revisar")</f>
        <v>MARACAIBO</v>
      </c>
      <c r="I322" s="7" t="str">
        <f aca="false">IFERROR(VLOOKUP(TRIM($D322), Hoja4_2!$A$2:$L$10000, 9, 0), "Revisar")</f>
        <v>ZU</v>
      </c>
      <c r="J322" s="7" t="str">
        <f aca="false">IFERROR(VLOOKUP(TRIM($D322), Hoja4_2!$A$2:$L$10000, 12, 0), "Revisar")</f>
        <v>19767949</v>
      </c>
      <c r="K322" s="8" t="str">
        <f aca="false">TEXT(TRIM(D322),"0")</f>
        <v>11219767949</v>
      </c>
      <c r="L322" s="1" t="str">
        <f aca="false">IF(F322="Revisar","NULL",CONCATENATE("'",TEXT(F322,"yyyy-mm-dd"),"'"))</f>
        <v>'2012-03-20'</v>
      </c>
      <c r="M322" s="9" t="str">
        <f aca="false">IF(G322="Revisar","NULL",CONCATENATE("'",MID(G322,1,1),"'"))</f>
        <v>'M'</v>
      </c>
      <c r="N322" s="9" t="str">
        <f aca="false">IF(H322="Revisar","NULL",CONCATENATE("'",H322,"'"))</f>
        <v>'MARACAIBO'</v>
      </c>
      <c r="O322" s="9" t="str">
        <f aca="false">IF(I322="Revisar","NULL",CONCATENATE("'",I322,"'"))</f>
        <v>'ZU'</v>
      </c>
      <c r="P322" s="1" t="str">
        <f aca="false">"UPDATE estudiantes SET fecha_nacimiento="&amp;L322&amp;", sexo="&amp;M322&amp;", lugar_nacimiento="&amp;N322&amp;", entidad_federal="&amp;O322&amp;" WHERE cedula='"&amp;K322&amp;"';"</f>
        <v>UPDATE estudiantes SET fecha_nacimiento='2012-03-20', sexo='M', lugar_nacimiento='MARACAIBO', entidad_federal='ZU' WHERE cedula='11219767949';</v>
      </c>
    </row>
    <row r="323" customFormat="false" ht="14.9" hidden="false" customHeight="false" outlineLevel="0" collapsed="false">
      <c r="A323" s="1" t="s">
        <v>15</v>
      </c>
      <c r="B323" s="1" t="s">
        <v>192</v>
      </c>
      <c r="C323" s="1" t="s">
        <v>160</v>
      </c>
      <c r="D323" s="1" t="s">
        <v>346</v>
      </c>
      <c r="E323" s="2" t="n">
        <v>45924</v>
      </c>
      <c r="F323" s="2" t="n">
        <f aca="false">IFERROR(VLOOKUP(TRIM($D323), Hoja4_2!$A$2:$L$10000, 4, 0), "Revisar")</f>
        <v>40987</v>
      </c>
      <c r="G323" s="7" t="str">
        <f aca="false">IFERROR(VLOOKUP(TRIM($D323), Hoja4_2!$A$2:$L$10000, 5, 0), "Revisar")</f>
        <v>FEMENINO</v>
      </c>
      <c r="H323" s="7" t="str">
        <f aca="false">IFERROR(VLOOKUP(TRIM($D323), Hoja4_2!$A$2:$L$10000, 7, 0), "Revisar")</f>
        <v>MARACAIBO</v>
      </c>
      <c r="I323" s="7" t="str">
        <f aca="false">IFERROR(VLOOKUP(TRIM($D323), Hoja4_2!$A$2:$L$10000, 9, 0), "Revisar")</f>
        <v>ZU</v>
      </c>
      <c r="J323" s="7" t="str">
        <f aca="false">IFERROR(VLOOKUP(TRIM($D323), Hoja4_2!$A$2:$L$10000, 12, 0), "Revisar")</f>
        <v>19838568</v>
      </c>
      <c r="K323" s="8" t="str">
        <f aca="false">TEXT(TRIM(D323),"0")</f>
        <v>11219838568</v>
      </c>
      <c r="L323" s="1" t="str">
        <f aca="false">IF(F323="Revisar","NULL",CONCATENATE("'",TEXT(F323,"yyyy-mm-dd"),"'"))</f>
        <v>'2012-03-19'</v>
      </c>
      <c r="M323" s="9" t="str">
        <f aca="false">IF(G323="Revisar","NULL",CONCATENATE("'",MID(G323,1,1),"'"))</f>
        <v>'F'</v>
      </c>
      <c r="N323" s="9" t="str">
        <f aca="false">IF(H323="Revisar","NULL",CONCATENATE("'",H323,"'"))</f>
        <v>'MARACAIBO'</v>
      </c>
      <c r="O323" s="9" t="str">
        <f aca="false">IF(I323="Revisar","NULL",CONCATENATE("'",I323,"'"))</f>
        <v>'ZU'</v>
      </c>
      <c r="P323" s="1" t="str">
        <f aca="false">"UPDATE estudiantes SET fecha_nacimiento="&amp;L323&amp;", sexo="&amp;M323&amp;", lugar_nacimiento="&amp;N323&amp;", entidad_federal="&amp;O323&amp;" WHERE cedula='"&amp;K323&amp;"';"</f>
        <v>UPDATE estudiantes SET fecha_nacimiento='2012-03-19', sexo='F', lugar_nacimiento='MARACAIBO', entidad_federal='ZU' WHERE cedula='11219838568';</v>
      </c>
    </row>
    <row r="324" customFormat="false" ht="14.9" hidden="false" customHeight="false" outlineLevel="0" collapsed="false">
      <c r="A324" s="1" t="s">
        <v>15</v>
      </c>
      <c r="B324" s="1" t="s">
        <v>192</v>
      </c>
      <c r="C324" s="1" t="s">
        <v>160</v>
      </c>
      <c r="D324" s="1" t="s">
        <v>347</v>
      </c>
      <c r="E324" s="2" t="n">
        <v>45926</v>
      </c>
      <c r="F324" s="2" t="n">
        <f aca="false">IFERROR(VLOOKUP(TRIM($D324), Hoja4_2!$A$2:$L$10000, 4, 0), "Revisar")</f>
        <v>41130</v>
      </c>
      <c r="G324" s="7" t="str">
        <f aca="false">IFERROR(VLOOKUP(TRIM($D324), Hoja4_2!$A$2:$L$10000, 5, 0), "Revisar")</f>
        <v>MASCULINO</v>
      </c>
      <c r="H324" s="7" t="str">
        <f aca="false">IFERROR(VLOOKUP(TRIM($D324), Hoja4_2!$A$2:$L$10000, 7, 0), "Revisar")</f>
        <v>LAGUNILLAS</v>
      </c>
      <c r="I324" s="7" t="str">
        <f aca="false">IFERROR(VLOOKUP(TRIM($D324), Hoja4_2!$A$2:$L$10000, 9, 0), "Revisar")</f>
        <v>ZU</v>
      </c>
      <c r="J324" s="7" t="str">
        <f aca="false">IFERROR(VLOOKUP(TRIM($D324), Hoja4_2!$A$2:$L$10000, 12, 0), "Revisar")</f>
        <v>19838596</v>
      </c>
      <c r="K324" s="8" t="str">
        <f aca="false">TEXT(TRIM(D324),"0")</f>
        <v>11219838596</v>
      </c>
      <c r="L324" s="1" t="str">
        <f aca="false">IF(F324="Revisar","NULL",CONCATENATE("'",TEXT(F324,"yyyy-mm-dd"),"'"))</f>
        <v>'2012-08-09'</v>
      </c>
      <c r="M324" s="9" t="str">
        <f aca="false">IF(G324="Revisar","NULL",CONCATENATE("'",MID(G324,1,1),"'"))</f>
        <v>'M'</v>
      </c>
      <c r="N324" s="9" t="str">
        <f aca="false">IF(H324="Revisar","NULL",CONCATENATE("'",H324,"'"))</f>
        <v>'LAGUNILLAS'</v>
      </c>
      <c r="O324" s="9" t="str">
        <f aca="false">IF(I324="Revisar","NULL",CONCATENATE("'",I324,"'"))</f>
        <v>'ZU'</v>
      </c>
      <c r="P324" s="1" t="str">
        <f aca="false">"UPDATE estudiantes SET fecha_nacimiento="&amp;L324&amp;", sexo="&amp;M324&amp;", lugar_nacimiento="&amp;N324&amp;", entidad_federal="&amp;O324&amp;" WHERE cedula='"&amp;K324&amp;"';"</f>
        <v>UPDATE estudiantes SET fecha_nacimiento='2012-08-09', sexo='M', lugar_nacimiento='LAGUNILLAS', entidad_federal='ZU' WHERE cedula='11219838596';</v>
      </c>
    </row>
    <row r="325" customFormat="false" ht="14.9" hidden="false" customHeight="false" outlineLevel="0" collapsed="false">
      <c r="A325" s="1" t="s">
        <v>15</v>
      </c>
      <c r="B325" s="1" t="s">
        <v>192</v>
      </c>
      <c r="C325" s="1" t="s">
        <v>160</v>
      </c>
      <c r="D325" s="1" t="s">
        <v>348</v>
      </c>
      <c r="E325" s="2" t="n">
        <v>45929</v>
      </c>
      <c r="F325" s="2" t="n">
        <f aca="false">IFERROR(VLOOKUP(TRIM($D325), Hoja4_2!$A$2:$L$10000, 4, 0), "Revisar")</f>
        <v>41225</v>
      </c>
      <c r="G325" s="7" t="str">
        <f aca="false">IFERROR(VLOOKUP(TRIM($D325), Hoja4_2!$A$2:$L$10000, 5, 0), "Revisar")</f>
        <v>FEMENINO</v>
      </c>
      <c r="H325" s="7" t="str">
        <f aca="false">IFERROR(VLOOKUP(TRIM($D325), Hoja4_2!$A$2:$L$10000, 7, 0), "Revisar")</f>
        <v>JESUS ENRIQUE LOSSADA</v>
      </c>
      <c r="I325" s="7" t="str">
        <f aca="false">IFERROR(VLOOKUP(TRIM($D325), Hoja4_2!$A$2:$L$10000, 9, 0), "Revisar")</f>
        <v>ZU</v>
      </c>
      <c r="J325" s="7" t="str">
        <f aca="false">IFERROR(VLOOKUP(TRIM($D325), Hoja4_2!$A$2:$L$10000, 12, 0), "Revisar")</f>
        <v>20277168</v>
      </c>
      <c r="K325" s="8" t="str">
        <f aca="false">TEXT(TRIM(D325),"0")</f>
        <v>11220277168</v>
      </c>
      <c r="L325" s="1" t="str">
        <f aca="false">IF(F325="Revisar","NULL",CONCATENATE("'",TEXT(F325,"yyyy-mm-dd"),"'"))</f>
        <v>'2012-11-12'</v>
      </c>
      <c r="M325" s="9" t="str">
        <f aca="false">IF(G325="Revisar","NULL",CONCATENATE("'",MID(G325,1,1),"'"))</f>
        <v>'F'</v>
      </c>
      <c r="N325" s="9" t="str">
        <f aca="false">IF(H325="Revisar","NULL",CONCATENATE("'",H325,"'"))</f>
        <v>'JESUS ENRIQUE LOSSADA'</v>
      </c>
      <c r="O325" s="9" t="str">
        <f aca="false">IF(I325="Revisar","NULL",CONCATENATE("'",I325,"'"))</f>
        <v>'ZU'</v>
      </c>
      <c r="P325" s="1" t="str">
        <f aca="false">"UPDATE estudiantes SET fecha_nacimiento="&amp;L325&amp;", sexo="&amp;M325&amp;", lugar_nacimiento="&amp;N325&amp;", entidad_federal="&amp;O325&amp;" WHERE cedula='"&amp;K325&amp;"';"</f>
        <v>UPDATE estudiantes SET fecha_nacimiento='2012-11-12', sexo='F', lugar_nacimiento='JESUS ENRIQUE LOSSADA', entidad_federal='ZU' WHERE cedula='11220277168';</v>
      </c>
    </row>
    <row r="326" customFormat="false" ht="14.9" hidden="false" customHeight="false" outlineLevel="0" collapsed="false">
      <c r="A326" s="1" t="s">
        <v>15</v>
      </c>
      <c r="B326" s="1" t="s">
        <v>192</v>
      </c>
      <c r="C326" s="1" t="s">
        <v>160</v>
      </c>
      <c r="D326" s="1" t="s">
        <v>349</v>
      </c>
      <c r="E326" s="2" t="n">
        <v>45924</v>
      </c>
      <c r="F326" s="2" t="n">
        <f aca="false">IFERROR(VLOOKUP(TRIM($D326), Hoja4_2!$A$2:$L$10000, 4, 0), "Revisar")</f>
        <v>41168</v>
      </c>
      <c r="G326" s="7" t="str">
        <f aca="false">IFERROR(VLOOKUP(TRIM($D326), Hoja4_2!$A$2:$L$10000, 5, 0), "Revisar")</f>
        <v>FEMENINO</v>
      </c>
      <c r="H326" s="7" t="str">
        <f aca="false">IFERROR(VLOOKUP(TRIM($D326), Hoja4_2!$A$2:$L$10000, 7, 0), "Revisar")</f>
        <v>JESUS ENRIQUE LOSSADA</v>
      </c>
      <c r="I326" s="7" t="str">
        <f aca="false">IFERROR(VLOOKUP(TRIM($D326), Hoja4_2!$A$2:$L$10000, 9, 0), "Revisar")</f>
        <v>ZU</v>
      </c>
      <c r="J326" s="7" t="str">
        <f aca="false">IFERROR(VLOOKUP(TRIM($D326), Hoja4_2!$A$2:$L$10000, 12, 0), "Revisar")</f>
        <v>20588337</v>
      </c>
      <c r="K326" s="8" t="str">
        <f aca="false">TEXT(TRIM(D326),"0")</f>
        <v>11220508337</v>
      </c>
      <c r="L326" s="1" t="str">
        <f aca="false">IF(F326="Revisar","NULL",CONCATENATE("'",TEXT(F326,"yyyy-mm-dd"),"'"))</f>
        <v>'2012-09-16'</v>
      </c>
      <c r="M326" s="9" t="str">
        <f aca="false">IF(G326="Revisar","NULL",CONCATENATE("'",MID(G326,1,1),"'"))</f>
        <v>'F'</v>
      </c>
      <c r="N326" s="9" t="str">
        <f aca="false">IF(H326="Revisar","NULL",CONCATENATE("'",H326,"'"))</f>
        <v>'JESUS ENRIQUE LOSSADA'</v>
      </c>
      <c r="O326" s="9" t="str">
        <f aca="false">IF(I326="Revisar","NULL",CONCATENATE("'",I326,"'"))</f>
        <v>'ZU'</v>
      </c>
      <c r="P326" s="1" t="str">
        <f aca="false">"UPDATE estudiantes SET fecha_nacimiento="&amp;L326&amp;", sexo="&amp;M326&amp;", lugar_nacimiento="&amp;N326&amp;", entidad_federal="&amp;O326&amp;" WHERE cedula='"&amp;K326&amp;"';"</f>
        <v>UPDATE estudiantes SET fecha_nacimiento='2012-09-16', sexo='F', lugar_nacimiento='JESUS ENRIQUE LOSSADA', entidad_federal='ZU' WHERE cedula='11220508337';</v>
      </c>
    </row>
    <row r="327" customFormat="false" ht="14.9" hidden="false" customHeight="false" outlineLevel="0" collapsed="false">
      <c r="A327" s="1" t="s">
        <v>15</v>
      </c>
      <c r="B327" s="1" t="s">
        <v>192</v>
      </c>
      <c r="C327" s="1" t="s">
        <v>160</v>
      </c>
      <c r="D327" s="1" t="s">
        <v>350</v>
      </c>
      <c r="E327" s="2" t="n">
        <v>45936</v>
      </c>
      <c r="F327" s="2" t="n">
        <f aca="false">IFERROR(VLOOKUP(TRIM($D327), Hoja4_2!$A$2:$L$10000, 4, 0), "Revisar")</f>
        <v>41092</v>
      </c>
      <c r="G327" s="7" t="str">
        <f aca="false">IFERROR(VLOOKUP(TRIM($D327), Hoja4_2!$A$2:$L$10000, 5, 0), "Revisar")</f>
        <v>FEMENINO</v>
      </c>
      <c r="H327" s="7" t="str">
        <f aca="false">IFERROR(VLOOKUP(TRIM($D327), Hoja4_2!$A$2:$L$10000, 7, 0), "Revisar")</f>
        <v>MARACAIBO</v>
      </c>
      <c r="I327" s="7" t="str">
        <f aca="false">IFERROR(VLOOKUP(TRIM($D327), Hoja4_2!$A$2:$L$10000, 9, 0), "Revisar")</f>
        <v>ZU</v>
      </c>
      <c r="J327" s="7" t="str">
        <f aca="false">IFERROR(VLOOKUP(TRIM($D327), Hoja4_2!$A$2:$L$10000, 12, 0), "Revisar")</f>
        <v>21039598</v>
      </c>
      <c r="K327" s="8" t="str">
        <f aca="false">TEXT(TRIM(D327),"0")</f>
        <v>11221039598</v>
      </c>
      <c r="L327" s="1" t="str">
        <f aca="false">IF(F327="Revisar","NULL",CONCATENATE("'",TEXT(F327,"yyyy-mm-dd"),"'"))</f>
        <v>'2012-07-02'</v>
      </c>
      <c r="M327" s="9" t="str">
        <f aca="false">IF(G327="Revisar","NULL",CONCATENATE("'",MID(G327,1,1),"'"))</f>
        <v>'F'</v>
      </c>
      <c r="N327" s="9" t="str">
        <f aca="false">IF(H327="Revisar","NULL",CONCATENATE("'",H327,"'"))</f>
        <v>'MARACAIBO'</v>
      </c>
      <c r="O327" s="9" t="str">
        <f aca="false">IF(I327="Revisar","NULL",CONCATENATE("'",I327,"'"))</f>
        <v>'ZU'</v>
      </c>
      <c r="P327" s="1" t="str">
        <f aca="false">"UPDATE estudiantes SET fecha_nacimiento="&amp;L327&amp;", sexo="&amp;M327&amp;", lugar_nacimiento="&amp;N327&amp;", entidad_federal="&amp;O327&amp;" WHERE cedula='"&amp;K327&amp;"';"</f>
        <v>UPDATE estudiantes SET fecha_nacimiento='2012-07-02', sexo='F', lugar_nacimiento='MARACAIBO', entidad_federal='ZU' WHERE cedula='11221039598';</v>
      </c>
    </row>
    <row r="328" customFormat="false" ht="14.9" hidden="false" customHeight="false" outlineLevel="0" collapsed="false">
      <c r="A328" s="1" t="s">
        <v>15</v>
      </c>
      <c r="B328" s="1" t="s">
        <v>192</v>
      </c>
      <c r="C328" s="1" t="s">
        <v>160</v>
      </c>
      <c r="D328" s="1" t="s">
        <v>351</v>
      </c>
      <c r="E328" s="2" t="n">
        <v>45924</v>
      </c>
      <c r="F328" s="2" t="n">
        <f aca="false">IFERROR(VLOOKUP(TRIM($D328), Hoja4_2!$A$2:$L$10000, 4, 0), "Revisar")</f>
        <v>41042</v>
      </c>
      <c r="G328" s="7" t="str">
        <f aca="false">IFERROR(VLOOKUP(TRIM($D328), Hoja4_2!$A$2:$L$10000, 5, 0), "Revisar")</f>
        <v>MASCULINO</v>
      </c>
      <c r="H328" s="7" t="str">
        <f aca="false">IFERROR(VLOOKUP(TRIM($D328), Hoja4_2!$A$2:$L$10000, 7, 0), "Revisar")</f>
        <v>MARACAIBO</v>
      </c>
      <c r="I328" s="7" t="str">
        <f aca="false">IFERROR(VLOOKUP(TRIM($D328), Hoja4_2!$A$2:$L$10000, 9, 0), "Revisar")</f>
        <v>ZU</v>
      </c>
      <c r="J328" s="7" t="str">
        <f aca="false">IFERROR(VLOOKUP(TRIM($D328), Hoja4_2!$A$2:$L$10000, 12, 0), "Revisar")</f>
        <v>21355038</v>
      </c>
      <c r="K328" s="8" t="str">
        <f aca="false">TEXT(TRIM(D328),"0")</f>
        <v>11221355038</v>
      </c>
      <c r="L328" s="1" t="str">
        <f aca="false">IF(F328="Revisar","NULL",CONCATENATE("'",TEXT(F328,"yyyy-mm-dd"),"'"))</f>
        <v>'2012-05-13'</v>
      </c>
      <c r="M328" s="9" t="str">
        <f aca="false">IF(G328="Revisar","NULL",CONCATENATE("'",MID(G328,1,1),"'"))</f>
        <v>'M'</v>
      </c>
      <c r="N328" s="9" t="str">
        <f aca="false">IF(H328="Revisar","NULL",CONCATENATE("'",H328,"'"))</f>
        <v>'MARACAIBO'</v>
      </c>
      <c r="O328" s="9" t="str">
        <f aca="false">IF(I328="Revisar","NULL",CONCATENATE("'",I328,"'"))</f>
        <v>'ZU'</v>
      </c>
      <c r="P328" s="1" t="str">
        <f aca="false">"UPDATE estudiantes SET fecha_nacimiento="&amp;L328&amp;", sexo="&amp;M328&amp;", lugar_nacimiento="&amp;N328&amp;", entidad_federal="&amp;O328&amp;" WHERE cedula='"&amp;K328&amp;"';"</f>
        <v>UPDATE estudiantes SET fecha_nacimiento='2012-05-13', sexo='M', lugar_nacimiento='MARACAIBO', entidad_federal='ZU' WHERE cedula='11221355038';</v>
      </c>
    </row>
    <row r="329" customFormat="false" ht="14.9" hidden="false" customHeight="false" outlineLevel="0" collapsed="false">
      <c r="A329" s="1" t="s">
        <v>15</v>
      </c>
      <c r="B329" s="1" t="s">
        <v>192</v>
      </c>
      <c r="C329" s="1" t="s">
        <v>160</v>
      </c>
      <c r="D329" s="1" t="s">
        <v>352</v>
      </c>
      <c r="E329" s="2" t="n">
        <v>45924</v>
      </c>
      <c r="F329" s="2" t="n">
        <f aca="false">IFERROR(VLOOKUP(TRIM($D329), Hoja4_2!$A$2:$L$10000, 4, 0), "Revisar")</f>
        <v>40960</v>
      </c>
      <c r="G329" s="7" t="str">
        <f aca="false">IFERROR(VLOOKUP(TRIM($D329), Hoja4_2!$A$2:$L$10000, 5, 0), "Revisar")</f>
        <v>MASCULINO</v>
      </c>
      <c r="H329" s="7" t="str">
        <f aca="false">IFERROR(VLOOKUP(TRIM($D329), Hoja4_2!$A$2:$L$10000, 7, 0), "Revisar")</f>
        <v>MARACAIBO</v>
      </c>
      <c r="I329" s="7" t="str">
        <f aca="false">IFERROR(VLOOKUP(TRIM($D329), Hoja4_2!$A$2:$L$10000, 9, 0), "Revisar")</f>
        <v>ZU</v>
      </c>
      <c r="J329" s="7" t="str">
        <f aca="false">IFERROR(VLOOKUP(TRIM($D329), Hoja4_2!$A$2:$L$10000, 12, 0), "Revisar")</f>
        <v>23466333</v>
      </c>
      <c r="K329" s="8" t="str">
        <f aca="false">TEXT(TRIM(D329),"0")</f>
        <v>11223466333</v>
      </c>
      <c r="L329" s="1" t="str">
        <f aca="false">IF(F329="Revisar","NULL",CONCATENATE("'",TEXT(F329,"yyyy-mm-dd"),"'"))</f>
        <v>'2012-02-21'</v>
      </c>
      <c r="M329" s="9" t="str">
        <f aca="false">IF(G329="Revisar","NULL",CONCATENATE("'",MID(G329,1,1),"'"))</f>
        <v>'M'</v>
      </c>
      <c r="N329" s="9" t="str">
        <f aca="false">IF(H329="Revisar","NULL",CONCATENATE("'",H329,"'"))</f>
        <v>'MARACAIBO'</v>
      </c>
      <c r="O329" s="9" t="str">
        <f aca="false">IF(I329="Revisar","NULL",CONCATENATE("'",I329,"'"))</f>
        <v>'ZU'</v>
      </c>
      <c r="P329" s="1" t="str">
        <f aca="false">"UPDATE estudiantes SET fecha_nacimiento="&amp;L329&amp;", sexo="&amp;M329&amp;", lugar_nacimiento="&amp;N329&amp;", entidad_federal="&amp;O329&amp;" WHERE cedula='"&amp;K329&amp;"';"</f>
        <v>UPDATE estudiantes SET fecha_nacimiento='2012-02-21', sexo='M', lugar_nacimiento='MARACAIBO', entidad_federal='ZU' WHERE cedula='11223466333';</v>
      </c>
    </row>
    <row r="330" customFormat="false" ht="14.9" hidden="false" customHeight="false" outlineLevel="0" collapsed="false">
      <c r="A330" s="1" t="s">
        <v>15</v>
      </c>
      <c r="B330" s="1" t="s">
        <v>192</v>
      </c>
      <c r="C330" s="1" t="s">
        <v>160</v>
      </c>
      <c r="D330" s="1" t="s">
        <v>353</v>
      </c>
      <c r="E330" s="2" t="n">
        <v>45924</v>
      </c>
      <c r="F330" s="2" t="n">
        <f aca="false">IFERROR(VLOOKUP(TRIM($D330), Hoja4_2!$A$2:$L$10000, 4, 0), "Revisar")</f>
        <v>41236</v>
      </c>
      <c r="G330" s="7" t="str">
        <f aca="false">IFERROR(VLOOKUP(TRIM($D330), Hoja4_2!$A$2:$L$10000, 5, 0), "Revisar")</f>
        <v>MASCULINO</v>
      </c>
      <c r="H330" s="7" t="str">
        <f aca="false">IFERROR(VLOOKUP(TRIM($D330), Hoja4_2!$A$2:$L$10000, 7, 0), "Revisar")</f>
        <v>MARACAIBO</v>
      </c>
      <c r="I330" s="7" t="str">
        <f aca="false">IFERROR(VLOOKUP(TRIM($D330), Hoja4_2!$A$2:$L$10000, 9, 0), "Revisar")</f>
        <v>ZU</v>
      </c>
      <c r="J330" s="7" t="str">
        <f aca="false">IFERROR(VLOOKUP(TRIM($D330), Hoja4_2!$A$2:$L$10000, 12, 0), "Revisar")</f>
        <v>23466581</v>
      </c>
      <c r="K330" s="8" t="str">
        <f aca="false">TEXT(TRIM(D330),"0")</f>
        <v>11223466581</v>
      </c>
      <c r="L330" s="1" t="str">
        <f aca="false">IF(F330="Revisar","NULL",CONCATENATE("'",TEXT(F330,"yyyy-mm-dd"),"'"))</f>
        <v>'2012-11-23'</v>
      </c>
      <c r="M330" s="9" t="str">
        <f aca="false">IF(G330="Revisar","NULL",CONCATENATE("'",MID(G330,1,1),"'"))</f>
        <v>'M'</v>
      </c>
      <c r="N330" s="9" t="str">
        <f aca="false">IF(H330="Revisar","NULL",CONCATENATE("'",H330,"'"))</f>
        <v>'MARACAIBO'</v>
      </c>
      <c r="O330" s="9" t="str">
        <f aca="false">IF(I330="Revisar","NULL",CONCATENATE("'",I330,"'"))</f>
        <v>'ZU'</v>
      </c>
      <c r="P330" s="1" t="str">
        <f aca="false">"UPDATE estudiantes SET fecha_nacimiento="&amp;L330&amp;", sexo="&amp;M330&amp;", lugar_nacimiento="&amp;N330&amp;", entidad_federal="&amp;O330&amp;" WHERE cedula='"&amp;K330&amp;"';"</f>
        <v>UPDATE estudiantes SET fecha_nacimiento='2012-11-23', sexo='M', lugar_nacimiento='MARACAIBO', entidad_federal='ZU' WHERE cedula='11223466581';</v>
      </c>
    </row>
    <row r="331" customFormat="false" ht="14.9" hidden="false" customHeight="false" outlineLevel="0" collapsed="false">
      <c r="A331" s="1" t="s">
        <v>15</v>
      </c>
      <c r="B331" s="1" t="s">
        <v>192</v>
      </c>
      <c r="C331" s="1" t="s">
        <v>160</v>
      </c>
      <c r="D331" s="1" t="s">
        <v>354</v>
      </c>
      <c r="E331" s="2" t="n">
        <v>45924</v>
      </c>
      <c r="F331" s="2" t="n">
        <f aca="false">IFERROR(VLOOKUP(TRIM($D331), Hoja4_2!$A$2:$L$10000, 4, 0), "Revisar")</f>
        <v>41021</v>
      </c>
      <c r="G331" s="7" t="str">
        <f aca="false">IFERROR(VLOOKUP(TRIM($D331), Hoja4_2!$A$2:$L$10000, 5, 0), "Revisar")</f>
        <v>MASCULINO</v>
      </c>
      <c r="H331" s="7" t="str">
        <f aca="false">IFERROR(VLOOKUP(TRIM($D331), Hoja4_2!$A$2:$L$10000, 7, 0), "Revisar")</f>
        <v>MARACAIBO</v>
      </c>
      <c r="I331" s="7" t="str">
        <f aca="false">IFERROR(VLOOKUP(TRIM($D331), Hoja4_2!$A$2:$L$10000, 9, 0), "Revisar")</f>
        <v>ZU</v>
      </c>
      <c r="J331" s="7" t="str">
        <f aca="false">IFERROR(VLOOKUP(TRIM($D331), Hoja4_2!$A$2:$L$10000, 12, 0), "Revisar")</f>
        <v>24249806</v>
      </c>
      <c r="K331" s="8" t="str">
        <f aca="false">TEXT(TRIM(D331),"0")</f>
        <v>11224249806</v>
      </c>
      <c r="L331" s="1" t="str">
        <f aca="false">IF(F331="Revisar","NULL",CONCATENATE("'",TEXT(F331,"yyyy-mm-dd"),"'"))</f>
        <v>'2012-04-22'</v>
      </c>
      <c r="M331" s="9" t="str">
        <f aca="false">IF(G331="Revisar","NULL",CONCATENATE("'",MID(G331,1,1),"'"))</f>
        <v>'M'</v>
      </c>
      <c r="N331" s="9" t="str">
        <f aca="false">IF(H331="Revisar","NULL",CONCATENATE("'",H331,"'"))</f>
        <v>'MARACAIBO'</v>
      </c>
      <c r="O331" s="9" t="str">
        <f aca="false">IF(I331="Revisar","NULL",CONCATENATE("'",I331,"'"))</f>
        <v>'ZU'</v>
      </c>
      <c r="P331" s="1" t="str">
        <f aca="false">"UPDATE estudiantes SET fecha_nacimiento="&amp;L331&amp;", sexo="&amp;M331&amp;", lugar_nacimiento="&amp;N331&amp;", entidad_federal="&amp;O331&amp;" WHERE cedula='"&amp;K331&amp;"';"</f>
        <v>UPDATE estudiantes SET fecha_nacimiento='2012-04-22', sexo='M', lugar_nacimiento='MARACAIBO', entidad_federal='ZU' WHERE cedula='11224249806';</v>
      </c>
    </row>
    <row r="332" customFormat="false" ht="14.9" hidden="false" customHeight="false" outlineLevel="0" collapsed="false">
      <c r="A332" s="1" t="s">
        <v>15</v>
      </c>
      <c r="B332" s="1" t="s">
        <v>192</v>
      </c>
      <c r="C332" s="1" t="s">
        <v>160</v>
      </c>
      <c r="D332" s="1" t="s">
        <v>355</v>
      </c>
      <c r="E332" s="2" t="n">
        <v>45924</v>
      </c>
      <c r="F332" s="2" t="n">
        <f aca="false">IFERROR(VLOOKUP(TRIM($D332), Hoja4_2!$A$2:$L$10000, 4, 0), "Revisar")</f>
        <v>41639</v>
      </c>
      <c r="G332" s="7" t="str">
        <f aca="false">IFERROR(VLOOKUP(TRIM($D332), Hoja4_2!$A$2:$L$10000, 5, 0), "Revisar")</f>
        <v>FEMENINO</v>
      </c>
      <c r="H332" s="7" t="str">
        <f aca="false">IFERROR(VLOOKUP(TRIM($D332), Hoja4_2!$A$2:$L$10000, 7, 0), "Revisar")</f>
        <v>JESUS ENRIQUE LOSSADA</v>
      </c>
      <c r="I332" s="7" t="str">
        <f aca="false">IFERROR(VLOOKUP(TRIM($D332), Hoja4_2!$A$2:$L$10000, 9, 0), "Revisar")</f>
        <v>ZU</v>
      </c>
      <c r="J332" s="7" t="str">
        <f aca="false">IFERROR(VLOOKUP(TRIM($D332), Hoja4_2!$A$2:$L$10000, 12, 0), "Revisar")</f>
        <v>21355038</v>
      </c>
      <c r="K332" s="8" t="str">
        <f aca="false">TEXT(TRIM(D332),"0")</f>
        <v>11321355038</v>
      </c>
      <c r="L332" s="1" t="str">
        <f aca="false">IF(F332="Revisar","NULL",CONCATENATE("'",TEXT(F332,"yyyy-mm-dd"),"'"))</f>
        <v>'2013-12-31'</v>
      </c>
      <c r="M332" s="9" t="str">
        <f aca="false">IF(G332="Revisar","NULL",CONCATENATE("'",MID(G332,1,1),"'"))</f>
        <v>'F'</v>
      </c>
      <c r="N332" s="9" t="str">
        <f aca="false">IF(H332="Revisar","NULL",CONCATENATE("'",H332,"'"))</f>
        <v>'JESUS ENRIQUE LOSSADA'</v>
      </c>
      <c r="O332" s="9" t="str">
        <f aca="false">IF(I332="Revisar","NULL",CONCATENATE("'",I332,"'"))</f>
        <v>'ZU'</v>
      </c>
      <c r="P332" s="1" t="str">
        <f aca="false">"UPDATE estudiantes SET fecha_nacimiento="&amp;L332&amp;", sexo="&amp;M332&amp;", lugar_nacimiento="&amp;N332&amp;", entidad_federal="&amp;O332&amp;" WHERE cedula='"&amp;K332&amp;"';"</f>
        <v>UPDATE estudiantes SET fecha_nacimiento='2013-12-31', sexo='F', lugar_nacimiento='JESUS ENRIQUE LOSSADA', entidad_federal='ZU' WHERE cedula='11321355038';</v>
      </c>
    </row>
    <row r="333" customFormat="false" ht="14.9" hidden="false" customHeight="false" outlineLevel="0" collapsed="false">
      <c r="A333" s="1" t="s">
        <v>15</v>
      </c>
      <c r="B333" s="1" t="s">
        <v>356</v>
      </c>
      <c r="C333" s="1" t="s">
        <v>17</v>
      </c>
      <c r="D333" s="1" t="s">
        <v>357</v>
      </c>
      <c r="E333" s="2" t="n">
        <v>45924</v>
      </c>
      <c r="F333" s="2" t="n">
        <f aca="false">IFERROR(VLOOKUP(TRIM($D333), Hoja4_2!$A$2:$L$10000, 4, 0), "Revisar")</f>
        <v>40616</v>
      </c>
      <c r="G333" s="7" t="str">
        <f aca="false">IFERROR(VLOOKUP(TRIM($D333), Hoja4_2!$A$2:$L$10000, 5, 0), "Revisar")</f>
        <v>MASCULINO</v>
      </c>
      <c r="H333" s="7" t="str">
        <f aca="false">IFERROR(VLOOKUP(TRIM($D333), Hoja4_2!$A$2:$L$10000, 7, 0), "Revisar")</f>
        <v>MARACAIBO</v>
      </c>
      <c r="I333" s="7" t="str">
        <f aca="false">IFERROR(VLOOKUP(TRIM($D333), Hoja4_2!$A$2:$L$10000, 9, 0), "Revisar")</f>
        <v>ZU</v>
      </c>
      <c r="J333" s="7" t="str">
        <f aca="false">IFERROR(VLOOKUP(TRIM($D333), Hoja4_2!$A$2:$L$10000, 12, 0), "Revisar")</f>
        <v>23770242</v>
      </c>
      <c r="K333" s="8" t="str">
        <f aca="false">TEXT(TRIM(D333),"0")</f>
        <v>33857232</v>
      </c>
      <c r="L333" s="1" t="str">
        <f aca="false">IF(F333="Revisar","NULL",CONCATENATE("'",TEXT(F333,"yyyy-mm-dd"),"'"))</f>
        <v>'2011-03-14'</v>
      </c>
      <c r="M333" s="9" t="str">
        <f aca="false">IF(G333="Revisar","NULL",CONCATENATE("'",MID(G333,1,1),"'"))</f>
        <v>'M'</v>
      </c>
      <c r="N333" s="9" t="str">
        <f aca="false">IF(H333="Revisar","NULL",CONCATENATE("'",H333,"'"))</f>
        <v>'MARACAIBO'</v>
      </c>
      <c r="O333" s="9" t="str">
        <f aca="false">IF(I333="Revisar","NULL",CONCATENATE("'",I333,"'"))</f>
        <v>'ZU'</v>
      </c>
      <c r="P333" s="1" t="str">
        <f aca="false">"UPDATE estudiantes SET fecha_nacimiento="&amp;L333&amp;", sexo="&amp;M333&amp;", lugar_nacimiento="&amp;N333&amp;", entidad_federal="&amp;O333&amp;" WHERE cedula='"&amp;K333&amp;"';"</f>
        <v>UPDATE estudiantes SET fecha_nacimiento='2011-03-14', sexo='M', lugar_nacimiento='MARACAIBO', entidad_federal='ZU' WHERE cedula='33857232';</v>
      </c>
    </row>
    <row r="334" customFormat="false" ht="14.9" hidden="false" customHeight="false" outlineLevel="0" collapsed="false">
      <c r="A334" s="1" t="s">
        <v>15</v>
      </c>
      <c r="B334" s="1" t="s">
        <v>356</v>
      </c>
      <c r="C334" s="1" t="s">
        <v>17</v>
      </c>
      <c r="D334" s="1" t="s">
        <v>358</v>
      </c>
      <c r="E334" s="2" t="n">
        <v>45924</v>
      </c>
      <c r="F334" s="2" t="n">
        <f aca="false">IFERROR(VLOOKUP(TRIM($D334), Hoja4_2!$A$2:$L$10000, 4, 0), "Revisar")</f>
        <v>40725</v>
      </c>
      <c r="G334" s="7" t="str">
        <f aca="false">IFERROR(VLOOKUP(TRIM($D334), Hoja4_2!$A$2:$L$10000, 5, 0), "Revisar")</f>
        <v>MASCULINO</v>
      </c>
      <c r="H334" s="7" t="str">
        <f aca="false">IFERROR(VLOOKUP(TRIM($D334), Hoja4_2!$A$2:$L$10000, 7, 0), "Revisar")</f>
        <v>JESUS ENRIQUE LOSSADA</v>
      </c>
      <c r="I334" s="7" t="str">
        <f aca="false">IFERROR(VLOOKUP(TRIM($D334), Hoja4_2!$A$2:$L$10000, 9, 0), "Revisar")</f>
        <v>ZU</v>
      </c>
      <c r="J334" s="7" t="str">
        <f aca="false">IFERROR(VLOOKUP(TRIM($D334), Hoja4_2!$A$2:$L$10000, 12, 0), "Revisar")</f>
        <v>17736096</v>
      </c>
      <c r="K334" s="8" t="str">
        <f aca="false">TEXT(TRIM(D334),"0")</f>
        <v>34398409</v>
      </c>
      <c r="L334" s="1" t="str">
        <f aca="false">IF(F334="Revisar","NULL",CONCATENATE("'",TEXT(F334,"yyyy-mm-dd"),"'"))</f>
        <v>'2011-07-01'</v>
      </c>
      <c r="M334" s="9" t="str">
        <f aca="false">IF(G334="Revisar","NULL",CONCATENATE("'",MID(G334,1,1),"'"))</f>
        <v>'M'</v>
      </c>
      <c r="N334" s="9" t="str">
        <f aca="false">IF(H334="Revisar","NULL",CONCATENATE("'",H334,"'"))</f>
        <v>'JESUS ENRIQUE LOSSADA'</v>
      </c>
      <c r="O334" s="9" t="str">
        <f aca="false">IF(I334="Revisar","NULL",CONCATENATE("'",I334,"'"))</f>
        <v>'ZU'</v>
      </c>
      <c r="P334" s="1" t="str">
        <f aca="false">"UPDATE estudiantes SET fecha_nacimiento="&amp;L334&amp;", sexo="&amp;M334&amp;", lugar_nacimiento="&amp;N334&amp;", entidad_federal="&amp;O334&amp;" WHERE cedula='"&amp;K334&amp;"';"</f>
        <v>UPDATE estudiantes SET fecha_nacimiento='2011-07-01', sexo='M', lugar_nacimiento='JESUS ENRIQUE LOSSADA', entidad_federal='ZU' WHERE cedula='34398409';</v>
      </c>
    </row>
    <row r="335" customFormat="false" ht="14.9" hidden="false" customHeight="false" outlineLevel="0" collapsed="false">
      <c r="A335" s="1" t="s">
        <v>15</v>
      </c>
      <c r="B335" s="1" t="s">
        <v>356</v>
      </c>
      <c r="C335" s="1" t="s">
        <v>17</v>
      </c>
      <c r="D335" s="1" t="s">
        <v>359</v>
      </c>
      <c r="E335" s="2" t="n">
        <v>45924</v>
      </c>
      <c r="F335" s="2" t="n">
        <f aca="false">IFERROR(VLOOKUP(TRIM($D335), Hoja4_2!$A$2:$L$10000, 4, 0), "Revisar")</f>
        <v>40866</v>
      </c>
      <c r="G335" s="7" t="str">
        <f aca="false">IFERROR(VLOOKUP(TRIM($D335), Hoja4_2!$A$2:$L$10000, 5, 0), "Revisar")</f>
        <v>MASCULINO</v>
      </c>
      <c r="H335" s="7" t="str">
        <f aca="false">IFERROR(VLOOKUP(TRIM($D335), Hoja4_2!$A$2:$L$10000, 7, 0), "Revisar")</f>
        <v>MARACAIBO</v>
      </c>
      <c r="I335" s="7" t="str">
        <f aca="false">IFERROR(VLOOKUP(TRIM($D335), Hoja4_2!$A$2:$L$10000, 9, 0), "Revisar")</f>
        <v>ZU</v>
      </c>
      <c r="J335" s="7" t="str">
        <f aca="false">IFERROR(VLOOKUP(TRIM($D335), Hoja4_2!$A$2:$L$10000, 12, 0), "Revisar")</f>
        <v>99999999</v>
      </c>
      <c r="K335" s="8" t="str">
        <f aca="false">TEXT(TRIM(D335),"0")</f>
        <v>34399690</v>
      </c>
      <c r="L335" s="1" t="str">
        <f aca="false">IF(F335="Revisar","NULL",CONCATENATE("'",TEXT(F335,"yyyy-mm-dd"),"'"))</f>
        <v>'2011-11-19'</v>
      </c>
      <c r="M335" s="9" t="str">
        <f aca="false">IF(G335="Revisar","NULL",CONCATENATE("'",MID(G335,1,1),"'"))</f>
        <v>'M'</v>
      </c>
      <c r="N335" s="9" t="str">
        <f aca="false">IF(H335="Revisar","NULL",CONCATENATE("'",H335,"'"))</f>
        <v>'MARACAIBO'</v>
      </c>
      <c r="O335" s="9" t="str">
        <f aca="false">IF(I335="Revisar","NULL",CONCATENATE("'",I335,"'"))</f>
        <v>'ZU'</v>
      </c>
      <c r="P335" s="1" t="str">
        <f aca="false">"UPDATE estudiantes SET fecha_nacimiento="&amp;L335&amp;", sexo="&amp;M335&amp;", lugar_nacimiento="&amp;N335&amp;", entidad_federal="&amp;O335&amp;" WHERE cedula='"&amp;K335&amp;"';"</f>
        <v>UPDATE estudiantes SET fecha_nacimiento='2011-11-19', sexo='M', lugar_nacimiento='MARACAIBO', entidad_federal='ZU' WHERE cedula='34399690';</v>
      </c>
    </row>
    <row r="336" customFormat="false" ht="14.9" hidden="false" customHeight="false" outlineLevel="0" collapsed="false">
      <c r="A336" s="1" t="s">
        <v>15</v>
      </c>
      <c r="B336" s="1" t="s">
        <v>356</v>
      </c>
      <c r="C336" s="1" t="s">
        <v>17</v>
      </c>
      <c r="D336" s="1" t="s">
        <v>360</v>
      </c>
      <c r="E336" s="2" t="n">
        <v>45924</v>
      </c>
      <c r="F336" s="2" t="n">
        <f aca="false">IFERROR(VLOOKUP(TRIM($D336), Hoja4_2!$A$2:$L$10000, 4, 0), "Revisar")</f>
        <v>40708</v>
      </c>
      <c r="G336" s="7" t="str">
        <f aca="false">IFERROR(VLOOKUP(TRIM($D336), Hoja4_2!$A$2:$L$10000, 5, 0), "Revisar")</f>
        <v>MASCULINO</v>
      </c>
      <c r="H336" s="7" t="str">
        <f aca="false">IFERROR(VLOOKUP(TRIM($D336), Hoja4_2!$A$2:$L$10000, 7, 0), "Revisar")</f>
        <v>MARACAIBO</v>
      </c>
      <c r="I336" s="7" t="str">
        <f aca="false">IFERROR(VLOOKUP(TRIM($D336), Hoja4_2!$A$2:$L$10000, 9, 0), "Revisar")</f>
        <v>ZU</v>
      </c>
      <c r="J336" s="7" t="str">
        <f aca="false">IFERROR(VLOOKUP(TRIM($D336), Hoja4_2!$A$2:$L$10000, 12, 0), "Revisar")</f>
        <v>99999999</v>
      </c>
      <c r="K336" s="8" t="str">
        <f aca="false">TEXT(TRIM(D336),"0")</f>
        <v>34406899</v>
      </c>
      <c r="L336" s="1" t="str">
        <f aca="false">IF(F336="Revisar","NULL",CONCATENATE("'",TEXT(F336,"yyyy-mm-dd"),"'"))</f>
        <v>'2011-06-14'</v>
      </c>
      <c r="M336" s="9" t="str">
        <f aca="false">IF(G336="Revisar","NULL",CONCATENATE("'",MID(G336,1,1),"'"))</f>
        <v>'M'</v>
      </c>
      <c r="N336" s="9" t="str">
        <f aca="false">IF(H336="Revisar","NULL",CONCATENATE("'",H336,"'"))</f>
        <v>'MARACAIBO'</v>
      </c>
      <c r="O336" s="9" t="str">
        <f aca="false">IF(I336="Revisar","NULL",CONCATENATE("'",I336,"'"))</f>
        <v>'ZU'</v>
      </c>
      <c r="P336" s="1" t="str">
        <f aca="false">"UPDATE estudiantes SET fecha_nacimiento="&amp;L336&amp;", sexo="&amp;M336&amp;", lugar_nacimiento="&amp;N336&amp;", entidad_federal="&amp;O336&amp;" WHERE cedula='"&amp;K336&amp;"';"</f>
        <v>UPDATE estudiantes SET fecha_nacimiento='2011-06-14', sexo='M', lugar_nacimiento='MARACAIBO', entidad_federal='ZU' WHERE cedula='34406899';</v>
      </c>
    </row>
    <row r="337" customFormat="false" ht="14.9" hidden="false" customHeight="false" outlineLevel="0" collapsed="false">
      <c r="A337" s="1" t="s">
        <v>15</v>
      </c>
      <c r="B337" s="1" t="s">
        <v>356</v>
      </c>
      <c r="C337" s="1" t="s">
        <v>17</v>
      </c>
      <c r="D337" s="1" t="s">
        <v>361</v>
      </c>
      <c r="E337" s="2" t="n">
        <v>45924</v>
      </c>
      <c r="F337" s="2" t="n">
        <f aca="false">IFERROR(VLOOKUP(TRIM($D337), Hoja4_2!$A$2:$L$10000, 4, 0), "Revisar")</f>
        <v>40775</v>
      </c>
      <c r="G337" s="7" t="str">
        <f aca="false">IFERROR(VLOOKUP(TRIM($D337), Hoja4_2!$A$2:$L$10000, 5, 0), "Revisar")</f>
        <v>MASCULINO</v>
      </c>
      <c r="H337" s="7" t="str">
        <f aca="false">IFERROR(VLOOKUP(TRIM($D337), Hoja4_2!$A$2:$L$10000, 7, 0), "Revisar")</f>
        <v>MARACAIBO</v>
      </c>
      <c r="I337" s="7" t="str">
        <f aca="false">IFERROR(VLOOKUP(TRIM($D337), Hoja4_2!$A$2:$L$10000, 9, 0), "Revisar")</f>
        <v>ZU</v>
      </c>
      <c r="J337" s="7" t="str">
        <f aca="false">IFERROR(VLOOKUP(TRIM($D337), Hoja4_2!$A$2:$L$10000, 12, 0), "Revisar")</f>
        <v>99999999</v>
      </c>
      <c r="K337" s="8" t="str">
        <f aca="false">TEXT(TRIM(D337),"0")</f>
        <v>34407749</v>
      </c>
      <c r="L337" s="1" t="str">
        <f aca="false">IF(F337="Revisar","NULL",CONCATENATE("'",TEXT(F337,"yyyy-mm-dd"),"'"))</f>
        <v>'2011-08-20'</v>
      </c>
      <c r="M337" s="9" t="str">
        <f aca="false">IF(G337="Revisar","NULL",CONCATENATE("'",MID(G337,1,1),"'"))</f>
        <v>'M'</v>
      </c>
      <c r="N337" s="9" t="str">
        <f aca="false">IF(H337="Revisar","NULL",CONCATENATE("'",H337,"'"))</f>
        <v>'MARACAIBO'</v>
      </c>
      <c r="O337" s="9" t="str">
        <f aca="false">IF(I337="Revisar","NULL",CONCATENATE("'",I337,"'"))</f>
        <v>'ZU'</v>
      </c>
      <c r="P337" s="1" t="str">
        <f aca="false">"UPDATE estudiantes SET fecha_nacimiento="&amp;L337&amp;", sexo="&amp;M337&amp;", lugar_nacimiento="&amp;N337&amp;", entidad_federal="&amp;O337&amp;" WHERE cedula='"&amp;K337&amp;"';"</f>
        <v>UPDATE estudiantes SET fecha_nacimiento='2011-08-20', sexo='M', lugar_nacimiento='MARACAIBO', entidad_federal='ZU' WHERE cedula='34407749';</v>
      </c>
    </row>
    <row r="338" customFormat="false" ht="14.9" hidden="false" customHeight="false" outlineLevel="0" collapsed="false">
      <c r="A338" s="1" t="s">
        <v>15</v>
      </c>
      <c r="B338" s="1" t="s">
        <v>356</v>
      </c>
      <c r="C338" s="1" t="s">
        <v>17</v>
      </c>
      <c r="D338" s="1" t="s">
        <v>362</v>
      </c>
      <c r="E338" s="2" t="n">
        <v>45924</v>
      </c>
      <c r="F338" s="2" t="n">
        <f aca="false">IFERROR(VLOOKUP(TRIM($D338), Hoja4_2!$A$2:$L$10000, 4, 0), "Revisar")</f>
        <v>41121</v>
      </c>
      <c r="G338" s="7" t="str">
        <f aca="false">IFERROR(VLOOKUP(TRIM($D338), Hoja4_2!$A$2:$L$10000, 5, 0), "Revisar")</f>
        <v>MASCULINO</v>
      </c>
      <c r="H338" s="7" t="str">
        <f aca="false">IFERROR(VLOOKUP(TRIM($D338), Hoja4_2!$A$2:$L$10000, 7, 0), "Revisar")</f>
        <v>MARACAIBO</v>
      </c>
      <c r="I338" s="7" t="str">
        <f aca="false">IFERROR(VLOOKUP(TRIM($D338), Hoja4_2!$A$2:$L$10000, 9, 0), "Revisar")</f>
        <v>ZU</v>
      </c>
      <c r="J338" s="7" t="str">
        <f aca="false">IFERROR(VLOOKUP(TRIM($D338), Hoja4_2!$A$2:$L$10000, 12, 0), "Revisar")</f>
        <v>99999999</v>
      </c>
      <c r="K338" s="8" t="str">
        <f aca="false">TEXT(TRIM(D338),"0")</f>
        <v>34408145</v>
      </c>
      <c r="L338" s="1" t="str">
        <f aca="false">IF(F338="Revisar","NULL",CONCATENATE("'",TEXT(F338,"yyyy-mm-dd"),"'"))</f>
        <v>'2012-07-31'</v>
      </c>
      <c r="M338" s="9" t="str">
        <f aca="false">IF(G338="Revisar","NULL",CONCATENATE("'",MID(G338,1,1),"'"))</f>
        <v>'M'</v>
      </c>
      <c r="N338" s="9" t="str">
        <f aca="false">IF(H338="Revisar","NULL",CONCATENATE("'",H338,"'"))</f>
        <v>'MARACAIBO'</v>
      </c>
      <c r="O338" s="9" t="str">
        <f aca="false">IF(I338="Revisar","NULL",CONCATENATE("'",I338,"'"))</f>
        <v>'ZU'</v>
      </c>
      <c r="P338" s="1" t="str">
        <f aca="false">"UPDATE estudiantes SET fecha_nacimiento="&amp;L338&amp;", sexo="&amp;M338&amp;", lugar_nacimiento="&amp;N338&amp;", entidad_federal="&amp;O338&amp;" WHERE cedula='"&amp;K338&amp;"';"</f>
        <v>UPDATE estudiantes SET fecha_nacimiento='2012-07-31', sexo='M', lugar_nacimiento='MARACAIBO', entidad_federal='ZU' WHERE cedula='34408145';</v>
      </c>
    </row>
    <row r="339" customFormat="false" ht="14.9" hidden="false" customHeight="false" outlineLevel="0" collapsed="false">
      <c r="A339" s="1" t="s">
        <v>15</v>
      </c>
      <c r="B339" s="1" t="s">
        <v>356</v>
      </c>
      <c r="C339" s="1" t="s">
        <v>17</v>
      </c>
      <c r="D339" s="1" t="s">
        <v>363</v>
      </c>
      <c r="E339" s="2" t="n">
        <v>45924</v>
      </c>
      <c r="F339" s="2" t="n">
        <f aca="false">IFERROR(VLOOKUP(TRIM($D339), Hoja4_2!$A$2:$L$10000, 4, 0), "Revisar")</f>
        <v>40806</v>
      </c>
      <c r="G339" s="7" t="str">
        <f aca="false">IFERROR(VLOOKUP(TRIM($D339), Hoja4_2!$A$2:$L$10000, 5, 0), "Revisar")</f>
        <v>FEMENINO</v>
      </c>
      <c r="H339" s="7" t="str">
        <f aca="false">IFERROR(VLOOKUP(TRIM($D339), Hoja4_2!$A$2:$L$10000, 7, 0), "Revisar")</f>
        <v>MARACAIBO</v>
      </c>
      <c r="I339" s="7" t="str">
        <f aca="false">IFERROR(VLOOKUP(TRIM($D339), Hoja4_2!$A$2:$L$10000, 9, 0), "Revisar")</f>
        <v>ZU</v>
      </c>
      <c r="J339" s="7" t="str">
        <f aca="false">IFERROR(VLOOKUP(TRIM($D339), Hoja4_2!$A$2:$L$10000, 12, 0), "Revisar")</f>
        <v>19988695</v>
      </c>
      <c r="K339" s="8" t="str">
        <f aca="false">TEXT(TRIM(D339),"0")</f>
        <v>34471198</v>
      </c>
      <c r="L339" s="1" t="str">
        <f aca="false">IF(F339="Revisar","NULL",CONCATENATE("'",TEXT(F339,"yyyy-mm-dd"),"'"))</f>
        <v>'2011-09-20'</v>
      </c>
      <c r="M339" s="9" t="str">
        <f aca="false">IF(G339="Revisar","NULL",CONCATENATE("'",MID(G339,1,1),"'"))</f>
        <v>'F'</v>
      </c>
      <c r="N339" s="9" t="str">
        <f aca="false">IF(H339="Revisar","NULL",CONCATENATE("'",H339,"'"))</f>
        <v>'MARACAIBO'</v>
      </c>
      <c r="O339" s="9" t="str">
        <f aca="false">IF(I339="Revisar","NULL",CONCATENATE("'",I339,"'"))</f>
        <v>'ZU'</v>
      </c>
      <c r="P339" s="1" t="str">
        <f aca="false">"UPDATE estudiantes SET fecha_nacimiento="&amp;L339&amp;", sexo="&amp;M339&amp;", lugar_nacimiento="&amp;N339&amp;", entidad_federal="&amp;O339&amp;" WHERE cedula='"&amp;K339&amp;"';"</f>
        <v>UPDATE estudiantes SET fecha_nacimiento='2011-09-20', sexo='F', lugar_nacimiento='MARACAIBO', entidad_federal='ZU' WHERE cedula='34471198';</v>
      </c>
    </row>
    <row r="340" customFormat="false" ht="14.9" hidden="false" customHeight="false" outlineLevel="0" collapsed="false">
      <c r="A340" s="1" t="s">
        <v>15</v>
      </c>
      <c r="B340" s="1" t="s">
        <v>356</v>
      </c>
      <c r="C340" s="1" t="s">
        <v>17</v>
      </c>
      <c r="D340" s="1" t="s">
        <v>364</v>
      </c>
      <c r="E340" s="2" t="n">
        <v>45924</v>
      </c>
      <c r="F340" s="2" t="n">
        <f aca="false">IFERROR(VLOOKUP(TRIM($D340), Hoja4_2!$A$2:$L$10000, 4, 0), "Revisar")</f>
        <v>40904</v>
      </c>
      <c r="G340" s="7" t="str">
        <f aca="false">IFERROR(VLOOKUP(TRIM($D340), Hoja4_2!$A$2:$L$10000, 5, 0), "Revisar")</f>
        <v>MASCULINO</v>
      </c>
      <c r="H340" s="7" t="str">
        <f aca="false">IFERROR(VLOOKUP(TRIM($D340), Hoja4_2!$A$2:$L$10000, 7, 0), "Revisar")</f>
        <v>MARACAIBO</v>
      </c>
      <c r="I340" s="7" t="str">
        <f aca="false">IFERROR(VLOOKUP(TRIM($D340), Hoja4_2!$A$2:$L$10000, 9, 0), "Revisar")</f>
        <v>ZU</v>
      </c>
      <c r="J340" s="7" t="str">
        <f aca="false">IFERROR(VLOOKUP(TRIM($D340), Hoja4_2!$A$2:$L$10000, 12, 0), "Revisar")</f>
        <v>99999999</v>
      </c>
      <c r="K340" s="8" t="str">
        <f aca="false">TEXT(TRIM(D340),"0")</f>
        <v>34474755</v>
      </c>
      <c r="L340" s="1" t="str">
        <f aca="false">IF(F340="Revisar","NULL",CONCATENATE("'",TEXT(F340,"yyyy-mm-dd"),"'"))</f>
        <v>'2011-12-27'</v>
      </c>
      <c r="M340" s="9" t="str">
        <f aca="false">IF(G340="Revisar","NULL",CONCATENATE("'",MID(G340,1,1),"'"))</f>
        <v>'M'</v>
      </c>
      <c r="N340" s="9" t="str">
        <f aca="false">IF(H340="Revisar","NULL",CONCATENATE("'",H340,"'"))</f>
        <v>'MARACAIBO'</v>
      </c>
      <c r="O340" s="9" t="str">
        <f aca="false">IF(I340="Revisar","NULL",CONCATENATE("'",I340,"'"))</f>
        <v>'ZU'</v>
      </c>
      <c r="P340" s="1" t="str">
        <f aca="false">"UPDATE estudiantes SET fecha_nacimiento="&amp;L340&amp;", sexo="&amp;M340&amp;", lugar_nacimiento="&amp;N340&amp;", entidad_federal="&amp;O340&amp;" WHERE cedula='"&amp;K340&amp;"';"</f>
        <v>UPDATE estudiantes SET fecha_nacimiento='2011-12-27', sexo='M', lugar_nacimiento='MARACAIBO', entidad_federal='ZU' WHERE cedula='34474755';</v>
      </c>
    </row>
    <row r="341" customFormat="false" ht="14.9" hidden="false" customHeight="false" outlineLevel="0" collapsed="false">
      <c r="A341" s="1" t="s">
        <v>15</v>
      </c>
      <c r="B341" s="1" t="s">
        <v>356</v>
      </c>
      <c r="C341" s="1" t="s">
        <v>17</v>
      </c>
      <c r="D341" s="1" t="s">
        <v>365</v>
      </c>
      <c r="E341" s="2" t="n">
        <v>45924</v>
      </c>
      <c r="F341" s="2" t="n">
        <f aca="false">IFERROR(VLOOKUP(TRIM($D341), Hoja4_2!$A$2:$L$10000, 4, 0), "Revisar")</f>
        <v>40620</v>
      </c>
      <c r="G341" s="7" t="str">
        <f aca="false">IFERROR(VLOOKUP(TRIM($D341), Hoja4_2!$A$2:$L$10000, 5, 0), "Revisar")</f>
        <v>FEMENINO</v>
      </c>
      <c r="H341" s="7" t="str">
        <f aca="false">IFERROR(VLOOKUP(TRIM($D341), Hoja4_2!$A$2:$L$10000, 7, 0), "Revisar")</f>
        <v>JESUS ENRIQUE LOSSADA</v>
      </c>
      <c r="I341" s="7" t="str">
        <f aca="false">IFERROR(VLOOKUP(TRIM($D341), Hoja4_2!$A$2:$L$10000, 9, 0), "Revisar")</f>
        <v>ZU</v>
      </c>
      <c r="J341" s="7" t="str">
        <f aca="false">IFERROR(VLOOKUP(TRIM($D341), Hoja4_2!$A$2:$L$10000, 12, 0), "Revisar")</f>
        <v>99999999</v>
      </c>
      <c r="K341" s="8" t="str">
        <f aca="false">TEXT(TRIM(D341),"0")</f>
        <v>34525860</v>
      </c>
      <c r="L341" s="1" t="str">
        <f aca="false">IF(F341="Revisar","NULL",CONCATENATE("'",TEXT(F341,"yyyy-mm-dd"),"'"))</f>
        <v>'2011-03-18'</v>
      </c>
      <c r="M341" s="9" t="str">
        <f aca="false">IF(G341="Revisar","NULL",CONCATENATE("'",MID(G341,1,1),"'"))</f>
        <v>'F'</v>
      </c>
      <c r="N341" s="9" t="str">
        <f aca="false">IF(H341="Revisar","NULL",CONCATENATE("'",H341,"'"))</f>
        <v>'JESUS ENRIQUE LOSSADA'</v>
      </c>
      <c r="O341" s="9" t="str">
        <f aca="false">IF(I341="Revisar","NULL",CONCATENATE("'",I341,"'"))</f>
        <v>'ZU'</v>
      </c>
      <c r="P341" s="1" t="str">
        <f aca="false">"UPDATE estudiantes SET fecha_nacimiento="&amp;L341&amp;", sexo="&amp;M341&amp;", lugar_nacimiento="&amp;N341&amp;", entidad_federal="&amp;O341&amp;" WHERE cedula='"&amp;K341&amp;"';"</f>
        <v>UPDATE estudiantes SET fecha_nacimiento='2011-03-18', sexo='F', lugar_nacimiento='JESUS ENRIQUE LOSSADA', entidad_federal='ZU' WHERE cedula='34525860';</v>
      </c>
    </row>
    <row r="342" customFormat="false" ht="14.9" hidden="false" customHeight="false" outlineLevel="0" collapsed="false">
      <c r="A342" s="1" t="s">
        <v>15</v>
      </c>
      <c r="B342" s="1" t="s">
        <v>356</v>
      </c>
      <c r="C342" s="1" t="s">
        <v>17</v>
      </c>
      <c r="D342" s="1" t="s">
        <v>366</v>
      </c>
      <c r="E342" s="2" t="n">
        <v>45924</v>
      </c>
      <c r="F342" s="2" t="n">
        <f aca="false">IFERROR(VLOOKUP(TRIM($D342), Hoja4_2!$A$2:$L$10000, 4, 0), "Revisar")</f>
        <v>40889</v>
      </c>
      <c r="G342" s="7" t="str">
        <f aca="false">IFERROR(VLOOKUP(TRIM($D342), Hoja4_2!$A$2:$L$10000, 5, 0), "Revisar")</f>
        <v>FEMENINO</v>
      </c>
      <c r="H342" s="7" t="str">
        <f aca="false">IFERROR(VLOOKUP(TRIM($D342), Hoja4_2!$A$2:$L$10000, 7, 0), "Revisar")</f>
        <v>JESUS ENRIQUE LOSSADA</v>
      </c>
      <c r="I342" s="7" t="str">
        <f aca="false">IFERROR(VLOOKUP(TRIM($D342), Hoja4_2!$A$2:$L$10000, 9, 0), "Revisar")</f>
        <v>ZU</v>
      </c>
      <c r="J342" s="7" t="str">
        <f aca="false">IFERROR(VLOOKUP(TRIM($D342), Hoja4_2!$A$2:$L$10000, 12, 0), "Revisar")</f>
        <v>17412457</v>
      </c>
      <c r="K342" s="8" t="str">
        <f aca="false">TEXT(TRIM(D342),"0")</f>
        <v>34692307</v>
      </c>
      <c r="L342" s="1" t="str">
        <f aca="false">IF(F342="Revisar","NULL",CONCATENATE("'",TEXT(F342,"yyyy-mm-dd"),"'"))</f>
        <v>'2011-12-12'</v>
      </c>
      <c r="M342" s="9" t="str">
        <f aca="false">IF(G342="Revisar","NULL",CONCATENATE("'",MID(G342,1,1),"'"))</f>
        <v>'F'</v>
      </c>
      <c r="N342" s="9" t="str">
        <f aca="false">IF(H342="Revisar","NULL",CONCATENATE("'",H342,"'"))</f>
        <v>'JESUS ENRIQUE LOSSADA'</v>
      </c>
      <c r="O342" s="9" t="str">
        <f aca="false">IF(I342="Revisar","NULL",CONCATENATE("'",I342,"'"))</f>
        <v>'ZU'</v>
      </c>
      <c r="P342" s="1" t="str">
        <f aca="false">"UPDATE estudiantes SET fecha_nacimiento="&amp;L342&amp;", sexo="&amp;M342&amp;", lugar_nacimiento="&amp;N342&amp;", entidad_federal="&amp;O342&amp;" WHERE cedula='"&amp;K342&amp;"';"</f>
        <v>UPDATE estudiantes SET fecha_nacimiento='2011-12-12', sexo='F', lugar_nacimiento='JESUS ENRIQUE LOSSADA', entidad_federal='ZU' WHERE cedula='34692307';</v>
      </c>
    </row>
    <row r="343" customFormat="false" ht="14.9" hidden="false" customHeight="false" outlineLevel="0" collapsed="false">
      <c r="A343" s="1" t="s">
        <v>15</v>
      </c>
      <c r="B343" s="1" t="s">
        <v>356</v>
      </c>
      <c r="C343" s="1" t="s">
        <v>17</v>
      </c>
      <c r="D343" s="1" t="s">
        <v>367</v>
      </c>
      <c r="E343" s="2" t="n">
        <v>45919</v>
      </c>
      <c r="F343" s="2" t="n">
        <f aca="false">IFERROR(VLOOKUP(TRIM($D343), Hoja4_2!$A$2:$L$10000, 4, 0), "Revisar")</f>
        <v>40864</v>
      </c>
      <c r="G343" s="7" t="str">
        <f aca="false">IFERROR(VLOOKUP(TRIM($D343), Hoja4_2!$A$2:$L$10000, 5, 0), "Revisar")</f>
        <v>MASCULINO</v>
      </c>
      <c r="H343" s="7" t="str">
        <f aca="false">IFERROR(VLOOKUP(TRIM($D343), Hoja4_2!$A$2:$L$10000, 7, 0), "Revisar")</f>
        <v>MARACAIBO</v>
      </c>
      <c r="I343" s="7" t="str">
        <f aca="false">IFERROR(VLOOKUP(TRIM($D343), Hoja4_2!$A$2:$L$10000, 9, 0), "Revisar")</f>
        <v>ZU</v>
      </c>
      <c r="J343" s="7" t="str">
        <f aca="false">IFERROR(VLOOKUP(TRIM($D343), Hoja4_2!$A$2:$L$10000, 12, 0), "Revisar")</f>
        <v>99999999</v>
      </c>
      <c r="K343" s="8" t="str">
        <f aca="false">TEXT(TRIM(D343),"0")</f>
        <v>34701066</v>
      </c>
      <c r="L343" s="1" t="str">
        <f aca="false">IF(F343="Revisar","NULL",CONCATENATE("'",TEXT(F343,"yyyy-mm-dd"),"'"))</f>
        <v>'2011-11-17'</v>
      </c>
      <c r="M343" s="9" t="str">
        <f aca="false">IF(G343="Revisar","NULL",CONCATENATE("'",MID(G343,1,1),"'"))</f>
        <v>'M'</v>
      </c>
      <c r="N343" s="9" t="str">
        <f aca="false">IF(H343="Revisar","NULL",CONCATENATE("'",H343,"'"))</f>
        <v>'MARACAIBO'</v>
      </c>
      <c r="O343" s="9" t="str">
        <f aca="false">IF(I343="Revisar","NULL",CONCATENATE("'",I343,"'"))</f>
        <v>'ZU'</v>
      </c>
      <c r="P343" s="1" t="str">
        <f aca="false">"UPDATE estudiantes SET fecha_nacimiento="&amp;L343&amp;", sexo="&amp;M343&amp;", lugar_nacimiento="&amp;N343&amp;", entidad_federal="&amp;O343&amp;" WHERE cedula='"&amp;K343&amp;"';"</f>
        <v>UPDATE estudiantes SET fecha_nacimiento='2011-11-17', sexo='M', lugar_nacimiento='MARACAIBO', entidad_federal='ZU' WHERE cedula='34701066';</v>
      </c>
    </row>
    <row r="344" customFormat="false" ht="14.9" hidden="false" customHeight="false" outlineLevel="0" collapsed="false">
      <c r="A344" s="1" t="s">
        <v>15</v>
      </c>
      <c r="B344" s="1" t="s">
        <v>356</v>
      </c>
      <c r="C344" s="1" t="s">
        <v>17</v>
      </c>
      <c r="D344" s="1" t="s">
        <v>368</v>
      </c>
      <c r="E344" s="2" t="n">
        <v>45924</v>
      </c>
      <c r="F344" s="2" t="n">
        <f aca="false">IFERROR(VLOOKUP(TRIM($D344), Hoja4_2!$A$2:$L$10000, 4, 0), "Revisar")</f>
        <v>40752</v>
      </c>
      <c r="G344" s="7" t="str">
        <f aca="false">IFERROR(VLOOKUP(TRIM($D344), Hoja4_2!$A$2:$L$10000, 5, 0), "Revisar")</f>
        <v>MASCULINO</v>
      </c>
      <c r="H344" s="7" t="str">
        <f aca="false">IFERROR(VLOOKUP(TRIM($D344), Hoja4_2!$A$2:$L$10000, 7, 0), "Revisar")</f>
        <v>MARACAIBO</v>
      </c>
      <c r="I344" s="7" t="str">
        <f aca="false">IFERROR(VLOOKUP(TRIM($D344), Hoja4_2!$A$2:$L$10000, 9, 0), "Revisar")</f>
        <v>ZU</v>
      </c>
      <c r="J344" s="7" t="str">
        <f aca="false">IFERROR(VLOOKUP(TRIM($D344), Hoja4_2!$A$2:$L$10000, 12, 0), "Revisar")</f>
        <v>99999999</v>
      </c>
      <c r="K344" s="8" t="str">
        <f aca="false">TEXT(TRIM(D344),"0")</f>
        <v>34704057</v>
      </c>
      <c r="L344" s="1" t="str">
        <f aca="false">IF(F344="Revisar","NULL",CONCATENATE("'",TEXT(F344,"yyyy-mm-dd"),"'"))</f>
        <v>'2011-07-28'</v>
      </c>
      <c r="M344" s="9" t="str">
        <f aca="false">IF(G344="Revisar","NULL",CONCATENATE("'",MID(G344,1,1),"'"))</f>
        <v>'M'</v>
      </c>
      <c r="N344" s="9" t="str">
        <f aca="false">IF(H344="Revisar","NULL",CONCATENATE("'",H344,"'"))</f>
        <v>'MARACAIBO'</v>
      </c>
      <c r="O344" s="9" t="str">
        <f aca="false">IF(I344="Revisar","NULL",CONCATENATE("'",I344,"'"))</f>
        <v>'ZU'</v>
      </c>
      <c r="P344" s="1" t="str">
        <f aca="false">"UPDATE estudiantes SET fecha_nacimiento="&amp;L344&amp;", sexo="&amp;M344&amp;", lugar_nacimiento="&amp;N344&amp;", entidad_federal="&amp;O344&amp;" WHERE cedula='"&amp;K344&amp;"';"</f>
        <v>UPDATE estudiantes SET fecha_nacimiento='2011-07-28', sexo='M', lugar_nacimiento='MARACAIBO', entidad_federal='ZU' WHERE cedula='34704057';</v>
      </c>
    </row>
    <row r="345" customFormat="false" ht="14.9" hidden="false" customHeight="false" outlineLevel="0" collapsed="false">
      <c r="A345" s="1" t="s">
        <v>15</v>
      </c>
      <c r="B345" s="1" t="s">
        <v>356</v>
      </c>
      <c r="C345" s="1" t="s">
        <v>17</v>
      </c>
      <c r="D345" s="1" t="s">
        <v>369</v>
      </c>
      <c r="E345" s="2" t="n">
        <v>45924</v>
      </c>
      <c r="F345" s="2" t="n">
        <f aca="false">IFERROR(VLOOKUP(TRIM($D345), Hoja4_2!$A$2:$L$10000, 4, 0), "Revisar")</f>
        <v>41125</v>
      </c>
      <c r="G345" s="7" t="str">
        <f aca="false">IFERROR(VLOOKUP(TRIM($D345), Hoja4_2!$A$2:$L$10000, 5, 0), "Revisar")</f>
        <v>FEMENINO</v>
      </c>
      <c r="H345" s="7" t="str">
        <f aca="false">IFERROR(VLOOKUP(TRIM($D345), Hoja4_2!$A$2:$L$10000, 7, 0), "Revisar")</f>
        <v>MARACAIBO</v>
      </c>
      <c r="I345" s="7" t="str">
        <f aca="false">IFERROR(VLOOKUP(TRIM($D345), Hoja4_2!$A$2:$L$10000, 9, 0), "Revisar")</f>
        <v>ZU</v>
      </c>
      <c r="J345" s="7" t="str">
        <f aca="false">IFERROR(VLOOKUP(TRIM($D345), Hoja4_2!$A$2:$L$10000, 12, 0), "Revisar")</f>
        <v>99999999</v>
      </c>
      <c r="K345" s="8" t="str">
        <f aca="false">TEXT(TRIM(D345),"0")</f>
        <v>34804821</v>
      </c>
      <c r="L345" s="1" t="str">
        <f aca="false">IF(F345="Revisar","NULL",CONCATENATE("'",TEXT(F345,"yyyy-mm-dd"),"'"))</f>
        <v>'2012-08-04'</v>
      </c>
      <c r="M345" s="9" t="str">
        <f aca="false">IF(G345="Revisar","NULL",CONCATENATE("'",MID(G345,1,1),"'"))</f>
        <v>'F'</v>
      </c>
      <c r="N345" s="9" t="str">
        <f aca="false">IF(H345="Revisar","NULL",CONCATENATE("'",H345,"'"))</f>
        <v>'MARACAIBO'</v>
      </c>
      <c r="O345" s="9" t="str">
        <f aca="false">IF(I345="Revisar","NULL",CONCATENATE("'",I345,"'"))</f>
        <v>'ZU'</v>
      </c>
      <c r="P345" s="1" t="str">
        <f aca="false">"UPDATE estudiantes SET fecha_nacimiento="&amp;L345&amp;", sexo="&amp;M345&amp;", lugar_nacimiento="&amp;N345&amp;", entidad_federal="&amp;O345&amp;" WHERE cedula='"&amp;K345&amp;"';"</f>
        <v>UPDATE estudiantes SET fecha_nacimiento='2012-08-04', sexo='F', lugar_nacimiento='MARACAIBO', entidad_federal='ZU' WHERE cedula='34804821';</v>
      </c>
    </row>
    <row r="346" customFormat="false" ht="14.9" hidden="false" customHeight="false" outlineLevel="0" collapsed="false">
      <c r="A346" s="1" t="s">
        <v>15</v>
      </c>
      <c r="B346" s="1" t="s">
        <v>356</v>
      </c>
      <c r="C346" s="1" t="s">
        <v>17</v>
      </c>
      <c r="D346" s="1" t="s">
        <v>370</v>
      </c>
      <c r="E346" s="2" t="n">
        <v>45924</v>
      </c>
      <c r="F346" s="2" t="n">
        <f aca="false">IFERROR(VLOOKUP(TRIM($D346), Hoja4_2!$A$2:$L$10000, 4, 0), "Revisar")</f>
        <v>40818</v>
      </c>
      <c r="G346" s="7" t="str">
        <f aca="false">IFERROR(VLOOKUP(TRIM($D346), Hoja4_2!$A$2:$L$10000, 5, 0), "Revisar")</f>
        <v>FEMENINO</v>
      </c>
      <c r="H346" s="7" t="str">
        <f aca="false">IFERROR(VLOOKUP(TRIM($D346), Hoja4_2!$A$2:$L$10000, 7, 0), "Revisar")</f>
        <v>MARACAIBO</v>
      </c>
      <c r="I346" s="7" t="str">
        <f aca="false">IFERROR(VLOOKUP(TRIM($D346), Hoja4_2!$A$2:$L$10000, 9, 0), "Revisar")</f>
        <v>ZU</v>
      </c>
      <c r="J346" s="7" t="str">
        <f aca="false">IFERROR(VLOOKUP(TRIM($D346), Hoja4_2!$A$2:$L$10000, 12, 0), "Revisar")</f>
        <v>99999999</v>
      </c>
      <c r="K346" s="8" t="str">
        <f aca="false">TEXT(TRIM(D346),"0")</f>
        <v>34895436</v>
      </c>
      <c r="L346" s="1" t="str">
        <f aca="false">IF(F346="Revisar","NULL",CONCATENATE("'",TEXT(F346,"yyyy-mm-dd"),"'"))</f>
        <v>'2011-10-02'</v>
      </c>
      <c r="M346" s="9" t="str">
        <f aca="false">IF(G346="Revisar","NULL",CONCATENATE("'",MID(G346,1,1),"'"))</f>
        <v>'F'</v>
      </c>
      <c r="N346" s="9" t="str">
        <f aca="false">IF(H346="Revisar","NULL",CONCATENATE("'",H346,"'"))</f>
        <v>'MARACAIBO'</v>
      </c>
      <c r="O346" s="9" t="str">
        <f aca="false">IF(I346="Revisar","NULL",CONCATENATE("'",I346,"'"))</f>
        <v>'ZU'</v>
      </c>
      <c r="P346" s="1" t="str">
        <f aca="false">"UPDATE estudiantes SET fecha_nacimiento="&amp;L346&amp;", sexo="&amp;M346&amp;", lugar_nacimiento="&amp;N346&amp;", entidad_federal="&amp;O346&amp;" WHERE cedula='"&amp;K346&amp;"';"</f>
        <v>UPDATE estudiantes SET fecha_nacimiento='2011-10-02', sexo='F', lugar_nacimiento='MARACAIBO', entidad_federal='ZU' WHERE cedula='34895436';</v>
      </c>
    </row>
    <row r="347" customFormat="false" ht="14.9" hidden="false" customHeight="false" outlineLevel="0" collapsed="false">
      <c r="A347" s="1" t="s">
        <v>15</v>
      </c>
      <c r="B347" s="1" t="s">
        <v>356</v>
      </c>
      <c r="C347" s="1" t="s">
        <v>17</v>
      </c>
      <c r="D347" s="1" t="s">
        <v>371</v>
      </c>
      <c r="E347" s="2" t="n">
        <v>45924</v>
      </c>
      <c r="F347" s="2" t="n">
        <f aca="false">IFERROR(VLOOKUP(TRIM($D347), Hoja4_2!$A$2:$L$10000, 4, 0), "Revisar")</f>
        <v>40776</v>
      </c>
      <c r="G347" s="7" t="str">
        <f aca="false">IFERROR(VLOOKUP(TRIM($D347), Hoja4_2!$A$2:$L$10000, 5, 0), "Revisar")</f>
        <v>MASCULINO</v>
      </c>
      <c r="H347" s="7" t="str">
        <f aca="false">IFERROR(VLOOKUP(TRIM($D347), Hoja4_2!$A$2:$L$10000, 7, 0), "Revisar")</f>
        <v>MARACAIBO</v>
      </c>
      <c r="I347" s="7" t="str">
        <f aca="false">IFERROR(VLOOKUP(TRIM($D347), Hoja4_2!$A$2:$L$10000, 9, 0), "Revisar")</f>
        <v>ZU</v>
      </c>
      <c r="J347" s="7" t="str">
        <f aca="false">IFERROR(VLOOKUP(TRIM($D347), Hoja4_2!$A$2:$L$10000, 12, 0), "Revisar")</f>
        <v>99999999</v>
      </c>
      <c r="K347" s="8" t="str">
        <f aca="false">TEXT(TRIM(D347),"0")</f>
        <v>35009055</v>
      </c>
      <c r="L347" s="1" t="str">
        <f aca="false">IF(F347="Revisar","NULL",CONCATENATE("'",TEXT(F347,"yyyy-mm-dd"),"'"))</f>
        <v>'2011-08-21'</v>
      </c>
      <c r="M347" s="9" t="str">
        <f aca="false">IF(G347="Revisar","NULL",CONCATENATE("'",MID(G347,1,1),"'"))</f>
        <v>'M'</v>
      </c>
      <c r="N347" s="9" t="str">
        <f aca="false">IF(H347="Revisar","NULL",CONCATENATE("'",H347,"'"))</f>
        <v>'MARACAIBO'</v>
      </c>
      <c r="O347" s="9" t="str">
        <f aca="false">IF(I347="Revisar","NULL",CONCATENATE("'",I347,"'"))</f>
        <v>'ZU'</v>
      </c>
      <c r="P347" s="1" t="str">
        <f aca="false">"UPDATE estudiantes SET fecha_nacimiento="&amp;L347&amp;", sexo="&amp;M347&amp;", lugar_nacimiento="&amp;N347&amp;", entidad_federal="&amp;O347&amp;" WHERE cedula='"&amp;K347&amp;"';"</f>
        <v>UPDATE estudiantes SET fecha_nacimiento='2011-08-21', sexo='M', lugar_nacimiento='MARACAIBO', entidad_federal='ZU' WHERE cedula='35009055';</v>
      </c>
    </row>
    <row r="348" customFormat="false" ht="14.9" hidden="false" customHeight="false" outlineLevel="0" collapsed="false">
      <c r="A348" s="1" t="s">
        <v>15</v>
      </c>
      <c r="B348" s="1" t="s">
        <v>356</v>
      </c>
      <c r="C348" s="1" t="s">
        <v>17</v>
      </c>
      <c r="D348" s="1" t="s">
        <v>372</v>
      </c>
      <c r="E348" s="2" t="n">
        <v>45924</v>
      </c>
      <c r="F348" s="2" t="n">
        <f aca="false">IFERROR(VLOOKUP(TRIM($D348), Hoja4_2!$A$2:$L$10000, 4, 0), "Revisar")</f>
        <v>40851</v>
      </c>
      <c r="G348" s="7" t="str">
        <f aca="false">IFERROR(VLOOKUP(TRIM($D348), Hoja4_2!$A$2:$L$10000, 5, 0), "Revisar")</f>
        <v>FEMENINO</v>
      </c>
      <c r="H348" s="7" t="str">
        <f aca="false">IFERROR(VLOOKUP(TRIM($D348), Hoja4_2!$A$2:$L$10000, 7, 0), "Revisar")</f>
        <v>MARACAIBO</v>
      </c>
      <c r="I348" s="7" t="str">
        <f aca="false">IFERROR(VLOOKUP(TRIM($D348), Hoja4_2!$A$2:$L$10000, 9, 0), "Revisar")</f>
        <v>ZU</v>
      </c>
      <c r="J348" s="7" t="str">
        <f aca="false">IFERROR(VLOOKUP(TRIM($D348), Hoja4_2!$A$2:$L$10000, 12, 0), "Revisar")</f>
        <v>99999999</v>
      </c>
      <c r="K348" s="8" t="str">
        <f aca="false">TEXT(TRIM(D348),"0")</f>
        <v>35028591</v>
      </c>
      <c r="L348" s="1" t="str">
        <f aca="false">IF(F348="Revisar","NULL",CONCATENATE("'",TEXT(F348,"yyyy-mm-dd"),"'"))</f>
        <v>'2011-11-04'</v>
      </c>
      <c r="M348" s="9" t="str">
        <f aca="false">IF(G348="Revisar","NULL",CONCATENATE("'",MID(G348,1,1),"'"))</f>
        <v>'F'</v>
      </c>
      <c r="N348" s="9" t="str">
        <f aca="false">IF(H348="Revisar","NULL",CONCATENATE("'",H348,"'"))</f>
        <v>'MARACAIBO'</v>
      </c>
      <c r="O348" s="9" t="str">
        <f aca="false">IF(I348="Revisar","NULL",CONCATENATE("'",I348,"'"))</f>
        <v>'ZU'</v>
      </c>
      <c r="P348" s="1" t="str">
        <f aca="false">"UPDATE estudiantes SET fecha_nacimiento="&amp;L348&amp;", sexo="&amp;M348&amp;", lugar_nacimiento="&amp;N348&amp;", entidad_federal="&amp;O348&amp;" WHERE cedula='"&amp;K348&amp;"';"</f>
        <v>UPDATE estudiantes SET fecha_nacimiento='2011-11-04', sexo='F', lugar_nacimiento='MARACAIBO', entidad_federal='ZU' WHERE cedula='35028591';</v>
      </c>
    </row>
    <row r="349" customFormat="false" ht="14.9" hidden="false" customHeight="false" outlineLevel="0" collapsed="false">
      <c r="A349" s="1" t="s">
        <v>15</v>
      </c>
      <c r="B349" s="1" t="s">
        <v>356</v>
      </c>
      <c r="C349" s="1" t="s">
        <v>17</v>
      </c>
      <c r="D349" s="1" t="s">
        <v>373</v>
      </c>
      <c r="E349" s="2" t="n">
        <v>45924</v>
      </c>
      <c r="F349" s="2" t="n">
        <f aca="false">IFERROR(VLOOKUP(TRIM($D349), Hoja4_2!$A$2:$L$10000, 4, 0), "Revisar")</f>
        <v>40903</v>
      </c>
      <c r="G349" s="7" t="str">
        <f aca="false">IFERROR(VLOOKUP(TRIM($D349), Hoja4_2!$A$2:$L$10000, 5, 0), "Revisar")</f>
        <v>MASCULINO</v>
      </c>
      <c r="H349" s="7" t="str">
        <f aca="false">IFERROR(VLOOKUP(TRIM($D349), Hoja4_2!$A$2:$L$10000, 7, 0), "Revisar")</f>
        <v>MARACAIBO</v>
      </c>
      <c r="I349" s="7" t="str">
        <f aca="false">IFERROR(VLOOKUP(TRIM($D349), Hoja4_2!$A$2:$L$10000, 9, 0), "Revisar")</f>
        <v>ZU</v>
      </c>
      <c r="J349" s="7" t="str">
        <f aca="false">IFERROR(VLOOKUP(TRIM($D349), Hoja4_2!$A$2:$L$10000, 12, 0), "Revisar")</f>
        <v>99999999</v>
      </c>
      <c r="K349" s="8" t="str">
        <f aca="false">TEXT(TRIM(D349),"0")</f>
        <v>35031506</v>
      </c>
      <c r="L349" s="1" t="str">
        <f aca="false">IF(F349="Revisar","NULL",CONCATENATE("'",TEXT(F349,"yyyy-mm-dd"),"'"))</f>
        <v>'2011-12-26'</v>
      </c>
      <c r="M349" s="9" t="str">
        <f aca="false">IF(G349="Revisar","NULL",CONCATENATE("'",MID(G349,1,1),"'"))</f>
        <v>'M'</v>
      </c>
      <c r="N349" s="9" t="str">
        <f aca="false">IF(H349="Revisar","NULL",CONCATENATE("'",H349,"'"))</f>
        <v>'MARACAIBO'</v>
      </c>
      <c r="O349" s="9" t="str">
        <f aca="false">IF(I349="Revisar","NULL",CONCATENATE("'",I349,"'"))</f>
        <v>'ZU'</v>
      </c>
      <c r="P349" s="1" t="str">
        <f aca="false">"UPDATE estudiantes SET fecha_nacimiento="&amp;L349&amp;", sexo="&amp;M349&amp;", lugar_nacimiento="&amp;N349&amp;", entidad_federal="&amp;O349&amp;" WHERE cedula='"&amp;K349&amp;"';"</f>
        <v>UPDATE estudiantes SET fecha_nacimiento='2011-12-26', sexo='M', lugar_nacimiento='MARACAIBO', entidad_federal='ZU' WHERE cedula='35031506';</v>
      </c>
    </row>
    <row r="350" customFormat="false" ht="14.9" hidden="false" customHeight="false" outlineLevel="0" collapsed="false">
      <c r="A350" s="1" t="s">
        <v>15</v>
      </c>
      <c r="B350" s="1" t="s">
        <v>356</v>
      </c>
      <c r="C350" s="1" t="s">
        <v>17</v>
      </c>
      <c r="D350" s="1" t="s">
        <v>374</v>
      </c>
      <c r="E350" s="2" t="n">
        <v>45924</v>
      </c>
      <c r="F350" s="2" t="n">
        <f aca="false">IFERROR(VLOOKUP(TRIM($D350), Hoja4_2!$A$2:$L$10000, 4, 0), "Revisar")</f>
        <v>40782</v>
      </c>
      <c r="G350" s="7" t="str">
        <f aca="false">IFERROR(VLOOKUP(TRIM($D350), Hoja4_2!$A$2:$L$10000, 5, 0), "Revisar")</f>
        <v>MASCULINO</v>
      </c>
      <c r="H350" s="7" t="str">
        <f aca="false">IFERROR(VLOOKUP(TRIM($D350), Hoja4_2!$A$2:$L$10000, 7, 0), "Revisar")</f>
        <v>MARACAIBO</v>
      </c>
      <c r="I350" s="7" t="str">
        <f aca="false">IFERROR(VLOOKUP(TRIM($D350), Hoja4_2!$A$2:$L$10000, 9, 0), "Revisar")</f>
        <v>ZU</v>
      </c>
      <c r="J350" s="7" t="str">
        <f aca="false">IFERROR(VLOOKUP(TRIM($D350), Hoja4_2!$A$2:$L$10000, 12, 0), "Revisar")</f>
        <v>99999999</v>
      </c>
      <c r="K350" s="8" t="str">
        <f aca="false">TEXT(TRIM(D350),"0")</f>
        <v>35046958</v>
      </c>
      <c r="L350" s="1" t="str">
        <f aca="false">IF(F350="Revisar","NULL",CONCATENATE("'",TEXT(F350,"yyyy-mm-dd"),"'"))</f>
        <v>'2011-08-27'</v>
      </c>
      <c r="M350" s="9" t="str">
        <f aca="false">IF(G350="Revisar","NULL",CONCATENATE("'",MID(G350,1,1),"'"))</f>
        <v>'M'</v>
      </c>
      <c r="N350" s="9" t="str">
        <f aca="false">IF(H350="Revisar","NULL",CONCATENATE("'",H350,"'"))</f>
        <v>'MARACAIBO'</v>
      </c>
      <c r="O350" s="9" t="str">
        <f aca="false">IF(I350="Revisar","NULL",CONCATENATE("'",I350,"'"))</f>
        <v>'ZU'</v>
      </c>
      <c r="P350" s="1" t="str">
        <f aca="false">"UPDATE estudiantes SET fecha_nacimiento="&amp;L350&amp;", sexo="&amp;M350&amp;", lugar_nacimiento="&amp;N350&amp;", entidad_federal="&amp;O350&amp;" WHERE cedula='"&amp;K350&amp;"';"</f>
        <v>UPDATE estudiantes SET fecha_nacimiento='2011-08-27', sexo='M', lugar_nacimiento='MARACAIBO', entidad_federal='ZU' WHERE cedula='35046958';</v>
      </c>
    </row>
    <row r="351" customFormat="false" ht="14.9" hidden="false" customHeight="false" outlineLevel="0" collapsed="false">
      <c r="A351" s="1" t="s">
        <v>15</v>
      </c>
      <c r="B351" s="1" t="s">
        <v>356</v>
      </c>
      <c r="C351" s="1" t="s">
        <v>17</v>
      </c>
      <c r="D351" s="1" t="s">
        <v>375</v>
      </c>
      <c r="E351" s="2" t="n">
        <v>45924</v>
      </c>
      <c r="F351" s="2" t="n">
        <f aca="false">IFERROR(VLOOKUP(TRIM($D351), Hoja4_2!$A$2:$L$10000, 4, 0), "Revisar")</f>
        <v>41099</v>
      </c>
      <c r="G351" s="7" t="str">
        <f aca="false">IFERROR(VLOOKUP(TRIM($D351), Hoja4_2!$A$2:$L$10000, 5, 0), "Revisar")</f>
        <v>MASCULINO</v>
      </c>
      <c r="H351" s="7" t="str">
        <f aca="false">IFERROR(VLOOKUP(TRIM($D351), Hoja4_2!$A$2:$L$10000, 7, 0), "Revisar")</f>
        <v>MARACAIBO</v>
      </c>
      <c r="I351" s="7" t="str">
        <f aca="false">IFERROR(VLOOKUP(TRIM($D351), Hoja4_2!$A$2:$L$10000, 9, 0), "Revisar")</f>
        <v>ZU</v>
      </c>
      <c r="J351" s="7" t="str">
        <f aca="false">IFERROR(VLOOKUP(TRIM($D351), Hoja4_2!$A$2:$L$10000, 12, 0), "Revisar")</f>
        <v>99999999</v>
      </c>
      <c r="K351" s="8" t="str">
        <f aca="false">TEXT(TRIM(D351),"0")</f>
        <v>36126828</v>
      </c>
      <c r="L351" s="1" t="str">
        <f aca="false">IF(F351="Revisar","NULL",CONCATENATE("'",TEXT(F351,"yyyy-mm-dd"),"'"))</f>
        <v>'2012-07-09'</v>
      </c>
      <c r="M351" s="9" t="str">
        <f aca="false">IF(G351="Revisar","NULL",CONCATENATE("'",MID(G351,1,1),"'"))</f>
        <v>'M'</v>
      </c>
      <c r="N351" s="9" t="str">
        <f aca="false">IF(H351="Revisar","NULL",CONCATENATE("'",H351,"'"))</f>
        <v>'MARACAIBO'</v>
      </c>
      <c r="O351" s="9" t="str">
        <f aca="false">IF(I351="Revisar","NULL",CONCATENATE("'",I351,"'"))</f>
        <v>'ZU'</v>
      </c>
      <c r="P351" s="1" t="str">
        <f aca="false">"UPDATE estudiantes SET fecha_nacimiento="&amp;L351&amp;", sexo="&amp;M351&amp;", lugar_nacimiento="&amp;N351&amp;", entidad_federal="&amp;O351&amp;" WHERE cedula='"&amp;K351&amp;"';"</f>
        <v>UPDATE estudiantes SET fecha_nacimiento='2012-07-09', sexo='M', lugar_nacimiento='MARACAIBO', entidad_federal='ZU' WHERE cedula='36126828';</v>
      </c>
    </row>
    <row r="352" customFormat="false" ht="14.9" hidden="false" customHeight="false" outlineLevel="0" collapsed="false">
      <c r="A352" s="1" t="s">
        <v>15</v>
      </c>
      <c r="B352" s="1" t="s">
        <v>356</v>
      </c>
      <c r="C352" s="1" t="s">
        <v>17</v>
      </c>
      <c r="D352" s="1" t="s">
        <v>376</v>
      </c>
      <c r="E352" s="2" t="n">
        <v>45924</v>
      </c>
      <c r="F352" s="2" t="n">
        <f aca="false">IFERROR(VLOOKUP(TRIM($D352), Hoja4_2!$A$2:$L$10000, 4, 0), "Revisar")</f>
        <v>40626</v>
      </c>
      <c r="G352" s="7" t="str">
        <f aca="false">IFERROR(VLOOKUP(TRIM($D352), Hoja4_2!$A$2:$L$10000, 5, 0), "Revisar")</f>
        <v>MASCULINO</v>
      </c>
      <c r="H352" s="7" t="str">
        <f aca="false">IFERROR(VLOOKUP(TRIM($D352), Hoja4_2!$A$2:$L$10000, 7, 0), "Revisar")</f>
        <v>MARACAIBO</v>
      </c>
      <c r="I352" s="7" t="str">
        <f aca="false">IFERROR(VLOOKUP(TRIM($D352), Hoja4_2!$A$2:$L$10000, 9, 0), "Revisar")</f>
        <v>ZU</v>
      </c>
      <c r="J352" s="7" t="str">
        <f aca="false">IFERROR(VLOOKUP(TRIM($D352), Hoja4_2!$A$2:$L$10000, 12, 0), "Revisar")</f>
        <v>99999999</v>
      </c>
      <c r="K352" s="8" t="str">
        <f aca="false">TEXT(TRIM(D352),"0")</f>
        <v>36644510</v>
      </c>
      <c r="L352" s="1" t="str">
        <f aca="false">IF(F352="Revisar","NULL",CONCATENATE("'",TEXT(F352,"yyyy-mm-dd"),"'"))</f>
        <v>'2011-03-24'</v>
      </c>
      <c r="M352" s="9" t="str">
        <f aca="false">IF(G352="Revisar","NULL",CONCATENATE("'",MID(G352,1,1),"'"))</f>
        <v>'M'</v>
      </c>
      <c r="N352" s="9" t="str">
        <f aca="false">IF(H352="Revisar","NULL",CONCATENATE("'",H352,"'"))</f>
        <v>'MARACAIBO'</v>
      </c>
      <c r="O352" s="9" t="str">
        <f aca="false">IF(I352="Revisar","NULL",CONCATENATE("'",I352,"'"))</f>
        <v>'ZU'</v>
      </c>
      <c r="P352" s="1" t="str">
        <f aca="false">"UPDATE estudiantes SET fecha_nacimiento="&amp;L352&amp;", sexo="&amp;M352&amp;", lugar_nacimiento="&amp;N352&amp;", entidad_federal="&amp;O352&amp;" WHERE cedula='"&amp;K352&amp;"';"</f>
        <v>UPDATE estudiantes SET fecha_nacimiento='2011-03-24', sexo='M', lugar_nacimiento='MARACAIBO', entidad_federal='ZU' WHERE cedula='36644510';</v>
      </c>
    </row>
    <row r="353" customFormat="false" ht="14.9" hidden="false" customHeight="false" outlineLevel="0" collapsed="false">
      <c r="A353" s="1" t="s">
        <v>15</v>
      </c>
      <c r="B353" s="1" t="s">
        <v>356</v>
      </c>
      <c r="C353" s="1" t="s">
        <v>17</v>
      </c>
      <c r="D353" s="1" t="s">
        <v>377</v>
      </c>
      <c r="E353" s="2" t="n">
        <v>45939</v>
      </c>
      <c r="F353" s="2" t="n">
        <f aca="false">IFERROR(VLOOKUP(TRIM($D353), Hoja4_2!$A$2:$L$10000, 4, 0), "Revisar")</f>
        <v>40837</v>
      </c>
      <c r="G353" s="7" t="str">
        <f aca="false">IFERROR(VLOOKUP(TRIM($D353), Hoja4_2!$A$2:$L$10000, 5, 0), "Revisar")</f>
        <v>FEMENINO</v>
      </c>
      <c r="H353" s="7" t="str">
        <f aca="false">IFERROR(VLOOKUP(TRIM($D353), Hoja4_2!$A$2:$L$10000, 7, 0), "Revisar")</f>
        <v>MARACAIBO</v>
      </c>
      <c r="I353" s="7" t="str">
        <f aca="false">IFERROR(VLOOKUP(TRIM($D353), Hoja4_2!$A$2:$L$10000, 9, 0), "Revisar")</f>
        <v>ZU</v>
      </c>
      <c r="J353" s="7" t="str">
        <f aca="false">IFERROR(VLOOKUP(TRIM($D353), Hoja4_2!$A$2:$L$10000, 12, 0), "Revisar")</f>
        <v>21230514</v>
      </c>
      <c r="K353" s="8" t="str">
        <f aca="false">TEXT(TRIM(D353),"0")</f>
        <v>36968226</v>
      </c>
      <c r="L353" s="1" t="str">
        <f aca="false">IF(F353="Revisar","NULL",CONCATENATE("'",TEXT(F353,"yyyy-mm-dd"),"'"))</f>
        <v>'2011-10-21'</v>
      </c>
      <c r="M353" s="9" t="str">
        <f aca="false">IF(G353="Revisar","NULL",CONCATENATE("'",MID(G353,1,1),"'"))</f>
        <v>'F'</v>
      </c>
      <c r="N353" s="9" t="str">
        <f aca="false">IF(H353="Revisar","NULL",CONCATENATE("'",H353,"'"))</f>
        <v>'MARACAIBO'</v>
      </c>
      <c r="O353" s="9" t="str">
        <f aca="false">IF(I353="Revisar","NULL",CONCATENATE("'",I353,"'"))</f>
        <v>'ZU'</v>
      </c>
      <c r="P353" s="1" t="str">
        <f aca="false">"UPDATE estudiantes SET fecha_nacimiento="&amp;L353&amp;", sexo="&amp;M353&amp;", lugar_nacimiento="&amp;N353&amp;", entidad_federal="&amp;O353&amp;" WHERE cedula='"&amp;K353&amp;"';"</f>
        <v>UPDATE estudiantes SET fecha_nacimiento='2011-10-21', sexo='F', lugar_nacimiento='MARACAIBO', entidad_federal='ZU' WHERE cedula='36968226';</v>
      </c>
    </row>
    <row r="354" customFormat="false" ht="14.9" hidden="false" customHeight="false" outlineLevel="0" collapsed="false">
      <c r="A354" s="1" t="s">
        <v>15</v>
      </c>
      <c r="B354" s="1" t="s">
        <v>356</v>
      </c>
      <c r="C354" s="1" t="s">
        <v>17</v>
      </c>
      <c r="D354" s="1" t="s">
        <v>378</v>
      </c>
      <c r="E354" s="2" t="n">
        <v>45924</v>
      </c>
      <c r="F354" s="2" t="n">
        <f aca="false">IFERROR(VLOOKUP(TRIM($D354), Hoja4_2!$A$2:$L$10000, 4, 0), "Revisar")</f>
        <v>40307</v>
      </c>
      <c r="G354" s="7" t="str">
        <f aca="false">IFERROR(VLOOKUP(TRIM($D354), Hoja4_2!$A$2:$L$10000, 5, 0), "Revisar")</f>
        <v>MASCULINO</v>
      </c>
      <c r="H354" s="7" t="str">
        <f aca="false">IFERROR(VLOOKUP(TRIM($D354), Hoja4_2!$A$2:$L$10000, 7, 0), "Revisar")</f>
        <v>MARACAIBO</v>
      </c>
      <c r="I354" s="7" t="str">
        <f aca="false">IFERROR(VLOOKUP(TRIM($D354), Hoja4_2!$A$2:$L$10000, 9, 0), "Revisar")</f>
        <v>ZU</v>
      </c>
      <c r="J354" s="7" t="str">
        <f aca="false">IFERROR(VLOOKUP(TRIM($D354), Hoja4_2!$A$2:$L$10000, 12, 0), "Revisar")</f>
        <v>12099694</v>
      </c>
      <c r="K354" s="8" t="str">
        <f aca="false">TEXT(TRIM(D354),"0")</f>
        <v>11012099694</v>
      </c>
      <c r="L354" s="1" t="str">
        <f aca="false">IF(F354="Revisar","NULL",CONCATENATE("'",TEXT(F354,"yyyy-mm-dd"),"'"))</f>
        <v>'2010-05-09'</v>
      </c>
      <c r="M354" s="9" t="str">
        <f aca="false">IF(G354="Revisar","NULL",CONCATENATE("'",MID(G354,1,1),"'"))</f>
        <v>'M'</v>
      </c>
      <c r="N354" s="9" t="str">
        <f aca="false">IF(H354="Revisar","NULL",CONCATENATE("'",H354,"'"))</f>
        <v>'MARACAIBO'</v>
      </c>
      <c r="O354" s="9" t="str">
        <f aca="false">IF(I354="Revisar","NULL",CONCATENATE("'",I354,"'"))</f>
        <v>'ZU'</v>
      </c>
      <c r="P354" s="1" t="str">
        <f aca="false">"UPDATE estudiantes SET fecha_nacimiento="&amp;L354&amp;", sexo="&amp;M354&amp;", lugar_nacimiento="&amp;N354&amp;", entidad_federal="&amp;O354&amp;" WHERE cedula='"&amp;K354&amp;"';"</f>
        <v>UPDATE estudiantes SET fecha_nacimiento='2010-05-09', sexo='M', lugar_nacimiento='MARACAIBO', entidad_federal='ZU' WHERE cedula='11012099694';</v>
      </c>
    </row>
    <row r="355" customFormat="false" ht="14.9" hidden="false" customHeight="false" outlineLevel="0" collapsed="false">
      <c r="A355" s="1" t="s">
        <v>15</v>
      </c>
      <c r="B355" s="1" t="s">
        <v>356</v>
      </c>
      <c r="C355" s="1" t="s">
        <v>17</v>
      </c>
      <c r="D355" s="1" t="s">
        <v>379</v>
      </c>
      <c r="E355" s="2" t="n">
        <v>45924</v>
      </c>
      <c r="F355" s="2" t="n">
        <f aca="false">IFERROR(VLOOKUP(TRIM($D355), Hoja4_2!$A$2:$L$10000, 4, 0), "Revisar")</f>
        <v>40427</v>
      </c>
      <c r="G355" s="7" t="str">
        <f aca="false">IFERROR(VLOOKUP(TRIM($D355), Hoja4_2!$A$2:$L$10000, 5, 0), "Revisar")</f>
        <v>MASCULINO</v>
      </c>
      <c r="H355" s="7" t="str">
        <f aca="false">IFERROR(VLOOKUP(TRIM($D355), Hoja4_2!$A$2:$L$10000, 7, 0), "Revisar")</f>
        <v>MARACAIBO</v>
      </c>
      <c r="I355" s="7" t="str">
        <f aca="false">IFERROR(VLOOKUP(TRIM($D355), Hoja4_2!$A$2:$L$10000, 9, 0), "Revisar")</f>
        <v>ZU</v>
      </c>
      <c r="J355" s="7" t="str">
        <f aca="false">IFERROR(VLOOKUP(TRIM($D355), Hoja4_2!$A$2:$L$10000, 12, 0), "Revisar")</f>
        <v>14698283</v>
      </c>
      <c r="K355" s="8" t="str">
        <f aca="false">TEXT(TRIM(D355),"0")</f>
        <v>11014698283</v>
      </c>
      <c r="L355" s="1" t="str">
        <f aca="false">IF(F355="Revisar","NULL",CONCATENATE("'",TEXT(F355,"yyyy-mm-dd"),"'"))</f>
        <v>'2010-09-06'</v>
      </c>
      <c r="M355" s="9" t="str">
        <f aca="false">IF(G355="Revisar","NULL",CONCATENATE("'",MID(G355,1,1),"'"))</f>
        <v>'M'</v>
      </c>
      <c r="N355" s="9" t="str">
        <f aca="false">IF(H355="Revisar","NULL",CONCATENATE("'",H355,"'"))</f>
        <v>'MARACAIBO'</v>
      </c>
      <c r="O355" s="9" t="str">
        <f aca="false">IF(I355="Revisar","NULL",CONCATENATE("'",I355,"'"))</f>
        <v>'ZU'</v>
      </c>
      <c r="P355" s="1" t="str">
        <f aca="false">"UPDATE estudiantes SET fecha_nacimiento="&amp;L355&amp;", sexo="&amp;M355&amp;", lugar_nacimiento="&amp;N355&amp;", entidad_federal="&amp;O355&amp;" WHERE cedula='"&amp;K355&amp;"';"</f>
        <v>UPDATE estudiantes SET fecha_nacimiento='2010-09-06', sexo='M', lugar_nacimiento='MARACAIBO', entidad_federal='ZU' WHERE cedula='11014698283';</v>
      </c>
    </row>
    <row r="356" customFormat="false" ht="14.9" hidden="false" customHeight="false" outlineLevel="0" collapsed="false">
      <c r="A356" s="1" t="s">
        <v>15</v>
      </c>
      <c r="B356" s="1" t="s">
        <v>356</v>
      </c>
      <c r="C356" s="1" t="s">
        <v>17</v>
      </c>
      <c r="D356" s="1" t="s">
        <v>380</v>
      </c>
      <c r="E356" s="2" t="n">
        <v>45924</v>
      </c>
      <c r="F356" s="2" t="n">
        <f aca="false">IFERROR(VLOOKUP(TRIM($D356), Hoja4_2!$A$2:$L$10000, 4, 0), "Revisar")</f>
        <v>40864</v>
      </c>
      <c r="G356" s="7" t="str">
        <f aca="false">IFERROR(VLOOKUP(TRIM($D356), Hoja4_2!$A$2:$L$10000, 5, 0), "Revisar")</f>
        <v>FEMENINO</v>
      </c>
      <c r="H356" s="7" t="str">
        <f aca="false">IFERROR(VLOOKUP(TRIM($D356), Hoja4_2!$A$2:$L$10000, 7, 0), "Revisar")</f>
        <v>MARACAIBO</v>
      </c>
      <c r="I356" s="7" t="str">
        <f aca="false">IFERROR(VLOOKUP(TRIM($D356), Hoja4_2!$A$2:$L$10000, 9, 0), "Revisar")</f>
        <v>ZU</v>
      </c>
      <c r="J356" s="7" t="str">
        <f aca="false">IFERROR(VLOOKUP(TRIM($D356), Hoja4_2!$A$2:$L$10000, 12, 0), "Revisar")</f>
        <v>99999999</v>
      </c>
      <c r="K356" s="8" t="str">
        <f aca="false">TEXT(TRIM(D356),"0")</f>
        <v>11115194297</v>
      </c>
      <c r="L356" s="1" t="str">
        <f aca="false">IF(F356="Revisar","NULL",CONCATENATE("'",TEXT(F356,"yyyy-mm-dd"),"'"))</f>
        <v>'2011-11-17'</v>
      </c>
      <c r="M356" s="9" t="str">
        <f aca="false">IF(G356="Revisar","NULL",CONCATENATE("'",MID(G356,1,1),"'"))</f>
        <v>'F'</v>
      </c>
      <c r="N356" s="9" t="str">
        <f aca="false">IF(H356="Revisar","NULL",CONCATENATE("'",H356,"'"))</f>
        <v>'MARACAIBO'</v>
      </c>
      <c r="O356" s="9" t="str">
        <f aca="false">IF(I356="Revisar","NULL",CONCATENATE("'",I356,"'"))</f>
        <v>'ZU'</v>
      </c>
      <c r="P356" s="1" t="str">
        <f aca="false">"UPDATE estudiantes SET fecha_nacimiento="&amp;L356&amp;", sexo="&amp;M356&amp;", lugar_nacimiento="&amp;N356&amp;", entidad_federal="&amp;O356&amp;" WHERE cedula='"&amp;K356&amp;"';"</f>
        <v>UPDATE estudiantes SET fecha_nacimiento='2011-11-17', sexo='F', lugar_nacimiento='MARACAIBO', entidad_federal='ZU' WHERE cedula='11115194297';</v>
      </c>
    </row>
    <row r="357" customFormat="false" ht="14.9" hidden="false" customHeight="false" outlineLevel="0" collapsed="false">
      <c r="A357" s="1" t="s">
        <v>15</v>
      </c>
      <c r="B357" s="1" t="s">
        <v>356</v>
      </c>
      <c r="C357" s="1" t="s">
        <v>17</v>
      </c>
      <c r="D357" s="1" t="s">
        <v>381</v>
      </c>
      <c r="E357" s="2" t="n">
        <v>45924</v>
      </c>
      <c r="F357" s="2" t="n">
        <f aca="false">IFERROR(VLOOKUP(TRIM($D357), Hoja4_2!$A$2:$L$10000, 4, 0), "Revisar")</f>
        <v>40709</v>
      </c>
      <c r="G357" s="7" t="str">
        <f aca="false">IFERROR(VLOOKUP(TRIM($D357), Hoja4_2!$A$2:$L$10000, 5, 0), "Revisar")</f>
        <v>FEMENINO</v>
      </c>
      <c r="H357" s="7" t="str">
        <f aca="false">IFERROR(VLOOKUP(TRIM($D357), Hoja4_2!$A$2:$L$10000, 7, 0), "Revisar")</f>
        <v>MARACAIBO</v>
      </c>
      <c r="I357" s="7" t="str">
        <f aca="false">IFERROR(VLOOKUP(TRIM($D357), Hoja4_2!$A$2:$L$10000, 9, 0), "Revisar")</f>
        <v>ZU</v>
      </c>
      <c r="J357" s="7" t="str">
        <f aca="false">IFERROR(VLOOKUP(TRIM($D357), Hoja4_2!$A$2:$L$10000, 12, 0), "Revisar")</f>
        <v>99999999</v>
      </c>
      <c r="K357" s="8" t="str">
        <f aca="false">TEXT(TRIM(D357),"0")</f>
        <v>11115194298</v>
      </c>
      <c r="L357" s="1" t="str">
        <f aca="false">IF(F357="Revisar","NULL",CONCATENATE("'",TEXT(F357,"yyyy-mm-dd"),"'"))</f>
        <v>'2011-06-15'</v>
      </c>
      <c r="M357" s="9" t="str">
        <f aca="false">IF(G357="Revisar","NULL",CONCATENATE("'",MID(G357,1,1),"'"))</f>
        <v>'F'</v>
      </c>
      <c r="N357" s="9" t="str">
        <f aca="false">IF(H357="Revisar","NULL",CONCATENATE("'",H357,"'"))</f>
        <v>'MARACAIBO'</v>
      </c>
      <c r="O357" s="9" t="str">
        <f aca="false">IF(I357="Revisar","NULL",CONCATENATE("'",I357,"'"))</f>
        <v>'ZU'</v>
      </c>
      <c r="P357" s="1" t="str">
        <f aca="false">"UPDATE estudiantes SET fecha_nacimiento="&amp;L357&amp;", sexo="&amp;M357&amp;", lugar_nacimiento="&amp;N357&amp;", entidad_federal="&amp;O357&amp;" WHERE cedula='"&amp;K357&amp;"';"</f>
        <v>UPDATE estudiantes SET fecha_nacimiento='2011-06-15', sexo='F', lugar_nacimiento='MARACAIBO', entidad_federal='ZU' WHERE cedula='11115194298';</v>
      </c>
    </row>
    <row r="358" customFormat="false" ht="14.9" hidden="false" customHeight="false" outlineLevel="0" collapsed="false">
      <c r="A358" s="1" t="s">
        <v>15</v>
      </c>
      <c r="B358" s="1" t="s">
        <v>356</v>
      </c>
      <c r="C358" s="1" t="s">
        <v>17</v>
      </c>
      <c r="D358" s="1" t="s">
        <v>382</v>
      </c>
      <c r="E358" s="2" t="n">
        <v>45924</v>
      </c>
      <c r="F358" s="2" t="n">
        <f aca="false">IFERROR(VLOOKUP(TRIM($D358), Hoja4_2!$A$2:$L$10000, 4, 0), "Revisar")</f>
        <v>40763</v>
      </c>
      <c r="G358" s="7" t="str">
        <f aca="false">IFERROR(VLOOKUP(TRIM($D358), Hoja4_2!$A$2:$L$10000, 5, 0), "Revisar")</f>
        <v>MASCULINO</v>
      </c>
      <c r="H358" s="7" t="str">
        <f aca="false">IFERROR(VLOOKUP(TRIM($D358), Hoja4_2!$A$2:$L$10000, 7, 0), "Revisar")</f>
        <v>MARACAIBO</v>
      </c>
      <c r="I358" s="7" t="str">
        <f aca="false">IFERROR(VLOOKUP(TRIM($D358), Hoja4_2!$A$2:$L$10000, 9, 0), "Revisar")</f>
        <v>ZU</v>
      </c>
      <c r="J358" s="7" t="str">
        <f aca="false">IFERROR(VLOOKUP(TRIM($D358), Hoja4_2!$A$2:$L$10000, 12, 0), "Revisar")</f>
        <v>99999999</v>
      </c>
      <c r="K358" s="8" t="str">
        <f aca="false">TEXT(TRIM(D358),"0")</f>
        <v>11117461800</v>
      </c>
      <c r="L358" s="1" t="str">
        <f aca="false">IF(F358="Revisar","NULL",CONCATENATE("'",TEXT(F358,"yyyy-mm-dd"),"'"))</f>
        <v>'2011-08-08'</v>
      </c>
      <c r="M358" s="9" t="str">
        <f aca="false">IF(G358="Revisar","NULL",CONCATENATE("'",MID(G358,1,1),"'"))</f>
        <v>'M'</v>
      </c>
      <c r="N358" s="9" t="str">
        <f aca="false">IF(H358="Revisar","NULL",CONCATENATE("'",H358,"'"))</f>
        <v>'MARACAIBO'</v>
      </c>
      <c r="O358" s="9" t="str">
        <f aca="false">IF(I358="Revisar","NULL",CONCATENATE("'",I358,"'"))</f>
        <v>'ZU'</v>
      </c>
      <c r="P358" s="1" t="str">
        <f aca="false">"UPDATE estudiantes SET fecha_nacimiento="&amp;L358&amp;", sexo="&amp;M358&amp;", lugar_nacimiento="&amp;N358&amp;", entidad_federal="&amp;O358&amp;" WHERE cedula='"&amp;K358&amp;"';"</f>
        <v>UPDATE estudiantes SET fecha_nacimiento='2011-08-08', sexo='M', lugar_nacimiento='MARACAIBO', entidad_federal='ZU' WHERE cedula='11117461800';</v>
      </c>
    </row>
    <row r="359" customFormat="false" ht="14.9" hidden="false" customHeight="false" outlineLevel="0" collapsed="false">
      <c r="A359" s="1" t="s">
        <v>15</v>
      </c>
      <c r="B359" s="1" t="s">
        <v>356</v>
      </c>
      <c r="C359" s="1" t="s">
        <v>17</v>
      </c>
      <c r="D359" s="1" t="s">
        <v>383</v>
      </c>
      <c r="E359" s="2" t="n">
        <v>45924</v>
      </c>
      <c r="F359" s="2" t="n">
        <f aca="false">IFERROR(VLOOKUP(TRIM($D359), Hoja4_2!$A$2:$L$10000, 4, 0), "Revisar")</f>
        <v>40762</v>
      </c>
      <c r="G359" s="7" t="str">
        <f aca="false">IFERROR(VLOOKUP(TRIM($D359), Hoja4_2!$A$2:$L$10000, 5, 0), "Revisar")</f>
        <v>MASCULINO</v>
      </c>
      <c r="H359" s="7" t="str">
        <f aca="false">IFERROR(VLOOKUP(TRIM($D359), Hoja4_2!$A$2:$L$10000, 7, 0), "Revisar")</f>
        <v>MARACAIBO</v>
      </c>
      <c r="I359" s="7" t="str">
        <f aca="false">IFERROR(VLOOKUP(TRIM($D359), Hoja4_2!$A$2:$L$10000, 9, 0), "Revisar")</f>
        <v>ZU</v>
      </c>
      <c r="J359" s="7" t="str">
        <f aca="false">IFERROR(VLOOKUP(TRIM($D359), Hoja4_2!$A$2:$L$10000, 12, 0), "Revisar")</f>
        <v>18517987</v>
      </c>
      <c r="K359" s="8" t="str">
        <f aca="false">TEXT(TRIM(D359),"0")</f>
        <v>11118517987</v>
      </c>
      <c r="L359" s="1" t="str">
        <f aca="false">IF(F359="Revisar","NULL",CONCATENATE("'",TEXT(F359,"yyyy-mm-dd"),"'"))</f>
        <v>'2011-08-07'</v>
      </c>
      <c r="M359" s="9" t="str">
        <f aca="false">IF(G359="Revisar","NULL",CONCATENATE("'",MID(G359,1,1),"'"))</f>
        <v>'M'</v>
      </c>
      <c r="N359" s="9" t="str">
        <f aca="false">IF(H359="Revisar","NULL",CONCATENATE("'",H359,"'"))</f>
        <v>'MARACAIBO'</v>
      </c>
      <c r="O359" s="9" t="str">
        <f aca="false">IF(I359="Revisar","NULL",CONCATENATE("'",I359,"'"))</f>
        <v>'ZU'</v>
      </c>
      <c r="P359" s="1" t="str">
        <f aca="false">"UPDATE estudiantes SET fecha_nacimiento="&amp;L359&amp;", sexo="&amp;M359&amp;", lugar_nacimiento="&amp;N359&amp;", entidad_federal="&amp;O359&amp;" WHERE cedula='"&amp;K359&amp;"';"</f>
        <v>UPDATE estudiantes SET fecha_nacimiento='2011-08-07', sexo='M', lugar_nacimiento='MARACAIBO', entidad_federal='ZU' WHERE cedula='11118517987';</v>
      </c>
    </row>
    <row r="360" customFormat="false" ht="14.9" hidden="false" customHeight="false" outlineLevel="0" collapsed="false">
      <c r="A360" s="1" t="s">
        <v>15</v>
      </c>
      <c r="B360" s="1" t="s">
        <v>356</v>
      </c>
      <c r="C360" s="1" t="s">
        <v>17</v>
      </c>
      <c r="D360" s="1" t="s">
        <v>384</v>
      </c>
      <c r="E360" s="2" t="n">
        <v>45924</v>
      </c>
      <c r="F360" s="2" t="n">
        <f aca="false">IFERROR(VLOOKUP(TRIM($D360), Hoja4_2!$A$2:$L$10000, 4, 0), "Revisar")</f>
        <v>40843</v>
      </c>
      <c r="G360" s="7" t="str">
        <f aca="false">IFERROR(VLOOKUP(TRIM($D360), Hoja4_2!$A$2:$L$10000, 5, 0), "Revisar")</f>
        <v>MASCULINO</v>
      </c>
      <c r="H360" s="7" t="str">
        <f aca="false">IFERROR(VLOOKUP(TRIM($D360), Hoja4_2!$A$2:$L$10000, 7, 0), "Revisar")</f>
        <v>MARACAIBO</v>
      </c>
      <c r="I360" s="7" t="str">
        <f aca="false">IFERROR(VLOOKUP(TRIM($D360), Hoja4_2!$A$2:$L$10000, 9, 0), "Revisar")</f>
        <v>ZU</v>
      </c>
      <c r="J360" s="7" t="str">
        <f aca="false">IFERROR(VLOOKUP(TRIM($D360), Hoja4_2!$A$2:$L$10000, 12, 0), "Revisar")</f>
        <v>19213252</v>
      </c>
      <c r="K360" s="8" t="str">
        <f aca="false">TEXT(TRIM(D360),"0")</f>
        <v>11119213252</v>
      </c>
      <c r="L360" s="1" t="str">
        <f aca="false">IF(F360="Revisar","NULL",CONCATENATE("'",TEXT(F360,"yyyy-mm-dd"),"'"))</f>
        <v>'2011-10-27'</v>
      </c>
      <c r="M360" s="9" t="str">
        <f aca="false">IF(G360="Revisar","NULL",CONCATENATE("'",MID(G360,1,1),"'"))</f>
        <v>'M'</v>
      </c>
      <c r="N360" s="9" t="str">
        <f aca="false">IF(H360="Revisar","NULL",CONCATENATE("'",H360,"'"))</f>
        <v>'MARACAIBO'</v>
      </c>
      <c r="O360" s="9" t="str">
        <f aca="false">IF(I360="Revisar","NULL",CONCATENATE("'",I360,"'"))</f>
        <v>'ZU'</v>
      </c>
      <c r="P360" s="1" t="str">
        <f aca="false">"UPDATE estudiantes SET fecha_nacimiento="&amp;L360&amp;", sexo="&amp;M360&amp;", lugar_nacimiento="&amp;N360&amp;", entidad_federal="&amp;O360&amp;" WHERE cedula='"&amp;K360&amp;"';"</f>
        <v>UPDATE estudiantes SET fecha_nacimiento='2011-10-27', sexo='M', lugar_nacimiento='MARACAIBO', entidad_federal='ZU' WHERE cedula='11119213252';</v>
      </c>
    </row>
    <row r="361" customFormat="false" ht="14.9" hidden="false" customHeight="false" outlineLevel="0" collapsed="false">
      <c r="A361" s="1" t="s">
        <v>15</v>
      </c>
      <c r="B361" s="1" t="s">
        <v>356</v>
      </c>
      <c r="C361" s="1" t="s">
        <v>17</v>
      </c>
      <c r="D361" s="1" t="s">
        <v>385</v>
      </c>
      <c r="E361" s="2" t="n">
        <v>45924</v>
      </c>
      <c r="F361" s="2" t="n">
        <f aca="false">IFERROR(VLOOKUP(TRIM($D361), Hoja4_2!$A$2:$L$10000, 4, 0), "Revisar")</f>
        <v>40751</v>
      </c>
      <c r="G361" s="7" t="str">
        <f aca="false">IFERROR(VLOOKUP(TRIM($D361), Hoja4_2!$A$2:$L$10000, 5, 0), "Revisar")</f>
        <v>MASCULINO</v>
      </c>
      <c r="H361" s="7" t="str">
        <f aca="false">IFERROR(VLOOKUP(TRIM($D361), Hoja4_2!$A$2:$L$10000, 7, 0), "Revisar")</f>
        <v>MARACAIBO</v>
      </c>
      <c r="I361" s="7" t="str">
        <f aca="false">IFERROR(VLOOKUP(TRIM($D361), Hoja4_2!$A$2:$L$10000, 9, 0), "Revisar")</f>
        <v>ZU</v>
      </c>
      <c r="J361" s="7" t="str">
        <f aca="false">IFERROR(VLOOKUP(TRIM($D361), Hoja4_2!$A$2:$L$10000, 12, 0), "Revisar")</f>
        <v>99999999</v>
      </c>
      <c r="K361" s="8" t="str">
        <f aca="false">TEXT(TRIM(D361),"0")</f>
        <v>11120685010</v>
      </c>
      <c r="L361" s="1" t="str">
        <f aca="false">IF(F361="Revisar","NULL",CONCATENATE("'",TEXT(F361,"yyyy-mm-dd"),"'"))</f>
        <v>'2011-07-27'</v>
      </c>
      <c r="M361" s="9" t="str">
        <f aca="false">IF(G361="Revisar","NULL",CONCATENATE("'",MID(G361,1,1),"'"))</f>
        <v>'M'</v>
      </c>
      <c r="N361" s="9" t="str">
        <f aca="false">IF(H361="Revisar","NULL",CONCATENATE("'",H361,"'"))</f>
        <v>'MARACAIBO'</v>
      </c>
      <c r="O361" s="9" t="str">
        <f aca="false">IF(I361="Revisar","NULL",CONCATENATE("'",I361,"'"))</f>
        <v>'ZU'</v>
      </c>
      <c r="P361" s="1" t="str">
        <f aca="false">"UPDATE estudiantes SET fecha_nacimiento="&amp;L361&amp;", sexo="&amp;M361&amp;", lugar_nacimiento="&amp;N361&amp;", entidad_federal="&amp;O361&amp;" WHERE cedula='"&amp;K361&amp;"';"</f>
        <v>UPDATE estudiantes SET fecha_nacimiento='2011-07-27', sexo='M', lugar_nacimiento='MARACAIBO', entidad_federal='ZU' WHERE cedula='11120685010';</v>
      </c>
    </row>
    <row r="362" customFormat="false" ht="14.9" hidden="false" customHeight="false" outlineLevel="0" collapsed="false">
      <c r="A362" s="1" t="s">
        <v>15</v>
      </c>
      <c r="B362" s="1" t="s">
        <v>356</v>
      </c>
      <c r="C362" s="1" t="s">
        <v>17</v>
      </c>
      <c r="D362" s="1" t="s">
        <v>386</v>
      </c>
      <c r="E362" s="2" t="n">
        <v>45924</v>
      </c>
      <c r="F362" s="2" t="n">
        <f aca="false">IFERROR(VLOOKUP(TRIM($D362), Hoja4_2!$A$2:$L$10000, 4, 0), "Revisar")</f>
        <v>40867</v>
      </c>
      <c r="G362" s="7" t="str">
        <f aca="false">IFERROR(VLOOKUP(TRIM($D362), Hoja4_2!$A$2:$L$10000, 5, 0), "Revisar")</f>
        <v>MASCULINO</v>
      </c>
      <c r="H362" s="7" t="str">
        <f aca="false">IFERROR(VLOOKUP(TRIM($D362), Hoja4_2!$A$2:$L$10000, 7, 0), "Revisar")</f>
        <v>MARACAIBO</v>
      </c>
      <c r="I362" s="7" t="str">
        <f aca="false">IFERROR(VLOOKUP(TRIM($D362), Hoja4_2!$A$2:$L$10000, 9, 0), "Revisar")</f>
        <v>ZU</v>
      </c>
      <c r="J362" s="7" t="str">
        <f aca="false">IFERROR(VLOOKUP(TRIM($D362), Hoja4_2!$A$2:$L$10000, 12, 0), "Revisar")</f>
        <v>99999999</v>
      </c>
      <c r="K362" s="8" t="str">
        <f aca="false">TEXT(TRIM(D362),"0")</f>
        <v>11121228281</v>
      </c>
      <c r="L362" s="1" t="str">
        <f aca="false">IF(F362="Revisar","NULL",CONCATENATE("'",TEXT(F362,"yyyy-mm-dd"),"'"))</f>
        <v>'2011-11-20'</v>
      </c>
      <c r="M362" s="9" t="str">
        <f aca="false">IF(G362="Revisar","NULL",CONCATENATE("'",MID(G362,1,1),"'"))</f>
        <v>'M'</v>
      </c>
      <c r="N362" s="9" t="str">
        <f aca="false">IF(H362="Revisar","NULL",CONCATENATE("'",H362,"'"))</f>
        <v>'MARACAIBO'</v>
      </c>
      <c r="O362" s="9" t="str">
        <f aca="false">IF(I362="Revisar","NULL",CONCATENATE("'",I362,"'"))</f>
        <v>'ZU'</v>
      </c>
      <c r="P362" s="1" t="str">
        <f aca="false">"UPDATE estudiantes SET fecha_nacimiento="&amp;L362&amp;", sexo="&amp;M362&amp;", lugar_nacimiento="&amp;N362&amp;", entidad_federal="&amp;O362&amp;" WHERE cedula='"&amp;K362&amp;"';"</f>
        <v>UPDATE estudiantes SET fecha_nacimiento='2011-11-20', sexo='M', lugar_nacimiento='MARACAIBO', entidad_federal='ZU' WHERE cedula='11121228281';</v>
      </c>
    </row>
    <row r="363" customFormat="false" ht="14.9" hidden="false" customHeight="false" outlineLevel="0" collapsed="false">
      <c r="A363" s="1" t="s">
        <v>15</v>
      </c>
      <c r="B363" s="1" t="s">
        <v>356</v>
      </c>
      <c r="C363" s="1" t="s">
        <v>17</v>
      </c>
      <c r="D363" s="1" t="s">
        <v>387</v>
      </c>
      <c r="E363" s="2" t="n">
        <v>45924</v>
      </c>
      <c r="F363" s="2" t="n">
        <f aca="false">IFERROR(VLOOKUP(TRIM($D363), Hoja4_2!$A$2:$L$10000, 4, 0), "Revisar")</f>
        <v>41027</v>
      </c>
      <c r="G363" s="7" t="str">
        <f aca="false">IFERROR(VLOOKUP(TRIM($D363), Hoja4_2!$A$2:$L$10000, 5, 0), "Revisar")</f>
        <v>MASCULINO</v>
      </c>
      <c r="H363" s="7" t="str">
        <f aca="false">IFERROR(VLOOKUP(TRIM($D363), Hoja4_2!$A$2:$L$10000, 7, 0), "Revisar")</f>
        <v>MARACAIBO</v>
      </c>
      <c r="I363" s="7" t="str">
        <f aca="false">IFERROR(VLOOKUP(TRIM($D363), Hoja4_2!$A$2:$L$10000, 9, 0), "Revisar")</f>
        <v>ZU</v>
      </c>
      <c r="J363" s="7" t="str">
        <f aca="false">IFERROR(VLOOKUP(TRIM($D363), Hoja4_2!$A$2:$L$10000, 12, 0), "Revisar")</f>
        <v>17634574</v>
      </c>
      <c r="K363" s="8" t="str">
        <f aca="false">TEXT(TRIM(D363),"0")</f>
        <v>11217634574</v>
      </c>
      <c r="L363" s="1" t="str">
        <f aca="false">IF(F363="Revisar","NULL",CONCATENATE("'",TEXT(F363,"yyyy-mm-dd"),"'"))</f>
        <v>'2012-04-28'</v>
      </c>
      <c r="M363" s="9" t="str">
        <f aca="false">IF(G363="Revisar","NULL",CONCATENATE("'",MID(G363,1,1),"'"))</f>
        <v>'M'</v>
      </c>
      <c r="N363" s="9" t="str">
        <f aca="false">IF(H363="Revisar","NULL",CONCATENATE("'",H363,"'"))</f>
        <v>'MARACAIBO'</v>
      </c>
      <c r="O363" s="9" t="str">
        <f aca="false">IF(I363="Revisar","NULL",CONCATENATE("'",I363,"'"))</f>
        <v>'ZU'</v>
      </c>
      <c r="P363" s="1" t="str">
        <f aca="false">"UPDATE estudiantes SET fecha_nacimiento="&amp;L363&amp;", sexo="&amp;M363&amp;", lugar_nacimiento="&amp;N363&amp;", entidad_federal="&amp;O363&amp;" WHERE cedula='"&amp;K363&amp;"';"</f>
        <v>UPDATE estudiantes SET fecha_nacimiento='2012-04-28', sexo='M', lugar_nacimiento='MARACAIBO', entidad_federal='ZU' WHERE cedula='11217634574';</v>
      </c>
    </row>
    <row r="364" customFormat="false" ht="14.9" hidden="false" customHeight="false" outlineLevel="0" collapsed="false">
      <c r="A364" s="1" t="s">
        <v>15</v>
      </c>
      <c r="B364" s="1" t="s">
        <v>356</v>
      </c>
      <c r="C364" s="1" t="s">
        <v>17</v>
      </c>
      <c r="D364" s="1" t="s">
        <v>388</v>
      </c>
      <c r="E364" s="2" t="n">
        <v>45924</v>
      </c>
      <c r="F364" s="2" t="n">
        <f aca="false">IFERROR(VLOOKUP(TRIM($D364), Hoja4_2!$A$2:$L$10000, 4, 0), "Revisar")</f>
        <v>41270</v>
      </c>
      <c r="G364" s="7" t="str">
        <f aca="false">IFERROR(VLOOKUP(TRIM($D364), Hoja4_2!$A$2:$L$10000, 5, 0), "Revisar")</f>
        <v>MASCULINO</v>
      </c>
      <c r="H364" s="7" t="str">
        <f aca="false">IFERROR(VLOOKUP(TRIM($D364), Hoja4_2!$A$2:$L$10000, 7, 0), "Revisar")</f>
        <v>MARACAIBO</v>
      </c>
      <c r="I364" s="7" t="str">
        <f aca="false">IFERROR(VLOOKUP(TRIM($D364), Hoja4_2!$A$2:$L$10000, 9, 0), "Revisar")</f>
        <v>ZU</v>
      </c>
      <c r="J364" s="7" t="str">
        <f aca="false">IFERROR(VLOOKUP(TRIM($D364), Hoja4_2!$A$2:$L$10000, 12, 0), "Revisar")</f>
        <v>17735893</v>
      </c>
      <c r="K364" s="8" t="str">
        <f aca="false">TEXT(TRIM(D364),"0")</f>
        <v>11217735893</v>
      </c>
      <c r="L364" s="1" t="str">
        <f aca="false">IF(F364="Revisar","NULL",CONCATENATE("'",TEXT(F364,"yyyy-mm-dd"),"'"))</f>
        <v>'2012-12-27'</v>
      </c>
      <c r="M364" s="9" t="str">
        <f aca="false">IF(G364="Revisar","NULL",CONCATENATE("'",MID(G364,1,1),"'"))</f>
        <v>'M'</v>
      </c>
      <c r="N364" s="9" t="str">
        <f aca="false">IF(H364="Revisar","NULL",CONCATENATE("'",H364,"'"))</f>
        <v>'MARACAIBO'</v>
      </c>
      <c r="O364" s="9" t="str">
        <f aca="false">IF(I364="Revisar","NULL",CONCATENATE("'",I364,"'"))</f>
        <v>'ZU'</v>
      </c>
      <c r="P364" s="1" t="str">
        <f aca="false">"UPDATE estudiantes SET fecha_nacimiento="&amp;L364&amp;", sexo="&amp;M364&amp;", lugar_nacimiento="&amp;N364&amp;", entidad_federal="&amp;O364&amp;" WHERE cedula='"&amp;K364&amp;"';"</f>
        <v>UPDATE estudiantes SET fecha_nacimiento='2012-12-27', sexo='M', lugar_nacimiento='MARACAIBO', entidad_federal='ZU' WHERE cedula='11217735893';</v>
      </c>
    </row>
    <row r="365" customFormat="false" ht="14.9" hidden="false" customHeight="false" outlineLevel="0" collapsed="false">
      <c r="A365" s="1" t="s">
        <v>15</v>
      </c>
      <c r="B365" s="1" t="s">
        <v>356</v>
      </c>
      <c r="C365" s="1" t="s">
        <v>17</v>
      </c>
      <c r="D365" s="1" t="s">
        <v>389</v>
      </c>
      <c r="E365" s="2" t="n">
        <v>45919</v>
      </c>
      <c r="F365" s="2" t="n">
        <f aca="false">IFERROR(VLOOKUP(TRIM($D365), Hoja4_2!$A$2:$L$10000, 4, 0), "Revisar")</f>
        <v>41117</v>
      </c>
      <c r="G365" s="7" t="str">
        <f aca="false">IFERROR(VLOOKUP(TRIM($D365), Hoja4_2!$A$2:$L$10000, 5, 0), "Revisar")</f>
        <v>MASCULINO</v>
      </c>
      <c r="H365" s="7" t="str">
        <f aca="false">IFERROR(VLOOKUP(TRIM($D365), Hoja4_2!$A$2:$L$10000, 7, 0), "Revisar")</f>
        <v>MARACAIBO</v>
      </c>
      <c r="I365" s="7" t="str">
        <f aca="false">IFERROR(VLOOKUP(TRIM($D365), Hoja4_2!$A$2:$L$10000, 9, 0), "Revisar")</f>
        <v>ZU</v>
      </c>
      <c r="J365" s="7" t="str">
        <f aca="false">IFERROR(VLOOKUP(TRIM($D365), Hoja4_2!$A$2:$L$10000, 12, 0), "Revisar")</f>
        <v>99999999</v>
      </c>
      <c r="K365" s="8" t="str">
        <f aca="false">TEXT(TRIM(D365),"0")</f>
        <v>112139121073</v>
      </c>
      <c r="L365" s="1" t="str">
        <f aca="false">IF(F365="Revisar","NULL",CONCATENATE("'",TEXT(F365,"yyyy-mm-dd"),"'"))</f>
        <v>'2012-07-27'</v>
      </c>
      <c r="M365" s="9" t="str">
        <f aca="false">IF(G365="Revisar","NULL",CONCATENATE("'",MID(G365,1,1),"'"))</f>
        <v>'M'</v>
      </c>
      <c r="N365" s="9" t="str">
        <f aca="false">IF(H365="Revisar","NULL",CONCATENATE("'",H365,"'"))</f>
        <v>'MARACAIBO'</v>
      </c>
      <c r="O365" s="9" t="str">
        <f aca="false">IF(I365="Revisar","NULL",CONCATENATE("'",I365,"'"))</f>
        <v>'ZU'</v>
      </c>
      <c r="P365" s="1" t="str">
        <f aca="false">"UPDATE estudiantes SET fecha_nacimiento="&amp;L365&amp;", sexo="&amp;M365&amp;", lugar_nacimiento="&amp;N365&amp;", entidad_federal="&amp;O365&amp;" WHERE cedula='"&amp;K365&amp;"';"</f>
        <v>UPDATE estudiantes SET fecha_nacimiento='2012-07-27', sexo='M', lugar_nacimiento='MARACAIBO', entidad_federal='ZU' WHERE cedula='112139121073';</v>
      </c>
    </row>
    <row r="366" customFormat="false" ht="14.9" hidden="false" customHeight="false" outlineLevel="0" collapsed="false">
      <c r="A366" s="1" t="s">
        <v>15</v>
      </c>
      <c r="B366" s="1" t="s">
        <v>356</v>
      </c>
      <c r="C366" s="1" t="s">
        <v>53</v>
      </c>
      <c r="D366" s="1" t="s">
        <v>390</v>
      </c>
      <c r="E366" s="2" t="n">
        <v>45924</v>
      </c>
      <c r="F366" s="2" t="n">
        <f aca="false">IFERROR(VLOOKUP(TRIM($D366), Hoja4_2!$A$2:$L$10000, 4, 0), "Revisar")</f>
        <v>39701</v>
      </c>
      <c r="G366" s="7" t="str">
        <f aca="false">IFERROR(VLOOKUP(TRIM($D366), Hoja4_2!$A$2:$L$10000, 5, 0), "Revisar")</f>
        <v>FEMENINO</v>
      </c>
      <c r="H366" s="7" t="str">
        <f aca="false">IFERROR(VLOOKUP(TRIM($D366), Hoja4_2!$A$2:$L$10000, 7, 0), "Revisar")</f>
        <v>JESUS ENRIQUE LOSSADA</v>
      </c>
      <c r="I366" s="7" t="str">
        <f aca="false">IFERROR(VLOOKUP(TRIM($D366), Hoja4_2!$A$2:$L$10000, 9, 0), "Revisar")</f>
        <v>ZU</v>
      </c>
      <c r="J366" s="7" t="str">
        <f aca="false">IFERROR(VLOOKUP(TRIM($D366), Hoja4_2!$A$2:$L$10000, 12, 0), "Revisar")</f>
        <v>19016788</v>
      </c>
      <c r="K366" s="8" t="str">
        <f aca="false">TEXT(TRIM(D366),"0")</f>
        <v>32895009</v>
      </c>
      <c r="L366" s="1" t="str">
        <f aca="false">IF(F366="Revisar","NULL",CONCATENATE("'",TEXT(F366,"yyyy-mm-dd"),"'"))</f>
        <v>'2008-09-10'</v>
      </c>
      <c r="M366" s="9" t="str">
        <f aca="false">IF(G366="Revisar","NULL",CONCATENATE("'",MID(G366,1,1),"'"))</f>
        <v>'F'</v>
      </c>
      <c r="N366" s="9" t="str">
        <f aca="false">IF(H366="Revisar","NULL",CONCATENATE("'",H366,"'"))</f>
        <v>'JESUS ENRIQUE LOSSADA'</v>
      </c>
      <c r="O366" s="9" t="str">
        <f aca="false">IF(I366="Revisar","NULL",CONCATENATE("'",I366,"'"))</f>
        <v>'ZU'</v>
      </c>
      <c r="P366" s="1" t="str">
        <f aca="false">"UPDATE estudiantes SET fecha_nacimiento="&amp;L366&amp;", sexo="&amp;M366&amp;", lugar_nacimiento="&amp;N366&amp;", entidad_federal="&amp;O366&amp;" WHERE cedula='"&amp;K366&amp;"';"</f>
        <v>UPDATE estudiantes SET fecha_nacimiento='2008-09-10', sexo='F', lugar_nacimiento='JESUS ENRIQUE LOSSADA', entidad_federal='ZU' WHERE cedula='32895009';</v>
      </c>
    </row>
    <row r="367" customFormat="false" ht="14.9" hidden="false" customHeight="false" outlineLevel="0" collapsed="false">
      <c r="A367" s="1" t="s">
        <v>15</v>
      </c>
      <c r="B367" s="1" t="s">
        <v>356</v>
      </c>
      <c r="C367" s="1" t="s">
        <v>53</v>
      </c>
      <c r="D367" s="1" t="s">
        <v>391</v>
      </c>
      <c r="E367" s="2" t="n">
        <v>45924</v>
      </c>
      <c r="F367" s="2" t="n">
        <f aca="false">IFERROR(VLOOKUP(TRIM($D367), Hoja4_2!$A$2:$L$10000, 4, 0), "Revisar")</f>
        <v>40104</v>
      </c>
      <c r="G367" s="7" t="str">
        <f aca="false">IFERROR(VLOOKUP(TRIM($D367), Hoja4_2!$A$2:$L$10000, 5, 0), "Revisar")</f>
        <v>MASCULINO</v>
      </c>
      <c r="H367" s="7" t="str">
        <f aca="false">IFERROR(VLOOKUP(TRIM($D367), Hoja4_2!$A$2:$L$10000, 7, 0), "Revisar")</f>
        <v>MARACAIBO</v>
      </c>
      <c r="I367" s="7" t="str">
        <f aca="false">IFERROR(VLOOKUP(TRIM($D367), Hoja4_2!$A$2:$L$10000, 9, 0), "Revisar")</f>
        <v>ZU</v>
      </c>
      <c r="J367" s="7" t="str">
        <f aca="false">IFERROR(VLOOKUP(TRIM($D367), Hoja4_2!$A$2:$L$10000, 12, 0), "Revisar")</f>
        <v>23466448</v>
      </c>
      <c r="K367" s="8" t="str">
        <f aca="false">TEXT(TRIM(D367),"0")</f>
        <v>33607513</v>
      </c>
      <c r="L367" s="1" t="str">
        <f aca="false">IF(F367="Revisar","NULL",CONCATENATE("'",TEXT(F367,"yyyy-mm-dd"),"'"))</f>
        <v>'2009-10-18'</v>
      </c>
      <c r="M367" s="9" t="str">
        <f aca="false">IF(G367="Revisar","NULL",CONCATENATE("'",MID(G367,1,1),"'"))</f>
        <v>'M'</v>
      </c>
      <c r="N367" s="9" t="str">
        <f aca="false">IF(H367="Revisar","NULL",CONCATENATE("'",H367,"'"))</f>
        <v>'MARACAIBO'</v>
      </c>
      <c r="O367" s="9" t="str">
        <f aca="false">IF(I367="Revisar","NULL",CONCATENATE("'",I367,"'"))</f>
        <v>'ZU'</v>
      </c>
      <c r="P367" s="1" t="str">
        <f aca="false">"UPDATE estudiantes SET fecha_nacimiento="&amp;L367&amp;", sexo="&amp;M367&amp;", lugar_nacimiento="&amp;N367&amp;", entidad_federal="&amp;O367&amp;" WHERE cedula='"&amp;K367&amp;"';"</f>
        <v>UPDATE estudiantes SET fecha_nacimiento='2009-10-18', sexo='M', lugar_nacimiento='MARACAIBO', entidad_federal='ZU' WHERE cedula='33607513';</v>
      </c>
    </row>
    <row r="368" customFormat="false" ht="14.9" hidden="false" customHeight="false" outlineLevel="0" collapsed="false">
      <c r="A368" s="1" t="s">
        <v>15</v>
      </c>
      <c r="B368" s="1" t="s">
        <v>356</v>
      </c>
      <c r="C368" s="1" t="s">
        <v>392</v>
      </c>
      <c r="D368" s="1" t="s">
        <v>393</v>
      </c>
      <c r="E368" s="2" t="n">
        <v>45930</v>
      </c>
      <c r="F368" s="2" t="n">
        <f aca="false">IFERROR(VLOOKUP(TRIM($D368), Hoja4_2!$A$2:$L$10000, 4, 0), "Revisar")</f>
        <v>39730</v>
      </c>
      <c r="G368" s="7" t="str">
        <f aca="false">IFERROR(VLOOKUP(TRIM($D368), Hoja4_2!$A$2:$L$10000, 5, 0), "Revisar")</f>
        <v>MASCULINO</v>
      </c>
      <c r="H368" s="7" t="str">
        <f aca="false">IFERROR(VLOOKUP(TRIM($D368), Hoja4_2!$A$2:$L$10000, 7, 0), "Revisar")</f>
        <v>MARACAIBO</v>
      </c>
      <c r="I368" s="7" t="str">
        <f aca="false">IFERROR(VLOOKUP(TRIM($D368), Hoja4_2!$A$2:$L$10000, 9, 0), "Revisar")</f>
        <v>ZU</v>
      </c>
      <c r="J368" s="7" t="str">
        <f aca="false">IFERROR(VLOOKUP(TRIM($D368), Hoja4_2!$A$2:$L$10000, 12, 0), "Revisar")</f>
        <v>19838582</v>
      </c>
      <c r="K368" s="8" t="str">
        <f aca="false">TEXT(TRIM(D368),"0")</f>
        <v>33811150</v>
      </c>
      <c r="L368" s="1" t="str">
        <f aca="false">IF(F368="Revisar","NULL",CONCATENATE("'",TEXT(F368,"yyyy-mm-dd"),"'"))</f>
        <v>'2008-10-09'</v>
      </c>
      <c r="M368" s="9" t="str">
        <f aca="false">IF(G368="Revisar","NULL",CONCATENATE("'",MID(G368,1,1),"'"))</f>
        <v>'M'</v>
      </c>
      <c r="N368" s="9" t="str">
        <f aca="false">IF(H368="Revisar","NULL",CONCATENATE("'",H368,"'"))</f>
        <v>'MARACAIBO'</v>
      </c>
      <c r="O368" s="9" t="str">
        <f aca="false">IF(I368="Revisar","NULL",CONCATENATE("'",I368,"'"))</f>
        <v>'ZU'</v>
      </c>
      <c r="P368" s="1" t="str">
        <f aca="false">"UPDATE estudiantes SET fecha_nacimiento="&amp;L368&amp;", sexo="&amp;M368&amp;", lugar_nacimiento="&amp;N368&amp;", entidad_federal="&amp;O368&amp;" WHERE cedula='"&amp;K368&amp;"';"</f>
        <v>UPDATE estudiantes SET fecha_nacimiento='2008-10-09', sexo='M', lugar_nacimiento='MARACAIBO', entidad_federal='ZU' WHERE cedula='33811150';</v>
      </c>
    </row>
    <row r="369" customFormat="false" ht="14.9" hidden="false" customHeight="false" outlineLevel="0" collapsed="false">
      <c r="A369" s="1" t="s">
        <v>15</v>
      </c>
      <c r="B369" s="1" t="s">
        <v>356</v>
      </c>
      <c r="C369" s="1" t="s">
        <v>53</v>
      </c>
      <c r="D369" s="1" t="s">
        <v>394</v>
      </c>
      <c r="E369" s="2" t="n">
        <v>45924</v>
      </c>
      <c r="F369" s="2" t="n">
        <f aca="false">IFERROR(VLOOKUP(TRIM($D369), Hoja4_2!$A$2:$L$10000, 4, 0), "Revisar")</f>
        <v>40886</v>
      </c>
      <c r="G369" s="7" t="str">
        <f aca="false">IFERROR(VLOOKUP(TRIM($D369), Hoja4_2!$A$2:$L$10000, 5, 0), "Revisar")</f>
        <v>MASCULINO</v>
      </c>
      <c r="H369" s="7" t="str">
        <f aca="false">IFERROR(VLOOKUP(TRIM($D369), Hoja4_2!$A$2:$L$10000, 7, 0), "Revisar")</f>
        <v>MARACAIBO</v>
      </c>
      <c r="I369" s="7" t="str">
        <f aca="false">IFERROR(VLOOKUP(TRIM($D369), Hoja4_2!$A$2:$L$10000, 9, 0), "Revisar")</f>
        <v>ZU</v>
      </c>
      <c r="J369" s="7" t="str">
        <f aca="false">IFERROR(VLOOKUP(TRIM($D369), Hoja4_2!$A$2:$L$10000, 12, 0), "Revisar")</f>
        <v>99999999</v>
      </c>
      <c r="K369" s="8" t="str">
        <f aca="false">TEXT(TRIM(D369),"0")</f>
        <v>34153350</v>
      </c>
      <c r="L369" s="1" t="str">
        <f aca="false">IF(F369="Revisar","NULL",CONCATENATE("'",TEXT(F369,"yyyy-mm-dd"),"'"))</f>
        <v>'2011-12-09'</v>
      </c>
      <c r="M369" s="9" t="str">
        <f aca="false">IF(G369="Revisar","NULL",CONCATENATE("'",MID(G369,1,1),"'"))</f>
        <v>'M'</v>
      </c>
      <c r="N369" s="9" t="str">
        <f aca="false">IF(H369="Revisar","NULL",CONCATENATE("'",H369,"'"))</f>
        <v>'MARACAIBO'</v>
      </c>
      <c r="O369" s="9" t="str">
        <f aca="false">IF(I369="Revisar","NULL",CONCATENATE("'",I369,"'"))</f>
        <v>'ZU'</v>
      </c>
      <c r="P369" s="1" t="str">
        <f aca="false">"UPDATE estudiantes SET fecha_nacimiento="&amp;L369&amp;", sexo="&amp;M369&amp;", lugar_nacimiento="&amp;N369&amp;", entidad_federal="&amp;O369&amp;" WHERE cedula='"&amp;K369&amp;"';"</f>
        <v>UPDATE estudiantes SET fecha_nacimiento='2011-12-09', sexo='M', lugar_nacimiento='MARACAIBO', entidad_federal='ZU' WHERE cedula='34153350';</v>
      </c>
    </row>
    <row r="370" customFormat="false" ht="14.9" hidden="false" customHeight="false" outlineLevel="0" collapsed="false">
      <c r="A370" s="1" t="s">
        <v>15</v>
      </c>
      <c r="B370" s="1" t="s">
        <v>356</v>
      </c>
      <c r="C370" s="1" t="s">
        <v>53</v>
      </c>
      <c r="D370" s="1" t="s">
        <v>395</v>
      </c>
      <c r="E370" s="2" t="n">
        <v>45924</v>
      </c>
      <c r="F370" s="2" t="n">
        <f aca="false">IFERROR(VLOOKUP(TRIM($D370), Hoja4_2!$A$2:$L$10000, 4, 0), "Revisar")</f>
        <v>40936</v>
      </c>
      <c r="G370" s="7" t="str">
        <f aca="false">IFERROR(VLOOKUP(TRIM($D370), Hoja4_2!$A$2:$L$10000, 5, 0), "Revisar")</f>
        <v>FEMENINO</v>
      </c>
      <c r="H370" s="7" t="str">
        <f aca="false">IFERROR(VLOOKUP(TRIM($D370), Hoja4_2!$A$2:$L$10000, 7, 0), "Revisar")</f>
        <v>SAN FRANCISCO</v>
      </c>
      <c r="I370" s="7" t="str">
        <f aca="false">IFERROR(VLOOKUP(TRIM($D370), Hoja4_2!$A$2:$L$10000, 9, 0), "Revisar")</f>
        <v>ZU</v>
      </c>
      <c r="J370" s="7" t="str">
        <f aca="false">IFERROR(VLOOKUP(TRIM($D370), Hoja4_2!$A$2:$L$10000, 12, 0), "Revisar")</f>
        <v>99999999</v>
      </c>
      <c r="K370" s="8" t="str">
        <f aca="false">TEXT(TRIM(D370),"0")</f>
        <v>34243386</v>
      </c>
      <c r="L370" s="1" t="str">
        <f aca="false">IF(F370="Revisar","NULL",CONCATENATE("'",TEXT(F370,"yyyy-mm-dd"),"'"))</f>
        <v>'2012-01-28'</v>
      </c>
      <c r="M370" s="9" t="str">
        <f aca="false">IF(G370="Revisar","NULL",CONCATENATE("'",MID(G370,1,1),"'"))</f>
        <v>'F'</v>
      </c>
      <c r="N370" s="9" t="str">
        <f aca="false">IF(H370="Revisar","NULL",CONCATENATE("'",H370,"'"))</f>
        <v>'SAN FRANCISCO'</v>
      </c>
      <c r="O370" s="9" t="str">
        <f aca="false">IF(I370="Revisar","NULL",CONCATENATE("'",I370,"'"))</f>
        <v>'ZU'</v>
      </c>
      <c r="P370" s="1" t="str">
        <f aca="false">"UPDATE estudiantes SET fecha_nacimiento="&amp;L370&amp;", sexo="&amp;M370&amp;", lugar_nacimiento="&amp;N370&amp;", entidad_federal="&amp;O370&amp;" WHERE cedula='"&amp;K370&amp;"';"</f>
        <v>UPDATE estudiantes SET fecha_nacimiento='2012-01-28', sexo='F', lugar_nacimiento='SAN FRANCISCO', entidad_federal='ZU' WHERE cedula='34243386';</v>
      </c>
    </row>
    <row r="371" customFormat="false" ht="14.9" hidden="false" customHeight="false" outlineLevel="0" collapsed="false">
      <c r="A371" s="1" t="s">
        <v>15</v>
      </c>
      <c r="B371" s="1" t="s">
        <v>356</v>
      </c>
      <c r="C371" s="1" t="s">
        <v>53</v>
      </c>
      <c r="D371" s="1" t="s">
        <v>396</v>
      </c>
      <c r="E371" s="2" t="n">
        <v>45924</v>
      </c>
      <c r="F371" s="2" t="n">
        <f aca="false">IFERROR(VLOOKUP(TRIM($D371), Hoja4_2!$A$2:$L$10000, 4, 0), "Revisar")</f>
        <v>40660</v>
      </c>
      <c r="G371" s="7" t="str">
        <f aca="false">IFERROR(VLOOKUP(TRIM($D371), Hoja4_2!$A$2:$L$10000, 5, 0), "Revisar")</f>
        <v>FEMENINO</v>
      </c>
      <c r="H371" s="7" t="str">
        <f aca="false">IFERROR(VLOOKUP(TRIM($D371), Hoja4_2!$A$2:$L$10000, 7, 0), "Revisar")</f>
        <v>MARACAIBO</v>
      </c>
      <c r="I371" s="7" t="str">
        <f aca="false">IFERROR(VLOOKUP(TRIM($D371), Hoja4_2!$A$2:$L$10000, 9, 0), "Revisar")</f>
        <v>ZU</v>
      </c>
      <c r="J371" s="7" t="str">
        <f aca="false">IFERROR(VLOOKUP(TRIM($D371), Hoja4_2!$A$2:$L$10000, 12, 0), "Revisar")</f>
        <v>99999999</v>
      </c>
      <c r="K371" s="8" t="str">
        <f aca="false">TEXT(TRIM(D371),"0")</f>
        <v>34298792</v>
      </c>
      <c r="L371" s="1" t="str">
        <f aca="false">IF(F371="Revisar","NULL",CONCATENATE("'",TEXT(F371,"yyyy-mm-dd"),"'"))</f>
        <v>'2011-04-27'</v>
      </c>
      <c r="M371" s="9" t="str">
        <f aca="false">IF(G371="Revisar","NULL",CONCATENATE("'",MID(G371,1,1),"'"))</f>
        <v>'F'</v>
      </c>
      <c r="N371" s="9" t="str">
        <f aca="false">IF(H371="Revisar","NULL",CONCATENATE("'",H371,"'"))</f>
        <v>'MARACAIBO'</v>
      </c>
      <c r="O371" s="9" t="str">
        <f aca="false">IF(I371="Revisar","NULL",CONCATENATE("'",I371,"'"))</f>
        <v>'ZU'</v>
      </c>
      <c r="P371" s="1" t="str">
        <f aca="false">"UPDATE estudiantes SET fecha_nacimiento="&amp;L371&amp;", sexo="&amp;M371&amp;", lugar_nacimiento="&amp;N371&amp;", entidad_federal="&amp;O371&amp;" WHERE cedula='"&amp;K371&amp;"';"</f>
        <v>UPDATE estudiantes SET fecha_nacimiento='2011-04-27', sexo='F', lugar_nacimiento='MARACAIBO', entidad_federal='ZU' WHERE cedula='34298792';</v>
      </c>
    </row>
    <row r="372" customFormat="false" ht="14.9" hidden="false" customHeight="false" outlineLevel="0" collapsed="false">
      <c r="A372" s="1" t="s">
        <v>15</v>
      </c>
      <c r="B372" s="1" t="s">
        <v>356</v>
      </c>
      <c r="C372" s="1" t="s">
        <v>53</v>
      </c>
      <c r="D372" s="1" t="s">
        <v>397</v>
      </c>
      <c r="E372" s="2" t="n">
        <v>45924</v>
      </c>
      <c r="F372" s="2" t="n">
        <f aca="false">IFERROR(VLOOKUP(TRIM($D372), Hoja4_2!$A$2:$L$10000, 4, 0), "Revisar")</f>
        <v>41041</v>
      </c>
      <c r="G372" s="7" t="str">
        <f aca="false">IFERROR(VLOOKUP(TRIM($D372), Hoja4_2!$A$2:$L$10000, 5, 0), "Revisar")</f>
        <v>MASCULINO</v>
      </c>
      <c r="H372" s="7" t="str">
        <f aca="false">IFERROR(VLOOKUP(TRIM($D372), Hoja4_2!$A$2:$L$10000, 7, 0), "Revisar")</f>
        <v>MARACAIBO</v>
      </c>
      <c r="I372" s="7" t="str">
        <f aca="false">IFERROR(VLOOKUP(TRIM($D372), Hoja4_2!$A$2:$L$10000, 9, 0), "Revisar")</f>
        <v>ZU</v>
      </c>
      <c r="J372" s="7" t="str">
        <f aca="false">IFERROR(VLOOKUP(TRIM($D372), Hoja4_2!$A$2:$L$10000, 12, 0), "Revisar")</f>
        <v>99999999</v>
      </c>
      <c r="K372" s="8" t="str">
        <f aca="false">TEXT(TRIM(D372),"0")</f>
        <v>34334342</v>
      </c>
      <c r="L372" s="1" t="str">
        <f aca="false">IF(F372="Revisar","NULL",CONCATENATE("'",TEXT(F372,"yyyy-mm-dd"),"'"))</f>
        <v>'2012-05-12'</v>
      </c>
      <c r="M372" s="9" t="str">
        <f aca="false">IF(G372="Revisar","NULL",CONCATENATE("'",MID(G372,1,1),"'"))</f>
        <v>'M'</v>
      </c>
      <c r="N372" s="9" t="str">
        <f aca="false">IF(H372="Revisar","NULL",CONCATENATE("'",H372,"'"))</f>
        <v>'MARACAIBO'</v>
      </c>
      <c r="O372" s="9" t="str">
        <f aca="false">IF(I372="Revisar","NULL",CONCATENATE("'",I372,"'"))</f>
        <v>'ZU'</v>
      </c>
      <c r="P372" s="1" t="str">
        <f aca="false">"UPDATE estudiantes SET fecha_nacimiento="&amp;L372&amp;", sexo="&amp;M372&amp;", lugar_nacimiento="&amp;N372&amp;", entidad_federal="&amp;O372&amp;" WHERE cedula='"&amp;K372&amp;"';"</f>
        <v>UPDATE estudiantes SET fecha_nacimiento='2012-05-12', sexo='M', lugar_nacimiento='MARACAIBO', entidad_federal='ZU' WHERE cedula='34334342';</v>
      </c>
    </row>
    <row r="373" customFormat="false" ht="14.9" hidden="false" customHeight="false" outlineLevel="0" collapsed="false">
      <c r="A373" s="1" t="s">
        <v>15</v>
      </c>
      <c r="B373" s="1" t="s">
        <v>356</v>
      </c>
      <c r="C373" s="1" t="s">
        <v>53</v>
      </c>
      <c r="D373" s="1" t="s">
        <v>398</v>
      </c>
      <c r="E373" s="2" t="n">
        <v>45924</v>
      </c>
      <c r="F373" s="2" t="n">
        <f aca="false">IFERROR(VLOOKUP(TRIM($D373), Hoja4_2!$A$2:$L$10000, 4, 0), "Revisar")</f>
        <v>40878</v>
      </c>
      <c r="G373" s="7" t="str">
        <f aca="false">IFERROR(VLOOKUP(TRIM($D373), Hoja4_2!$A$2:$L$10000, 5, 0), "Revisar")</f>
        <v>MASCULINO</v>
      </c>
      <c r="H373" s="7" t="str">
        <f aca="false">IFERROR(VLOOKUP(TRIM($D373), Hoja4_2!$A$2:$L$10000, 7, 0), "Revisar")</f>
        <v>MARACAIBO</v>
      </c>
      <c r="I373" s="7" t="str">
        <f aca="false">IFERROR(VLOOKUP(TRIM($D373), Hoja4_2!$A$2:$L$10000, 9, 0), "Revisar")</f>
        <v>ZU</v>
      </c>
      <c r="J373" s="7" t="str">
        <f aca="false">IFERROR(VLOOKUP(TRIM($D373), Hoja4_2!$A$2:$L$10000, 12, 0), "Revisar")</f>
        <v>99999999</v>
      </c>
      <c r="K373" s="8" t="str">
        <f aca="false">TEXT(TRIM(D373),"0")</f>
        <v>34407202</v>
      </c>
      <c r="L373" s="1" t="str">
        <f aca="false">IF(F373="Revisar","NULL",CONCATENATE("'",TEXT(F373,"yyyy-mm-dd"),"'"))</f>
        <v>'2011-12-01'</v>
      </c>
      <c r="M373" s="9" t="str">
        <f aca="false">IF(G373="Revisar","NULL",CONCATENATE("'",MID(G373,1,1),"'"))</f>
        <v>'M'</v>
      </c>
      <c r="N373" s="9" t="str">
        <f aca="false">IF(H373="Revisar","NULL",CONCATENATE("'",H373,"'"))</f>
        <v>'MARACAIBO'</v>
      </c>
      <c r="O373" s="9" t="str">
        <f aca="false">IF(I373="Revisar","NULL",CONCATENATE("'",I373,"'"))</f>
        <v>'ZU'</v>
      </c>
      <c r="P373" s="1" t="str">
        <f aca="false">"UPDATE estudiantes SET fecha_nacimiento="&amp;L373&amp;", sexo="&amp;M373&amp;", lugar_nacimiento="&amp;N373&amp;", entidad_federal="&amp;O373&amp;" WHERE cedula='"&amp;K373&amp;"';"</f>
        <v>UPDATE estudiantes SET fecha_nacimiento='2011-12-01', sexo='M', lugar_nacimiento='MARACAIBO', entidad_federal='ZU' WHERE cedula='34407202';</v>
      </c>
    </row>
    <row r="374" customFormat="false" ht="14.9" hidden="false" customHeight="false" outlineLevel="0" collapsed="false">
      <c r="A374" s="1" t="s">
        <v>15</v>
      </c>
      <c r="B374" s="1" t="s">
        <v>356</v>
      </c>
      <c r="C374" s="1" t="s">
        <v>53</v>
      </c>
      <c r="D374" s="1" t="s">
        <v>399</v>
      </c>
      <c r="E374" s="2" t="n">
        <v>45924</v>
      </c>
      <c r="F374" s="2" t="n">
        <f aca="false">IFERROR(VLOOKUP(TRIM($D374), Hoja4_2!$A$2:$L$10000, 4, 0), "Revisar")</f>
        <v>40449</v>
      </c>
      <c r="G374" s="7" t="str">
        <f aca="false">IFERROR(VLOOKUP(TRIM($D374), Hoja4_2!$A$2:$L$10000, 5, 0), "Revisar")</f>
        <v>MASCULINO</v>
      </c>
      <c r="H374" s="7" t="str">
        <f aca="false">IFERROR(VLOOKUP(TRIM($D374), Hoja4_2!$A$2:$L$10000, 7, 0), "Revisar")</f>
        <v>MARACAIBO</v>
      </c>
      <c r="I374" s="7" t="str">
        <f aca="false">IFERROR(VLOOKUP(TRIM($D374), Hoja4_2!$A$2:$L$10000, 9, 0), "Revisar")</f>
        <v>ZU</v>
      </c>
      <c r="J374" s="7" t="str">
        <f aca="false">IFERROR(VLOOKUP(TRIM($D374), Hoja4_2!$A$2:$L$10000, 12, 0), "Revisar")</f>
        <v>99999999</v>
      </c>
      <c r="K374" s="8" t="str">
        <f aca="false">TEXT(TRIM(D374),"0")</f>
        <v>34423580</v>
      </c>
      <c r="L374" s="1" t="str">
        <f aca="false">IF(F374="Revisar","NULL",CONCATENATE("'",TEXT(F374,"yyyy-mm-dd"),"'"))</f>
        <v>'2010-09-28'</v>
      </c>
      <c r="M374" s="9" t="str">
        <f aca="false">IF(G374="Revisar","NULL",CONCATENATE("'",MID(G374,1,1),"'"))</f>
        <v>'M'</v>
      </c>
      <c r="N374" s="9" t="str">
        <f aca="false">IF(H374="Revisar","NULL",CONCATENATE("'",H374,"'"))</f>
        <v>'MARACAIBO'</v>
      </c>
      <c r="O374" s="9" t="str">
        <f aca="false">IF(I374="Revisar","NULL",CONCATENATE("'",I374,"'"))</f>
        <v>'ZU'</v>
      </c>
      <c r="P374" s="1" t="str">
        <f aca="false">"UPDATE estudiantes SET fecha_nacimiento="&amp;L374&amp;", sexo="&amp;M374&amp;", lugar_nacimiento="&amp;N374&amp;", entidad_federal="&amp;O374&amp;" WHERE cedula='"&amp;K374&amp;"';"</f>
        <v>UPDATE estudiantes SET fecha_nacimiento='2010-09-28', sexo='M', lugar_nacimiento='MARACAIBO', entidad_federal='ZU' WHERE cedula='34423580';</v>
      </c>
    </row>
    <row r="375" customFormat="false" ht="14.9" hidden="false" customHeight="false" outlineLevel="0" collapsed="false">
      <c r="A375" s="1" t="s">
        <v>15</v>
      </c>
      <c r="B375" s="1" t="s">
        <v>356</v>
      </c>
      <c r="C375" s="1" t="s">
        <v>53</v>
      </c>
      <c r="D375" s="1" t="s">
        <v>400</v>
      </c>
      <c r="E375" s="2" t="n">
        <v>45924</v>
      </c>
      <c r="F375" s="2" t="n">
        <f aca="false">IFERROR(VLOOKUP(TRIM($D375), Hoja4_2!$A$2:$L$10000, 4, 0), "Revisar")</f>
        <v>40562</v>
      </c>
      <c r="G375" s="7" t="str">
        <f aca="false">IFERROR(VLOOKUP(TRIM($D375), Hoja4_2!$A$2:$L$10000, 5, 0), "Revisar")</f>
        <v>FEMENINO</v>
      </c>
      <c r="H375" s="7" t="str">
        <f aca="false">IFERROR(VLOOKUP(TRIM($D375), Hoja4_2!$A$2:$L$10000, 7, 0), "Revisar")</f>
        <v>MARACAIBO</v>
      </c>
      <c r="I375" s="7" t="str">
        <f aca="false">IFERROR(VLOOKUP(TRIM($D375), Hoja4_2!$A$2:$L$10000, 9, 0), "Revisar")</f>
        <v>ZU</v>
      </c>
      <c r="J375" s="7" t="str">
        <f aca="false">IFERROR(VLOOKUP(TRIM($D375), Hoja4_2!$A$2:$L$10000, 12, 0), "Revisar")</f>
        <v>99999999</v>
      </c>
      <c r="K375" s="8" t="str">
        <f aca="false">TEXT(TRIM(D375),"0")</f>
        <v>34474670</v>
      </c>
      <c r="L375" s="1" t="str">
        <f aca="false">IF(F375="Revisar","NULL",CONCATENATE("'",TEXT(F375,"yyyy-mm-dd"),"'"))</f>
        <v>'2011-01-19'</v>
      </c>
      <c r="M375" s="9" t="str">
        <f aca="false">IF(G375="Revisar","NULL",CONCATENATE("'",MID(G375,1,1),"'"))</f>
        <v>'F'</v>
      </c>
      <c r="N375" s="9" t="str">
        <f aca="false">IF(H375="Revisar","NULL",CONCATENATE("'",H375,"'"))</f>
        <v>'MARACAIBO'</v>
      </c>
      <c r="O375" s="9" t="str">
        <f aca="false">IF(I375="Revisar","NULL",CONCATENATE("'",I375,"'"))</f>
        <v>'ZU'</v>
      </c>
      <c r="P375" s="1" t="str">
        <f aca="false">"UPDATE estudiantes SET fecha_nacimiento="&amp;L375&amp;", sexo="&amp;M375&amp;", lugar_nacimiento="&amp;N375&amp;", entidad_federal="&amp;O375&amp;" WHERE cedula='"&amp;K375&amp;"';"</f>
        <v>UPDATE estudiantes SET fecha_nacimiento='2011-01-19', sexo='F', lugar_nacimiento='MARACAIBO', entidad_federal='ZU' WHERE cedula='34474670';</v>
      </c>
    </row>
    <row r="376" customFormat="false" ht="14.9" hidden="false" customHeight="false" outlineLevel="0" collapsed="false">
      <c r="A376" s="1" t="s">
        <v>15</v>
      </c>
      <c r="B376" s="1" t="s">
        <v>356</v>
      </c>
      <c r="C376" s="1" t="s">
        <v>53</v>
      </c>
      <c r="D376" s="1" t="s">
        <v>401</v>
      </c>
      <c r="E376" s="2" t="n">
        <v>45924</v>
      </c>
      <c r="F376" s="2" t="n">
        <f aca="false">IFERROR(VLOOKUP(TRIM($D376), Hoja4_2!$A$2:$L$10000, 4, 0), "Revisar")</f>
        <v>41264</v>
      </c>
      <c r="G376" s="7" t="str">
        <f aca="false">IFERROR(VLOOKUP(TRIM($D376), Hoja4_2!$A$2:$L$10000, 5, 0), "Revisar")</f>
        <v>MASCULINO</v>
      </c>
      <c r="H376" s="7" t="str">
        <f aca="false">IFERROR(VLOOKUP(TRIM($D376), Hoja4_2!$A$2:$L$10000, 7, 0), "Revisar")</f>
        <v>MARACAIBO</v>
      </c>
      <c r="I376" s="7" t="str">
        <f aca="false">IFERROR(VLOOKUP(TRIM($D376), Hoja4_2!$A$2:$L$10000, 9, 0), "Revisar")</f>
        <v>ZU</v>
      </c>
      <c r="J376" s="7" t="str">
        <f aca="false">IFERROR(VLOOKUP(TRIM($D376), Hoja4_2!$A$2:$L$10000, 12, 0), "Revisar")</f>
        <v>99999999</v>
      </c>
      <c r="K376" s="8" t="str">
        <f aca="false">TEXT(TRIM(D376),"0")</f>
        <v>34595461</v>
      </c>
      <c r="L376" s="1" t="str">
        <f aca="false">IF(F376="Revisar","NULL",CONCATENATE("'",TEXT(F376,"yyyy-mm-dd"),"'"))</f>
        <v>'2012-12-21'</v>
      </c>
      <c r="M376" s="9" t="str">
        <f aca="false">IF(G376="Revisar","NULL",CONCATENATE("'",MID(G376,1,1),"'"))</f>
        <v>'M'</v>
      </c>
      <c r="N376" s="9" t="str">
        <f aca="false">IF(H376="Revisar","NULL",CONCATENATE("'",H376,"'"))</f>
        <v>'MARACAIBO'</v>
      </c>
      <c r="O376" s="9" t="str">
        <f aca="false">IF(I376="Revisar","NULL",CONCATENATE("'",I376,"'"))</f>
        <v>'ZU'</v>
      </c>
      <c r="P376" s="1" t="str">
        <f aca="false">"UPDATE estudiantes SET fecha_nacimiento="&amp;L376&amp;", sexo="&amp;M376&amp;", lugar_nacimiento="&amp;N376&amp;", entidad_federal="&amp;O376&amp;" WHERE cedula='"&amp;K376&amp;"';"</f>
        <v>UPDATE estudiantes SET fecha_nacimiento='2012-12-21', sexo='M', lugar_nacimiento='MARACAIBO', entidad_federal='ZU' WHERE cedula='34595461';</v>
      </c>
    </row>
    <row r="377" customFormat="false" ht="14.9" hidden="false" customHeight="false" outlineLevel="0" collapsed="false">
      <c r="A377" s="1" t="s">
        <v>15</v>
      </c>
      <c r="B377" s="1" t="s">
        <v>356</v>
      </c>
      <c r="C377" s="1" t="s">
        <v>53</v>
      </c>
      <c r="D377" s="1" t="s">
        <v>402</v>
      </c>
      <c r="E377" s="2" t="n">
        <v>45924</v>
      </c>
      <c r="F377" s="2" t="n">
        <f aca="false">IFERROR(VLOOKUP(TRIM($D377), Hoja4_2!$A$2:$L$10000, 4, 0), "Revisar")</f>
        <v>40835</v>
      </c>
      <c r="G377" s="7" t="str">
        <f aca="false">IFERROR(VLOOKUP(TRIM($D377), Hoja4_2!$A$2:$L$10000, 5, 0), "Revisar")</f>
        <v>FEMENINO</v>
      </c>
      <c r="H377" s="7" t="str">
        <f aca="false">IFERROR(VLOOKUP(TRIM($D377), Hoja4_2!$A$2:$L$10000, 7, 0), "Revisar")</f>
        <v>MARACAIBO</v>
      </c>
      <c r="I377" s="7" t="str">
        <f aca="false">IFERROR(VLOOKUP(TRIM($D377), Hoja4_2!$A$2:$L$10000, 9, 0), "Revisar")</f>
        <v>ZU</v>
      </c>
      <c r="J377" s="7" t="str">
        <f aca="false">IFERROR(VLOOKUP(TRIM($D377), Hoja4_2!$A$2:$L$10000, 12, 0), "Revisar")</f>
        <v>99999999</v>
      </c>
      <c r="K377" s="8" t="str">
        <f aca="false">TEXT(TRIM(D377),"0")</f>
        <v>34733440</v>
      </c>
      <c r="L377" s="1" t="str">
        <f aca="false">IF(F377="Revisar","NULL",CONCATENATE("'",TEXT(F377,"yyyy-mm-dd"),"'"))</f>
        <v>'2011-10-19'</v>
      </c>
      <c r="M377" s="9" t="str">
        <f aca="false">IF(G377="Revisar","NULL",CONCATENATE("'",MID(G377,1,1),"'"))</f>
        <v>'F'</v>
      </c>
      <c r="N377" s="9" t="str">
        <f aca="false">IF(H377="Revisar","NULL",CONCATENATE("'",H377,"'"))</f>
        <v>'MARACAIBO'</v>
      </c>
      <c r="O377" s="9" t="str">
        <f aca="false">IF(I377="Revisar","NULL",CONCATENATE("'",I377,"'"))</f>
        <v>'ZU'</v>
      </c>
      <c r="P377" s="1" t="str">
        <f aca="false">"UPDATE estudiantes SET fecha_nacimiento="&amp;L377&amp;", sexo="&amp;M377&amp;", lugar_nacimiento="&amp;N377&amp;", entidad_federal="&amp;O377&amp;" WHERE cedula='"&amp;K377&amp;"';"</f>
        <v>UPDATE estudiantes SET fecha_nacimiento='2011-10-19', sexo='F', lugar_nacimiento='MARACAIBO', entidad_federal='ZU' WHERE cedula='34733440';</v>
      </c>
    </row>
    <row r="378" customFormat="false" ht="14.9" hidden="false" customHeight="false" outlineLevel="0" collapsed="false">
      <c r="A378" s="1" t="s">
        <v>15</v>
      </c>
      <c r="B378" s="1" t="s">
        <v>356</v>
      </c>
      <c r="C378" s="1" t="s">
        <v>53</v>
      </c>
      <c r="D378" s="1" t="s">
        <v>403</v>
      </c>
      <c r="E378" s="2" t="n">
        <v>45924</v>
      </c>
      <c r="F378" s="2" t="n">
        <f aca="false">IFERROR(VLOOKUP(TRIM($D378), Hoja4_2!$A$2:$L$10000, 4, 0), "Revisar")</f>
        <v>41286</v>
      </c>
      <c r="G378" s="7" t="str">
        <f aca="false">IFERROR(VLOOKUP(TRIM($D378), Hoja4_2!$A$2:$L$10000, 5, 0), "Revisar")</f>
        <v>MASCULINO</v>
      </c>
      <c r="H378" s="7" t="str">
        <f aca="false">IFERROR(VLOOKUP(TRIM($D378), Hoja4_2!$A$2:$L$10000, 7, 0), "Revisar")</f>
        <v>MARACAIBO</v>
      </c>
      <c r="I378" s="7" t="str">
        <f aca="false">IFERROR(VLOOKUP(TRIM($D378), Hoja4_2!$A$2:$L$10000, 9, 0), "Revisar")</f>
        <v>ZU</v>
      </c>
      <c r="J378" s="7" t="str">
        <f aca="false">IFERROR(VLOOKUP(TRIM($D378), Hoja4_2!$A$2:$L$10000, 12, 0), "Revisar")</f>
        <v>99999999</v>
      </c>
      <c r="K378" s="8" t="str">
        <f aca="false">TEXT(TRIM(D378),"0")</f>
        <v>34765322</v>
      </c>
      <c r="L378" s="1" t="str">
        <f aca="false">IF(F378="Revisar","NULL",CONCATENATE("'",TEXT(F378,"yyyy-mm-dd"),"'"))</f>
        <v>'2013-01-12'</v>
      </c>
      <c r="M378" s="9" t="str">
        <f aca="false">IF(G378="Revisar","NULL",CONCATENATE("'",MID(G378,1,1),"'"))</f>
        <v>'M'</v>
      </c>
      <c r="N378" s="9" t="str">
        <f aca="false">IF(H378="Revisar","NULL",CONCATENATE("'",H378,"'"))</f>
        <v>'MARACAIBO'</v>
      </c>
      <c r="O378" s="9" t="str">
        <f aca="false">IF(I378="Revisar","NULL",CONCATENATE("'",I378,"'"))</f>
        <v>'ZU'</v>
      </c>
      <c r="P378" s="1" t="str">
        <f aca="false">"UPDATE estudiantes SET fecha_nacimiento="&amp;L378&amp;", sexo="&amp;M378&amp;", lugar_nacimiento="&amp;N378&amp;", entidad_federal="&amp;O378&amp;" WHERE cedula='"&amp;K378&amp;"';"</f>
        <v>UPDATE estudiantes SET fecha_nacimiento='2013-01-12', sexo='M', lugar_nacimiento='MARACAIBO', entidad_federal='ZU' WHERE cedula='34765322';</v>
      </c>
    </row>
    <row r="379" customFormat="false" ht="14.9" hidden="false" customHeight="false" outlineLevel="0" collapsed="false">
      <c r="A379" s="1" t="s">
        <v>15</v>
      </c>
      <c r="B379" s="1" t="s">
        <v>356</v>
      </c>
      <c r="C379" s="1" t="s">
        <v>53</v>
      </c>
      <c r="D379" s="1" t="s">
        <v>404</v>
      </c>
      <c r="E379" s="2" t="n">
        <v>45924</v>
      </c>
      <c r="F379" s="2" t="n">
        <f aca="false">IFERROR(VLOOKUP(TRIM($D379), Hoja4_2!$A$2:$L$10000, 4, 0), "Revisar")</f>
        <v>40549</v>
      </c>
      <c r="G379" s="7" t="str">
        <f aca="false">IFERROR(VLOOKUP(TRIM($D379), Hoja4_2!$A$2:$L$10000, 5, 0), "Revisar")</f>
        <v>FEMENINO</v>
      </c>
      <c r="H379" s="7" t="str">
        <f aca="false">IFERROR(VLOOKUP(TRIM($D379), Hoja4_2!$A$2:$L$10000, 7, 0), "Revisar")</f>
        <v>MARACAIBO</v>
      </c>
      <c r="I379" s="7" t="str">
        <f aca="false">IFERROR(VLOOKUP(TRIM($D379), Hoja4_2!$A$2:$L$10000, 9, 0), "Revisar")</f>
        <v>ZU</v>
      </c>
      <c r="J379" s="7" t="str">
        <f aca="false">IFERROR(VLOOKUP(TRIM($D379), Hoja4_2!$A$2:$L$10000, 12, 0), "Revisar")</f>
        <v>99999999</v>
      </c>
      <c r="K379" s="8" t="str">
        <f aca="false">TEXT(TRIM(D379),"0")</f>
        <v>34780757</v>
      </c>
      <c r="L379" s="1" t="str">
        <f aca="false">IF(F379="Revisar","NULL",CONCATENATE("'",TEXT(F379,"yyyy-mm-dd"),"'"))</f>
        <v>'2011-01-06'</v>
      </c>
      <c r="M379" s="9" t="str">
        <f aca="false">IF(G379="Revisar","NULL",CONCATENATE("'",MID(G379,1,1),"'"))</f>
        <v>'F'</v>
      </c>
      <c r="N379" s="9" t="str">
        <f aca="false">IF(H379="Revisar","NULL",CONCATENATE("'",H379,"'"))</f>
        <v>'MARACAIBO'</v>
      </c>
      <c r="O379" s="9" t="str">
        <f aca="false">IF(I379="Revisar","NULL",CONCATENATE("'",I379,"'"))</f>
        <v>'ZU'</v>
      </c>
      <c r="P379" s="1" t="str">
        <f aca="false">"UPDATE estudiantes SET fecha_nacimiento="&amp;L379&amp;", sexo="&amp;M379&amp;", lugar_nacimiento="&amp;N379&amp;", entidad_federal="&amp;O379&amp;" WHERE cedula='"&amp;K379&amp;"';"</f>
        <v>UPDATE estudiantes SET fecha_nacimiento='2011-01-06', sexo='F', lugar_nacimiento='MARACAIBO', entidad_federal='ZU' WHERE cedula='34780757';</v>
      </c>
    </row>
    <row r="380" customFormat="false" ht="14.9" hidden="false" customHeight="false" outlineLevel="0" collapsed="false">
      <c r="A380" s="1" t="s">
        <v>15</v>
      </c>
      <c r="B380" s="1" t="s">
        <v>356</v>
      </c>
      <c r="C380" s="1" t="s">
        <v>53</v>
      </c>
      <c r="D380" s="1" t="s">
        <v>405</v>
      </c>
      <c r="E380" s="2" t="n">
        <v>45924</v>
      </c>
      <c r="F380" s="2" t="n">
        <f aca="false">IFERROR(VLOOKUP(TRIM($D380), Hoja4_2!$A$2:$L$10000, 4, 0), "Revisar")</f>
        <v>40842</v>
      </c>
      <c r="G380" s="7" t="str">
        <f aca="false">IFERROR(VLOOKUP(TRIM($D380), Hoja4_2!$A$2:$L$10000, 5, 0), "Revisar")</f>
        <v>MASCULINO</v>
      </c>
      <c r="H380" s="7" t="str">
        <f aca="false">IFERROR(VLOOKUP(TRIM($D380), Hoja4_2!$A$2:$L$10000, 7, 0), "Revisar")</f>
        <v>MARACAIBO</v>
      </c>
      <c r="I380" s="7" t="str">
        <f aca="false">IFERROR(VLOOKUP(TRIM($D380), Hoja4_2!$A$2:$L$10000, 9, 0), "Revisar")</f>
        <v>ZU</v>
      </c>
      <c r="J380" s="7" t="str">
        <f aca="false">IFERROR(VLOOKUP(TRIM($D380), Hoja4_2!$A$2:$L$10000, 12, 0), "Revisar")</f>
        <v>99999999</v>
      </c>
      <c r="K380" s="8" t="str">
        <f aca="false">TEXT(TRIM(D380),"0")</f>
        <v>34905536</v>
      </c>
      <c r="L380" s="1" t="str">
        <f aca="false">IF(F380="Revisar","NULL",CONCATENATE("'",TEXT(F380,"yyyy-mm-dd"),"'"))</f>
        <v>'2011-10-26'</v>
      </c>
      <c r="M380" s="9" t="str">
        <f aca="false">IF(G380="Revisar","NULL",CONCATENATE("'",MID(G380,1,1),"'"))</f>
        <v>'M'</v>
      </c>
      <c r="N380" s="9" t="str">
        <f aca="false">IF(H380="Revisar","NULL",CONCATENATE("'",H380,"'"))</f>
        <v>'MARACAIBO'</v>
      </c>
      <c r="O380" s="9" t="str">
        <f aca="false">IF(I380="Revisar","NULL",CONCATENATE("'",I380,"'"))</f>
        <v>'ZU'</v>
      </c>
      <c r="P380" s="1" t="str">
        <f aca="false">"UPDATE estudiantes SET fecha_nacimiento="&amp;L380&amp;", sexo="&amp;M380&amp;", lugar_nacimiento="&amp;N380&amp;", entidad_federal="&amp;O380&amp;" WHERE cedula='"&amp;K380&amp;"';"</f>
        <v>UPDATE estudiantes SET fecha_nacimiento='2011-10-26', sexo='M', lugar_nacimiento='MARACAIBO', entidad_federal='ZU' WHERE cedula='34905536';</v>
      </c>
    </row>
    <row r="381" customFormat="false" ht="14.9" hidden="false" customHeight="false" outlineLevel="0" collapsed="false">
      <c r="A381" s="1" t="s">
        <v>15</v>
      </c>
      <c r="B381" s="1" t="s">
        <v>356</v>
      </c>
      <c r="C381" s="1" t="s">
        <v>53</v>
      </c>
      <c r="D381" s="1" t="s">
        <v>406</v>
      </c>
      <c r="E381" s="2" t="n">
        <v>45924</v>
      </c>
      <c r="F381" s="2" t="n">
        <f aca="false">IFERROR(VLOOKUP(TRIM($D381), Hoja4_2!$A$2:$L$10000, 4, 0), "Revisar")</f>
        <v>41205</v>
      </c>
      <c r="G381" s="7" t="str">
        <f aca="false">IFERROR(VLOOKUP(TRIM($D381), Hoja4_2!$A$2:$L$10000, 5, 0), "Revisar")</f>
        <v>FEMENINO</v>
      </c>
      <c r="H381" s="7" t="str">
        <f aca="false">IFERROR(VLOOKUP(TRIM($D381), Hoja4_2!$A$2:$L$10000, 7, 0), "Revisar")</f>
        <v>MARACAIBO</v>
      </c>
      <c r="I381" s="7" t="str">
        <f aca="false">IFERROR(VLOOKUP(TRIM($D381), Hoja4_2!$A$2:$L$10000, 9, 0), "Revisar")</f>
        <v>ZU</v>
      </c>
      <c r="J381" s="7" t="str">
        <f aca="false">IFERROR(VLOOKUP(TRIM($D381), Hoja4_2!$A$2:$L$10000, 12, 0), "Revisar")</f>
        <v>21229635</v>
      </c>
      <c r="K381" s="8" t="str">
        <f aca="false">TEXT(TRIM(D381),"0")</f>
        <v>34920924</v>
      </c>
      <c r="L381" s="1" t="str">
        <f aca="false">IF(F381="Revisar","NULL",CONCATENATE("'",TEXT(F381,"yyyy-mm-dd"),"'"))</f>
        <v>'2012-10-23'</v>
      </c>
      <c r="M381" s="9" t="str">
        <f aca="false">IF(G381="Revisar","NULL",CONCATENATE("'",MID(G381,1,1),"'"))</f>
        <v>'F'</v>
      </c>
      <c r="N381" s="9" t="str">
        <f aca="false">IF(H381="Revisar","NULL",CONCATENATE("'",H381,"'"))</f>
        <v>'MARACAIBO'</v>
      </c>
      <c r="O381" s="9" t="str">
        <f aca="false">IF(I381="Revisar","NULL",CONCATENATE("'",I381,"'"))</f>
        <v>'ZU'</v>
      </c>
      <c r="P381" s="1" t="str">
        <f aca="false">"UPDATE estudiantes SET fecha_nacimiento="&amp;L381&amp;", sexo="&amp;M381&amp;", lugar_nacimiento="&amp;N381&amp;", entidad_federal="&amp;O381&amp;" WHERE cedula='"&amp;K381&amp;"';"</f>
        <v>UPDATE estudiantes SET fecha_nacimiento='2012-10-23', sexo='F', lugar_nacimiento='MARACAIBO', entidad_federal='ZU' WHERE cedula='34920924';</v>
      </c>
    </row>
    <row r="382" customFormat="false" ht="14.9" hidden="false" customHeight="false" outlineLevel="0" collapsed="false">
      <c r="A382" s="1" t="s">
        <v>15</v>
      </c>
      <c r="B382" s="1" t="s">
        <v>356</v>
      </c>
      <c r="C382" s="1" t="s">
        <v>53</v>
      </c>
      <c r="D382" s="1" t="s">
        <v>407</v>
      </c>
      <c r="E382" s="2" t="n">
        <v>45924</v>
      </c>
      <c r="F382" s="2" t="n">
        <f aca="false">IFERROR(VLOOKUP(TRIM($D382), Hoja4_2!$A$2:$L$10000, 4, 0), "Revisar")</f>
        <v>40826</v>
      </c>
      <c r="G382" s="7" t="str">
        <f aca="false">IFERROR(VLOOKUP(TRIM($D382), Hoja4_2!$A$2:$L$10000, 5, 0), "Revisar")</f>
        <v>MASCULINO</v>
      </c>
      <c r="H382" s="7" t="str">
        <f aca="false">IFERROR(VLOOKUP(TRIM($D382), Hoja4_2!$A$2:$L$10000, 7, 0), "Revisar")</f>
        <v>MARACAIBO</v>
      </c>
      <c r="I382" s="7" t="str">
        <f aca="false">IFERROR(VLOOKUP(TRIM($D382), Hoja4_2!$A$2:$L$10000, 9, 0), "Revisar")</f>
        <v>ZU</v>
      </c>
      <c r="J382" s="7" t="str">
        <f aca="false">IFERROR(VLOOKUP(TRIM($D382), Hoja4_2!$A$2:$L$10000, 12, 0), "Revisar")</f>
        <v>99999999</v>
      </c>
      <c r="K382" s="8" t="str">
        <f aca="false">TEXT(TRIM(D382),"0")</f>
        <v>35012914</v>
      </c>
      <c r="L382" s="1" t="str">
        <f aca="false">IF(F382="Revisar","NULL",CONCATENATE("'",TEXT(F382,"yyyy-mm-dd"),"'"))</f>
        <v>'2011-10-10'</v>
      </c>
      <c r="M382" s="9" t="str">
        <f aca="false">IF(G382="Revisar","NULL",CONCATENATE("'",MID(G382,1,1),"'"))</f>
        <v>'M'</v>
      </c>
      <c r="N382" s="9" t="str">
        <f aca="false">IF(H382="Revisar","NULL",CONCATENATE("'",H382,"'"))</f>
        <v>'MARACAIBO'</v>
      </c>
      <c r="O382" s="9" t="str">
        <f aca="false">IF(I382="Revisar","NULL",CONCATENATE("'",I382,"'"))</f>
        <v>'ZU'</v>
      </c>
      <c r="P382" s="1" t="str">
        <f aca="false">"UPDATE estudiantes SET fecha_nacimiento="&amp;L382&amp;", sexo="&amp;M382&amp;", lugar_nacimiento="&amp;N382&amp;", entidad_federal="&amp;O382&amp;" WHERE cedula='"&amp;K382&amp;"';"</f>
        <v>UPDATE estudiantes SET fecha_nacimiento='2011-10-10', sexo='M', lugar_nacimiento='MARACAIBO', entidad_federal='ZU' WHERE cedula='35012914';</v>
      </c>
    </row>
    <row r="383" customFormat="false" ht="14.9" hidden="false" customHeight="false" outlineLevel="0" collapsed="false">
      <c r="A383" s="1" t="s">
        <v>15</v>
      </c>
      <c r="B383" s="1" t="s">
        <v>356</v>
      </c>
      <c r="C383" s="1" t="s">
        <v>53</v>
      </c>
      <c r="D383" s="1" t="s">
        <v>408</v>
      </c>
      <c r="E383" s="2" t="n">
        <v>45924</v>
      </c>
      <c r="F383" s="2" t="n">
        <f aca="false">IFERROR(VLOOKUP(TRIM($D383), Hoja4_2!$A$2:$L$10000, 4, 0), "Revisar")</f>
        <v>40644</v>
      </c>
      <c r="G383" s="7" t="str">
        <f aca="false">IFERROR(VLOOKUP(TRIM($D383), Hoja4_2!$A$2:$L$10000, 5, 0), "Revisar")</f>
        <v>FEMENINO</v>
      </c>
      <c r="H383" s="7" t="str">
        <f aca="false">IFERROR(VLOOKUP(TRIM($D383), Hoja4_2!$A$2:$L$10000, 7, 0), "Revisar")</f>
        <v>MARACAIBO</v>
      </c>
      <c r="I383" s="7" t="str">
        <f aca="false">IFERROR(VLOOKUP(TRIM($D383), Hoja4_2!$A$2:$L$10000, 9, 0), "Revisar")</f>
        <v>ZU</v>
      </c>
      <c r="J383" s="7" t="str">
        <f aca="false">IFERROR(VLOOKUP(TRIM($D383), Hoja4_2!$A$2:$L$10000, 12, 0), "Revisar")</f>
        <v>99999999</v>
      </c>
      <c r="K383" s="8" t="str">
        <f aca="false">TEXT(TRIM(D383),"0")</f>
        <v>35031498</v>
      </c>
      <c r="L383" s="1" t="str">
        <f aca="false">IF(F383="Revisar","NULL",CONCATENATE("'",TEXT(F383,"yyyy-mm-dd"),"'"))</f>
        <v>'2011-04-11'</v>
      </c>
      <c r="M383" s="9" t="str">
        <f aca="false">IF(G383="Revisar","NULL",CONCATENATE("'",MID(G383,1,1),"'"))</f>
        <v>'F'</v>
      </c>
      <c r="N383" s="9" t="str">
        <f aca="false">IF(H383="Revisar","NULL",CONCATENATE("'",H383,"'"))</f>
        <v>'MARACAIBO'</v>
      </c>
      <c r="O383" s="9" t="str">
        <f aca="false">IF(I383="Revisar","NULL",CONCATENATE("'",I383,"'"))</f>
        <v>'ZU'</v>
      </c>
      <c r="P383" s="1" t="str">
        <f aca="false">"UPDATE estudiantes SET fecha_nacimiento="&amp;L383&amp;", sexo="&amp;M383&amp;", lugar_nacimiento="&amp;N383&amp;", entidad_federal="&amp;O383&amp;" WHERE cedula='"&amp;K383&amp;"';"</f>
        <v>UPDATE estudiantes SET fecha_nacimiento='2011-04-11', sexo='F', lugar_nacimiento='MARACAIBO', entidad_federal='ZU' WHERE cedula='35031498';</v>
      </c>
    </row>
    <row r="384" customFormat="false" ht="14.9" hidden="false" customHeight="false" outlineLevel="0" collapsed="false">
      <c r="A384" s="1" t="s">
        <v>15</v>
      </c>
      <c r="B384" s="1" t="s">
        <v>356</v>
      </c>
      <c r="C384" s="1" t="s">
        <v>53</v>
      </c>
      <c r="D384" s="1" t="s">
        <v>409</v>
      </c>
      <c r="E384" s="2" t="n">
        <v>45924</v>
      </c>
      <c r="F384" s="2" t="n">
        <f aca="false">IFERROR(VLOOKUP(TRIM($D384), Hoja4_2!$A$2:$L$10000, 4, 0), "Revisar")</f>
        <v>41039</v>
      </c>
      <c r="G384" s="7" t="str">
        <f aca="false">IFERROR(VLOOKUP(TRIM($D384), Hoja4_2!$A$2:$L$10000, 5, 0), "Revisar")</f>
        <v>MASCULINO</v>
      </c>
      <c r="H384" s="7" t="str">
        <f aca="false">IFERROR(VLOOKUP(TRIM($D384), Hoja4_2!$A$2:$L$10000, 7, 0), "Revisar")</f>
        <v>MARACAIBO</v>
      </c>
      <c r="I384" s="7" t="str">
        <f aca="false">IFERROR(VLOOKUP(TRIM($D384), Hoja4_2!$A$2:$L$10000, 9, 0), "Revisar")</f>
        <v>ZU</v>
      </c>
      <c r="J384" s="7" t="str">
        <f aca="false">IFERROR(VLOOKUP(TRIM($D384), Hoja4_2!$A$2:$L$10000, 12, 0), "Revisar")</f>
        <v>16687079</v>
      </c>
      <c r="K384" s="8" t="str">
        <f aca="false">TEXT(TRIM(D384),"0")</f>
        <v>35138180</v>
      </c>
      <c r="L384" s="1" t="str">
        <f aca="false">IF(F384="Revisar","NULL",CONCATENATE("'",TEXT(F384,"yyyy-mm-dd"),"'"))</f>
        <v>'2012-05-10'</v>
      </c>
      <c r="M384" s="9" t="str">
        <f aca="false">IF(G384="Revisar","NULL",CONCATENATE("'",MID(G384,1,1),"'"))</f>
        <v>'M'</v>
      </c>
      <c r="N384" s="9" t="str">
        <f aca="false">IF(H384="Revisar","NULL",CONCATENATE("'",H384,"'"))</f>
        <v>'MARACAIBO'</v>
      </c>
      <c r="O384" s="9" t="str">
        <f aca="false">IF(I384="Revisar","NULL",CONCATENATE("'",I384,"'"))</f>
        <v>'ZU'</v>
      </c>
      <c r="P384" s="1" t="str">
        <f aca="false">"UPDATE estudiantes SET fecha_nacimiento="&amp;L384&amp;", sexo="&amp;M384&amp;", lugar_nacimiento="&amp;N384&amp;", entidad_federal="&amp;O384&amp;" WHERE cedula='"&amp;K384&amp;"';"</f>
        <v>UPDATE estudiantes SET fecha_nacimiento='2012-05-10', sexo='M', lugar_nacimiento='MARACAIBO', entidad_federal='ZU' WHERE cedula='35138180';</v>
      </c>
    </row>
    <row r="385" customFormat="false" ht="14.9" hidden="false" customHeight="false" outlineLevel="0" collapsed="false">
      <c r="A385" s="1" t="s">
        <v>15</v>
      </c>
      <c r="B385" s="1" t="s">
        <v>356</v>
      </c>
      <c r="C385" s="1" t="s">
        <v>53</v>
      </c>
      <c r="D385" s="1" t="s">
        <v>410</v>
      </c>
      <c r="E385" s="2" t="n">
        <v>45924</v>
      </c>
      <c r="F385" s="2" t="n">
        <f aca="false">IFERROR(VLOOKUP(TRIM($D385), Hoja4_2!$A$2:$L$10000, 4, 0), "Revisar")</f>
        <v>41030</v>
      </c>
      <c r="G385" s="7" t="str">
        <f aca="false">IFERROR(VLOOKUP(TRIM($D385), Hoja4_2!$A$2:$L$10000, 5, 0), "Revisar")</f>
        <v>MASCULINO</v>
      </c>
      <c r="H385" s="7" t="str">
        <f aca="false">IFERROR(VLOOKUP(TRIM($D385), Hoja4_2!$A$2:$L$10000, 7, 0), "Revisar")</f>
        <v>MARACAIBO</v>
      </c>
      <c r="I385" s="7" t="str">
        <f aca="false">IFERROR(VLOOKUP(TRIM($D385), Hoja4_2!$A$2:$L$10000, 9, 0), "Revisar")</f>
        <v>ZU</v>
      </c>
      <c r="J385" s="7" t="str">
        <f aca="false">IFERROR(VLOOKUP(TRIM($D385), Hoja4_2!$A$2:$L$10000, 12, 0), "Revisar")</f>
        <v>99999999</v>
      </c>
      <c r="K385" s="8" t="str">
        <f aca="false">TEXT(TRIM(D385),"0")</f>
        <v>36034833</v>
      </c>
      <c r="L385" s="1" t="str">
        <f aca="false">IF(F385="Revisar","NULL",CONCATENATE("'",TEXT(F385,"yyyy-mm-dd"),"'"))</f>
        <v>'2012-05-01'</v>
      </c>
      <c r="M385" s="9" t="str">
        <f aca="false">IF(G385="Revisar","NULL",CONCATENATE("'",MID(G385,1,1),"'"))</f>
        <v>'M'</v>
      </c>
      <c r="N385" s="9" t="str">
        <f aca="false">IF(H385="Revisar","NULL",CONCATENATE("'",H385,"'"))</f>
        <v>'MARACAIBO'</v>
      </c>
      <c r="O385" s="9" t="str">
        <f aca="false">IF(I385="Revisar","NULL",CONCATENATE("'",I385,"'"))</f>
        <v>'ZU'</v>
      </c>
      <c r="P385" s="1" t="str">
        <f aca="false">"UPDATE estudiantes SET fecha_nacimiento="&amp;L385&amp;", sexo="&amp;M385&amp;", lugar_nacimiento="&amp;N385&amp;", entidad_federal="&amp;O385&amp;" WHERE cedula='"&amp;K385&amp;"';"</f>
        <v>UPDATE estudiantes SET fecha_nacimiento='2012-05-01', sexo='M', lugar_nacimiento='MARACAIBO', entidad_federal='ZU' WHERE cedula='36034833';</v>
      </c>
    </row>
    <row r="386" customFormat="false" ht="14.9" hidden="false" customHeight="false" outlineLevel="0" collapsed="false">
      <c r="A386" s="1" t="s">
        <v>15</v>
      </c>
      <c r="B386" s="1" t="s">
        <v>356</v>
      </c>
      <c r="C386" s="1" t="s">
        <v>53</v>
      </c>
      <c r="D386" s="1" t="s">
        <v>411</v>
      </c>
      <c r="E386" s="2" t="n">
        <v>46048</v>
      </c>
      <c r="F386" s="2" t="n">
        <f aca="false">IFERROR(VLOOKUP(TRIM($D386), Hoja4_2!$A$2:$L$10000, 4, 0), "Revisar")</f>
        <v>41180</v>
      </c>
      <c r="G386" s="7" t="str">
        <f aca="false">IFERROR(VLOOKUP(TRIM($D386), Hoja4_2!$A$2:$L$10000, 5, 0), "Revisar")</f>
        <v>FEMENINO</v>
      </c>
      <c r="H386" s="7" t="str">
        <f aca="false">IFERROR(VLOOKUP(TRIM($D386), Hoja4_2!$A$2:$L$10000, 7, 0), "Revisar")</f>
        <v>SAN FRANCISCO</v>
      </c>
      <c r="I386" s="7" t="str">
        <f aca="false">IFERROR(VLOOKUP(TRIM($D386), Hoja4_2!$A$2:$L$10000, 9, 0), "Revisar")</f>
        <v>ZU</v>
      </c>
      <c r="J386" s="7" t="str">
        <f aca="false">IFERROR(VLOOKUP(TRIM($D386), Hoja4_2!$A$2:$L$10000, 12, 0), "Revisar")</f>
        <v>25039929</v>
      </c>
      <c r="K386" s="8" t="str">
        <f aca="false">TEXT(TRIM(D386),"0")</f>
        <v>36387881</v>
      </c>
      <c r="L386" s="1" t="str">
        <f aca="false">IF(F386="Revisar","NULL",CONCATENATE("'",TEXT(F386,"yyyy-mm-dd"),"'"))</f>
        <v>'2012-09-28'</v>
      </c>
      <c r="M386" s="9" t="str">
        <f aca="false">IF(G386="Revisar","NULL",CONCATENATE("'",MID(G386,1,1),"'"))</f>
        <v>'F'</v>
      </c>
      <c r="N386" s="9" t="str">
        <f aca="false">IF(H386="Revisar","NULL",CONCATENATE("'",H386,"'"))</f>
        <v>'SAN FRANCISCO'</v>
      </c>
      <c r="O386" s="9" t="str">
        <f aca="false">IF(I386="Revisar","NULL",CONCATENATE("'",I386,"'"))</f>
        <v>'ZU'</v>
      </c>
      <c r="P386" s="1" t="str">
        <f aca="false">"UPDATE estudiantes SET fecha_nacimiento="&amp;L386&amp;", sexo="&amp;M386&amp;", lugar_nacimiento="&amp;N386&amp;", entidad_federal="&amp;O386&amp;" WHERE cedula='"&amp;K386&amp;"';"</f>
        <v>UPDATE estudiantes SET fecha_nacimiento='2012-09-28', sexo='F', lugar_nacimiento='SAN FRANCISCO', entidad_federal='ZU' WHERE cedula='36387881';</v>
      </c>
    </row>
    <row r="387" customFormat="false" ht="14.9" hidden="false" customHeight="false" outlineLevel="0" collapsed="false">
      <c r="A387" s="1" t="s">
        <v>15</v>
      </c>
      <c r="B387" s="1" t="s">
        <v>356</v>
      </c>
      <c r="C387" s="1" t="s">
        <v>53</v>
      </c>
      <c r="D387" s="1" t="s">
        <v>412</v>
      </c>
      <c r="E387" s="2" t="n">
        <v>45924</v>
      </c>
      <c r="F387" s="2" t="n">
        <f aca="false">IFERROR(VLOOKUP(TRIM($D387), Hoja4_2!$A$2:$L$10000, 4, 0), "Revisar")</f>
        <v>40625</v>
      </c>
      <c r="G387" s="7" t="str">
        <f aca="false">IFERROR(VLOOKUP(TRIM($D387), Hoja4_2!$A$2:$L$10000, 5, 0), "Revisar")</f>
        <v>FEMENINO</v>
      </c>
      <c r="H387" s="7" t="str">
        <f aca="false">IFERROR(VLOOKUP(TRIM($D387), Hoja4_2!$A$2:$L$10000, 7, 0), "Revisar")</f>
        <v>JESUS ENRIQUE LOSSADA</v>
      </c>
      <c r="I387" s="7" t="str">
        <f aca="false">IFERROR(VLOOKUP(TRIM($D387), Hoja4_2!$A$2:$L$10000, 9, 0), "Revisar")</f>
        <v>ZU</v>
      </c>
      <c r="J387" s="7" t="str">
        <f aca="false">IFERROR(VLOOKUP(TRIM($D387), Hoja4_2!$A$2:$L$10000, 12, 0), "Revisar")</f>
        <v>19906307</v>
      </c>
      <c r="K387" s="8" t="str">
        <f aca="false">TEXT(TRIM(D387),"0")</f>
        <v>36454378</v>
      </c>
      <c r="L387" s="1" t="str">
        <f aca="false">IF(F387="Revisar","NULL",CONCATENATE("'",TEXT(F387,"yyyy-mm-dd"),"'"))</f>
        <v>'2011-03-23'</v>
      </c>
      <c r="M387" s="9" t="str">
        <f aca="false">IF(G387="Revisar","NULL",CONCATENATE("'",MID(G387,1,1),"'"))</f>
        <v>'F'</v>
      </c>
      <c r="N387" s="9" t="str">
        <f aca="false">IF(H387="Revisar","NULL",CONCATENATE("'",H387,"'"))</f>
        <v>'JESUS ENRIQUE LOSSADA'</v>
      </c>
      <c r="O387" s="9" t="str">
        <f aca="false">IF(I387="Revisar","NULL",CONCATENATE("'",I387,"'"))</f>
        <v>'ZU'</v>
      </c>
      <c r="P387" s="1" t="str">
        <f aca="false">"UPDATE estudiantes SET fecha_nacimiento="&amp;L387&amp;", sexo="&amp;M387&amp;", lugar_nacimiento="&amp;N387&amp;", entidad_federal="&amp;O387&amp;" WHERE cedula='"&amp;K387&amp;"';"</f>
        <v>UPDATE estudiantes SET fecha_nacimiento='2011-03-23', sexo='F', lugar_nacimiento='JESUS ENRIQUE LOSSADA', entidad_federal='ZU' WHERE cedula='36454378';</v>
      </c>
    </row>
    <row r="388" customFormat="false" ht="14.9" hidden="false" customHeight="false" outlineLevel="0" collapsed="false">
      <c r="A388" s="1" t="s">
        <v>15</v>
      </c>
      <c r="B388" s="1" t="s">
        <v>356</v>
      </c>
      <c r="C388" s="1" t="s">
        <v>53</v>
      </c>
      <c r="D388" s="1" t="s">
        <v>413</v>
      </c>
      <c r="E388" s="2" t="n">
        <v>45924</v>
      </c>
      <c r="F388" s="2" t="n">
        <f aca="false">IFERROR(VLOOKUP(TRIM($D388), Hoja4_2!$A$2:$L$10000, 4, 0), "Revisar")</f>
        <v>40223</v>
      </c>
      <c r="G388" s="7" t="str">
        <f aca="false">IFERROR(VLOOKUP(TRIM($D388), Hoja4_2!$A$2:$L$10000, 5, 0), "Revisar")</f>
        <v>MASCULINO</v>
      </c>
      <c r="H388" s="7" t="str">
        <f aca="false">IFERROR(VLOOKUP(TRIM($D388), Hoja4_2!$A$2:$L$10000, 7, 0), "Revisar")</f>
        <v>MARACAIBO</v>
      </c>
      <c r="I388" s="7" t="str">
        <f aca="false">IFERROR(VLOOKUP(TRIM($D388), Hoja4_2!$A$2:$L$10000, 9, 0), "Revisar")</f>
        <v>ZU</v>
      </c>
      <c r="J388" s="7" t="str">
        <f aca="false">IFERROR(VLOOKUP(TRIM($D388), Hoja4_2!$A$2:$L$10000, 12, 0), "Revisar")</f>
        <v>31016232</v>
      </c>
      <c r="K388" s="8" t="str">
        <f aca="false">TEXT(TRIM(D388),"0")</f>
        <v>11017567897</v>
      </c>
      <c r="L388" s="1" t="str">
        <f aca="false">IF(F388="Revisar","NULL",CONCATENATE("'",TEXT(F388,"yyyy-mm-dd"),"'"))</f>
        <v>'2010-02-14'</v>
      </c>
      <c r="M388" s="9" t="str">
        <f aca="false">IF(G388="Revisar","NULL",CONCATENATE("'",MID(G388,1,1),"'"))</f>
        <v>'M'</v>
      </c>
      <c r="N388" s="9" t="str">
        <f aca="false">IF(H388="Revisar","NULL",CONCATENATE("'",H388,"'"))</f>
        <v>'MARACAIBO'</v>
      </c>
      <c r="O388" s="9" t="str">
        <f aca="false">IF(I388="Revisar","NULL",CONCATENATE("'",I388,"'"))</f>
        <v>'ZU'</v>
      </c>
      <c r="P388" s="1" t="str">
        <f aca="false">"UPDATE estudiantes SET fecha_nacimiento="&amp;L388&amp;", sexo="&amp;M388&amp;", lugar_nacimiento="&amp;N388&amp;", entidad_federal="&amp;O388&amp;" WHERE cedula='"&amp;K388&amp;"';"</f>
        <v>UPDATE estudiantes SET fecha_nacimiento='2010-02-14', sexo='M', lugar_nacimiento='MARACAIBO', entidad_federal='ZU' WHERE cedula='11017567897';</v>
      </c>
    </row>
    <row r="389" customFormat="false" ht="14.9" hidden="false" customHeight="false" outlineLevel="0" collapsed="false">
      <c r="A389" s="1" t="s">
        <v>15</v>
      </c>
      <c r="B389" s="1" t="s">
        <v>356</v>
      </c>
      <c r="C389" s="1" t="s">
        <v>53</v>
      </c>
      <c r="D389" s="1" t="s">
        <v>414</v>
      </c>
      <c r="E389" s="2" t="n">
        <v>45924</v>
      </c>
      <c r="F389" s="2" t="n">
        <f aca="false">IFERROR(VLOOKUP(TRIM($D389), Hoja4_2!$A$2:$L$10000, 4, 0), "Revisar")</f>
        <v>40453</v>
      </c>
      <c r="G389" s="7" t="str">
        <f aca="false">IFERROR(VLOOKUP(TRIM($D389), Hoja4_2!$A$2:$L$10000, 5, 0), "Revisar")</f>
        <v>FEMENINO</v>
      </c>
      <c r="H389" s="7" t="str">
        <f aca="false">IFERROR(VLOOKUP(TRIM($D389), Hoja4_2!$A$2:$L$10000, 7, 0), "Revisar")</f>
        <v>MARACAIBO</v>
      </c>
      <c r="I389" s="7" t="str">
        <f aca="false">IFERROR(VLOOKUP(TRIM($D389), Hoja4_2!$A$2:$L$10000, 9, 0), "Revisar")</f>
        <v>ZU</v>
      </c>
      <c r="J389" s="7" t="str">
        <f aca="false">IFERROR(VLOOKUP(TRIM($D389), Hoja4_2!$A$2:$L$10000, 12, 0), "Revisar")</f>
        <v>99999999</v>
      </c>
      <c r="K389" s="8" t="str">
        <f aca="false">TEXT(TRIM(D389),"0")</f>
        <v>11026239598</v>
      </c>
      <c r="L389" s="1" t="str">
        <f aca="false">IF(F389="Revisar","NULL",CONCATENATE("'",TEXT(F389,"yyyy-mm-dd"),"'"))</f>
        <v>'2010-10-02'</v>
      </c>
      <c r="M389" s="9" t="str">
        <f aca="false">IF(G389="Revisar","NULL",CONCATENATE("'",MID(G389,1,1),"'"))</f>
        <v>'F'</v>
      </c>
      <c r="N389" s="9" t="str">
        <f aca="false">IF(H389="Revisar","NULL",CONCATENATE("'",H389,"'"))</f>
        <v>'MARACAIBO'</v>
      </c>
      <c r="O389" s="9" t="str">
        <f aca="false">IF(I389="Revisar","NULL",CONCATENATE("'",I389,"'"))</f>
        <v>'ZU'</v>
      </c>
      <c r="P389" s="1" t="str">
        <f aca="false">"UPDATE estudiantes SET fecha_nacimiento="&amp;L389&amp;", sexo="&amp;M389&amp;", lugar_nacimiento="&amp;N389&amp;", entidad_federal="&amp;O389&amp;" WHERE cedula='"&amp;K389&amp;"';"</f>
        <v>UPDATE estudiantes SET fecha_nacimiento='2010-10-02', sexo='F', lugar_nacimiento='MARACAIBO', entidad_federal='ZU' WHERE cedula='11026239598';</v>
      </c>
    </row>
    <row r="390" customFormat="false" ht="14.9" hidden="false" customHeight="false" outlineLevel="0" collapsed="false">
      <c r="A390" s="1" t="s">
        <v>15</v>
      </c>
      <c r="B390" s="1" t="s">
        <v>356</v>
      </c>
      <c r="C390" s="1" t="s">
        <v>53</v>
      </c>
      <c r="D390" s="1" t="s">
        <v>415</v>
      </c>
      <c r="E390" s="2" t="n">
        <v>45924</v>
      </c>
      <c r="F390" s="2" t="n">
        <f aca="false">IFERROR(VLOOKUP(TRIM($D390), Hoja4_2!$A$2:$L$10000, 4, 0), "Revisar")</f>
        <v>40570</v>
      </c>
      <c r="G390" s="7" t="str">
        <f aca="false">IFERROR(VLOOKUP(TRIM($D390), Hoja4_2!$A$2:$L$10000, 5, 0), "Revisar")</f>
        <v>MASCULINO</v>
      </c>
      <c r="H390" s="7" t="str">
        <f aca="false">IFERROR(VLOOKUP(TRIM($D390), Hoja4_2!$A$2:$L$10000, 7, 0), "Revisar")</f>
        <v>MARACAIBO</v>
      </c>
      <c r="I390" s="7" t="str">
        <f aca="false">IFERROR(VLOOKUP(TRIM($D390), Hoja4_2!$A$2:$L$10000, 9, 0), "Revisar")</f>
        <v>ZU</v>
      </c>
      <c r="J390" s="7" t="str">
        <f aca="false">IFERROR(VLOOKUP(TRIM($D390), Hoja4_2!$A$2:$L$10000, 12, 0), "Revisar")</f>
        <v>99999999</v>
      </c>
      <c r="K390" s="8" t="str">
        <f aca="false">TEXT(TRIM(D390),"0")</f>
        <v>11115749208</v>
      </c>
      <c r="L390" s="1" t="str">
        <f aca="false">IF(F390="Revisar","NULL",CONCATENATE("'",TEXT(F390,"yyyy-mm-dd"),"'"))</f>
        <v>'2011-01-27'</v>
      </c>
      <c r="M390" s="9" t="str">
        <f aca="false">IF(G390="Revisar","NULL",CONCATENATE("'",MID(G390,1,1),"'"))</f>
        <v>'M'</v>
      </c>
      <c r="N390" s="9" t="str">
        <f aca="false">IF(H390="Revisar","NULL",CONCATENATE("'",H390,"'"))</f>
        <v>'MARACAIBO'</v>
      </c>
      <c r="O390" s="9" t="str">
        <f aca="false">IF(I390="Revisar","NULL",CONCATENATE("'",I390,"'"))</f>
        <v>'ZU'</v>
      </c>
      <c r="P390" s="1" t="str">
        <f aca="false">"UPDATE estudiantes SET fecha_nacimiento="&amp;L390&amp;", sexo="&amp;M390&amp;", lugar_nacimiento="&amp;N390&amp;", entidad_federal="&amp;O390&amp;" WHERE cedula='"&amp;K390&amp;"';"</f>
        <v>UPDATE estudiantes SET fecha_nacimiento='2011-01-27', sexo='M', lugar_nacimiento='MARACAIBO', entidad_federal='ZU' WHERE cedula='11115749208';</v>
      </c>
    </row>
    <row r="391" customFormat="false" ht="14.9" hidden="false" customHeight="false" outlineLevel="0" collapsed="false">
      <c r="A391" s="1" t="s">
        <v>15</v>
      </c>
      <c r="B391" s="1" t="s">
        <v>356</v>
      </c>
      <c r="C391" s="1" t="s">
        <v>53</v>
      </c>
      <c r="D391" s="1" t="s">
        <v>416</v>
      </c>
      <c r="E391" s="2" t="n">
        <v>45924</v>
      </c>
      <c r="F391" s="2" t="n">
        <f aca="false">IFERROR(VLOOKUP(TRIM($D391), Hoja4_2!$A$2:$L$10000, 4, 0), "Revisar")</f>
        <v>40657</v>
      </c>
      <c r="G391" s="7" t="str">
        <f aca="false">IFERROR(VLOOKUP(TRIM($D391), Hoja4_2!$A$2:$L$10000, 5, 0), "Revisar")</f>
        <v>FEMENINO</v>
      </c>
      <c r="H391" s="7" t="str">
        <f aca="false">IFERROR(VLOOKUP(TRIM($D391), Hoja4_2!$A$2:$L$10000, 7, 0), "Revisar")</f>
        <v>MARACAIBO</v>
      </c>
      <c r="I391" s="7" t="str">
        <f aca="false">IFERROR(VLOOKUP(TRIM($D391), Hoja4_2!$A$2:$L$10000, 9, 0), "Revisar")</f>
        <v>ZU</v>
      </c>
      <c r="J391" s="7" t="str">
        <f aca="false">IFERROR(VLOOKUP(TRIM($D391), Hoja4_2!$A$2:$L$10000, 12, 0), "Revisar")</f>
        <v>99999999</v>
      </c>
      <c r="K391" s="8" t="str">
        <f aca="false">TEXT(TRIM(D391),"0")</f>
        <v>11117565192</v>
      </c>
      <c r="L391" s="1" t="str">
        <f aca="false">IF(F391="Revisar","NULL",CONCATENATE("'",TEXT(F391,"yyyy-mm-dd"),"'"))</f>
        <v>'2011-04-24'</v>
      </c>
      <c r="M391" s="9" t="str">
        <f aca="false">IF(G391="Revisar","NULL",CONCATENATE("'",MID(G391,1,1),"'"))</f>
        <v>'F'</v>
      </c>
      <c r="N391" s="9" t="str">
        <f aca="false">IF(H391="Revisar","NULL",CONCATENATE("'",H391,"'"))</f>
        <v>'MARACAIBO'</v>
      </c>
      <c r="O391" s="9" t="str">
        <f aca="false">IF(I391="Revisar","NULL",CONCATENATE("'",I391,"'"))</f>
        <v>'ZU'</v>
      </c>
      <c r="P391" s="1" t="str">
        <f aca="false">"UPDATE estudiantes SET fecha_nacimiento="&amp;L391&amp;", sexo="&amp;M391&amp;", lugar_nacimiento="&amp;N391&amp;", entidad_federal="&amp;O391&amp;" WHERE cedula='"&amp;K391&amp;"';"</f>
        <v>UPDATE estudiantes SET fecha_nacimiento='2011-04-24', sexo='F', lugar_nacimiento='MARACAIBO', entidad_federal='ZU' WHERE cedula='11117565192';</v>
      </c>
    </row>
    <row r="392" customFormat="false" ht="14.9" hidden="false" customHeight="false" outlineLevel="0" collapsed="false">
      <c r="A392" s="1" t="s">
        <v>15</v>
      </c>
      <c r="B392" s="1" t="s">
        <v>356</v>
      </c>
      <c r="C392" s="1" t="s">
        <v>53</v>
      </c>
      <c r="D392" s="1" t="s">
        <v>417</v>
      </c>
      <c r="E392" s="2" t="n">
        <v>45924</v>
      </c>
      <c r="F392" s="2" t="n">
        <f aca="false">IFERROR(VLOOKUP(TRIM($D392), Hoja4_2!$A$2:$L$10000, 4, 0), "Revisar")</f>
        <v>40703</v>
      </c>
      <c r="G392" s="7" t="str">
        <f aca="false">IFERROR(VLOOKUP(TRIM($D392), Hoja4_2!$A$2:$L$10000, 5, 0), "Revisar")</f>
        <v>FEMENINO</v>
      </c>
      <c r="H392" s="7" t="str">
        <f aca="false">IFERROR(VLOOKUP(TRIM($D392), Hoja4_2!$A$2:$L$10000, 7, 0), "Revisar")</f>
        <v>MARACAIBO</v>
      </c>
      <c r="I392" s="7" t="str">
        <f aca="false">IFERROR(VLOOKUP(TRIM($D392), Hoja4_2!$A$2:$L$10000, 9, 0), "Revisar")</f>
        <v>ZU</v>
      </c>
      <c r="J392" s="7" t="str">
        <f aca="false">IFERROR(VLOOKUP(TRIM($D392), Hoja4_2!$A$2:$L$10000, 12, 0), "Revisar")</f>
        <v>99999999</v>
      </c>
      <c r="K392" s="8" t="str">
        <f aca="false">TEXT(TRIM(D392),"0")</f>
        <v>11117567020</v>
      </c>
      <c r="L392" s="1" t="str">
        <f aca="false">IF(F392="Revisar","NULL",CONCATENATE("'",TEXT(F392,"yyyy-mm-dd"),"'"))</f>
        <v>'2011-06-09'</v>
      </c>
      <c r="M392" s="9" t="str">
        <f aca="false">IF(G392="Revisar","NULL",CONCATENATE("'",MID(G392,1,1),"'"))</f>
        <v>'F'</v>
      </c>
      <c r="N392" s="9" t="str">
        <f aca="false">IF(H392="Revisar","NULL",CONCATENATE("'",H392,"'"))</f>
        <v>'MARACAIBO'</v>
      </c>
      <c r="O392" s="9" t="str">
        <f aca="false">IF(I392="Revisar","NULL",CONCATENATE("'",I392,"'"))</f>
        <v>'ZU'</v>
      </c>
      <c r="P392" s="1" t="str">
        <f aca="false">"UPDATE estudiantes SET fecha_nacimiento="&amp;L392&amp;", sexo="&amp;M392&amp;", lugar_nacimiento="&amp;N392&amp;", entidad_federal="&amp;O392&amp;" WHERE cedula='"&amp;K392&amp;"';"</f>
        <v>UPDATE estudiantes SET fecha_nacimiento='2011-06-09', sexo='F', lugar_nacimiento='MARACAIBO', entidad_federal='ZU' WHERE cedula='11117567020';</v>
      </c>
    </row>
    <row r="393" customFormat="false" ht="14.9" hidden="false" customHeight="false" outlineLevel="0" collapsed="false">
      <c r="A393" s="1" t="s">
        <v>15</v>
      </c>
      <c r="B393" s="1" t="s">
        <v>356</v>
      </c>
      <c r="C393" s="1" t="s">
        <v>53</v>
      </c>
      <c r="D393" s="1" t="s">
        <v>418</v>
      </c>
      <c r="E393" s="2" t="n">
        <v>45924</v>
      </c>
      <c r="F393" s="2" t="n">
        <f aca="false">IFERROR(VLOOKUP(TRIM($D393), Hoja4_2!$A$2:$L$10000, 4, 0), "Revisar")</f>
        <v>40890</v>
      </c>
      <c r="G393" s="7" t="str">
        <f aca="false">IFERROR(VLOOKUP(TRIM($D393), Hoja4_2!$A$2:$L$10000, 5, 0), "Revisar")</f>
        <v>MASCULINO</v>
      </c>
      <c r="H393" s="7" t="str">
        <f aca="false">IFERROR(VLOOKUP(TRIM($D393), Hoja4_2!$A$2:$L$10000, 7, 0), "Revisar")</f>
        <v>MARACAIBO</v>
      </c>
      <c r="I393" s="7" t="str">
        <f aca="false">IFERROR(VLOOKUP(TRIM($D393), Hoja4_2!$A$2:$L$10000, 9, 0), "Revisar")</f>
        <v>ZU</v>
      </c>
      <c r="J393" s="7" t="str">
        <f aca="false">IFERROR(VLOOKUP(TRIM($D393), Hoja4_2!$A$2:$L$10000, 12, 0), "Revisar")</f>
        <v>99999999</v>
      </c>
      <c r="K393" s="8" t="str">
        <f aca="false">TEXT(TRIM(D393),"0")</f>
        <v>11120058311</v>
      </c>
      <c r="L393" s="1" t="str">
        <f aca="false">IF(F393="Revisar","NULL",CONCATENATE("'",TEXT(F393,"yyyy-mm-dd"),"'"))</f>
        <v>'2011-12-13'</v>
      </c>
      <c r="M393" s="9" t="str">
        <f aca="false">IF(G393="Revisar","NULL",CONCATENATE("'",MID(G393,1,1),"'"))</f>
        <v>'M'</v>
      </c>
      <c r="N393" s="9" t="str">
        <f aca="false">IF(H393="Revisar","NULL",CONCATENATE("'",H393,"'"))</f>
        <v>'MARACAIBO'</v>
      </c>
      <c r="O393" s="9" t="str">
        <f aca="false">IF(I393="Revisar","NULL",CONCATENATE("'",I393,"'"))</f>
        <v>'ZU'</v>
      </c>
      <c r="P393" s="1" t="str">
        <f aca="false">"UPDATE estudiantes SET fecha_nacimiento="&amp;L393&amp;", sexo="&amp;M393&amp;", lugar_nacimiento="&amp;N393&amp;", entidad_federal="&amp;O393&amp;" WHERE cedula='"&amp;K393&amp;"';"</f>
        <v>UPDATE estudiantes SET fecha_nacimiento='2011-12-13', sexo='M', lugar_nacimiento='MARACAIBO', entidad_federal='ZU' WHERE cedula='11120058311';</v>
      </c>
    </row>
    <row r="394" customFormat="false" ht="14.9" hidden="false" customHeight="false" outlineLevel="0" collapsed="false">
      <c r="A394" s="1" t="s">
        <v>15</v>
      </c>
      <c r="B394" s="1" t="s">
        <v>356</v>
      </c>
      <c r="C394" s="1" t="s">
        <v>53</v>
      </c>
      <c r="D394" s="1" t="s">
        <v>419</v>
      </c>
      <c r="E394" s="2" t="n">
        <v>45924</v>
      </c>
      <c r="F394" s="2" t="n">
        <f aca="false">IFERROR(VLOOKUP(TRIM($D394), Hoja4_2!$A$2:$L$10000, 4, 0), "Revisar")</f>
        <v>40839</v>
      </c>
      <c r="G394" s="7" t="str">
        <f aca="false">IFERROR(VLOOKUP(TRIM($D394), Hoja4_2!$A$2:$L$10000, 5, 0), "Revisar")</f>
        <v>FEMENINO</v>
      </c>
      <c r="H394" s="7" t="str">
        <f aca="false">IFERROR(VLOOKUP(TRIM($D394), Hoja4_2!$A$2:$L$10000, 7, 0), "Revisar")</f>
        <v>MARACAIBO</v>
      </c>
      <c r="I394" s="7" t="str">
        <f aca="false">IFERROR(VLOOKUP(TRIM($D394), Hoja4_2!$A$2:$L$10000, 9, 0), "Revisar")</f>
        <v>ZU</v>
      </c>
      <c r="J394" s="7" t="str">
        <f aca="false">IFERROR(VLOOKUP(TRIM($D394), Hoja4_2!$A$2:$L$10000, 12, 0), "Revisar")</f>
        <v>99999999</v>
      </c>
      <c r="K394" s="8" t="str">
        <f aca="false">TEXT(TRIM(D394),"0")</f>
        <v>11120685679</v>
      </c>
      <c r="L394" s="1" t="str">
        <f aca="false">IF(F394="Revisar","NULL",CONCATENATE("'",TEXT(F394,"yyyy-mm-dd"),"'"))</f>
        <v>'2011-10-23'</v>
      </c>
      <c r="M394" s="9" t="str">
        <f aca="false">IF(G394="Revisar","NULL",CONCATENATE("'",MID(G394,1,1),"'"))</f>
        <v>'F'</v>
      </c>
      <c r="N394" s="9" t="str">
        <f aca="false">IF(H394="Revisar","NULL",CONCATENATE("'",H394,"'"))</f>
        <v>'MARACAIBO'</v>
      </c>
      <c r="O394" s="9" t="str">
        <f aca="false">IF(I394="Revisar","NULL",CONCATENATE("'",I394,"'"))</f>
        <v>'ZU'</v>
      </c>
      <c r="P394" s="1" t="str">
        <f aca="false">"UPDATE estudiantes SET fecha_nacimiento="&amp;L394&amp;", sexo="&amp;M394&amp;", lugar_nacimiento="&amp;N394&amp;", entidad_federal="&amp;O394&amp;" WHERE cedula='"&amp;K394&amp;"';"</f>
        <v>UPDATE estudiantes SET fecha_nacimiento='2011-10-23', sexo='F', lugar_nacimiento='MARACAIBO', entidad_federal='ZU' WHERE cedula='11120685679';</v>
      </c>
    </row>
    <row r="395" customFormat="false" ht="14.9" hidden="false" customHeight="false" outlineLevel="0" collapsed="false">
      <c r="A395" s="1" t="s">
        <v>15</v>
      </c>
      <c r="B395" s="1" t="s">
        <v>356</v>
      </c>
      <c r="C395" s="1" t="s">
        <v>53</v>
      </c>
      <c r="D395" s="1" t="s">
        <v>420</v>
      </c>
      <c r="E395" s="2" t="n">
        <v>45924</v>
      </c>
      <c r="F395" s="2" t="n">
        <f aca="false">IFERROR(VLOOKUP(TRIM($D395), Hoja4_2!$A$2:$L$10000, 4, 0), "Revisar")</f>
        <v>40588</v>
      </c>
      <c r="G395" s="7" t="str">
        <f aca="false">IFERROR(VLOOKUP(TRIM($D395), Hoja4_2!$A$2:$L$10000, 5, 0), "Revisar")</f>
        <v>MASCULINO</v>
      </c>
      <c r="H395" s="7" t="str">
        <f aca="false">IFERROR(VLOOKUP(TRIM($D395), Hoja4_2!$A$2:$L$10000, 7, 0), "Revisar")</f>
        <v>JESUS ENRIQUE LOSSADA</v>
      </c>
      <c r="I395" s="7" t="str">
        <f aca="false">IFERROR(VLOOKUP(TRIM($D395), Hoja4_2!$A$2:$L$10000, 9, 0), "Revisar")</f>
        <v>ZU</v>
      </c>
      <c r="J395" s="7" t="str">
        <f aca="false">IFERROR(VLOOKUP(TRIM($D395), Hoja4_2!$A$2:$L$10000, 12, 0), "Revisar")</f>
        <v>99999999</v>
      </c>
      <c r="K395" s="8" t="str">
        <f aca="false">TEXT(TRIM(D395),"0")</f>
        <v>11123466330</v>
      </c>
      <c r="L395" s="1" t="str">
        <f aca="false">IF(F395="Revisar","NULL",CONCATENATE("'",TEXT(F395,"yyyy-mm-dd"),"'"))</f>
        <v>'2011-02-14'</v>
      </c>
      <c r="M395" s="9" t="str">
        <f aca="false">IF(G395="Revisar","NULL",CONCATENATE("'",MID(G395,1,1),"'"))</f>
        <v>'M'</v>
      </c>
      <c r="N395" s="9" t="str">
        <f aca="false">IF(H395="Revisar","NULL",CONCATENATE("'",H395,"'"))</f>
        <v>'JESUS ENRIQUE LOSSADA'</v>
      </c>
      <c r="O395" s="9" t="str">
        <f aca="false">IF(I395="Revisar","NULL",CONCATENATE("'",I395,"'"))</f>
        <v>'ZU'</v>
      </c>
      <c r="P395" s="1" t="str">
        <f aca="false">"UPDATE estudiantes SET fecha_nacimiento="&amp;L395&amp;", sexo="&amp;M395&amp;", lugar_nacimiento="&amp;N395&amp;", entidad_federal="&amp;O395&amp;" WHERE cedula='"&amp;K395&amp;"';"</f>
        <v>UPDATE estudiantes SET fecha_nacimiento='2011-02-14', sexo='M', lugar_nacimiento='JESUS ENRIQUE LOSSADA', entidad_federal='ZU' WHERE cedula='11123466330';</v>
      </c>
    </row>
    <row r="396" customFormat="false" ht="14.9" hidden="false" customHeight="false" outlineLevel="0" collapsed="false">
      <c r="A396" s="1" t="s">
        <v>15</v>
      </c>
      <c r="B396" s="1" t="s">
        <v>356</v>
      </c>
      <c r="C396" s="1" t="s">
        <v>53</v>
      </c>
      <c r="D396" s="1" t="s">
        <v>421</v>
      </c>
      <c r="E396" s="2" t="n">
        <v>45924</v>
      </c>
      <c r="F396" s="2" t="n">
        <f aca="false">IFERROR(VLOOKUP(TRIM($D396), Hoja4_2!$A$2:$L$10000, 4, 0), "Revisar")</f>
        <v>40780</v>
      </c>
      <c r="G396" s="7" t="str">
        <f aca="false">IFERROR(VLOOKUP(TRIM($D396), Hoja4_2!$A$2:$L$10000, 5, 0), "Revisar")</f>
        <v>FEMENINO</v>
      </c>
      <c r="H396" s="7" t="str">
        <f aca="false">IFERROR(VLOOKUP(TRIM($D396), Hoja4_2!$A$2:$L$10000, 7, 0), "Revisar")</f>
        <v>MARACAIBO</v>
      </c>
      <c r="I396" s="7" t="str">
        <f aca="false">IFERROR(VLOOKUP(TRIM($D396), Hoja4_2!$A$2:$L$10000, 9, 0), "Revisar")</f>
        <v>ZU</v>
      </c>
      <c r="J396" s="7" t="str">
        <f aca="false">IFERROR(VLOOKUP(TRIM($D396), Hoja4_2!$A$2:$L$10000, 12, 0), "Revisar")</f>
        <v>99999999</v>
      </c>
      <c r="K396" s="8" t="str">
        <f aca="false">TEXT(TRIM(D396),"0")</f>
        <v>11123466542</v>
      </c>
      <c r="L396" s="1" t="str">
        <f aca="false">IF(F396="Revisar","NULL",CONCATENATE("'",TEXT(F396,"yyyy-mm-dd"),"'"))</f>
        <v>'2011-08-25'</v>
      </c>
      <c r="M396" s="9" t="str">
        <f aca="false">IF(G396="Revisar","NULL",CONCATENATE("'",MID(G396,1,1),"'"))</f>
        <v>'F'</v>
      </c>
      <c r="N396" s="9" t="str">
        <f aca="false">IF(H396="Revisar","NULL",CONCATENATE("'",H396,"'"))</f>
        <v>'MARACAIBO'</v>
      </c>
      <c r="O396" s="9" t="str">
        <f aca="false">IF(I396="Revisar","NULL",CONCATENATE("'",I396,"'"))</f>
        <v>'ZU'</v>
      </c>
      <c r="P396" s="1" t="str">
        <f aca="false">"UPDATE estudiantes SET fecha_nacimiento="&amp;L396&amp;", sexo="&amp;M396&amp;", lugar_nacimiento="&amp;N396&amp;", entidad_federal="&amp;O396&amp;" WHERE cedula='"&amp;K396&amp;"';"</f>
        <v>UPDATE estudiantes SET fecha_nacimiento='2011-08-25', sexo='F', lugar_nacimiento='MARACAIBO', entidad_federal='ZU' WHERE cedula='11123466542';</v>
      </c>
    </row>
    <row r="397" customFormat="false" ht="14.9" hidden="false" customHeight="false" outlineLevel="0" collapsed="false">
      <c r="A397" s="1" t="s">
        <v>15</v>
      </c>
      <c r="B397" s="1" t="s">
        <v>356</v>
      </c>
      <c r="C397" s="1" t="s">
        <v>53</v>
      </c>
      <c r="D397" s="1" t="s">
        <v>422</v>
      </c>
      <c r="E397" s="2" t="n">
        <v>45924</v>
      </c>
      <c r="F397" s="2" t="n">
        <f aca="false">IFERROR(VLOOKUP(TRIM($D397), Hoja4_2!$A$2:$L$10000, 4, 0), "Revisar")</f>
        <v>40921</v>
      </c>
      <c r="G397" s="7" t="str">
        <f aca="false">IFERROR(VLOOKUP(TRIM($D397), Hoja4_2!$A$2:$L$10000, 5, 0), "Revisar")</f>
        <v>MASCULINO</v>
      </c>
      <c r="H397" s="7" t="str">
        <f aca="false">IFERROR(VLOOKUP(TRIM($D397), Hoja4_2!$A$2:$L$10000, 7, 0), "Revisar")</f>
        <v>MARACAIBO</v>
      </c>
      <c r="I397" s="7" t="str">
        <f aca="false">IFERROR(VLOOKUP(TRIM($D397), Hoja4_2!$A$2:$L$10000, 9, 0), "Revisar")</f>
        <v>ZU</v>
      </c>
      <c r="J397" s="7" t="str">
        <f aca="false">IFERROR(VLOOKUP(TRIM($D397), Hoja4_2!$A$2:$L$10000, 12, 0), "Revisar")</f>
        <v>99999999</v>
      </c>
      <c r="K397" s="8" t="str">
        <f aca="false">TEXT(TRIM(D397),"0")</f>
        <v>11217566372</v>
      </c>
      <c r="L397" s="1" t="str">
        <f aca="false">IF(F397="Revisar","NULL",CONCATENATE("'",TEXT(F397,"yyyy-mm-dd"),"'"))</f>
        <v>'2012-01-13'</v>
      </c>
      <c r="M397" s="9" t="str">
        <f aca="false">IF(G397="Revisar","NULL",CONCATENATE("'",MID(G397,1,1),"'"))</f>
        <v>'M'</v>
      </c>
      <c r="N397" s="9" t="str">
        <f aca="false">IF(H397="Revisar","NULL",CONCATENATE("'",H397,"'"))</f>
        <v>'MARACAIBO'</v>
      </c>
      <c r="O397" s="9" t="str">
        <f aca="false">IF(I397="Revisar","NULL",CONCATENATE("'",I397,"'"))</f>
        <v>'ZU'</v>
      </c>
      <c r="P397" s="1" t="str">
        <f aca="false">"UPDATE estudiantes SET fecha_nacimiento="&amp;L397&amp;", sexo="&amp;M397&amp;", lugar_nacimiento="&amp;N397&amp;", entidad_federal="&amp;O397&amp;" WHERE cedula='"&amp;K397&amp;"';"</f>
        <v>UPDATE estudiantes SET fecha_nacimiento='2012-01-13', sexo='M', lugar_nacimiento='MARACAIBO', entidad_federal='ZU' WHERE cedula='11217566372';</v>
      </c>
    </row>
    <row r="398" customFormat="false" ht="14.9" hidden="false" customHeight="false" outlineLevel="0" collapsed="false">
      <c r="A398" s="1" t="s">
        <v>15</v>
      </c>
      <c r="B398" s="1" t="s">
        <v>356</v>
      </c>
      <c r="C398" s="1" t="s">
        <v>89</v>
      </c>
      <c r="D398" s="1" t="s">
        <v>423</v>
      </c>
      <c r="E398" s="2" t="n">
        <v>45926</v>
      </c>
      <c r="F398" s="2" t="n">
        <f aca="false">IFERROR(VLOOKUP(TRIM($D398), Hoja4_2!$A$2:$L$10000, 4, 0), "Revisar")</f>
        <v>40036</v>
      </c>
      <c r="G398" s="7" t="str">
        <f aca="false">IFERROR(VLOOKUP(TRIM($D398), Hoja4_2!$A$2:$L$10000, 5, 0), "Revisar")</f>
        <v>FEMENINO</v>
      </c>
      <c r="H398" s="7" t="str">
        <f aca="false">IFERROR(VLOOKUP(TRIM($D398), Hoja4_2!$A$2:$L$10000, 7, 0), "Revisar")</f>
        <v>MARACAIBO</v>
      </c>
      <c r="I398" s="7" t="str">
        <f aca="false">IFERROR(VLOOKUP(TRIM($D398), Hoja4_2!$A$2:$L$10000, 9, 0), "Revisar")</f>
        <v>ZU</v>
      </c>
      <c r="J398" s="7" t="str">
        <f aca="false">IFERROR(VLOOKUP(TRIM($D398), Hoja4_2!$A$2:$L$10000, 12, 0), "Revisar")</f>
        <v>18281237</v>
      </c>
      <c r="K398" s="8" t="str">
        <f aca="false">TEXT(TRIM(D398),"0")</f>
        <v>33152793</v>
      </c>
      <c r="L398" s="1" t="str">
        <f aca="false">IF(F398="Revisar","NULL",CONCATENATE("'",TEXT(F398,"yyyy-mm-dd"),"'"))</f>
        <v>'2009-08-11'</v>
      </c>
      <c r="M398" s="9" t="str">
        <f aca="false">IF(G398="Revisar","NULL",CONCATENATE("'",MID(G398,1,1),"'"))</f>
        <v>'F'</v>
      </c>
      <c r="N398" s="9" t="str">
        <f aca="false">IF(H398="Revisar","NULL",CONCATENATE("'",H398,"'"))</f>
        <v>'MARACAIBO'</v>
      </c>
      <c r="O398" s="9" t="str">
        <f aca="false">IF(I398="Revisar","NULL",CONCATENATE("'",I398,"'"))</f>
        <v>'ZU'</v>
      </c>
      <c r="P398" s="1" t="str">
        <f aca="false">"UPDATE estudiantes SET fecha_nacimiento="&amp;L398&amp;", sexo="&amp;M398&amp;", lugar_nacimiento="&amp;N398&amp;", entidad_federal="&amp;O398&amp;" WHERE cedula='"&amp;K398&amp;"';"</f>
        <v>UPDATE estudiantes SET fecha_nacimiento='2009-08-11', sexo='F', lugar_nacimiento='MARACAIBO', entidad_federal='ZU' WHERE cedula='33152793';</v>
      </c>
    </row>
    <row r="399" customFormat="false" ht="14.9" hidden="false" customHeight="false" outlineLevel="0" collapsed="false">
      <c r="A399" s="1" t="s">
        <v>15</v>
      </c>
      <c r="B399" s="1" t="s">
        <v>356</v>
      </c>
      <c r="C399" s="1" t="s">
        <v>89</v>
      </c>
      <c r="D399" s="1" t="s">
        <v>424</v>
      </c>
      <c r="E399" s="2" t="n">
        <v>45924</v>
      </c>
      <c r="F399" s="2" t="n">
        <f aca="false">IFERROR(VLOOKUP(TRIM($D399), Hoja4_2!$A$2:$L$10000, 4, 0), "Revisar")</f>
        <v>40438</v>
      </c>
      <c r="G399" s="7" t="str">
        <f aca="false">IFERROR(VLOOKUP(TRIM($D399), Hoja4_2!$A$2:$L$10000, 5, 0), "Revisar")</f>
        <v>FEMENINO</v>
      </c>
      <c r="H399" s="7" t="str">
        <f aca="false">IFERROR(VLOOKUP(TRIM($D399), Hoja4_2!$A$2:$L$10000, 7, 0), "Revisar")</f>
        <v>MARACAIBO</v>
      </c>
      <c r="I399" s="7" t="str">
        <f aca="false">IFERROR(VLOOKUP(TRIM($D399), Hoja4_2!$A$2:$L$10000, 9, 0), "Revisar")</f>
        <v>ZU</v>
      </c>
      <c r="J399" s="7" t="str">
        <f aca="false">IFERROR(VLOOKUP(TRIM($D399), Hoja4_2!$A$2:$L$10000, 12, 0), "Revisar")</f>
        <v>24257448</v>
      </c>
      <c r="K399" s="8" t="str">
        <f aca="false">TEXT(TRIM(D399),"0")</f>
        <v>34089715</v>
      </c>
      <c r="L399" s="1" t="str">
        <f aca="false">IF(F399="Revisar","NULL",CONCATENATE("'",TEXT(F399,"yyyy-mm-dd"),"'"))</f>
        <v>'2010-09-17'</v>
      </c>
      <c r="M399" s="9" t="str">
        <f aca="false">IF(G399="Revisar","NULL",CONCATENATE("'",MID(G399,1,1),"'"))</f>
        <v>'F'</v>
      </c>
      <c r="N399" s="9" t="str">
        <f aca="false">IF(H399="Revisar","NULL",CONCATENATE("'",H399,"'"))</f>
        <v>'MARACAIBO'</v>
      </c>
      <c r="O399" s="9" t="str">
        <f aca="false">IF(I399="Revisar","NULL",CONCATENATE("'",I399,"'"))</f>
        <v>'ZU'</v>
      </c>
      <c r="P399" s="1" t="str">
        <f aca="false">"UPDATE estudiantes SET fecha_nacimiento="&amp;L399&amp;", sexo="&amp;M399&amp;", lugar_nacimiento="&amp;N399&amp;", entidad_federal="&amp;O399&amp;" WHERE cedula='"&amp;K399&amp;"';"</f>
        <v>UPDATE estudiantes SET fecha_nacimiento='2010-09-17', sexo='F', lugar_nacimiento='MARACAIBO', entidad_federal='ZU' WHERE cedula='34089715';</v>
      </c>
    </row>
    <row r="400" customFormat="false" ht="14.9" hidden="false" customHeight="false" outlineLevel="0" collapsed="false">
      <c r="A400" s="1" t="s">
        <v>15</v>
      </c>
      <c r="B400" s="1" t="s">
        <v>356</v>
      </c>
      <c r="C400" s="1" t="s">
        <v>89</v>
      </c>
      <c r="D400" s="1" t="s">
        <v>425</v>
      </c>
      <c r="E400" s="2" t="n">
        <v>45924</v>
      </c>
      <c r="F400" s="2" t="n">
        <f aca="false">IFERROR(VLOOKUP(TRIM($D400), Hoja4_2!$A$2:$L$10000, 4, 0), "Revisar")</f>
        <v>40499</v>
      </c>
      <c r="G400" s="7" t="str">
        <f aca="false">IFERROR(VLOOKUP(TRIM($D400), Hoja4_2!$A$2:$L$10000, 5, 0), "Revisar")</f>
        <v>MASCULINO</v>
      </c>
      <c r="H400" s="7" t="str">
        <f aca="false">IFERROR(VLOOKUP(TRIM($D400), Hoja4_2!$A$2:$L$10000, 7, 0), "Revisar")</f>
        <v>MARACAIBO</v>
      </c>
      <c r="I400" s="7" t="str">
        <f aca="false">IFERROR(VLOOKUP(TRIM($D400), Hoja4_2!$A$2:$L$10000, 9, 0), "Revisar")</f>
        <v>ZU</v>
      </c>
      <c r="J400" s="7" t="str">
        <f aca="false">IFERROR(VLOOKUP(TRIM($D400), Hoja4_2!$A$2:$L$10000, 12, 0), "Revisar")</f>
        <v>13005228</v>
      </c>
      <c r="K400" s="8" t="str">
        <f aca="false">TEXT(TRIM(D400),"0")</f>
        <v>34130174</v>
      </c>
      <c r="L400" s="1" t="str">
        <f aca="false">IF(F400="Revisar","NULL",CONCATENATE("'",TEXT(F400,"yyyy-mm-dd"),"'"))</f>
        <v>'2010-11-17'</v>
      </c>
      <c r="M400" s="9" t="str">
        <f aca="false">IF(G400="Revisar","NULL",CONCATENATE("'",MID(G400,1,1),"'"))</f>
        <v>'M'</v>
      </c>
      <c r="N400" s="9" t="str">
        <f aca="false">IF(H400="Revisar","NULL",CONCATENATE("'",H400,"'"))</f>
        <v>'MARACAIBO'</v>
      </c>
      <c r="O400" s="9" t="str">
        <f aca="false">IF(I400="Revisar","NULL",CONCATENATE("'",I400,"'"))</f>
        <v>'ZU'</v>
      </c>
      <c r="P400" s="1" t="str">
        <f aca="false">"UPDATE estudiantes SET fecha_nacimiento="&amp;L400&amp;", sexo="&amp;M400&amp;", lugar_nacimiento="&amp;N400&amp;", entidad_federal="&amp;O400&amp;" WHERE cedula='"&amp;K400&amp;"';"</f>
        <v>UPDATE estudiantes SET fecha_nacimiento='2010-11-17', sexo='M', lugar_nacimiento='MARACAIBO', entidad_federal='ZU' WHERE cedula='34130174';</v>
      </c>
    </row>
    <row r="401" customFormat="false" ht="14.9" hidden="false" customHeight="false" outlineLevel="0" collapsed="false">
      <c r="A401" s="1" t="s">
        <v>15</v>
      </c>
      <c r="B401" s="1" t="s">
        <v>356</v>
      </c>
      <c r="C401" s="1" t="s">
        <v>89</v>
      </c>
      <c r="D401" s="1" t="s">
        <v>426</v>
      </c>
      <c r="E401" s="2" t="n">
        <v>45924</v>
      </c>
      <c r="F401" s="2" t="n">
        <f aca="false">IFERROR(VLOOKUP(TRIM($D401), Hoja4_2!$A$2:$L$10000, 4, 0), "Revisar")</f>
        <v>40727</v>
      </c>
      <c r="G401" s="7" t="str">
        <f aca="false">IFERROR(VLOOKUP(TRIM($D401), Hoja4_2!$A$2:$L$10000, 5, 0), "Revisar")</f>
        <v>FEMENINO</v>
      </c>
      <c r="H401" s="7" t="str">
        <f aca="false">IFERROR(VLOOKUP(TRIM($D401), Hoja4_2!$A$2:$L$10000, 7, 0), "Revisar")</f>
        <v>JESUS ENRIQUE LOSSADA</v>
      </c>
      <c r="I401" s="7" t="str">
        <f aca="false">IFERROR(VLOOKUP(TRIM($D401), Hoja4_2!$A$2:$L$10000, 9, 0), "Revisar")</f>
        <v>ZU</v>
      </c>
      <c r="J401" s="7" t="str">
        <f aca="false">IFERROR(VLOOKUP(TRIM($D401), Hoja4_2!$A$2:$L$10000, 12, 0), "Revisar")</f>
        <v>99999999</v>
      </c>
      <c r="K401" s="8" t="str">
        <f aca="false">TEXT(TRIM(D401),"0")</f>
        <v>34400495</v>
      </c>
      <c r="L401" s="1" t="str">
        <f aca="false">IF(F401="Revisar","NULL",CONCATENATE("'",TEXT(F401,"yyyy-mm-dd"),"'"))</f>
        <v>'2011-07-03'</v>
      </c>
      <c r="M401" s="9" t="str">
        <f aca="false">IF(G401="Revisar","NULL",CONCATENATE("'",MID(G401,1,1),"'"))</f>
        <v>'F'</v>
      </c>
      <c r="N401" s="9" t="str">
        <f aca="false">IF(H401="Revisar","NULL",CONCATENATE("'",H401,"'"))</f>
        <v>'JESUS ENRIQUE LOSSADA'</v>
      </c>
      <c r="O401" s="9" t="str">
        <f aca="false">IF(I401="Revisar","NULL",CONCATENATE("'",I401,"'"))</f>
        <v>'ZU'</v>
      </c>
      <c r="P401" s="1" t="str">
        <f aca="false">"UPDATE estudiantes SET fecha_nacimiento="&amp;L401&amp;", sexo="&amp;M401&amp;", lugar_nacimiento="&amp;N401&amp;", entidad_federal="&amp;O401&amp;" WHERE cedula='"&amp;K401&amp;"';"</f>
        <v>UPDATE estudiantes SET fecha_nacimiento='2011-07-03', sexo='F', lugar_nacimiento='JESUS ENRIQUE LOSSADA', entidad_federal='ZU' WHERE cedula='34400495';</v>
      </c>
    </row>
    <row r="402" customFormat="false" ht="14.9" hidden="false" customHeight="false" outlineLevel="0" collapsed="false">
      <c r="A402" s="1" t="s">
        <v>15</v>
      </c>
      <c r="B402" s="1" t="s">
        <v>356</v>
      </c>
      <c r="C402" s="1" t="s">
        <v>89</v>
      </c>
      <c r="D402" s="1" t="s">
        <v>427</v>
      </c>
      <c r="E402" s="2" t="n">
        <v>45924</v>
      </c>
      <c r="F402" s="2" t="n">
        <f aca="false">IFERROR(VLOOKUP(TRIM($D402), Hoja4_2!$A$2:$L$10000, 4, 0), "Revisar")</f>
        <v>40841</v>
      </c>
      <c r="G402" s="7" t="str">
        <f aca="false">IFERROR(VLOOKUP(TRIM($D402), Hoja4_2!$A$2:$L$10000, 5, 0), "Revisar")</f>
        <v>MASCULINO</v>
      </c>
      <c r="H402" s="7" t="str">
        <f aca="false">IFERROR(VLOOKUP(TRIM($D402), Hoja4_2!$A$2:$L$10000, 7, 0), "Revisar")</f>
        <v>MARACAIBO</v>
      </c>
      <c r="I402" s="7" t="str">
        <f aca="false">IFERROR(VLOOKUP(TRIM($D402), Hoja4_2!$A$2:$L$10000, 9, 0), "Revisar")</f>
        <v>ZU</v>
      </c>
      <c r="J402" s="7" t="str">
        <f aca="false">IFERROR(VLOOKUP(TRIM($D402), Hoja4_2!$A$2:$L$10000, 12, 0), "Revisar")</f>
        <v>99999999</v>
      </c>
      <c r="K402" s="8" t="str">
        <f aca="false">TEXT(TRIM(D402),"0")</f>
        <v>34407773</v>
      </c>
      <c r="L402" s="1" t="str">
        <f aca="false">IF(F402="Revisar","NULL",CONCATENATE("'",TEXT(F402,"yyyy-mm-dd"),"'"))</f>
        <v>'2011-10-25'</v>
      </c>
      <c r="M402" s="9" t="str">
        <f aca="false">IF(G402="Revisar","NULL",CONCATENATE("'",MID(G402,1,1),"'"))</f>
        <v>'M'</v>
      </c>
      <c r="N402" s="9" t="str">
        <f aca="false">IF(H402="Revisar","NULL",CONCATENATE("'",H402,"'"))</f>
        <v>'MARACAIBO'</v>
      </c>
      <c r="O402" s="9" t="str">
        <f aca="false">IF(I402="Revisar","NULL",CONCATENATE("'",I402,"'"))</f>
        <v>'ZU'</v>
      </c>
      <c r="P402" s="1" t="str">
        <f aca="false">"UPDATE estudiantes SET fecha_nacimiento="&amp;L402&amp;", sexo="&amp;M402&amp;", lugar_nacimiento="&amp;N402&amp;", entidad_federal="&amp;O402&amp;" WHERE cedula='"&amp;K402&amp;"';"</f>
        <v>UPDATE estudiantes SET fecha_nacimiento='2011-10-25', sexo='M', lugar_nacimiento='MARACAIBO', entidad_federal='ZU' WHERE cedula='34407773';</v>
      </c>
    </row>
    <row r="403" customFormat="false" ht="14.9" hidden="false" customHeight="false" outlineLevel="0" collapsed="false">
      <c r="A403" s="1" t="s">
        <v>15</v>
      </c>
      <c r="B403" s="1" t="s">
        <v>356</v>
      </c>
      <c r="C403" s="1" t="s">
        <v>89</v>
      </c>
      <c r="D403" s="1" t="s">
        <v>428</v>
      </c>
      <c r="E403" s="2" t="n">
        <v>45924</v>
      </c>
      <c r="F403" s="2" t="n">
        <f aca="false">IFERROR(VLOOKUP(TRIM($D403), Hoja4_2!$A$2:$L$10000, 4, 0), "Revisar")</f>
        <v>40791</v>
      </c>
      <c r="G403" s="7" t="str">
        <f aca="false">IFERROR(VLOOKUP(TRIM($D403), Hoja4_2!$A$2:$L$10000, 5, 0), "Revisar")</f>
        <v>FEMENINO</v>
      </c>
      <c r="H403" s="7" t="str">
        <f aca="false">IFERROR(VLOOKUP(TRIM($D403), Hoja4_2!$A$2:$L$10000, 7, 0), "Revisar")</f>
        <v>MARACAIBO</v>
      </c>
      <c r="I403" s="7" t="str">
        <f aca="false">IFERROR(VLOOKUP(TRIM($D403), Hoja4_2!$A$2:$L$10000, 9, 0), "Revisar")</f>
        <v>ZU</v>
      </c>
      <c r="J403" s="7" t="str">
        <f aca="false">IFERROR(VLOOKUP(TRIM($D403), Hoja4_2!$A$2:$L$10000, 12, 0), "Revisar")</f>
        <v>19810644</v>
      </c>
      <c r="K403" s="8" t="str">
        <f aca="false">TEXT(TRIM(D403),"0")</f>
        <v>34407949</v>
      </c>
      <c r="L403" s="1" t="str">
        <f aca="false">IF(F403="Revisar","NULL",CONCATENATE("'",TEXT(F403,"yyyy-mm-dd"),"'"))</f>
        <v>'2011-09-05'</v>
      </c>
      <c r="M403" s="9" t="str">
        <f aca="false">IF(G403="Revisar","NULL",CONCATENATE("'",MID(G403,1,1),"'"))</f>
        <v>'F'</v>
      </c>
      <c r="N403" s="9" t="str">
        <f aca="false">IF(H403="Revisar","NULL",CONCATENATE("'",H403,"'"))</f>
        <v>'MARACAIBO'</v>
      </c>
      <c r="O403" s="9" t="str">
        <f aca="false">IF(I403="Revisar","NULL",CONCATENATE("'",I403,"'"))</f>
        <v>'ZU'</v>
      </c>
      <c r="P403" s="1" t="str">
        <f aca="false">"UPDATE estudiantes SET fecha_nacimiento="&amp;L403&amp;", sexo="&amp;M403&amp;", lugar_nacimiento="&amp;N403&amp;", entidad_federal="&amp;O403&amp;" WHERE cedula='"&amp;K403&amp;"';"</f>
        <v>UPDATE estudiantes SET fecha_nacimiento='2011-09-05', sexo='F', lugar_nacimiento='MARACAIBO', entidad_federal='ZU' WHERE cedula='34407949';</v>
      </c>
    </row>
    <row r="404" customFormat="false" ht="14.9" hidden="false" customHeight="false" outlineLevel="0" collapsed="false">
      <c r="A404" s="1" t="s">
        <v>15</v>
      </c>
      <c r="B404" s="1" t="s">
        <v>356</v>
      </c>
      <c r="C404" s="1" t="s">
        <v>89</v>
      </c>
      <c r="D404" s="1" t="s">
        <v>429</v>
      </c>
      <c r="E404" s="2" t="n">
        <v>45924</v>
      </c>
      <c r="F404" s="2" t="n">
        <f aca="false">IFERROR(VLOOKUP(TRIM($D404), Hoja4_2!$A$2:$L$10000, 4, 0), "Revisar")</f>
        <v>40934</v>
      </c>
      <c r="G404" s="7" t="str">
        <f aca="false">IFERROR(VLOOKUP(TRIM($D404), Hoja4_2!$A$2:$L$10000, 5, 0), "Revisar")</f>
        <v>MASCULINO</v>
      </c>
      <c r="H404" s="7" t="str">
        <f aca="false">IFERROR(VLOOKUP(TRIM($D404), Hoja4_2!$A$2:$L$10000, 7, 0), "Revisar")</f>
        <v>MARACAIBO</v>
      </c>
      <c r="I404" s="7" t="str">
        <f aca="false">IFERROR(VLOOKUP(TRIM($D404), Hoja4_2!$A$2:$L$10000, 9, 0), "Revisar")</f>
        <v>ZU</v>
      </c>
      <c r="J404" s="7" t="str">
        <f aca="false">IFERROR(VLOOKUP(TRIM($D404), Hoja4_2!$A$2:$L$10000, 12, 0), "Revisar")</f>
        <v>99999999</v>
      </c>
      <c r="K404" s="8" t="str">
        <f aca="false">TEXT(TRIM(D404),"0")</f>
        <v>34463164</v>
      </c>
      <c r="L404" s="1" t="str">
        <f aca="false">IF(F404="Revisar","NULL",CONCATENATE("'",TEXT(F404,"yyyy-mm-dd"),"'"))</f>
        <v>'2012-01-26'</v>
      </c>
      <c r="M404" s="9" t="str">
        <f aca="false">IF(G404="Revisar","NULL",CONCATENATE("'",MID(G404,1,1),"'"))</f>
        <v>'M'</v>
      </c>
      <c r="N404" s="9" t="str">
        <f aca="false">IF(H404="Revisar","NULL",CONCATENATE("'",H404,"'"))</f>
        <v>'MARACAIBO'</v>
      </c>
      <c r="O404" s="9" t="str">
        <f aca="false">IF(I404="Revisar","NULL",CONCATENATE("'",I404,"'"))</f>
        <v>'ZU'</v>
      </c>
      <c r="P404" s="1" t="str">
        <f aca="false">"UPDATE estudiantes SET fecha_nacimiento="&amp;L404&amp;", sexo="&amp;M404&amp;", lugar_nacimiento="&amp;N404&amp;", entidad_federal="&amp;O404&amp;" WHERE cedula='"&amp;K404&amp;"';"</f>
        <v>UPDATE estudiantes SET fecha_nacimiento='2012-01-26', sexo='M', lugar_nacimiento='MARACAIBO', entidad_federal='ZU' WHERE cedula='34463164';</v>
      </c>
    </row>
    <row r="405" customFormat="false" ht="14.9" hidden="false" customHeight="false" outlineLevel="0" collapsed="false">
      <c r="A405" s="1" t="s">
        <v>15</v>
      </c>
      <c r="B405" s="1" t="s">
        <v>356</v>
      </c>
      <c r="C405" s="1" t="s">
        <v>89</v>
      </c>
      <c r="D405" s="1" t="s">
        <v>430</v>
      </c>
      <c r="E405" s="2" t="n">
        <v>45924</v>
      </c>
      <c r="F405" s="2" t="n">
        <f aca="false">IFERROR(VLOOKUP(TRIM($D405), Hoja4_2!$A$2:$L$10000, 4, 0), "Revisar")</f>
        <v>40853</v>
      </c>
      <c r="G405" s="7" t="str">
        <f aca="false">IFERROR(VLOOKUP(TRIM($D405), Hoja4_2!$A$2:$L$10000, 5, 0), "Revisar")</f>
        <v>FEMENINO</v>
      </c>
      <c r="H405" s="7" t="str">
        <f aca="false">IFERROR(VLOOKUP(TRIM($D405), Hoja4_2!$A$2:$L$10000, 7, 0), "Revisar")</f>
        <v>MARACAIBO</v>
      </c>
      <c r="I405" s="7" t="str">
        <f aca="false">IFERROR(VLOOKUP(TRIM($D405), Hoja4_2!$A$2:$L$10000, 9, 0), "Revisar")</f>
        <v>ZU</v>
      </c>
      <c r="J405" s="7" t="str">
        <f aca="false">IFERROR(VLOOKUP(TRIM($D405), Hoja4_2!$A$2:$L$10000, 12, 0), "Revisar")</f>
        <v>99999999</v>
      </c>
      <c r="K405" s="8" t="str">
        <f aca="false">TEXT(TRIM(D405),"0")</f>
        <v>34475017</v>
      </c>
      <c r="L405" s="1" t="str">
        <f aca="false">IF(F405="Revisar","NULL",CONCATENATE("'",TEXT(F405,"yyyy-mm-dd"),"'"))</f>
        <v>'2011-11-06'</v>
      </c>
      <c r="M405" s="9" t="str">
        <f aca="false">IF(G405="Revisar","NULL",CONCATENATE("'",MID(G405,1,1),"'"))</f>
        <v>'F'</v>
      </c>
      <c r="N405" s="9" t="str">
        <f aca="false">IF(H405="Revisar","NULL",CONCATENATE("'",H405,"'"))</f>
        <v>'MARACAIBO'</v>
      </c>
      <c r="O405" s="9" t="str">
        <f aca="false">IF(I405="Revisar","NULL",CONCATENATE("'",I405,"'"))</f>
        <v>'ZU'</v>
      </c>
      <c r="P405" s="1" t="str">
        <f aca="false">"UPDATE estudiantes SET fecha_nacimiento="&amp;L405&amp;", sexo="&amp;M405&amp;", lugar_nacimiento="&amp;N405&amp;", entidad_federal="&amp;O405&amp;" WHERE cedula='"&amp;K405&amp;"';"</f>
        <v>UPDATE estudiantes SET fecha_nacimiento='2011-11-06', sexo='F', lugar_nacimiento='MARACAIBO', entidad_federal='ZU' WHERE cedula='34475017';</v>
      </c>
    </row>
    <row r="406" customFormat="false" ht="14.9" hidden="false" customHeight="false" outlineLevel="0" collapsed="false">
      <c r="A406" s="1" t="s">
        <v>15</v>
      </c>
      <c r="B406" s="1" t="s">
        <v>356</v>
      </c>
      <c r="C406" s="1" t="s">
        <v>89</v>
      </c>
      <c r="D406" s="1" t="s">
        <v>431</v>
      </c>
      <c r="E406" s="2" t="n">
        <v>45924</v>
      </c>
      <c r="F406" s="2" t="n">
        <f aca="false">IFERROR(VLOOKUP(TRIM($D406), Hoja4_2!$A$2:$L$10000, 4, 0), "Revisar")</f>
        <v>40364</v>
      </c>
      <c r="G406" s="7" t="str">
        <f aca="false">IFERROR(VLOOKUP(TRIM($D406), Hoja4_2!$A$2:$L$10000, 5, 0), "Revisar")</f>
        <v>FEMENINO</v>
      </c>
      <c r="H406" s="7" t="str">
        <f aca="false">IFERROR(VLOOKUP(TRIM($D406), Hoja4_2!$A$2:$L$10000, 7, 0), "Revisar")</f>
        <v>MARACAIBO</v>
      </c>
      <c r="I406" s="7" t="str">
        <f aca="false">IFERROR(VLOOKUP(TRIM($D406), Hoja4_2!$A$2:$L$10000, 9, 0), "Revisar")</f>
        <v>ZU</v>
      </c>
      <c r="J406" s="7" t="str">
        <f aca="false">IFERROR(VLOOKUP(TRIM($D406), Hoja4_2!$A$2:$L$10000, 12, 0), "Revisar")</f>
        <v>23706797</v>
      </c>
      <c r="K406" s="8" t="str">
        <f aca="false">TEXT(TRIM(D406),"0")</f>
        <v>34528734</v>
      </c>
      <c r="L406" s="1" t="str">
        <f aca="false">IF(F406="Revisar","NULL",CONCATENATE("'",TEXT(F406,"yyyy-mm-dd"),"'"))</f>
        <v>'2010-07-05'</v>
      </c>
      <c r="M406" s="9" t="str">
        <f aca="false">IF(G406="Revisar","NULL",CONCATENATE("'",MID(G406,1,1),"'"))</f>
        <v>'F'</v>
      </c>
      <c r="N406" s="9" t="str">
        <f aca="false">IF(H406="Revisar","NULL",CONCATENATE("'",H406,"'"))</f>
        <v>'MARACAIBO'</v>
      </c>
      <c r="O406" s="9" t="str">
        <f aca="false">IF(I406="Revisar","NULL",CONCATENATE("'",I406,"'"))</f>
        <v>'ZU'</v>
      </c>
      <c r="P406" s="1" t="str">
        <f aca="false">"UPDATE estudiantes SET fecha_nacimiento="&amp;L406&amp;", sexo="&amp;M406&amp;", lugar_nacimiento="&amp;N406&amp;", entidad_federal="&amp;O406&amp;" WHERE cedula='"&amp;K406&amp;"';"</f>
        <v>UPDATE estudiantes SET fecha_nacimiento='2010-07-05', sexo='F', lugar_nacimiento='MARACAIBO', entidad_federal='ZU' WHERE cedula='34528734';</v>
      </c>
    </row>
    <row r="407" customFormat="false" ht="14.9" hidden="false" customHeight="false" outlineLevel="0" collapsed="false">
      <c r="A407" s="1" t="s">
        <v>15</v>
      </c>
      <c r="B407" s="1" t="s">
        <v>356</v>
      </c>
      <c r="C407" s="1" t="s">
        <v>89</v>
      </c>
      <c r="D407" s="1" t="s">
        <v>432</v>
      </c>
      <c r="E407" s="2" t="n">
        <v>45924</v>
      </c>
      <c r="F407" s="2" t="n">
        <f aca="false">IFERROR(VLOOKUP(TRIM($D407), Hoja4_2!$A$2:$L$10000, 4, 0), "Revisar")</f>
        <v>40598</v>
      </c>
      <c r="G407" s="7" t="str">
        <f aca="false">IFERROR(VLOOKUP(TRIM($D407), Hoja4_2!$A$2:$L$10000, 5, 0), "Revisar")</f>
        <v>MASCULINO</v>
      </c>
      <c r="H407" s="7" t="str">
        <f aca="false">IFERROR(VLOOKUP(TRIM($D407), Hoja4_2!$A$2:$L$10000, 7, 0), "Revisar")</f>
        <v>JESUS ENRIQUE LOSSADA </v>
      </c>
      <c r="I407" s="7" t="str">
        <f aca="false">IFERROR(VLOOKUP(TRIM($D407), Hoja4_2!$A$2:$L$10000, 9, 0), "Revisar")</f>
        <v>ZU</v>
      </c>
      <c r="J407" s="7" t="str">
        <f aca="false">IFERROR(VLOOKUP(TRIM($D407), Hoja4_2!$A$2:$L$10000, 12, 0), "Revisar")</f>
        <v>15524051</v>
      </c>
      <c r="K407" s="8" t="str">
        <f aca="false">TEXT(TRIM(D407),"0")</f>
        <v>34565904</v>
      </c>
      <c r="L407" s="1" t="str">
        <f aca="false">IF(F407="Revisar","NULL",CONCATENATE("'",TEXT(F407,"yyyy-mm-dd"),"'"))</f>
        <v>'2011-02-24'</v>
      </c>
      <c r="M407" s="9" t="str">
        <f aca="false">IF(G407="Revisar","NULL",CONCATENATE("'",MID(G407,1,1),"'"))</f>
        <v>'M'</v>
      </c>
      <c r="N407" s="9" t="str">
        <f aca="false">IF(H407="Revisar","NULL",CONCATENATE("'",H407,"'"))</f>
        <v>'JESUS ENRIQUE LOSSADA '</v>
      </c>
      <c r="O407" s="9" t="str">
        <f aca="false">IF(I407="Revisar","NULL",CONCATENATE("'",I407,"'"))</f>
        <v>'ZU'</v>
      </c>
      <c r="P407" s="1" t="str">
        <f aca="false">"UPDATE estudiantes SET fecha_nacimiento="&amp;L407&amp;", sexo="&amp;M407&amp;", lugar_nacimiento="&amp;N407&amp;", entidad_federal="&amp;O407&amp;" WHERE cedula='"&amp;K407&amp;"';"</f>
        <v>UPDATE estudiantes SET fecha_nacimiento='2011-02-24', sexo='M', lugar_nacimiento='JESUS ENRIQUE LOSSADA ', entidad_federal='ZU' WHERE cedula='34565904';</v>
      </c>
    </row>
    <row r="408" customFormat="false" ht="14.9" hidden="false" customHeight="false" outlineLevel="0" collapsed="false">
      <c r="A408" s="1" t="s">
        <v>15</v>
      </c>
      <c r="B408" s="1" t="s">
        <v>356</v>
      </c>
      <c r="C408" s="1" t="s">
        <v>89</v>
      </c>
      <c r="D408" s="1" t="s">
        <v>433</v>
      </c>
      <c r="E408" s="2" t="n">
        <v>45924</v>
      </c>
      <c r="F408" s="2" t="n">
        <f aca="false">IFERROR(VLOOKUP(TRIM($D408), Hoja4_2!$A$2:$L$10000, 4, 0), "Revisar")</f>
        <v>40476</v>
      </c>
      <c r="G408" s="7" t="str">
        <f aca="false">IFERROR(VLOOKUP(TRIM($D408), Hoja4_2!$A$2:$L$10000, 5, 0), "Revisar")</f>
        <v>MASCULINO</v>
      </c>
      <c r="H408" s="7" t="str">
        <f aca="false">IFERROR(VLOOKUP(TRIM($D408), Hoja4_2!$A$2:$L$10000, 7, 0), "Revisar")</f>
        <v>MARACAIBO</v>
      </c>
      <c r="I408" s="7" t="str">
        <f aca="false">IFERROR(VLOOKUP(TRIM($D408), Hoja4_2!$A$2:$L$10000, 9, 0), "Revisar")</f>
        <v>ZU</v>
      </c>
      <c r="J408" s="7" t="str">
        <f aca="false">IFERROR(VLOOKUP(TRIM($D408), Hoja4_2!$A$2:$L$10000, 12, 0), "Revisar")</f>
        <v>16679963</v>
      </c>
      <c r="K408" s="8" t="str">
        <f aca="false">TEXT(TRIM(D408),"0")</f>
        <v>34620635</v>
      </c>
      <c r="L408" s="1" t="str">
        <f aca="false">IF(F408="Revisar","NULL",CONCATENATE("'",TEXT(F408,"yyyy-mm-dd"),"'"))</f>
        <v>'2010-10-25'</v>
      </c>
      <c r="M408" s="9" t="str">
        <f aca="false">IF(G408="Revisar","NULL",CONCATENATE("'",MID(G408,1,1),"'"))</f>
        <v>'M'</v>
      </c>
      <c r="N408" s="9" t="str">
        <f aca="false">IF(H408="Revisar","NULL",CONCATENATE("'",H408,"'"))</f>
        <v>'MARACAIBO'</v>
      </c>
      <c r="O408" s="9" t="str">
        <f aca="false">IF(I408="Revisar","NULL",CONCATENATE("'",I408,"'"))</f>
        <v>'ZU'</v>
      </c>
      <c r="P408" s="1" t="str">
        <f aca="false">"UPDATE estudiantes SET fecha_nacimiento="&amp;L408&amp;", sexo="&amp;M408&amp;", lugar_nacimiento="&amp;N408&amp;", entidad_federal="&amp;O408&amp;" WHERE cedula='"&amp;K408&amp;"';"</f>
        <v>UPDATE estudiantes SET fecha_nacimiento='2010-10-25', sexo='M', lugar_nacimiento='MARACAIBO', entidad_federal='ZU' WHERE cedula='34620635';</v>
      </c>
    </row>
    <row r="409" customFormat="false" ht="14.9" hidden="false" customHeight="false" outlineLevel="0" collapsed="false">
      <c r="A409" s="1" t="s">
        <v>15</v>
      </c>
      <c r="B409" s="1" t="s">
        <v>356</v>
      </c>
      <c r="C409" s="1" t="s">
        <v>89</v>
      </c>
      <c r="D409" s="1" t="s">
        <v>434</v>
      </c>
      <c r="E409" s="2" t="n">
        <v>45924</v>
      </c>
      <c r="F409" s="2" t="n">
        <f aca="false">IFERROR(VLOOKUP(TRIM($D409), Hoja4_2!$A$2:$L$10000, 4, 0), "Revisar")</f>
        <v>40296</v>
      </c>
      <c r="G409" s="7" t="str">
        <f aca="false">IFERROR(VLOOKUP(TRIM($D409), Hoja4_2!$A$2:$L$10000, 5, 0), "Revisar")</f>
        <v>MASCULINO</v>
      </c>
      <c r="H409" s="7" t="str">
        <f aca="false">IFERROR(VLOOKUP(TRIM($D409), Hoja4_2!$A$2:$L$10000, 7, 0), "Revisar")</f>
        <v>MARACAIBO</v>
      </c>
      <c r="I409" s="7" t="str">
        <f aca="false">IFERROR(VLOOKUP(TRIM($D409), Hoja4_2!$A$2:$L$10000, 9, 0), "Revisar")</f>
        <v>ZU</v>
      </c>
      <c r="J409" s="7" t="str">
        <f aca="false">IFERROR(VLOOKUP(TRIM($D409), Hoja4_2!$A$2:$L$10000, 12, 0), "Revisar")</f>
        <v>99999999</v>
      </c>
      <c r="K409" s="8" t="str">
        <f aca="false">TEXT(TRIM(D409),"0")</f>
        <v>34620637</v>
      </c>
      <c r="L409" s="1" t="str">
        <f aca="false">IF(F409="Revisar","NULL",CONCATENATE("'",TEXT(F409,"yyyy-mm-dd"),"'"))</f>
        <v>'2010-04-28'</v>
      </c>
      <c r="M409" s="9" t="str">
        <f aca="false">IF(G409="Revisar","NULL",CONCATENATE("'",MID(G409,1,1),"'"))</f>
        <v>'M'</v>
      </c>
      <c r="N409" s="9" t="str">
        <f aca="false">IF(H409="Revisar","NULL",CONCATENATE("'",H409,"'"))</f>
        <v>'MARACAIBO'</v>
      </c>
      <c r="O409" s="9" t="str">
        <f aca="false">IF(I409="Revisar","NULL",CONCATENATE("'",I409,"'"))</f>
        <v>'ZU'</v>
      </c>
      <c r="P409" s="1" t="str">
        <f aca="false">"UPDATE estudiantes SET fecha_nacimiento="&amp;L409&amp;", sexo="&amp;M409&amp;", lugar_nacimiento="&amp;N409&amp;", entidad_federal="&amp;O409&amp;" WHERE cedula='"&amp;K409&amp;"';"</f>
        <v>UPDATE estudiantes SET fecha_nacimiento='2010-04-28', sexo='M', lugar_nacimiento='MARACAIBO', entidad_federal='ZU' WHERE cedula='34620637';</v>
      </c>
    </row>
    <row r="410" customFormat="false" ht="14.9" hidden="false" customHeight="false" outlineLevel="0" collapsed="false">
      <c r="A410" s="1" t="s">
        <v>15</v>
      </c>
      <c r="B410" s="1" t="s">
        <v>356</v>
      </c>
      <c r="C410" s="1" t="s">
        <v>89</v>
      </c>
      <c r="D410" s="1" t="s">
        <v>435</v>
      </c>
      <c r="E410" s="2" t="n">
        <v>45924</v>
      </c>
      <c r="F410" s="2" t="n">
        <f aca="false">IFERROR(VLOOKUP(TRIM($D410), Hoja4_2!$A$2:$L$10000, 4, 0), "Revisar")</f>
        <v>40774</v>
      </c>
      <c r="G410" s="7" t="str">
        <f aca="false">IFERROR(VLOOKUP(TRIM($D410), Hoja4_2!$A$2:$L$10000, 5, 0), "Revisar")</f>
        <v>MASCULINO</v>
      </c>
      <c r="H410" s="7" t="str">
        <f aca="false">IFERROR(VLOOKUP(TRIM($D410), Hoja4_2!$A$2:$L$10000, 7, 0), "Revisar")</f>
        <v>MARACAIBO</v>
      </c>
      <c r="I410" s="7" t="str">
        <f aca="false">IFERROR(VLOOKUP(TRIM($D410), Hoja4_2!$A$2:$L$10000, 9, 0), "Revisar")</f>
        <v>ZU</v>
      </c>
      <c r="J410" s="7" t="str">
        <f aca="false">IFERROR(VLOOKUP(TRIM($D410), Hoja4_2!$A$2:$L$10000, 12, 0), "Revisar")</f>
        <v>99999999</v>
      </c>
      <c r="K410" s="8" t="str">
        <f aca="false">TEXT(TRIM(D410),"0")</f>
        <v>34627852</v>
      </c>
      <c r="L410" s="1" t="str">
        <f aca="false">IF(F410="Revisar","NULL",CONCATENATE("'",TEXT(F410,"yyyy-mm-dd"),"'"))</f>
        <v>'2011-08-19'</v>
      </c>
      <c r="M410" s="9" t="str">
        <f aca="false">IF(G410="Revisar","NULL",CONCATENATE("'",MID(G410,1,1),"'"))</f>
        <v>'M'</v>
      </c>
      <c r="N410" s="9" t="str">
        <f aca="false">IF(H410="Revisar","NULL",CONCATENATE("'",H410,"'"))</f>
        <v>'MARACAIBO'</v>
      </c>
      <c r="O410" s="9" t="str">
        <f aca="false">IF(I410="Revisar","NULL",CONCATENATE("'",I410,"'"))</f>
        <v>'ZU'</v>
      </c>
      <c r="P410" s="1" t="str">
        <f aca="false">"UPDATE estudiantes SET fecha_nacimiento="&amp;L410&amp;", sexo="&amp;M410&amp;", lugar_nacimiento="&amp;N410&amp;", entidad_federal="&amp;O410&amp;" WHERE cedula='"&amp;K410&amp;"';"</f>
        <v>UPDATE estudiantes SET fecha_nacimiento='2011-08-19', sexo='M', lugar_nacimiento='MARACAIBO', entidad_federal='ZU' WHERE cedula='34627852';</v>
      </c>
    </row>
    <row r="411" customFormat="false" ht="14.9" hidden="false" customHeight="false" outlineLevel="0" collapsed="false">
      <c r="A411" s="1" t="s">
        <v>15</v>
      </c>
      <c r="B411" s="1" t="s">
        <v>356</v>
      </c>
      <c r="C411" s="1" t="s">
        <v>89</v>
      </c>
      <c r="D411" s="1" t="s">
        <v>436</v>
      </c>
      <c r="E411" s="2" t="n">
        <v>45924</v>
      </c>
      <c r="F411" s="2" t="n">
        <f aca="false">IFERROR(VLOOKUP(TRIM($D411), Hoja4_2!$A$2:$L$10000, 4, 0), "Revisar")</f>
        <v>40671</v>
      </c>
      <c r="G411" s="7" t="str">
        <f aca="false">IFERROR(VLOOKUP(TRIM($D411), Hoja4_2!$A$2:$L$10000, 5, 0), "Revisar")</f>
        <v>FEMENINO</v>
      </c>
      <c r="H411" s="7" t="str">
        <f aca="false">IFERROR(VLOOKUP(TRIM($D411), Hoja4_2!$A$2:$L$10000, 7, 0), "Revisar")</f>
        <v>MARACAIBO</v>
      </c>
      <c r="I411" s="7" t="str">
        <f aca="false">IFERROR(VLOOKUP(TRIM($D411), Hoja4_2!$A$2:$L$10000, 9, 0), "Revisar")</f>
        <v>ZU</v>
      </c>
      <c r="J411" s="7" t="str">
        <f aca="false">IFERROR(VLOOKUP(TRIM($D411), Hoja4_2!$A$2:$L$10000, 12, 0), "Revisar")</f>
        <v>99999999</v>
      </c>
      <c r="K411" s="8" t="str">
        <f aca="false">TEXT(TRIM(D411),"0")</f>
        <v>34638763</v>
      </c>
      <c r="L411" s="1" t="str">
        <f aca="false">IF(F411="Revisar","NULL",CONCATENATE("'",TEXT(F411,"yyyy-mm-dd"),"'"))</f>
        <v>'2011-05-08'</v>
      </c>
      <c r="M411" s="9" t="str">
        <f aca="false">IF(G411="Revisar","NULL",CONCATENATE("'",MID(G411,1,1),"'"))</f>
        <v>'F'</v>
      </c>
      <c r="N411" s="9" t="str">
        <f aca="false">IF(H411="Revisar","NULL",CONCATENATE("'",H411,"'"))</f>
        <v>'MARACAIBO'</v>
      </c>
      <c r="O411" s="9" t="str">
        <f aca="false">IF(I411="Revisar","NULL",CONCATENATE("'",I411,"'"))</f>
        <v>'ZU'</v>
      </c>
      <c r="P411" s="1" t="str">
        <f aca="false">"UPDATE estudiantes SET fecha_nacimiento="&amp;L411&amp;", sexo="&amp;M411&amp;", lugar_nacimiento="&amp;N411&amp;", entidad_federal="&amp;O411&amp;" WHERE cedula='"&amp;K411&amp;"';"</f>
        <v>UPDATE estudiantes SET fecha_nacimiento='2011-05-08', sexo='F', lugar_nacimiento='MARACAIBO', entidad_federal='ZU' WHERE cedula='34638763';</v>
      </c>
    </row>
    <row r="412" customFormat="false" ht="14.9" hidden="false" customHeight="false" outlineLevel="0" collapsed="false">
      <c r="A412" s="1" t="s">
        <v>15</v>
      </c>
      <c r="B412" s="1" t="s">
        <v>356</v>
      </c>
      <c r="C412" s="1" t="s">
        <v>89</v>
      </c>
      <c r="D412" s="1" t="s">
        <v>437</v>
      </c>
      <c r="E412" s="2" t="n">
        <v>45924</v>
      </c>
      <c r="F412" s="2" t="n">
        <f aca="false">IFERROR(VLOOKUP(TRIM($D412), Hoja4_2!$A$2:$L$10000, 4, 0), "Revisar")</f>
        <v>40691</v>
      </c>
      <c r="G412" s="7" t="str">
        <f aca="false">IFERROR(VLOOKUP(TRIM($D412), Hoja4_2!$A$2:$L$10000, 5, 0), "Revisar")</f>
        <v>FEMENINO</v>
      </c>
      <c r="H412" s="7" t="str">
        <f aca="false">IFERROR(VLOOKUP(TRIM($D412), Hoja4_2!$A$2:$L$10000, 7, 0), "Revisar")</f>
        <v>JESUS ENRIQUE LOSSADA</v>
      </c>
      <c r="I412" s="7" t="str">
        <f aca="false">IFERROR(VLOOKUP(TRIM($D412), Hoja4_2!$A$2:$L$10000, 9, 0), "Revisar")</f>
        <v>ZU</v>
      </c>
      <c r="J412" s="7" t="str">
        <f aca="false">IFERROR(VLOOKUP(TRIM($D412), Hoja4_2!$A$2:$L$10000, 12, 0), "Revisar")</f>
        <v>99999999</v>
      </c>
      <c r="K412" s="8" t="str">
        <f aca="false">TEXT(TRIM(D412),"0")</f>
        <v>34715455</v>
      </c>
      <c r="L412" s="1" t="str">
        <f aca="false">IF(F412="Revisar","NULL",CONCATENATE("'",TEXT(F412,"yyyy-mm-dd"),"'"))</f>
        <v>'2011-05-28'</v>
      </c>
      <c r="M412" s="9" t="str">
        <f aca="false">IF(G412="Revisar","NULL",CONCATENATE("'",MID(G412,1,1),"'"))</f>
        <v>'F'</v>
      </c>
      <c r="N412" s="9" t="str">
        <f aca="false">IF(H412="Revisar","NULL",CONCATENATE("'",H412,"'"))</f>
        <v>'JESUS ENRIQUE LOSSADA'</v>
      </c>
      <c r="O412" s="9" t="str">
        <f aca="false">IF(I412="Revisar","NULL",CONCATENATE("'",I412,"'"))</f>
        <v>'ZU'</v>
      </c>
      <c r="P412" s="1" t="str">
        <f aca="false">"UPDATE estudiantes SET fecha_nacimiento="&amp;L412&amp;", sexo="&amp;M412&amp;", lugar_nacimiento="&amp;N412&amp;", entidad_federal="&amp;O412&amp;" WHERE cedula='"&amp;K412&amp;"';"</f>
        <v>UPDATE estudiantes SET fecha_nacimiento='2011-05-28', sexo='F', lugar_nacimiento='JESUS ENRIQUE LOSSADA', entidad_federal='ZU' WHERE cedula='34715455';</v>
      </c>
    </row>
    <row r="413" customFormat="false" ht="14.9" hidden="false" customHeight="false" outlineLevel="0" collapsed="false">
      <c r="A413" s="1" t="s">
        <v>15</v>
      </c>
      <c r="B413" s="1" t="s">
        <v>356</v>
      </c>
      <c r="C413" s="1" t="s">
        <v>89</v>
      </c>
      <c r="D413" s="1" t="s">
        <v>438</v>
      </c>
      <c r="E413" s="2" t="n">
        <v>45924</v>
      </c>
      <c r="F413" s="2" t="n">
        <f aca="false">IFERROR(VLOOKUP(TRIM($D413), Hoja4_2!$A$2:$L$10000, 4, 0), "Revisar")</f>
        <v>40717</v>
      </c>
      <c r="G413" s="7" t="str">
        <f aca="false">IFERROR(VLOOKUP(TRIM($D413), Hoja4_2!$A$2:$L$10000, 5, 0), "Revisar")</f>
        <v>MASCULINO</v>
      </c>
      <c r="H413" s="7" t="str">
        <f aca="false">IFERROR(VLOOKUP(TRIM($D413), Hoja4_2!$A$2:$L$10000, 7, 0), "Revisar")</f>
        <v>MARACAIBO</v>
      </c>
      <c r="I413" s="7" t="str">
        <f aca="false">IFERROR(VLOOKUP(TRIM($D413), Hoja4_2!$A$2:$L$10000, 9, 0), "Revisar")</f>
        <v>ZU</v>
      </c>
      <c r="J413" s="7" t="str">
        <f aca="false">IFERROR(VLOOKUP(TRIM($D413), Hoja4_2!$A$2:$L$10000, 12, 0), "Revisar")</f>
        <v>99999999</v>
      </c>
      <c r="K413" s="8" t="str">
        <f aca="false">TEXT(TRIM(D413),"0")</f>
        <v>35028582</v>
      </c>
      <c r="L413" s="1" t="str">
        <f aca="false">IF(F413="Revisar","NULL",CONCATENATE("'",TEXT(F413,"yyyy-mm-dd"),"'"))</f>
        <v>'2011-06-23'</v>
      </c>
      <c r="M413" s="9" t="str">
        <f aca="false">IF(G413="Revisar","NULL",CONCATENATE("'",MID(G413,1,1),"'"))</f>
        <v>'M'</v>
      </c>
      <c r="N413" s="9" t="str">
        <f aca="false">IF(H413="Revisar","NULL",CONCATENATE("'",H413,"'"))</f>
        <v>'MARACAIBO'</v>
      </c>
      <c r="O413" s="9" t="str">
        <f aca="false">IF(I413="Revisar","NULL",CONCATENATE("'",I413,"'"))</f>
        <v>'ZU'</v>
      </c>
      <c r="P413" s="1" t="str">
        <f aca="false">"UPDATE estudiantes SET fecha_nacimiento="&amp;L413&amp;", sexo="&amp;M413&amp;", lugar_nacimiento="&amp;N413&amp;", entidad_federal="&amp;O413&amp;" WHERE cedula='"&amp;K413&amp;"';"</f>
        <v>UPDATE estudiantes SET fecha_nacimiento='2011-06-23', sexo='M', lugar_nacimiento='MARACAIBO', entidad_federal='ZU' WHERE cedula='35028582';</v>
      </c>
    </row>
    <row r="414" customFormat="false" ht="14.9" hidden="false" customHeight="false" outlineLevel="0" collapsed="false">
      <c r="A414" s="1" t="s">
        <v>15</v>
      </c>
      <c r="B414" s="1" t="s">
        <v>356</v>
      </c>
      <c r="C414" s="1" t="s">
        <v>89</v>
      </c>
      <c r="D414" s="1" t="s">
        <v>439</v>
      </c>
      <c r="E414" s="2" t="n">
        <v>45924</v>
      </c>
      <c r="F414" s="2" t="n">
        <f aca="false">IFERROR(VLOOKUP(TRIM($D414), Hoja4_2!$A$2:$L$10000, 4, 0), "Revisar")</f>
        <v>40756</v>
      </c>
      <c r="G414" s="7" t="str">
        <f aca="false">IFERROR(VLOOKUP(TRIM($D414), Hoja4_2!$A$2:$L$10000, 5, 0), "Revisar")</f>
        <v>MASCULINO</v>
      </c>
      <c r="H414" s="7" t="str">
        <f aca="false">IFERROR(VLOOKUP(TRIM($D414), Hoja4_2!$A$2:$L$10000, 7, 0), "Revisar")</f>
        <v>JESUS ENRIQUE LOSSADA</v>
      </c>
      <c r="I414" s="7" t="str">
        <f aca="false">IFERROR(VLOOKUP(TRIM($D414), Hoja4_2!$A$2:$L$10000, 9, 0), "Revisar")</f>
        <v>ZU</v>
      </c>
      <c r="J414" s="7" t="str">
        <f aca="false">IFERROR(VLOOKUP(TRIM($D414), Hoja4_2!$A$2:$L$10000, 12, 0), "Revisar")</f>
        <v>99999999</v>
      </c>
      <c r="K414" s="8" t="str">
        <f aca="false">TEXT(TRIM(D414),"0")</f>
        <v>36009189</v>
      </c>
      <c r="L414" s="1" t="str">
        <f aca="false">IF(F414="Revisar","NULL",CONCATENATE("'",TEXT(F414,"yyyy-mm-dd"),"'"))</f>
        <v>'2011-08-01'</v>
      </c>
      <c r="M414" s="9" t="str">
        <f aca="false">IF(G414="Revisar","NULL",CONCATENATE("'",MID(G414,1,1),"'"))</f>
        <v>'M'</v>
      </c>
      <c r="N414" s="9" t="str">
        <f aca="false">IF(H414="Revisar","NULL",CONCATENATE("'",H414,"'"))</f>
        <v>'JESUS ENRIQUE LOSSADA'</v>
      </c>
      <c r="O414" s="9" t="str">
        <f aca="false">IF(I414="Revisar","NULL",CONCATENATE("'",I414,"'"))</f>
        <v>'ZU'</v>
      </c>
      <c r="P414" s="1" t="str">
        <f aca="false">"UPDATE estudiantes SET fecha_nacimiento="&amp;L414&amp;", sexo="&amp;M414&amp;", lugar_nacimiento="&amp;N414&amp;", entidad_federal="&amp;O414&amp;" WHERE cedula='"&amp;K414&amp;"';"</f>
        <v>UPDATE estudiantes SET fecha_nacimiento='2011-08-01', sexo='M', lugar_nacimiento='JESUS ENRIQUE LOSSADA', entidad_federal='ZU' WHERE cedula='36009189';</v>
      </c>
    </row>
    <row r="415" customFormat="false" ht="14.9" hidden="false" customHeight="false" outlineLevel="0" collapsed="false">
      <c r="A415" s="1" t="s">
        <v>15</v>
      </c>
      <c r="B415" s="1" t="s">
        <v>356</v>
      </c>
      <c r="C415" s="1" t="s">
        <v>89</v>
      </c>
      <c r="D415" s="1" t="s">
        <v>440</v>
      </c>
      <c r="E415" s="2" t="n">
        <v>45924</v>
      </c>
      <c r="F415" s="2" t="n">
        <f aca="false">IFERROR(VLOOKUP(TRIM($D415), Hoja4_2!$A$2:$L$10000, 4, 0), "Revisar")</f>
        <v>40174</v>
      </c>
      <c r="G415" s="7" t="str">
        <f aca="false">IFERROR(VLOOKUP(TRIM($D415), Hoja4_2!$A$2:$L$10000, 5, 0), "Revisar")</f>
        <v>MASCULINO</v>
      </c>
      <c r="H415" s="7" t="str">
        <f aca="false">IFERROR(VLOOKUP(TRIM($D415), Hoja4_2!$A$2:$L$10000, 7, 0), "Revisar")</f>
        <v>MARACAIBO</v>
      </c>
      <c r="I415" s="7" t="str">
        <f aca="false">IFERROR(VLOOKUP(TRIM($D415), Hoja4_2!$A$2:$L$10000, 9, 0), "Revisar")</f>
        <v>ZU</v>
      </c>
      <c r="J415" s="7" t="str">
        <f aca="false">IFERROR(VLOOKUP(TRIM($D415), Hoja4_2!$A$2:$L$10000, 12, 0), "Revisar")</f>
        <v>26276285</v>
      </c>
      <c r="K415" s="8" t="str">
        <f aca="false">TEXT(TRIM(D415),"0")</f>
        <v>37448104</v>
      </c>
      <c r="L415" s="1" t="str">
        <f aca="false">IF(F415="Revisar","NULL",CONCATENATE("'",TEXT(F415,"yyyy-mm-dd"),"'"))</f>
        <v>'2009-12-27'</v>
      </c>
      <c r="M415" s="9" t="str">
        <f aca="false">IF(G415="Revisar","NULL",CONCATENATE("'",MID(G415,1,1),"'"))</f>
        <v>'M'</v>
      </c>
      <c r="N415" s="9" t="str">
        <f aca="false">IF(H415="Revisar","NULL",CONCATENATE("'",H415,"'"))</f>
        <v>'MARACAIBO'</v>
      </c>
      <c r="O415" s="9" t="str">
        <f aca="false">IF(I415="Revisar","NULL",CONCATENATE("'",I415,"'"))</f>
        <v>'ZU'</v>
      </c>
      <c r="P415" s="1" t="str">
        <f aca="false">"UPDATE estudiantes SET fecha_nacimiento="&amp;L415&amp;", sexo="&amp;M415&amp;", lugar_nacimiento="&amp;N415&amp;", entidad_federal="&amp;O415&amp;" WHERE cedula='"&amp;K415&amp;"';"</f>
        <v>UPDATE estudiantes SET fecha_nacimiento='2009-12-27', sexo='M', lugar_nacimiento='MARACAIBO', entidad_federal='ZU' WHERE cedula='37448104';</v>
      </c>
    </row>
    <row r="416" customFormat="false" ht="14.9" hidden="false" customHeight="false" outlineLevel="0" collapsed="false">
      <c r="A416" s="1" t="s">
        <v>15</v>
      </c>
      <c r="B416" s="1" t="s">
        <v>356</v>
      </c>
      <c r="C416" s="1" t="s">
        <v>89</v>
      </c>
      <c r="D416" s="1" t="s">
        <v>441</v>
      </c>
      <c r="E416" s="2" t="n">
        <v>45924</v>
      </c>
      <c r="F416" s="2" t="n">
        <f aca="false">IFERROR(VLOOKUP(TRIM($D416), Hoja4_2!$A$2:$L$10000, 4, 0), "Revisar")</f>
        <v>39924</v>
      </c>
      <c r="G416" s="7" t="str">
        <f aca="false">IFERROR(VLOOKUP(TRIM($D416), Hoja4_2!$A$2:$L$10000, 5, 0), "Revisar")</f>
        <v>FEMENINO</v>
      </c>
      <c r="H416" s="7" t="str">
        <f aca="false">IFERROR(VLOOKUP(TRIM($D416), Hoja4_2!$A$2:$L$10000, 7, 0), "Revisar")</f>
        <v>MARACAIBO</v>
      </c>
      <c r="I416" s="7" t="str">
        <f aca="false">IFERROR(VLOOKUP(TRIM($D416), Hoja4_2!$A$2:$L$10000, 9, 0), "Revisar")</f>
        <v>ZU</v>
      </c>
      <c r="J416" s="7" t="str">
        <f aca="false">IFERROR(VLOOKUP(TRIM($D416), Hoja4_2!$A$2:$L$10000, 12, 0), "Revisar")</f>
        <v>99999999</v>
      </c>
      <c r="K416" s="8" t="str">
        <f aca="false">TEXT(TRIM(D416),"0")</f>
        <v>10909710142</v>
      </c>
      <c r="L416" s="1" t="str">
        <f aca="false">IF(F416="Revisar","NULL",CONCATENATE("'",TEXT(F416,"yyyy-mm-dd"),"'"))</f>
        <v>'2009-04-21'</v>
      </c>
      <c r="M416" s="9" t="str">
        <f aca="false">IF(G416="Revisar","NULL",CONCATENATE("'",MID(G416,1,1),"'"))</f>
        <v>'F'</v>
      </c>
      <c r="N416" s="9" t="str">
        <f aca="false">IF(H416="Revisar","NULL",CONCATENATE("'",H416,"'"))</f>
        <v>'MARACAIBO'</v>
      </c>
      <c r="O416" s="9" t="str">
        <f aca="false">IF(I416="Revisar","NULL",CONCATENATE("'",I416,"'"))</f>
        <v>'ZU'</v>
      </c>
      <c r="P416" s="1" t="str">
        <f aca="false">"UPDATE estudiantes SET fecha_nacimiento="&amp;L416&amp;", sexo="&amp;M416&amp;", lugar_nacimiento="&amp;N416&amp;", entidad_federal="&amp;O416&amp;" WHERE cedula='"&amp;K416&amp;"';"</f>
        <v>UPDATE estudiantes SET fecha_nacimiento='2009-04-21', sexo='F', lugar_nacimiento='MARACAIBO', entidad_federal='ZU' WHERE cedula='10909710142';</v>
      </c>
    </row>
    <row r="417" customFormat="false" ht="14.9" hidden="false" customHeight="false" outlineLevel="0" collapsed="false">
      <c r="A417" s="1" t="s">
        <v>15</v>
      </c>
      <c r="B417" s="1" t="s">
        <v>356</v>
      </c>
      <c r="C417" s="1" t="s">
        <v>89</v>
      </c>
      <c r="D417" s="1" t="s">
        <v>442</v>
      </c>
      <c r="E417" s="2" t="n">
        <v>45924</v>
      </c>
      <c r="F417" s="2" t="n">
        <f aca="false">IFERROR(VLOOKUP(TRIM($D417), Hoja4_2!$A$2:$L$10000, 4, 0), "Revisar")</f>
        <v>40383</v>
      </c>
      <c r="G417" s="7" t="str">
        <f aca="false">IFERROR(VLOOKUP(TRIM($D417), Hoja4_2!$A$2:$L$10000, 5, 0), "Revisar")</f>
        <v>FEMENINO</v>
      </c>
      <c r="H417" s="7" t="str">
        <f aca="false">IFERROR(VLOOKUP(TRIM($D417), Hoja4_2!$A$2:$L$10000, 7, 0), "Revisar")</f>
        <v>MARACAIBO</v>
      </c>
      <c r="I417" s="7" t="str">
        <f aca="false">IFERROR(VLOOKUP(TRIM($D417), Hoja4_2!$A$2:$L$10000, 9, 0), "Revisar")</f>
        <v>ZU</v>
      </c>
      <c r="J417" s="7" t="str">
        <f aca="false">IFERROR(VLOOKUP(TRIM($D417), Hoja4_2!$A$2:$L$10000, 12, 0), "Revisar")</f>
        <v>99999999</v>
      </c>
      <c r="K417" s="8" t="str">
        <f aca="false">TEXT(TRIM(D417),"0")</f>
        <v>11006709599</v>
      </c>
      <c r="L417" s="1" t="str">
        <f aca="false">IF(F417="Revisar","NULL",CONCATENATE("'",TEXT(F417,"yyyy-mm-dd"),"'"))</f>
        <v>'2010-07-24'</v>
      </c>
      <c r="M417" s="9" t="str">
        <f aca="false">IF(G417="Revisar","NULL",CONCATENATE("'",MID(G417,1,1),"'"))</f>
        <v>'F'</v>
      </c>
      <c r="N417" s="9" t="str">
        <f aca="false">IF(H417="Revisar","NULL",CONCATENATE("'",H417,"'"))</f>
        <v>'MARACAIBO'</v>
      </c>
      <c r="O417" s="9" t="str">
        <f aca="false">IF(I417="Revisar","NULL",CONCATENATE("'",I417,"'"))</f>
        <v>'ZU'</v>
      </c>
      <c r="P417" s="1" t="str">
        <f aca="false">"UPDATE estudiantes SET fecha_nacimiento="&amp;L417&amp;", sexo="&amp;M417&amp;", lugar_nacimiento="&amp;N417&amp;", entidad_federal="&amp;O417&amp;" WHERE cedula='"&amp;K417&amp;"';"</f>
        <v>UPDATE estudiantes SET fecha_nacimiento='2010-07-24', sexo='F', lugar_nacimiento='MARACAIBO', entidad_federal='ZU' WHERE cedula='11006709599';</v>
      </c>
    </row>
    <row r="418" customFormat="false" ht="14.9" hidden="false" customHeight="false" outlineLevel="0" collapsed="false">
      <c r="A418" s="1" t="s">
        <v>15</v>
      </c>
      <c r="B418" s="1" t="s">
        <v>356</v>
      </c>
      <c r="C418" s="1" t="s">
        <v>89</v>
      </c>
      <c r="D418" s="1" t="s">
        <v>443</v>
      </c>
      <c r="E418" s="2" t="n">
        <v>45924</v>
      </c>
      <c r="F418" s="2" t="n">
        <f aca="false">IFERROR(VLOOKUP(TRIM($D418), Hoja4_2!$A$2:$L$10000, 4, 0), "Revisar")</f>
        <v>40428</v>
      </c>
      <c r="G418" s="7" t="str">
        <f aca="false">IFERROR(VLOOKUP(TRIM($D418), Hoja4_2!$A$2:$L$10000, 5, 0), "Revisar")</f>
        <v>MASCULINO</v>
      </c>
      <c r="H418" s="7" t="str">
        <f aca="false">IFERROR(VLOOKUP(TRIM($D418), Hoja4_2!$A$2:$L$10000, 7, 0), "Revisar")</f>
        <v>JESUS ENRIQUE LOSSADA</v>
      </c>
      <c r="I418" s="7" t="str">
        <f aca="false">IFERROR(VLOOKUP(TRIM($D418), Hoja4_2!$A$2:$L$10000, 9, 0), "Revisar")</f>
        <v>ZU</v>
      </c>
      <c r="J418" s="7" t="str">
        <f aca="false">IFERROR(VLOOKUP(TRIM($D418), Hoja4_2!$A$2:$L$10000, 12, 0), "Revisar")</f>
        <v>99999999</v>
      </c>
      <c r="K418" s="8" t="str">
        <f aca="false">TEXT(TRIM(D418),"0")</f>
        <v>11013371798</v>
      </c>
      <c r="L418" s="1" t="str">
        <f aca="false">IF(F418="Revisar","NULL",CONCATENATE("'",TEXT(F418,"yyyy-mm-dd"),"'"))</f>
        <v>'2010-09-07'</v>
      </c>
      <c r="M418" s="9" t="str">
        <f aca="false">IF(G418="Revisar","NULL",CONCATENATE("'",MID(G418,1,1),"'"))</f>
        <v>'M'</v>
      </c>
      <c r="N418" s="9" t="str">
        <f aca="false">IF(H418="Revisar","NULL",CONCATENATE("'",H418,"'"))</f>
        <v>'JESUS ENRIQUE LOSSADA'</v>
      </c>
      <c r="O418" s="9" t="str">
        <f aca="false">IF(I418="Revisar","NULL",CONCATENATE("'",I418,"'"))</f>
        <v>'ZU'</v>
      </c>
      <c r="P418" s="1" t="str">
        <f aca="false">"UPDATE estudiantes SET fecha_nacimiento="&amp;L418&amp;", sexo="&amp;M418&amp;", lugar_nacimiento="&amp;N418&amp;", entidad_federal="&amp;O418&amp;" WHERE cedula='"&amp;K418&amp;"';"</f>
        <v>UPDATE estudiantes SET fecha_nacimiento='2010-09-07', sexo='M', lugar_nacimiento='JESUS ENRIQUE LOSSADA', entidad_federal='ZU' WHERE cedula='11013371798';</v>
      </c>
    </row>
    <row r="419" customFormat="false" ht="14.9" hidden="false" customHeight="false" outlineLevel="0" collapsed="false">
      <c r="A419" s="1" t="s">
        <v>15</v>
      </c>
      <c r="B419" s="1" t="s">
        <v>356</v>
      </c>
      <c r="C419" s="1" t="s">
        <v>89</v>
      </c>
      <c r="D419" s="1" t="s">
        <v>444</v>
      </c>
      <c r="E419" s="2" t="n">
        <v>45924</v>
      </c>
      <c r="F419" s="2" t="n">
        <f aca="false">IFERROR(VLOOKUP(TRIM($D419), Hoja4_2!$A$2:$L$10000, 4, 0), "Revisar")</f>
        <v>40460</v>
      </c>
      <c r="G419" s="7" t="str">
        <f aca="false">IFERROR(VLOOKUP(TRIM($D419), Hoja4_2!$A$2:$L$10000, 5, 0), "Revisar")</f>
        <v>MASCULINO</v>
      </c>
      <c r="H419" s="7" t="str">
        <f aca="false">IFERROR(VLOOKUP(TRIM($D419), Hoja4_2!$A$2:$L$10000, 7, 0), "Revisar")</f>
        <v>JESUS ENRIQUE LOSSADA</v>
      </c>
      <c r="I419" s="7" t="str">
        <f aca="false">IFERROR(VLOOKUP(TRIM($D419), Hoja4_2!$A$2:$L$10000, 9, 0), "Revisar")</f>
        <v>ZU</v>
      </c>
      <c r="J419" s="7" t="str">
        <f aca="false">IFERROR(VLOOKUP(TRIM($D419), Hoja4_2!$A$2:$L$10000, 12, 0), "Revisar")</f>
        <v>99999999</v>
      </c>
      <c r="K419" s="8" t="str">
        <f aca="false">TEXT(TRIM(D419),"0")</f>
        <v>11015466864</v>
      </c>
      <c r="L419" s="1" t="str">
        <f aca="false">IF(F419="Revisar","NULL",CONCATENATE("'",TEXT(F419,"yyyy-mm-dd"),"'"))</f>
        <v>'2010-10-09'</v>
      </c>
      <c r="M419" s="9" t="str">
        <f aca="false">IF(G419="Revisar","NULL",CONCATENATE("'",MID(G419,1,1),"'"))</f>
        <v>'M'</v>
      </c>
      <c r="N419" s="9" t="str">
        <f aca="false">IF(H419="Revisar","NULL",CONCATENATE("'",H419,"'"))</f>
        <v>'JESUS ENRIQUE LOSSADA'</v>
      </c>
      <c r="O419" s="9" t="str">
        <f aca="false">IF(I419="Revisar","NULL",CONCATENATE("'",I419,"'"))</f>
        <v>'ZU'</v>
      </c>
      <c r="P419" s="1" t="str">
        <f aca="false">"UPDATE estudiantes SET fecha_nacimiento="&amp;L419&amp;", sexo="&amp;M419&amp;", lugar_nacimiento="&amp;N419&amp;", entidad_federal="&amp;O419&amp;" WHERE cedula='"&amp;K419&amp;"';"</f>
        <v>UPDATE estudiantes SET fecha_nacimiento='2010-10-09', sexo='M', lugar_nacimiento='JESUS ENRIQUE LOSSADA', entidad_federal='ZU' WHERE cedula='11015466864';</v>
      </c>
    </row>
    <row r="420" customFormat="false" ht="14.9" hidden="false" customHeight="false" outlineLevel="0" collapsed="false">
      <c r="A420" s="1" t="s">
        <v>15</v>
      </c>
      <c r="B420" s="1" t="s">
        <v>356</v>
      </c>
      <c r="C420" s="1" t="s">
        <v>89</v>
      </c>
      <c r="D420" s="1" t="s">
        <v>445</v>
      </c>
      <c r="E420" s="2" t="n">
        <v>45924</v>
      </c>
      <c r="F420" s="2" t="n">
        <f aca="false">IFERROR(VLOOKUP(TRIM($D420), Hoja4_2!$A$2:$L$10000, 4, 0), "Revisar")</f>
        <v>40775</v>
      </c>
      <c r="G420" s="7" t="str">
        <f aca="false">IFERROR(VLOOKUP(TRIM($D420), Hoja4_2!$A$2:$L$10000, 5, 0), "Revisar")</f>
        <v>FEMENINO</v>
      </c>
      <c r="H420" s="7" t="str">
        <f aca="false">IFERROR(VLOOKUP(TRIM($D420), Hoja4_2!$A$2:$L$10000, 7, 0), "Revisar")</f>
        <v>JESUS ENRIQUE LOSSADA</v>
      </c>
      <c r="I420" s="7" t="str">
        <f aca="false">IFERROR(VLOOKUP(TRIM($D420), Hoja4_2!$A$2:$L$10000, 9, 0), "Revisar")</f>
        <v>ZU</v>
      </c>
      <c r="J420" s="7" t="str">
        <f aca="false">IFERROR(VLOOKUP(TRIM($D420), Hoja4_2!$A$2:$L$10000, 12, 0), "Revisar")</f>
        <v>14896372</v>
      </c>
      <c r="K420" s="8" t="str">
        <f aca="false">TEXT(TRIM(D420),"0")</f>
        <v>11114896372</v>
      </c>
      <c r="L420" s="1" t="str">
        <f aca="false">IF(F420="Revisar","NULL",CONCATENATE("'",TEXT(F420,"yyyy-mm-dd"),"'"))</f>
        <v>'2011-08-20'</v>
      </c>
      <c r="M420" s="9" t="str">
        <f aca="false">IF(G420="Revisar","NULL",CONCATENATE("'",MID(G420,1,1),"'"))</f>
        <v>'F'</v>
      </c>
      <c r="N420" s="9" t="str">
        <f aca="false">IF(H420="Revisar","NULL",CONCATENATE("'",H420,"'"))</f>
        <v>'JESUS ENRIQUE LOSSADA'</v>
      </c>
      <c r="O420" s="9" t="str">
        <f aca="false">IF(I420="Revisar","NULL",CONCATENATE("'",I420,"'"))</f>
        <v>'ZU'</v>
      </c>
      <c r="P420" s="1" t="str">
        <f aca="false">"UPDATE estudiantes SET fecha_nacimiento="&amp;L420&amp;", sexo="&amp;M420&amp;", lugar_nacimiento="&amp;N420&amp;", entidad_federal="&amp;O420&amp;" WHERE cedula='"&amp;K420&amp;"';"</f>
        <v>UPDATE estudiantes SET fecha_nacimiento='2011-08-20', sexo='F', lugar_nacimiento='JESUS ENRIQUE LOSSADA', entidad_federal='ZU' WHERE cedula='11114896372';</v>
      </c>
    </row>
    <row r="421" customFormat="false" ht="14.9" hidden="false" customHeight="false" outlineLevel="0" collapsed="false">
      <c r="A421" s="1" t="s">
        <v>15</v>
      </c>
      <c r="B421" s="1" t="s">
        <v>356</v>
      </c>
      <c r="C421" s="1" t="s">
        <v>89</v>
      </c>
      <c r="D421" s="1" t="s">
        <v>446</v>
      </c>
      <c r="E421" s="2" t="n">
        <v>45924</v>
      </c>
      <c r="F421" s="2" t="n">
        <f aca="false">IFERROR(VLOOKUP(TRIM($D421), Hoja4_2!$A$2:$L$10000, 4, 0), "Revisar")</f>
        <v>40791</v>
      </c>
      <c r="G421" s="7" t="str">
        <f aca="false">IFERROR(VLOOKUP(TRIM($D421), Hoja4_2!$A$2:$L$10000, 5, 0), "Revisar")</f>
        <v>MASCULINO</v>
      </c>
      <c r="H421" s="7" t="str">
        <f aca="false">IFERROR(VLOOKUP(TRIM($D421), Hoja4_2!$A$2:$L$10000, 7, 0), "Revisar")</f>
        <v>MARACAIBO</v>
      </c>
      <c r="I421" s="7" t="str">
        <f aca="false">IFERROR(VLOOKUP(TRIM($D421), Hoja4_2!$A$2:$L$10000, 9, 0), "Revisar")</f>
        <v>ZU</v>
      </c>
      <c r="J421" s="7" t="str">
        <f aca="false">IFERROR(VLOOKUP(TRIM($D421), Hoja4_2!$A$2:$L$10000, 12, 0), "Revisar")</f>
        <v>99999999</v>
      </c>
      <c r="K421" s="8" t="str">
        <f aca="false">TEXT(TRIM(D421),"0")</f>
        <v>11116079644</v>
      </c>
      <c r="L421" s="1" t="str">
        <f aca="false">IF(F421="Revisar","NULL",CONCATENATE("'",TEXT(F421,"yyyy-mm-dd"),"'"))</f>
        <v>'2011-09-05'</v>
      </c>
      <c r="M421" s="9" t="str">
        <f aca="false">IF(G421="Revisar","NULL",CONCATENATE("'",MID(G421,1,1),"'"))</f>
        <v>'M'</v>
      </c>
      <c r="N421" s="9" t="str">
        <f aca="false">IF(H421="Revisar","NULL",CONCATENATE("'",H421,"'"))</f>
        <v>'MARACAIBO'</v>
      </c>
      <c r="O421" s="9" t="str">
        <f aca="false">IF(I421="Revisar","NULL",CONCATENATE("'",I421,"'"))</f>
        <v>'ZU'</v>
      </c>
      <c r="P421" s="1" t="str">
        <f aca="false">"UPDATE estudiantes SET fecha_nacimiento="&amp;L421&amp;", sexo="&amp;M421&amp;", lugar_nacimiento="&amp;N421&amp;", entidad_federal="&amp;O421&amp;" WHERE cedula='"&amp;K421&amp;"';"</f>
        <v>UPDATE estudiantes SET fecha_nacimiento='2011-09-05', sexo='M', lugar_nacimiento='MARACAIBO', entidad_federal='ZU' WHERE cedula='11116079644';</v>
      </c>
    </row>
    <row r="422" customFormat="false" ht="14.9" hidden="false" customHeight="false" outlineLevel="0" collapsed="false">
      <c r="A422" s="1" t="s">
        <v>15</v>
      </c>
      <c r="B422" s="1" t="s">
        <v>356</v>
      </c>
      <c r="C422" s="1" t="s">
        <v>89</v>
      </c>
      <c r="D422" s="1" t="s">
        <v>447</v>
      </c>
      <c r="E422" s="2" t="n">
        <v>45924</v>
      </c>
      <c r="F422" s="2" t="n">
        <f aca="false">IFERROR(VLOOKUP(TRIM($D422), Hoja4_2!$A$2:$L$10000, 4, 0), "Revisar")</f>
        <v>40715</v>
      </c>
      <c r="G422" s="7" t="str">
        <f aca="false">IFERROR(VLOOKUP(TRIM($D422), Hoja4_2!$A$2:$L$10000, 5, 0), "Revisar")</f>
        <v>FEMENINO</v>
      </c>
      <c r="H422" s="7" t="str">
        <f aca="false">IFERROR(VLOOKUP(TRIM($D422), Hoja4_2!$A$2:$L$10000, 7, 0), "Revisar")</f>
        <v>MARACAIBO</v>
      </c>
      <c r="I422" s="7" t="str">
        <f aca="false">IFERROR(VLOOKUP(TRIM($D422), Hoja4_2!$A$2:$L$10000, 9, 0), "Revisar")</f>
        <v>ZU</v>
      </c>
      <c r="J422" s="7" t="str">
        <f aca="false">IFERROR(VLOOKUP(TRIM($D422), Hoja4_2!$A$2:$L$10000, 12, 0), "Revisar")</f>
        <v>99999999</v>
      </c>
      <c r="K422" s="8" t="str">
        <f aca="false">TEXT(TRIM(D422),"0")</f>
        <v>11118394511</v>
      </c>
      <c r="L422" s="1" t="str">
        <f aca="false">IF(F422="Revisar","NULL",CONCATENATE("'",TEXT(F422,"yyyy-mm-dd"),"'"))</f>
        <v>'2011-06-21'</v>
      </c>
      <c r="M422" s="9" t="str">
        <f aca="false">IF(G422="Revisar","NULL",CONCATENATE("'",MID(G422,1,1),"'"))</f>
        <v>'F'</v>
      </c>
      <c r="N422" s="9" t="str">
        <f aca="false">IF(H422="Revisar","NULL",CONCATENATE("'",H422,"'"))</f>
        <v>'MARACAIBO'</v>
      </c>
      <c r="O422" s="9" t="str">
        <f aca="false">IF(I422="Revisar","NULL",CONCATENATE("'",I422,"'"))</f>
        <v>'ZU'</v>
      </c>
      <c r="P422" s="1" t="str">
        <f aca="false">"UPDATE estudiantes SET fecha_nacimiento="&amp;L422&amp;", sexo="&amp;M422&amp;", lugar_nacimiento="&amp;N422&amp;", entidad_federal="&amp;O422&amp;" WHERE cedula='"&amp;K422&amp;"';"</f>
        <v>UPDATE estudiantes SET fecha_nacimiento='2011-06-21', sexo='F', lugar_nacimiento='MARACAIBO', entidad_federal='ZU' WHERE cedula='11118394511';</v>
      </c>
    </row>
    <row r="423" customFormat="false" ht="14.9" hidden="false" customHeight="false" outlineLevel="0" collapsed="false">
      <c r="A423" s="1" t="s">
        <v>15</v>
      </c>
      <c r="B423" s="1" t="s">
        <v>356</v>
      </c>
      <c r="C423" s="1" t="s">
        <v>89</v>
      </c>
      <c r="D423" s="1" t="s">
        <v>448</v>
      </c>
      <c r="E423" s="2" t="n">
        <v>45930</v>
      </c>
      <c r="F423" s="2" t="n">
        <f aca="false">IFERROR(VLOOKUP(TRIM($D423), Hoja4_2!$A$2:$L$10000, 4, 0), "Revisar")</f>
        <v>40811</v>
      </c>
      <c r="G423" s="7" t="str">
        <f aca="false">IFERROR(VLOOKUP(TRIM($D423), Hoja4_2!$A$2:$L$10000, 5, 0), "Revisar")</f>
        <v>MASCULINO</v>
      </c>
      <c r="H423" s="7" t="str">
        <f aca="false">IFERROR(VLOOKUP(TRIM($D423), Hoja4_2!$A$2:$L$10000, 7, 0), "Revisar")</f>
        <v>JESUS ENRIQUE LOSSADA</v>
      </c>
      <c r="I423" s="7" t="str">
        <f aca="false">IFERROR(VLOOKUP(TRIM($D423), Hoja4_2!$A$2:$L$10000, 9, 0), "Revisar")</f>
        <v>ZU</v>
      </c>
      <c r="J423" s="7" t="str">
        <f aca="false">IFERROR(VLOOKUP(TRIM($D423), Hoja4_2!$A$2:$L$10000, 12, 0), "Revisar")</f>
        <v>99999999</v>
      </c>
      <c r="K423" s="8" t="str">
        <f aca="false">TEXT(TRIM(D423),"0")</f>
        <v>11120371881</v>
      </c>
      <c r="L423" s="1" t="str">
        <f aca="false">IF(F423="Revisar","NULL",CONCATENATE("'",TEXT(F423,"yyyy-mm-dd"),"'"))</f>
        <v>'2011-09-25'</v>
      </c>
      <c r="M423" s="9" t="str">
        <f aca="false">IF(G423="Revisar","NULL",CONCATENATE("'",MID(G423,1,1),"'"))</f>
        <v>'M'</v>
      </c>
      <c r="N423" s="9" t="str">
        <f aca="false">IF(H423="Revisar","NULL",CONCATENATE("'",H423,"'"))</f>
        <v>'JESUS ENRIQUE LOSSADA'</v>
      </c>
      <c r="O423" s="9" t="str">
        <f aca="false">IF(I423="Revisar","NULL",CONCATENATE("'",I423,"'"))</f>
        <v>'ZU'</v>
      </c>
      <c r="P423" s="1" t="str">
        <f aca="false">"UPDATE estudiantes SET fecha_nacimiento="&amp;L423&amp;", sexo="&amp;M423&amp;", lugar_nacimiento="&amp;N423&amp;", entidad_federal="&amp;O423&amp;" WHERE cedula='"&amp;K423&amp;"';"</f>
        <v>UPDATE estudiantes SET fecha_nacimiento='2011-09-25', sexo='M', lugar_nacimiento='JESUS ENRIQUE LOSSADA', entidad_federal='ZU' WHERE cedula='11120371881';</v>
      </c>
    </row>
    <row r="424" customFormat="false" ht="14.9" hidden="false" customHeight="false" outlineLevel="0" collapsed="false">
      <c r="A424" s="1" t="s">
        <v>15</v>
      </c>
      <c r="B424" s="1" t="s">
        <v>356</v>
      </c>
      <c r="C424" s="1" t="s">
        <v>89</v>
      </c>
      <c r="D424" s="1" t="s">
        <v>449</v>
      </c>
      <c r="E424" s="2" t="n">
        <v>45924</v>
      </c>
      <c r="F424" s="2" t="n">
        <f aca="false">IFERROR(VLOOKUP(TRIM($D424), Hoja4_2!$A$2:$L$10000, 4, 0), "Revisar")</f>
        <v>40728</v>
      </c>
      <c r="G424" s="7" t="str">
        <f aca="false">IFERROR(VLOOKUP(TRIM($D424), Hoja4_2!$A$2:$L$10000, 5, 0), "Revisar")</f>
        <v>MASCULINO</v>
      </c>
      <c r="H424" s="7" t="str">
        <f aca="false">IFERROR(VLOOKUP(TRIM($D424), Hoja4_2!$A$2:$L$10000, 7, 0), "Revisar")</f>
        <v>MARACAIBO</v>
      </c>
      <c r="I424" s="7" t="str">
        <f aca="false">IFERROR(VLOOKUP(TRIM($D424), Hoja4_2!$A$2:$L$10000, 9, 0), "Revisar")</f>
        <v>ZU</v>
      </c>
      <c r="J424" s="7" t="str">
        <f aca="false">IFERROR(VLOOKUP(TRIM($D424), Hoja4_2!$A$2:$L$10000, 12, 0), "Revisar")</f>
        <v>16727271</v>
      </c>
      <c r="K424" s="8" t="str">
        <f aca="false">TEXT(TRIM(D424),"0")</f>
        <v>11120948543</v>
      </c>
      <c r="L424" s="1" t="str">
        <f aca="false">IF(F424="Revisar","NULL",CONCATENATE("'",TEXT(F424,"yyyy-mm-dd"),"'"))</f>
        <v>'2011-07-04'</v>
      </c>
      <c r="M424" s="9" t="str">
        <f aca="false">IF(G424="Revisar","NULL",CONCATENATE("'",MID(G424,1,1),"'"))</f>
        <v>'M'</v>
      </c>
      <c r="N424" s="9" t="str">
        <f aca="false">IF(H424="Revisar","NULL",CONCATENATE("'",H424,"'"))</f>
        <v>'MARACAIBO'</v>
      </c>
      <c r="O424" s="9" t="str">
        <f aca="false">IF(I424="Revisar","NULL",CONCATENATE("'",I424,"'"))</f>
        <v>'ZU'</v>
      </c>
      <c r="P424" s="1" t="str">
        <f aca="false">"UPDATE estudiantes SET fecha_nacimiento="&amp;L424&amp;", sexo="&amp;M424&amp;", lugar_nacimiento="&amp;N424&amp;", entidad_federal="&amp;O424&amp;" WHERE cedula='"&amp;K424&amp;"';"</f>
        <v>UPDATE estudiantes SET fecha_nacimiento='2011-07-04', sexo='M', lugar_nacimiento='MARACAIBO', entidad_federal='ZU' WHERE cedula='11120948543';</v>
      </c>
    </row>
    <row r="425" customFormat="false" ht="14.9" hidden="false" customHeight="false" outlineLevel="0" collapsed="false">
      <c r="A425" s="1" t="s">
        <v>15</v>
      </c>
      <c r="B425" s="1" t="s">
        <v>356</v>
      </c>
      <c r="C425" s="1" t="s">
        <v>89</v>
      </c>
      <c r="D425" s="1" t="s">
        <v>450</v>
      </c>
      <c r="E425" s="2" t="n">
        <v>45924</v>
      </c>
      <c r="F425" s="2" t="n">
        <f aca="false">IFERROR(VLOOKUP(TRIM($D425), Hoja4_2!$A$2:$L$10000, 4, 0), "Revisar")</f>
        <v>40564</v>
      </c>
      <c r="G425" s="7" t="str">
        <f aca="false">IFERROR(VLOOKUP(TRIM($D425), Hoja4_2!$A$2:$L$10000, 5, 0), "Revisar")</f>
        <v>FEMENINO</v>
      </c>
      <c r="H425" s="7" t="str">
        <f aca="false">IFERROR(VLOOKUP(TRIM($D425), Hoja4_2!$A$2:$L$10000, 7, 0), "Revisar")</f>
        <v>MARACAIBO</v>
      </c>
      <c r="I425" s="7" t="str">
        <f aca="false">IFERROR(VLOOKUP(TRIM($D425), Hoja4_2!$A$2:$L$10000, 9, 0), "Revisar")</f>
        <v>ZU</v>
      </c>
      <c r="J425" s="7" t="str">
        <f aca="false">IFERROR(VLOOKUP(TRIM($D425), Hoja4_2!$A$2:$L$10000, 12, 0), "Revisar")</f>
        <v>99999999</v>
      </c>
      <c r="K425" s="8" t="str">
        <f aca="false">TEXT(TRIM(D425),"0")</f>
        <v>11122163949</v>
      </c>
      <c r="L425" s="1" t="str">
        <f aca="false">IF(F425="Revisar","NULL",CONCATENATE("'",TEXT(F425,"yyyy-mm-dd"),"'"))</f>
        <v>'2011-01-21'</v>
      </c>
      <c r="M425" s="9" t="str">
        <f aca="false">IF(G425="Revisar","NULL",CONCATENATE("'",MID(G425,1,1),"'"))</f>
        <v>'F'</v>
      </c>
      <c r="N425" s="9" t="str">
        <f aca="false">IF(H425="Revisar","NULL",CONCATENATE("'",H425,"'"))</f>
        <v>'MARACAIBO'</v>
      </c>
      <c r="O425" s="9" t="str">
        <f aca="false">IF(I425="Revisar","NULL",CONCATENATE("'",I425,"'"))</f>
        <v>'ZU'</v>
      </c>
      <c r="P425" s="1" t="str">
        <f aca="false">"UPDATE estudiantes SET fecha_nacimiento="&amp;L425&amp;", sexo="&amp;M425&amp;", lugar_nacimiento="&amp;N425&amp;", entidad_federal="&amp;O425&amp;" WHERE cedula='"&amp;K425&amp;"';"</f>
        <v>UPDATE estudiantes SET fecha_nacimiento='2011-01-21', sexo='F', lugar_nacimiento='MARACAIBO', entidad_federal='ZU' WHERE cedula='11122163949';</v>
      </c>
    </row>
    <row r="426" customFormat="false" ht="14.9" hidden="false" customHeight="false" outlineLevel="0" collapsed="false">
      <c r="A426" s="1" t="s">
        <v>15</v>
      </c>
      <c r="B426" s="1" t="s">
        <v>356</v>
      </c>
      <c r="C426" s="1" t="s">
        <v>89</v>
      </c>
      <c r="D426" s="1" t="s">
        <v>451</v>
      </c>
      <c r="E426" s="2" t="n">
        <v>45924</v>
      </c>
      <c r="F426" s="2" t="n">
        <f aca="false">IFERROR(VLOOKUP(TRIM($D426), Hoja4_2!$A$2:$L$10000, 4, 0), "Revisar")</f>
        <v>40697</v>
      </c>
      <c r="G426" s="7" t="str">
        <f aca="false">IFERROR(VLOOKUP(TRIM($D426), Hoja4_2!$A$2:$L$10000, 5, 0), "Revisar")</f>
        <v>MASCULINO</v>
      </c>
      <c r="H426" s="7" t="str">
        <f aca="false">IFERROR(VLOOKUP(TRIM($D426), Hoja4_2!$A$2:$L$10000, 7, 0), "Revisar")</f>
        <v>MARACAIBO</v>
      </c>
      <c r="I426" s="7" t="str">
        <f aca="false">IFERROR(VLOOKUP(TRIM($D426), Hoja4_2!$A$2:$L$10000, 9, 0), "Revisar")</f>
        <v>ZU</v>
      </c>
      <c r="J426" s="7" t="str">
        <f aca="false">IFERROR(VLOOKUP(TRIM($D426), Hoja4_2!$A$2:$L$10000, 12, 0), "Revisar")</f>
        <v>99999999</v>
      </c>
      <c r="K426" s="8" t="str">
        <f aca="false">TEXT(TRIM(D426),"0")</f>
        <v>11125293775</v>
      </c>
      <c r="L426" s="1" t="str">
        <f aca="false">IF(F426="Revisar","NULL",CONCATENATE("'",TEXT(F426,"yyyy-mm-dd"),"'"))</f>
        <v>'2011-06-03'</v>
      </c>
      <c r="M426" s="9" t="str">
        <f aca="false">IF(G426="Revisar","NULL",CONCATENATE("'",MID(G426,1,1),"'"))</f>
        <v>'M'</v>
      </c>
      <c r="N426" s="9" t="str">
        <f aca="false">IF(H426="Revisar","NULL",CONCATENATE("'",H426,"'"))</f>
        <v>'MARACAIBO'</v>
      </c>
      <c r="O426" s="9" t="str">
        <f aca="false">IF(I426="Revisar","NULL",CONCATENATE("'",I426,"'"))</f>
        <v>'ZU'</v>
      </c>
      <c r="P426" s="1" t="str">
        <f aca="false">"UPDATE estudiantes SET fecha_nacimiento="&amp;L426&amp;", sexo="&amp;M426&amp;", lugar_nacimiento="&amp;N426&amp;", entidad_federal="&amp;O426&amp;" WHERE cedula='"&amp;K426&amp;"';"</f>
        <v>UPDATE estudiantes SET fecha_nacimiento='2011-06-03', sexo='M', lugar_nacimiento='MARACAIBO', entidad_federal='ZU' WHERE cedula='11125293775';</v>
      </c>
    </row>
    <row r="427" customFormat="false" ht="14.9" hidden="false" customHeight="false" outlineLevel="0" collapsed="false">
      <c r="A427" s="1" t="s">
        <v>15</v>
      </c>
      <c r="B427" s="1" t="s">
        <v>356</v>
      </c>
      <c r="C427" s="1" t="s">
        <v>89</v>
      </c>
      <c r="D427" s="1" t="s">
        <v>452</v>
      </c>
      <c r="E427" s="2" t="n">
        <v>45924</v>
      </c>
      <c r="F427" s="2" t="n">
        <f aca="false">IFERROR(VLOOKUP(TRIM($D427), Hoja4_2!$A$2:$L$10000, 4, 0), "Revisar")</f>
        <v>41023</v>
      </c>
      <c r="G427" s="7" t="str">
        <f aca="false">IFERROR(VLOOKUP(TRIM($D427), Hoja4_2!$A$2:$L$10000, 5, 0), "Revisar")</f>
        <v>FEMENINO</v>
      </c>
      <c r="H427" s="7" t="str">
        <f aca="false">IFERROR(VLOOKUP(TRIM($D427), Hoja4_2!$A$2:$L$10000, 7, 0), "Revisar")</f>
        <v>MARACAIBO</v>
      </c>
      <c r="I427" s="7" t="str">
        <f aca="false">IFERROR(VLOOKUP(TRIM($D427), Hoja4_2!$A$2:$L$10000, 9, 0), "Revisar")</f>
        <v>ZU</v>
      </c>
      <c r="J427" s="7" t="str">
        <f aca="false">IFERROR(VLOOKUP(TRIM($D427), Hoja4_2!$A$2:$L$10000, 12, 0), "Revisar")</f>
        <v>99999999</v>
      </c>
      <c r="K427" s="8" t="str">
        <f aca="false">TEXT(TRIM(D427),"0")</f>
        <v>11210430001</v>
      </c>
      <c r="L427" s="1" t="str">
        <f aca="false">IF(F427="Revisar","NULL",CONCATENATE("'",TEXT(F427,"yyyy-mm-dd"),"'"))</f>
        <v>'2012-04-24'</v>
      </c>
      <c r="M427" s="9" t="str">
        <f aca="false">IF(G427="Revisar","NULL",CONCATENATE("'",MID(G427,1,1),"'"))</f>
        <v>'F'</v>
      </c>
      <c r="N427" s="9" t="str">
        <f aca="false">IF(H427="Revisar","NULL",CONCATENATE("'",H427,"'"))</f>
        <v>'MARACAIBO'</v>
      </c>
      <c r="O427" s="9" t="str">
        <f aca="false">IF(I427="Revisar","NULL",CONCATENATE("'",I427,"'"))</f>
        <v>'ZU'</v>
      </c>
      <c r="P427" s="1" t="str">
        <f aca="false">"UPDATE estudiantes SET fecha_nacimiento="&amp;L427&amp;", sexo="&amp;M427&amp;", lugar_nacimiento="&amp;N427&amp;", entidad_federal="&amp;O427&amp;" WHERE cedula='"&amp;K427&amp;"';"</f>
        <v>UPDATE estudiantes SET fecha_nacimiento='2012-04-24', sexo='F', lugar_nacimiento='MARACAIBO', entidad_federal='ZU' WHERE cedula='11210430001';</v>
      </c>
    </row>
    <row r="428" customFormat="false" ht="14.9" hidden="false" customHeight="false" outlineLevel="0" collapsed="false">
      <c r="A428" s="1" t="s">
        <v>15</v>
      </c>
      <c r="B428" s="1" t="s">
        <v>356</v>
      </c>
      <c r="C428" s="1" t="s">
        <v>89</v>
      </c>
      <c r="D428" s="1" t="s">
        <v>453</v>
      </c>
      <c r="E428" s="2" t="n">
        <v>45924</v>
      </c>
      <c r="F428" s="2" t="n">
        <f aca="false">IFERROR(VLOOKUP(TRIM($D428), Hoja4_2!$A$2:$L$10000, 4, 0), "Revisar")</f>
        <v>40697</v>
      </c>
      <c r="G428" s="7" t="str">
        <f aca="false">IFERROR(VLOOKUP(TRIM($D428), Hoja4_2!$A$2:$L$10000, 5, 0), "Revisar")</f>
        <v>MASCULINO</v>
      </c>
      <c r="H428" s="7" t="str">
        <f aca="false">IFERROR(VLOOKUP(TRIM($D428), Hoja4_2!$A$2:$L$10000, 7, 0), "Revisar")</f>
        <v>MARACAIBO</v>
      </c>
      <c r="I428" s="7" t="str">
        <f aca="false">IFERROR(VLOOKUP(TRIM($D428), Hoja4_2!$A$2:$L$10000, 9, 0), "Revisar")</f>
        <v>ZU</v>
      </c>
      <c r="J428" s="7" t="str">
        <f aca="false">IFERROR(VLOOKUP(TRIM($D428), Hoja4_2!$A$2:$L$10000, 12, 0), "Revisar")</f>
        <v>99999999</v>
      </c>
      <c r="K428" s="8" t="str">
        <f aca="false">TEXT(TRIM(D428),"0")</f>
        <v>21125239775</v>
      </c>
      <c r="L428" s="1" t="str">
        <f aca="false">IF(F428="Revisar","NULL",CONCATENATE("'",TEXT(F428,"yyyy-mm-dd"),"'"))</f>
        <v>'2011-06-03'</v>
      </c>
      <c r="M428" s="9" t="str">
        <f aca="false">IF(G428="Revisar","NULL",CONCATENATE("'",MID(G428,1,1),"'"))</f>
        <v>'M'</v>
      </c>
      <c r="N428" s="9" t="str">
        <f aca="false">IF(H428="Revisar","NULL",CONCATENATE("'",H428,"'"))</f>
        <v>'MARACAIBO'</v>
      </c>
      <c r="O428" s="9" t="str">
        <f aca="false">IF(I428="Revisar","NULL",CONCATENATE("'",I428,"'"))</f>
        <v>'ZU'</v>
      </c>
      <c r="P428" s="1" t="str">
        <f aca="false">"UPDATE estudiantes SET fecha_nacimiento="&amp;L428&amp;", sexo="&amp;M428&amp;", lugar_nacimiento="&amp;N428&amp;", entidad_federal="&amp;O428&amp;" WHERE cedula='"&amp;K428&amp;"';"</f>
        <v>UPDATE estudiantes SET fecha_nacimiento='2011-06-03', sexo='M', lugar_nacimiento='MARACAIBO', entidad_federal='ZU' WHERE cedula='21125239775';</v>
      </c>
    </row>
    <row r="429" customFormat="false" ht="14.9" hidden="false" customHeight="false" outlineLevel="0" collapsed="false">
      <c r="A429" s="1" t="s">
        <v>15</v>
      </c>
      <c r="B429" s="1" t="s">
        <v>356</v>
      </c>
      <c r="C429" s="1" t="s">
        <v>129</v>
      </c>
      <c r="D429" s="1" t="s">
        <v>454</v>
      </c>
      <c r="E429" s="2" t="n">
        <v>45924</v>
      </c>
      <c r="F429" s="2" t="n">
        <f aca="false">IFERROR(VLOOKUP(TRIM($D429), Hoja4_2!$A$2:$L$10000, 4, 0), "Revisar")</f>
        <v>40755</v>
      </c>
      <c r="G429" s="7" t="str">
        <f aca="false">IFERROR(VLOOKUP(TRIM($D429), Hoja4_2!$A$2:$L$10000, 5, 0), "Revisar")</f>
        <v>MASCULINO</v>
      </c>
      <c r="H429" s="7" t="str">
        <f aca="false">IFERROR(VLOOKUP(TRIM($D429), Hoja4_2!$A$2:$L$10000, 7, 0), "Revisar")</f>
        <v>MARACAIBO</v>
      </c>
      <c r="I429" s="7" t="str">
        <f aca="false">IFERROR(VLOOKUP(TRIM($D429), Hoja4_2!$A$2:$L$10000, 9, 0), "Revisar")</f>
        <v>ZU</v>
      </c>
      <c r="J429" s="7" t="str">
        <f aca="false">IFERROR(VLOOKUP(TRIM($D429), Hoja4_2!$A$2:$L$10000, 12, 0), "Revisar")</f>
        <v>99999999</v>
      </c>
      <c r="K429" s="8" t="str">
        <f aca="false">TEXT(TRIM(D429),"0")</f>
        <v>34399672</v>
      </c>
      <c r="L429" s="1" t="str">
        <f aca="false">IF(F429="Revisar","NULL",CONCATENATE("'",TEXT(F429,"yyyy-mm-dd"),"'"))</f>
        <v>'2011-07-31'</v>
      </c>
      <c r="M429" s="9" t="str">
        <f aca="false">IF(G429="Revisar","NULL",CONCATENATE("'",MID(G429,1,1),"'"))</f>
        <v>'M'</v>
      </c>
      <c r="N429" s="9" t="str">
        <f aca="false">IF(H429="Revisar","NULL",CONCATENATE("'",H429,"'"))</f>
        <v>'MARACAIBO'</v>
      </c>
      <c r="O429" s="9" t="str">
        <f aca="false">IF(I429="Revisar","NULL",CONCATENATE("'",I429,"'"))</f>
        <v>'ZU'</v>
      </c>
      <c r="P429" s="1" t="str">
        <f aca="false">"UPDATE estudiantes SET fecha_nacimiento="&amp;L429&amp;", sexo="&amp;M429&amp;", lugar_nacimiento="&amp;N429&amp;", entidad_federal="&amp;O429&amp;" WHERE cedula='"&amp;K429&amp;"';"</f>
        <v>UPDATE estudiantes SET fecha_nacimiento='2011-07-31', sexo='M', lugar_nacimiento='MARACAIBO', entidad_federal='ZU' WHERE cedula='34399672';</v>
      </c>
    </row>
    <row r="430" customFormat="false" ht="14.9" hidden="false" customHeight="false" outlineLevel="0" collapsed="false">
      <c r="A430" s="1" t="s">
        <v>15</v>
      </c>
      <c r="B430" s="1" t="s">
        <v>356</v>
      </c>
      <c r="C430" s="1" t="s">
        <v>129</v>
      </c>
      <c r="D430" s="1" t="s">
        <v>455</v>
      </c>
      <c r="E430" s="2" t="n">
        <v>45924</v>
      </c>
      <c r="F430" s="2" t="n">
        <f aca="false">IFERROR(VLOOKUP(TRIM($D430), Hoja4_2!$A$2:$L$10000, 4, 0), "Revisar")</f>
        <v>40738</v>
      </c>
      <c r="G430" s="7" t="str">
        <f aca="false">IFERROR(VLOOKUP(TRIM($D430), Hoja4_2!$A$2:$L$10000, 5, 0), "Revisar")</f>
        <v>MASCULINO</v>
      </c>
      <c r="H430" s="7" t="str">
        <f aca="false">IFERROR(VLOOKUP(TRIM($D430), Hoja4_2!$A$2:$L$10000, 7, 0), "Revisar")</f>
        <v>MARACAIBO</v>
      </c>
      <c r="I430" s="7" t="str">
        <f aca="false">IFERROR(VLOOKUP(TRIM($D430), Hoja4_2!$A$2:$L$10000, 9, 0), "Revisar")</f>
        <v>ZU</v>
      </c>
      <c r="J430" s="7" t="str">
        <f aca="false">IFERROR(VLOOKUP(TRIM($D430), Hoja4_2!$A$2:$L$10000, 12, 0), "Revisar")</f>
        <v>99999999</v>
      </c>
      <c r="K430" s="8" t="str">
        <f aca="false">TEXT(TRIM(D430),"0")</f>
        <v>34576946</v>
      </c>
      <c r="L430" s="1" t="str">
        <f aca="false">IF(F430="Revisar","NULL",CONCATENATE("'",TEXT(F430,"yyyy-mm-dd"),"'"))</f>
        <v>'2011-07-14'</v>
      </c>
      <c r="M430" s="9" t="str">
        <f aca="false">IF(G430="Revisar","NULL",CONCATENATE("'",MID(G430,1,1),"'"))</f>
        <v>'M'</v>
      </c>
      <c r="N430" s="9" t="str">
        <f aca="false">IF(H430="Revisar","NULL",CONCATENATE("'",H430,"'"))</f>
        <v>'MARACAIBO'</v>
      </c>
      <c r="O430" s="9" t="str">
        <f aca="false">IF(I430="Revisar","NULL",CONCATENATE("'",I430,"'"))</f>
        <v>'ZU'</v>
      </c>
      <c r="P430" s="1" t="str">
        <f aca="false">"UPDATE estudiantes SET fecha_nacimiento="&amp;L430&amp;", sexo="&amp;M430&amp;", lugar_nacimiento="&amp;N430&amp;", entidad_federal="&amp;O430&amp;" WHERE cedula='"&amp;K430&amp;"';"</f>
        <v>UPDATE estudiantes SET fecha_nacimiento='2011-07-14', sexo='M', lugar_nacimiento='MARACAIBO', entidad_federal='ZU' WHERE cedula='34576946';</v>
      </c>
    </row>
    <row r="431" customFormat="false" ht="14.9" hidden="false" customHeight="false" outlineLevel="0" collapsed="false">
      <c r="A431" s="1" t="s">
        <v>15</v>
      </c>
      <c r="B431" s="1" t="s">
        <v>356</v>
      </c>
      <c r="C431" s="1" t="s">
        <v>129</v>
      </c>
      <c r="D431" s="1" t="s">
        <v>456</v>
      </c>
      <c r="E431" s="2" t="n">
        <v>45924</v>
      </c>
      <c r="F431" s="2" t="n">
        <f aca="false">IFERROR(VLOOKUP(TRIM($D431), Hoja4_2!$A$2:$L$10000, 4, 0), "Revisar")</f>
        <v>40111</v>
      </c>
      <c r="G431" s="7" t="str">
        <f aca="false">IFERROR(VLOOKUP(TRIM($D431), Hoja4_2!$A$2:$L$10000, 5, 0), "Revisar")</f>
        <v>MASCULINO</v>
      </c>
      <c r="H431" s="7" t="str">
        <f aca="false">IFERROR(VLOOKUP(TRIM($D431), Hoja4_2!$A$2:$L$10000, 7, 0), "Revisar")</f>
        <v>MARACAIBO</v>
      </c>
      <c r="I431" s="7" t="str">
        <f aca="false">IFERROR(VLOOKUP(TRIM($D431), Hoja4_2!$A$2:$L$10000, 9, 0), "Revisar")</f>
        <v>ZU</v>
      </c>
      <c r="J431" s="7" t="str">
        <f aca="false">IFERROR(VLOOKUP(TRIM($D431), Hoja4_2!$A$2:$L$10000, 12, 0), "Revisar")</f>
        <v>17130079</v>
      </c>
      <c r="K431" s="8" t="str">
        <f aca="false">TEXT(TRIM(D431),"0")</f>
        <v>34779379</v>
      </c>
      <c r="L431" s="1" t="str">
        <f aca="false">IF(F431="Revisar","NULL",CONCATENATE("'",TEXT(F431,"yyyy-mm-dd"),"'"))</f>
        <v>'2009-10-25'</v>
      </c>
      <c r="M431" s="9" t="str">
        <f aca="false">IF(G431="Revisar","NULL",CONCATENATE("'",MID(G431,1,1),"'"))</f>
        <v>'M'</v>
      </c>
      <c r="N431" s="9" t="str">
        <f aca="false">IF(H431="Revisar","NULL",CONCATENATE("'",H431,"'"))</f>
        <v>'MARACAIBO'</v>
      </c>
      <c r="O431" s="9" t="str">
        <f aca="false">IF(I431="Revisar","NULL",CONCATENATE("'",I431,"'"))</f>
        <v>'ZU'</v>
      </c>
      <c r="P431" s="1" t="str">
        <f aca="false">"UPDATE estudiantes SET fecha_nacimiento="&amp;L431&amp;", sexo="&amp;M431&amp;", lugar_nacimiento="&amp;N431&amp;", entidad_federal="&amp;O431&amp;" WHERE cedula='"&amp;K431&amp;"';"</f>
        <v>UPDATE estudiantes SET fecha_nacimiento='2009-10-25', sexo='M', lugar_nacimiento='MARACAIBO', entidad_federal='ZU' WHERE cedula='34779379';</v>
      </c>
    </row>
    <row r="432" customFormat="false" ht="14.9" hidden="false" customHeight="false" outlineLevel="0" collapsed="false">
      <c r="A432" s="1" t="s">
        <v>15</v>
      </c>
      <c r="B432" s="1" t="s">
        <v>356</v>
      </c>
      <c r="C432" s="1" t="s">
        <v>129</v>
      </c>
      <c r="D432" s="1" t="s">
        <v>457</v>
      </c>
      <c r="E432" s="2" t="n">
        <v>45924</v>
      </c>
      <c r="F432" s="2" t="n">
        <f aca="false">IFERROR(VLOOKUP(TRIM($D432), Hoja4_2!$A$2:$L$10000, 4, 0), "Revisar")</f>
        <v>41057</v>
      </c>
      <c r="G432" s="7" t="str">
        <f aca="false">IFERROR(VLOOKUP(TRIM($D432), Hoja4_2!$A$2:$L$10000, 5, 0), "Revisar")</f>
        <v>MASCULINO</v>
      </c>
      <c r="H432" s="7" t="str">
        <f aca="false">IFERROR(VLOOKUP(TRIM($D432), Hoja4_2!$A$2:$L$10000, 7, 0), "Revisar")</f>
        <v>MARACAIBO</v>
      </c>
      <c r="I432" s="7" t="str">
        <f aca="false">IFERROR(VLOOKUP(TRIM($D432), Hoja4_2!$A$2:$L$10000, 9, 0), "Revisar")</f>
        <v>ZU</v>
      </c>
      <c r="J432" s="7" t="str">
        <f aca="false">IFERROR(VLOOKUP(TRIM($D432), Hoja4_2!$A$2:$L$10000, 12, 0), "Revisar")</f>
        <v>99999999</v>
      </c>
      <c r="K432" s="8" t="str">
        <f aca="false">TEXT(TRIM(D432),"0")</f>
        <v>34886460</v>
      </c>
      <c r="L432" s="1" t="str">
        <f aca="false">IF(F432="Revisar","NULL",CONCATENATE("'",TEXT(F432,"yyyy-mm-dd"),"'"))</f>
        <v>'2012-05-28'</v>
      </c>
      <c r="M432" s="9" t="str">
        <f aca="false">IF(G432="Revisar","NULL",CONCATENATE("'",MID(G432,1,1),"'"))</f>
        <v>'M'</v>
      </c>
      <c r="N432" s="9" t="str">
        <f aca="false">IF(H432="Revisar","NULL",CONCATENATE("'",H432,"'"))</f>
        <v>'MARACAIBO'</v>
      </c>
      <c r="O432" s="9" t="str">
        <f aca="false">IF(I432="Revisar","NULL",CONCATENATE("'",I432,"'"))</f>
        <v>'ZU'</v>
      </c>
      <c r="P432" s="1" t="str">
        <f aca="false">"UPDATE estudiantes SET fecha_nacimiento="&amp;L432&amp;", sexo="&amp;M432&amp;", lugar_nacimiento="&amp;N432&amp;", entidad_federal="&amp;O432&amp;" WHERE cedula='"&amp;K432&amp;"';"</f>
        <v>UPDATE estudiantes SET fecha_nacimiento='2012-05-28', sexo='M', lugar_nacimiento='MARACAIBO', entidad_federal='ZU' WHERE cedula='34886460';</v>
      </c>
    </row>
    <row r="433" customFormat="false" ht="14.9" hidden="false" customHeight="false" outlineLevel="0" collapsed="false">
      <c r="A433" s="1" t="s">
        <v>15</v>
      </c>
      <c r="B433" s="1" t="s">
        <v>356</v>
      </c>
      <c r="C433" s="1" t="s">
        <v>129</v>
      </c>
      <c r="D433" s="1" t="s">
        <v>458</v>
      </c>
      <c r="E433" s="2" t="n">
        <v>45924</v>
      </c>
      <c r="F433" s="2" t="n">
        <f aca="false">IFERROR(VLOOKUP(TRIM($D433), Hoja4_2!$A$2:$L$10000, 4, 0), "Revisar")</f>
        <v>39975</v>
      </c>
      <c r="G433" s="7" t="str">
        <f aca="false">IFERROR(VLOOKUP(TRIM($D433), Hoja4_2!$A$2:$L$10000, 5, 0), "Revisar")</f>
        <v>MASCULINO</v>
      </c>
      <c r="H433" s="7" t="str">
        <f aca="false">IFERROR(VLOOKUP(TRIM($D433), Hoja4_2!$A$2:$L$10000, 7, 0), "Revisar")</f>
        <v>MARACAIBO</v>
      </c>
      <c r="I433" s="7" t="str">
        <f aca="false">IFERROR(VLOOKUP(TRIM($D433), Hoja4_2!$A$2:$L$10000, 9, 0), "Revisar")</f>
        <v>ZU</v>
      </c>
      <c r="J433" s="7" t="str">
        <f aca="false">IFERROR(VLOOKUP(TRIM($D433), Hoja4_2!$A$2:$L$10000, 12, 0), "Revisar")</f>
        <v>99999999</v>
      </c>
      <c r="K433" s="8" t="str">
        <f aca="false">TEXT(TRIM(D433),"0")</f>
        <v>34920939</v>
      </c>
      <c r="L433" s="1" t="str">
        <f aca="false">IF(F433="Revisar","NULL",CONCATENATE("'",TEXT(F433,"yyyy-mm-dd"),"'"))</f>
        <v>'2009-06-11'</v>
      </c>
      <c r="M433" s="9" t="str">
        <f aca="false">IF(G433="Revisar","NULL",CONCATENATE("'",MID(G433,1,1),"'"))</f>
        <v>'M'</v>
      </c>
      <c r="N433" s="9" t="str">
        <f aca="false">IF(H433="Revisar","NULL",CONCATENATE("'",H433,"'"))</f>
        <v>'MARACAIBO'</v>
      </c>
      <c r="O433" s="9" t="str">
        <f aca="false">IF(I433="Revisar","NULL",CONCATENATE("'",I433,"'"))</f>
        <v>'ZU'</v>
      </c>
      <c r="P433" s="1" t="str">
        <f aca="false">"UPDATE estudiantes SET fecha_nacimiento="&amp;L433&amp;", sexo="&amp;M433&amp;", lugar_nacimiento="&amp;N433&amp;", entidad_federal="&amp;O433&amp;" WHERE cedula='"&amp;K433&amp;"';"</f>
        <v>UPDATE estudiantes SET fecha_nacimiento='2009-06-11', sexo='M', lugar_nacimiento='MARACAIBO', entidad_federal='ZU' WHERE cedula='34920939';</v>
      </c>
    </row>
    <row r="434" customFormat="false" ht="14.9" hidden="false" customHeight="false" outlineLevel="0" collapsed="false">
      <c r="A434" s="1" t="s">
        <v>15</v>
      </c>
      <c r="B434" s="1" t="s">
        <v>356</v>
      </c>
      <c r="C434" s="1" t="s">
        <v>129</v>
      </c>
      <c r="D434" s="1" t="s">
        <v>459</v>
      </c>
      <c r="E434" s="2" t="n">
        <v>45924</v>
      </c>
      <c r="F434" s="2" t="n">
        <f aca="false">IFERROR(VLOOKUP(TRIM($D434), Hoja4_2!$A$2:$L$10000, 4, 0), "Revisar")</f>
        <v>40805</v>
      </c>
      <c r="G434" s="7" t="str">
        <f aca="false">IFERROR(VLOOKUP(TRIM($D434), Hoja4_2!$A$2:$L$10000, 5, 0), "Revisar")</f>
        <v>MASCULINO</v>
      </c>
      <c r="H434" s="7" t="str">
        <f aca="false">IFERROR(VLOOKUP(TRIM($D434), Hoja4_2!$A$2:$L$10000, 7, 0), "Revisar")</f>
        <v>MARACAIBO</v>
      </c>
      <c r="I434" s="7" t="str">
        <f aca="false">IFERROR(VLOOKUP(TRIM($D434), Hoja4_2!$A$2:$L$10000, 9, 0), "Revisar")</f>
        <v>ZU</v>
      </c>
      <c r="J434" s="7" t="str">
        <f aca="false">IFERROR(VLOOKUP(TRIM($D434), Hoja4_2!$A$2:$L$10000, 12, 0), "Revisar")</f>
        <v>99999999</v>
      </c>
      <c r="K434" s="8" t="str">
        <f aca="false">TEXT(TRIM(D434),"0")</f>
        <v>35066347</v>
      </c>
      <c r="L434" s="1" t="str">
        <f aca="false">IF(F434="Revisar","NULL",CONCATENATE("'",TEXT(F434,"yyyy-mm-dd"),"'"))</f>
        <v>'2011-09-19'</v>
      </c>
      <c r="M434" s="9" t="str">
        <f aca="false">IF(G434="Revisar","NULL",CONCATENATE("'",MID(G434,1,1),"'"))</f>
        <v>'M'</v>
      </c>
      <c r="N434" s="9" t="str">
        <f aca="false">IF(H434="Revisar","NULL",CONCATENATE("'",H434,"'"))</f>
        <v>'MARACAIBO'</v>
      </c>
      <c r="O434" s="9" t="str">
        <f aca="false">IF(I434="Revisar","NULL",CONCATENATE("'",I434,"'"))</f>
        <v>'ZU'</v>
      </c>
      <c r="P434" s="1" t="str">
        <f aca="false">"UPDATE estudiantes SET fecha_nacimiento="&amp;L434&amp;", sexo="&amp;M434&amp;", lugar_nacimiento="&amp;N434&amp;", entidad_federal="&amp;O434&amp;" WHERE cedula='"&amp;K434&amp;"';"</f>
        <v>UPDATE estudiantes SET fecha_nacimiento='2011-09-19', sexo='M', lugar_nacimiento='MARACAIBO', entidad_federal='ZU' WHERE cedula='35066347';</v>
      </c>
    </row>
    <row r="435" customFormat="false" ht="14.9" hidden="false" customHeight="false" outlineLevel="0" collapsed="false">
      <c r="A435" s="1" t="s">
        <v>15</v>
      </c>
      <c r="B435" s="1" t="s">
        <v>356</v>
      </c>
      <c r="C435" s="1" t="s">
        <v>129</v>
      </c>
      <c r="D435" s="1" t="s">
        <v>460</v>
      </c>
      <c r="E435" s="2" t="n">
        <v>45924</v>
      </c>
      <c r="F435" s="2" t="n">
        <f aca="false">IFERROR(VLOOKUP(TRIM($D435), Hoja4_2!$A$2:$L$10000, 4, 0), "Revisar")</f>
        <v>40756</v>
      </c>
      <c r="G435" s="7" t="str">
        <f aca="false">IFERROR(VLOOKUP(TRIM($D435), Hoja4_2!$A$2:$L$10000, 5, 0), "Revisar")</f>
        <v>MASCULINO</v>
      </c>
      <c r="H435" s="7" t="str">
        <f aca="false">IFERROR(VLOOKUP(TRIM($D435), Hoja4_2!$A$2:$L$10000, 7, 0), "Revisar")</f>
        <v>MARACAIBO</v>
      </c>
      <c r="I435" s="7" t="str">
        <f aca="false">IFERROR(VLOOKUP(TRIM($D435), Hoja4_2!$A$2:$L$10000, 9, 0), "Revisar")</f>
        <v>ZU</v>
      </c>
      <c r="J435" s="7" t="str">
        <f aca="false">IFERROR(VLOOKUP(TRIM($D435), Hoja4_2!$A$2:$L$10000, 12, 0), "Revisar")</f>
        <v>99999999</v>
      </c>
      <c r="K435" s="8" t="str">
        <f aca="false">TEXT(TRIM(D435),"0")</f>
        <v>35093585</v>
      </c>
      <c r="L435" s="1" t="str">
        <f aca="false">IF(F435="Revisar","NULL",CONCATENATE("'",TEXT(F435,"yyyy-mm-dd"),"'"))</f>
        <v>'2011-08-01'</v>
      </c>
      <c r="M435" s="9" t="str">
        <f aca="false">IF(G435="Revisar","NULL",CONCATENATE("'",MID(G435,1,1),"'"))</f>
        <v>'M'</v>
      </c>
      <c r="N435" s="9" t="str">
        <f aca="false">IF(H435="Revisar","NULL",CONCATENATE("'",H435,"'"))</f>
        <v>'MARACAIBO'</v>
      </c>
      <c r="O435" s="9" t="str">
        <f aca="false">IF(I435="Revisar","NULL",CONCATENATE("'",I435,"'"))</f>
        <v>'ZU'</v>
      </c>
      <c r="P435" s="1" t="str">
        <f aca="false">"UPDATE estudiantes SET fecha_nacimiento="&amp;L435&amp;", sexo="&amp;M435&amp;", lugar_nacimiento="&amp;N435&amp;", entidad_federal="&amp;O435&amp;" WHERE cedula='"&amp;K435&amp;"';"</f>
        <v>UPDATE estudiantes SET fecha_nacimiento='2011-08-01', sexo='M', lugar_nacimiento='MARACAIBO', entidad_federal='ZU' WHERE cedula='35093585';</v>
      </c>
    </row>
    <row r="436" customFormat="false" ht="14.9" hidden="false" customHeight="false" outlineLevel="0" collapsed="false">
      <c r="A436" s="1" t="s">
        <v>15</v>
      </c>
      <c r="B436" s="1" t="s">
        <v>356</v>
      </c>
      <c r="C436" s="1" t="s">
        <v>129</v>
      </c>
      <c r="D436" s="1" t="s">
        <v>461</v>
      </c>
      <c r="E436" s="2" t="n">
        <v>45924</v>
      </c>
      <c r="F436" s="2" t="n">
        <f aca="false">IFERROR(VLOOKUP(TRIM($D436), Hoja4_2!$A$2:$L$10000, 4, 0), "Revisar")</f>
        <v>40885</v>
      </c>
      <c r="G436" s="7" t="str">
        <f aca="false">IFERROR(VLOOKUP(TRIM($D436), Hoja4_2!$A$2:$L$10000, 5, 0), "Revisar")</f>
        <v>FEMENINO</v>
      </c>
      <c r="H436" s="7" t="str">
        <f aca="false">IFERROR(VLOOKUP(TRIM($D436), Hoja4_2!$A$2:$L$10000, 7, 0), "Revisar")</f>
        <v>MARACAIBO</v>
      </c>
      <c r="I436" s="7" t="str">
        <f aca="false">IFERROR(VLOOKUP(TRIM($D436), Hoja4_2!$A$2:$L$10000, 9, 0), "Revisar")</f>
        <v>ZU</v>
      </c>
      <c r="J436" s="7" t="str">
        <f aca="false">IFERROR(VLOOKUP(TRIM($D436), Hoja4_2!$A$2:$L$10000, 12, 0), "Revisar")</f>
        <v>99999999</v>
      </c>
      <c r="K436" s="8" t="str">
        <f aca="false">TEXT(TRIM(D436),"0")</f>
        <v>35178809</v>
      </c>
      <c r="L436" s="1" t="str">
        <f aca="false">IF(F436="Revisar","NULL",CONCATENATE("'",TEXT(F436,"yyyy-mm-dd"),"'"))</f>
        <v>'2011-12-08'</v>
      </c>
      <c r="M436" s="9" t="str">
        <f aca="false">IF(G436="Revisar","NULL",CONCATENATE("'",MID(G436,1,1),"'"))</f>
        <v>'F'</v>
      </c>
      <c r="N436" s="9" t="str">
        <f aca="false">IF(H436="Revisar","NULL",CONCATENATE("'",H436,"'"))</f>
        <v>'MARACAIBO'</v>
      </c>
      <c r="O436" s="9" t="str">
        <f aca="false">IF(I436="Revisar","NULL",CONCATENATE("'",I436,"'"))</f>
        <v>'ZU'</v>
      </c>
      <c r="P436" s="1" t="str">
        <f aca="false">"UPDATE estudiantes SET fecha_nacimiento="&amp;L436&amp;", sexo="&amp;M436&amp;", lugar_nacimiento="&amp;N436&amp;", entidad_federal="&amp;O436&amp;" WHERE cedula='"&amp;K436&amp;"';"</f>
        <v>UPDATE estudiantes SET fecha_nacimiento='2011-12-08', sexo='F', lugar_nacimiento='MARACAIBO', entidad_federal='ZU' WHERE cedula='35178809';</v>
      </c>
    </row>
    <row r="437" customFormat="false" ht="14.9" hidden="false" customHeight="false" outlineLevel="0" collapsed="false">
      <c r="A437" s="1" t="s">
        <v>15</v>
      </c>
      <c r="B437" s="1" t="s">
        <v>356</v>
      </c>
      <c r="C437" s="1" t="s">
        <v>129</v>
      </c>
      <c r="D437" s="1" t="s">
        <v>462</v>
      </c>
      <c r="E437" s="2" t="n">
        <v>45929</v>
      </c>
      <c r="F437" s="2" t="n">
        <f aca="false">IFERROR(VLOOKUP(TRIM($D437), Hoja4_2!$A$2:$L$10000, 4, 0), "Revisar")</f>
        <v>40637</v>
      </c>
      <c r="G437" s="7" t="str">
        <f aca="false">IFERROR(VLOOKUP(TRIM($D437), Hoja4_2!$A$2:$L$10000, 5, 0), "Revisar")</f>
        <v>FEMENINO</v>
      </c>
      <c r="H437" s="7" t="str">
        <f aca="false">IFERROR(VLOOKUP(TRIM($D437), Hoja4_2!$A$2:$L$10000, 7, 0), "Revisar")</f>
        <v>GIRARDOT</v>
      </c>
      <c r="I437" s="7" t="str">
        <f aca="false">IFERROR(VLOOKUP(TRIM($D437), Hoja4_2!$A$2:$L$10000, 9, 0), "Revisar")</f>
        <v>AR</v>
      </c>
      <c r="J437" s="7" t="str">
        <f aca="false">IFERROR(VLOOKUP(TRIM($D437), Hoja4_2!$A$2:$L$10000, 12, 0), "Revisar")</f>
        <v>19906306</v>
      </c>
      <c r="K437" s="8" t="str">
        <f aca="false">TEXT(TRIM(D437),"0")</f>
        <v>36514342</v>
      </c>
      <c r="L437" s="1" t="str">
        <f aca="false">IF(F437="Revisar","NULL",CONCATENATE("'",TEXT(F437,"yyyy-mm-dd"),"'"))</f>
        <v>'2011-04-04'</v>
      </c>
      <c r="M437" s="9" t="str">
        <f aca="false">IF(G437="Revisar","NULL",CONCATENATE("'",MID(G437,1,1),"'"))</f>
        <v>'F'</v>
      </c>
      <c r="N437" s="9" t="str">
        <f aca="false">IF(H437="Revisar","NULL",CONCATENATE("'",H437,"'"))</f>
        <v>'GIRARDOT'</v>
      </c>
      <c r="O437" s="9" t="str">
        <f aca="false">IF(I437="Revisar","NULL",CONCATENATE("'",I437,"'"))</f>
        <v>'AR'</v>
      </c>
      <c r="P437" s="1" t="str">
        <f aca="false">"UPDATE estudiantes SET fecha_nacimiento="&amp;L437&amp;", sexo="&amp;M437&amp;", lugar_nacimiento="&amp;N437&amp;", entidad_federal="&amp;O437&amp;" WHERE cedula='"&amp;K437&amp;"';"</f>
        <v>UPDATE estudiantes SET fecha_nacimiento='2011-04-04', sexo='F', lugar_nacimiento='GIRARDOT', entidad_federal='AR' WHERE cedula='36514342';</v>
      </c>
    </row>
    <row r="438" customFormat="false" ht="14.9" hidden="false" customHeight="false" outlineLevel="0" collapsed="false">
      <c r="A438" s="1" t="s">
        <v>15</v>
      </c>
      <c r="B438" s="1" t="s">
        <v>356</v>
      </c>
      <c r="C438" s="1" t="s">
        <v>129</v>
      </c>
      <c r="D438" s="1" t="s">
        <v>463</v>
      </c>
      <c r="E438" s="2" t="n">
        <v>45999</v>
      </c>
      <c r="F438" s="2" t="n">
        <f aca="false">IFERROR(VLOOKUP(TRIM($D438), Hoja4_2!$A$2:$L$10000, 4, 0), "Revisar")</f>
        <v>39772</v>
      </c>
      <c r="G438" s="7" t="str">
        <f aca="false">IFERROR(VLOOKUP(TRIM($D438), Hoja4_2!$A$2:$L$10000, 5, 0), "Revisar")</f>
        <v>MASCULINO</v>
      </c>
      <c r="H438" s="7" t="str">
        <f aca="false">IFERROR(VLOOKUP(TRIM($D438), Hoja4_2!$A$2:$L$10000, 7, 0), "Revisar")</f>
        <v>MARACAIBO</v>
      </c>
      <c r="I438" s="7" t="str">
        <f aca="false">IFERROR(VLOOKUP(TRIM($D438), Hoja4_2!$A$2:$L$10000, 9, 0), "Revisar")</f>
        <v>ZU</v>
      </c>
      <c r="J438" s="7" t="str">
        <f aca="false">IFERROR(VLOOKUP(TRIM($D438), Hoja4_2!$A$2:$L$10000, 12, 0), "Revisar")</f>
        <v>22163806</v>
      </c>
      <c r="K438" s="8" t="str">
        <f aca="false">TEXT(TRIM(D438),"0")</f>
        <v>10822153806</v>
      </c>
      <c r="L438" s="1" t="str">
        <f aca="false">IF(F438="Revisar","NULL",CONCATENATE("'",TEXT(F438,"yyyy-mm-dd"),"'"))</f>
        <v>'2008-11-20'</v>
      </c>
      <c r="M438" s="9" t="str">
        <f aca="false">IF(G438="Revisar","NULL",CONCATENATE("'",MID(G438,1,1),"'"))</f>
        <v>'M'</v>
      </c>
      <c r="N438" s="9" t="str">
        <f aca="false">IF(H438="Revisar","NULL",CONCATENATE("'",H438,"'"))</f>
        <v>'MARACAIBO'</v>
      </c>
      <c r="O438" s="9" t="str">
        <f aca="false">IF(I438="Revisar","NULL",CONCATENATE("'",I438,"'"))</f>
        <v>'ZU'</v>
      </c>
      <c r="P438" s="1" t="str">
        <f aca="false">"UPDATE estudiantes SET fecha_nacimiento="&amp;L438&amp;", sexo="&amp;M438&amp;", lugar_nacimiento="&amp;N438&amp;", entidad_federal="&amp;O438&amp;" WHERE cedula='"&amp;K438&amp;"';"</f>
        <v>UPDATE estudiantes SET fecha_nacimiento='2008-11-20', sexo='M', lugar_nacimiento='MARACAIBO', entidad_federal='ZU' WHERE cedula='10822153806';</v>
      </c>
    </row>
    <row r="439" customFormat="false" ht="14.9" hidden="false" customHeight="false" outlineLevel="0" collapsed="false">
      <c r="A439" s="1" t="s">
        <v>15</v>
      </c>
      <c r="B439" s="1" t="s">
        <v>356</v>
      </c>
      <c r="C439" s="1" t="s">
        <v>129</v>
      </c>
      <c r="D439" s="1" t="s">
        <v>464</v>
      </c>
      <c r="E439" s="2" t="n">
        <v>45929</v>
      </c>
      <c r="F439" s="2" t="n">
        <f aca="false">IFERROR(VLOOKUP(TRIM($D439), Hoja4_2!$A$2:$L$10000, 4, 0), "Revisar")</f>
        <v>40071</v>
      </c>
      <c r="G439" s="7" t="str">
        <f aca="false">IFERROR(VLOOKUP(TRIM($D439), Hoja4_2!$A$2:$L$10000, 5, 0), "Revisar")</f>
        <v>FEMENINO</v>
      </c>
      <c r="H439" s="7" t="str">
        <f aca="false">IFERROR(VLOOKUP(TRIM($D439), Hoja4_2!$A$2:$L$10000, 7, 0), "Revisar")</f>
        <v>JESUS ENRIQUE LOSSADA</v>
      </c>
      <c r="I439" s="7" t="str">
        <f aca="false">IFERROR(VLOOKUP(TRIM($D439), Hoja4_2!$A$2:$L$10000, 9, 0), "Revisar")</f>
        <v>ZU</v>
      </c>
      <c r="J439" s="7" t="str">
        <f aca="false">IFERROR(VLOOKUP(TRIM($D439), Hoja4_2!$A$2:$L$10000, 12, 0), "Revisar")</f>
        <v>20277168</v>
      </c>
      <c r="K439" s="8" t="str">
        <f aca="false">TEXT(TRIM(D439),"0")</f>
        <v>10920277168</v>
      </c>
      <c r="L439" s="1" t="str">
        <f aca="false">IF(F439="Revisar","NULL",CONCATENATE("'",TEXT(F439,"yyyy-mm-dd"),"'"))</f>
        <v>'2009-09-15'</v>
      </c>
      <c r="M439" s="9" t="str">
        <f aca="false">IF(G439="Revisar","NULL",CONCATENATE("'",MID(G439,1,1),"'"))</f>
        <v>'F'</v>
      </c>
      <c r="N439" s="9" t="str">
        <f aca="false">IF(H439="Revisar","NULL",CONCATENATE("'",H439,"'"))</f>
        <v>'JESUS ENRIQUE LOSSADA'</v>
      </c>
      <c r="O439" s="9" t="str">
        <f aca="false">IF(I439="Revisar","NULL",CONCATENATE("'",I439,"'"))</f>
        <v>'ZU'</v>
      </c>
      <c r="P439" s="1" t="str">
        <f aca="false">"UPDATE estudiantes SET fecha_nacimiento="&amp;L439&amp;", sexo="&amp;M439&amp;", lugar_nacimiento="&amp;N439&amp;", entidad_federal="&amp;O439&amp;" WHERE cedula='"&amp;K439&amp;"';"</f>
        <v>UPDATE estudiantes SET fecha_nacimiento='2009-09-15', sexo='F', lugar_nacimiento='JESUS ENRIQUE LOSSADA', entidad_federal='ZU' WHERE cedula='10920277168';</v>
      </c>
    </row>
    <row r="440" customFormat="false" ht="14.9" hidden="false" customHeight="false" outlineLevel="0" collapsed="false">
      <c r="A440" s="1" t="s">
        <v>15</v>
      </c>
      <c r="B440" s="1" t="s">
        <v>356</v>
      </c>
      <c r="C440" s="1" t="s">
        <v>129</v>
      </c>
      <c r="D440" s="1" t="s">
        <v>465</v>
      </c>
      <c r="E440" s="2" t="n">
        <v>45924</v>
      </c>
      <c r="F440" s="2" t="n">
        <f aca="false">IFERROR(VLOOKUP(TRIM($D440), Hoja4_2!$A$2:$L$10000, 4, 0), "Revisar")</f>
        <v>40430</v>
      </c>
      <c r="G440" s="7" t="str">
        <f aca="false">IFERROR(VLOOKUP(TRIM($D440), Hoja4_2!$A$2:$L$10000, 5, 0), "Revisar")</f>
        <v>FEMENINO</v>
      </c>
      <c r="H440" s="7" t="str">
        <f aca="false">IFERROR(VLOOKUP(TRIM($D440), Hoja4_2!$A$2:$L$10000, 7, 0), "Revisar")</f>
        <v>MARACAIBO</v>
      </c>
      <c r="I440" s="7" t="str">
        <f aca="false">IFERROR(VLOOKUP(TRIM($D440), Hoja4_2!$A$2:$L$10000, 9, 0), "Revisar")</f>
        <v>ZU</v>
      </c>
      <c r="J440" s="7" t="str">
        <f aca="false">IFERROR(VLOOKUP(TRIM($D440), Hoja4_2!$A$2:$L$10000, 12, 0), "Revisar")</f>
        <v>99999999</v>
      </c>
      <c r="K440" s="8" t="str">
        <f aca="false">TEXT(TRIM(D440),"0")</f>
        <v>11007628687</v>
      </c>
      <c r="L440" s="1" t="str">
        <f aca="false">IF(F440="Revisar","NULL",CONCATENATE("'",TEXT(F440,"yyyy-mm-dd"),"'"))</f>
        <v>'2010-09-09'</v>
      </c>
      <c r="M440" s="9" t="str">
        <f aca="false">IF(G440="Revisar","NULL",CONCATENATE("'",MID(G440,1,1),"'"))</f>
        <v>'F'</v>
      </c>
      <c r="N440" s="9" t="str">
        <f aca="false">IF(H440="Revisar","NULL",CONCATENATE("'",H440,"'"))</f>
        <v>'MARACAIBO'</v>
      </c>
      <c r="O440" s="9" t="str">
        <f aca="false">IF(I440="Revisar","NULL",CONCATENATE("'",I440,"'"))</f>
        <v>'ZU'</v>
      </c>
      <c r="P440" s="1" t="str">
        <f aca="false">"UPDATE estudiantes SET fecha_nacimiento="&amp;L440&amp;", sexo="&amp;M440&amp;", lugar_nacimiento="&amp;N440&amp;", entidad_federal="&amp;O440&amp;" WHERE cedula='"&amp;K440&amp;"';"</f>
        <v>UPDATE estudiantes SET fecha_nacimiento='2010-09-09', sexo='F', lugar_nacimiento='MARACAIBO', entidad_federal='ZU' WHERE cedula='11007628687';</v>
      </c>
    </row>
    <row r="441" customFormat="false" ht="14.9" hidden="false" customHeight="false" outlineLevel="0" collapsed="false">
      <c r="A441" s="1" t="s">
        <v>15</v>
      </c>
      <c r="B441" s="1" t="s">
        <v>356</v>
      </c>
      <c r="C441" s="1" t="s">
        <v>129</v>
      </c>
      <c r="D441" s="1" t="s">
        <v>466</v>
      </c>
      <c r="E441" s="2" t="n">
        <v>45924</v>
      </c>
      <c r="F441" s="2" t="n">
        <f aca="false">IFERROR(VLOOKUP(TRIM($D441), Hoja4_2!$A$2:$L$10000, 4, 0), "Revisar")</f>
        <v>40422</v>
      </c>
      <c r="G441" s="7" t="str">
        <f aca="false">IFERROR(VLOOKUP(TRIM($D441), Hoja4_2!$A$2:$L$10000, 5, 0), "Revisar")</f>
        <v>FEMENINO</v>
      </c>
      <c r="H441" s="7" t="str">
        <f aca="false">IFERROR(VLOOKUP(TRIM($D441), Hoja4_2!$A$2:$L$10000, 7, 0), "Revisar")</f>
        <v>JESUS ENRIQUE LOSSADA</v>
      </c>
      <c r="I441" s="7" t="str">
        <f aca="false">IFERROR(VLOOKUP(TRIM($D441), Hoja4_2!$A$2:$L$10000, 9, 0), "Revisar")</f>
        <v>ZU</v>
      </c>
      <c r="J441" s="7" t="str">
        <f aca="false">IFERROR(VLOOKUP(TRIM($D441), Hoja4_2!$A$2:$L$10000, 12, 0), "Revisar")</f>
        <v>99999999</v>
      </c>
      <c r="K441" s="8" t="str">
        <f aca="false">TEXT(TRIM(D441),"0")</f>
        <v>11020508293</v>
      </c>
      <c r="L441" s="1" t="str">
        <f aca="false">IF(F441="Revisar","NULL",CONCATENATE("'",TEXT(F441,"yyyy-mm-dd"),"'"))</f>
        <v>'2010-09-01'</v>
      </c>
      <c r="M441" s="9" t="str">
        <f aca="false">IF(G441="Revisar","NULL",CONCATENATE("'",MID(G441,1,1),"'"))</f>
        <v>'F'</v>
      </c>
      <c r="N441" s="9" t="str">
        <f aca="false">IF(H441="Revisar","NULL",CONCATENATE("'",H441,"'"))</f>
        <v>'JESUS ENRIQUE LOSSADA'</v>
      </c>
      <c r="O441" s="9" t="str">
        <f aca="false">IF(I441="Revisar","NULL",CONCATENATE("'",I441,"'"))</f>
        <v>'ZU'</v>
      </c>
      <c r="P441" s="1" t="str">
        <f aca="false">"UPDATE estudiantes SET fecha_nacimiento="&amp;L441&amp;", sexo="&amp;M441&amp;", lugar_nacimiento="&amp;N441&amp;", entidad_federal="&amp;O441&amp;" WHERE cedula='"&amp;K441&amp;"';"</f>
        <v>UPDATE estudiantes SET fecha_nacimiento='2010-09-01', sexo='F', lugar_nacimiento='JESUS ENRIQUE LOSSADA', entidad_federal='ZU' WHERE cedula='11020508293';</v>
      </c>
    </row>
    <row r="442" customFormat="false" ht="14.9" hidden="false" customHeight="false" outlineLevel="0" collapsed="false">
      <c r="A442" s="1" t="s">
        <v>15</v>
      </c>
      <c r="B442" s="1" t="s">
        <v>356</v>
      </c>
      <c r="C442" s="1" t="s">
        <v>129</v>
      </c>
      <c r="D442" s="1" t="s">
        <v>467</v>
      </c>
      <c r="E442" s="2" t="n">
        <v>45924</v>
      </c>
      <c r="F442" s="2" t="n">
        <f aca="false">IFERROR(VLOOKUP(TRIM($D442), Hoja4_2!$A$2:$L$10000, 4, 0), "Revisar")</f>
        <v>40697</v>
      </c>
      <c r="G442" s="7" t="str">
        <f aca="false">IFERROR(VLOOKUP(TRIM($D442), Hoja4_2!$A$2:$L$10000, 5, 0), "Revisar")</f>
        <v>MASCULINO</v>
      </c>
      <c r="H442" s="7" t="str">
        <f aca="false">IFERROR(VLOOKUP(TRIM($D442), Hoja4_2!$A$2:$L$10000, 7, 0), "Revisar")</f>
        <v>MARACAIBO</v>
      </c>
      <c r="I442" s="7" t="str">
        <f aca="false">IFERROR(VLOOKUP(TRIM($D442), Hoja4_2!$A$2:$L$10000, 9, 0), "Revisar")</f>
        <v>ZU</v>
      </c>
      <c r="J442" s="7" t="str">
        <f aca="false">IFERROR(VLOOKUP(TRIM($D442), Hoja4_2!$A$2:$L$10000, 12, 0), "Revisar")</f>
        <v>99999999</v>
      </c>
      <c r="K442" s="8" t="str">
        <f aca="false">TEXT(TRIM(D442),"0")</f>
        <v>11112868835</v>
      </c>
      <c r="L442" s="1" t="str">
        <f aca="false">IF(F442="Revisar","NULL",CONCATENATE("'",TEXT(F442,"yyyy-mm-dd"),"'"))</f>
        <v>'2011-06-03'</v>
      </c>
      <c r="M442" s="9" t="str">
        <f aca="false">IF(G442="Revisar","NULL",CONCATENATE("'",MID(G442,1,1),"'"))</f>
        <v>'M'</v>
      </c>
      <c r="N442" s="9" t="str">
        <f aca="false">IF(H442="Revisar","NULL",CONCATENATE("'",H442,"'"))</f>
        <v>'MARACAIBO'</v>
      </c>
      <c r="O442" s="9" t="str">
        <f aca="false">IF(I442="Revisar","NULL",CONCATENATE("'",I442,"'"))</f>
        <v>'ZU'</v>
      </c>
      <c r="P442" s="1" t="str">
        <f aca="false">"UPDATE estudiantes SET fecha_nacimiento="&amp;L442&amp;", sexo="&amp;M442&amp;", lugar_nacimiento="&amp;N442&amp;", entidad_federal="&amp;O442&amp;" WHERE cedula='"&amp;K442&amp;"';"</f>
        <v>UPDATE estudiantes SET fecha_nacimiento='2011-06-03', sexo='M', lugar_nacimiento='MARACAIBO', entidad_federal='ZU' WHERE cedula='11112868835';</v>
      </c>
    </row>
    <row r="443" customFormat="false" ht="14.9" hidden="false" customHeight="false" outlineLevel="0" collapsed="false">
      <c r="A443" s="1" t="s">
        <v>15</v>
      </c>
      <c r="B443" s="1" t="s">
        <v>356</v>
      </c>
      <c r="C443" s="1" t="s">
        <v>129</v>
      </c>
      <c r="D443" s="1" t="s">
        <v>468</v>
      </c>
      <c r="E443" s="2" t="n">
        <v>45924</v>
      </c>
      <c r="F443" s="2" t="n">
        <f aca="false">IFERROR(VLOOKUP(TRIM($D443), Hoja4_2!$A$2:$L$10000, 4, 0), "Revisar")</f>
        <v>40848</v>
      </c>
      <c r="G443" s="7" t="str">
        <f aca="false">IFERROR(VLOOKUP(TRIM($D443), Hoja4_2!$A$2:$L$10000, 5, 0), "Revisar")</f>
        <v>MASCULINO</v>
      </c>
      <c r="H443" s="7" t="str">
        <f aca="false">IFERROR(VLOOKUP(TRIM($D443), Hoja4_2!$A$2:$L$10000, 7, 0), "Revisar")</f>
        <v>JESUS ENRIQUE LOSSADA</v>
      </c>
      <c r="I443" s="7" t="str">
        <f aca="false">IFERROR(VLOOKUP(TRIM($D443), Hoja4_2!$A$2:$L$10000, 9, 0), "Revisar")</f>
        <v>ZU</v>
      </c>
      <c r="J443" s="7" t="str">
        <f aca="false">IFERROR(VLOOKUP(TRIM($D443), Hoja4_2!$A$2:$L$10000, 12, 0), "Revisar")</f>
        <v>99999999</v>
      </c>
      <c r="K443" s="8" t="str">
        <f aca="false">TEXT(TRIM(D443),"0")</f>
        <v>11115053986</v>
      </c>
      <c r="L443" s="1" t="str">
        <f aca="false">IF(F443="Revisar","NULL",CONCATENATE("'",TEXT(F443,"yyyy-mm-dd"),"'"))</f>
        <v>'2011-11-01'</v>
      </c>
      <c r="M443" s="9" t="str">
        <f aca="false">IF(G443="Revisar","NULL",CONCATENATE("'",MID(G443,1,1),"'"))</f>
        <v>'M'</v>
      </c>
      <c r="N443" s="9" t="str">
        <f aca="false">IF(H443="Revisar","NULL",CONCATENATE("'",H443,"'"))</f>
        <v>'JESUS ENRIQUE LOSSADA'</v>
      </c>
      <c r="O443" s="9" t="str">
        <f aca="false">IF(I443="Revisar","NULL",CONCATENATE("'",I443,"'"))</f>
        <v>'ZU'</v>
      </c>
      <c r="P443" s="1" t="str">
        <f aca="false">"UPDATE estudiantes SET fecha_nacimiento="&amp;L443&amp;", sexo="&amp;M443&amp;", lugar_nacimiento="&amp;N443&amp;", entidad_federal="&amp;O443&amp;" WHERE cedula='"&amp;K443&amp;"';"</f>
        <v>UPDATE estudiantes SET fecha_nacimiento='2011-11-01', sexo='M', lugar_nacimiento='JESUS ENRIQUE LOSSADA', entidad_federal='ZU' WHERE cedula='11115053986';</v>
      </c>
    </row>
    <row r="444" customFormat="false" ht="14.9" hidden="false" customHeight="false" outlineLevel="0" collapsed="false">
      <c r="A444" s="1" t="s">
        <v>15</v>
      </c>
      <c r="B444" s="1" t="s">
        <v>356</v>
      </c>
      <c r="C444" s="1" t="s">
        <v>129</v>
      </c>
      <c r="D444" s="1" t="s">
        <v>469</v>
      </c>
      <c r="E444" s="2" t="n">
        <v>45924</v>
      </c>
      <c r="F444" s="2" t="n">
        <f aca="false">IFERROR(VLOOKUP(TRIM($D444), Hoja4_2!$A$2:$L$10000, 4, 0), "Revisar")</f>
        <v>40610</v>
      </c>
      <c r="G444" s="7" t="str">
        <f aca="false">IFERROR(VLOOKUP(TRIM($D444), Hoja4_2!$A$2:$L$10000, 5, 0), "Revisar")</f>
        <v>FEMENINO</v>
      </c>
      <c r="H444" s="7" t="str">
        <f aca="false">IFERROR(VLOOKUP(TRIM($D444), Hoja4_2!$A$2:$L$10000, 7, 0), "Revisar")</f>
        <v>MARACAIBO</v>
      </c>
      <c r="I444" s="7" t="str">
        <f aca="false">IFERROR(VLOOKUP(TRIM($D444), Hoja4_2!$A$2:$L$10000, 9, 0), "Revisar")</f>
        <v>ZU</v>
      </c>
      <c r="J444" s="7" t="str">
        <f aca="false">IFERROR(VLOOKUP(TRIM($D444), Hoja4_2!$A$2:$L$10000, 12, 0), "Revisar")</f>
        <v>99999999</v>
      </c>
      <c r="K444" s="8" t="str">
        <f aca="false">TEXT(TRIM(D444),"0")</f>
        <v>11116186148</v>
      </c>
      <c r="L444" s="1" t="str">
        <f aca="false">IF(F444="Revisar","NULL",CONCATENATE("'",TEXT(F444,"yyyy-mm-dd"),"'"))</f>
        <v>'2011-03-08'</v>
      </c>
      <c r="M444" s="9" t="str">
        <f aca="false">IF(G444="Revisar","NULL",CONCATENATE("'",MID(G444,1,1),"'"))</f>
        <v>'F'</v>
      </c>
      <c r="N444" s="9" t="str">
        <f aca="false">IF(H444="Revisar","NULL",CONCATENATE("'",H444,"'"))</f>
        <v>'MARACAIBO'</v>
      </c>
      <c r="O444" s="9" t="str">
        <f aca="false">IF(I444="Revisar","NULL",CONCATENATE("'",I444,"'"))</f>
        <v>'ZU'</v>
      </c>
      <c r="P444" s="1" t="str">
        <f aca="false">"UPDATE estudiantes SET fecha_nacimiento="&amp;L444&amp;", sexo="&amp;M444&amp;", lugar_nacimiento="&amp;N444&amp;", entidad_federal="&amp;O444&amp;" WHERE cedula='"&amp;K444&amp;"';"</f>
        <v>UPDATE estudiantes SET fecha_nacimiento='2011-03-08', sexo='F', lugar_nacimiento='MARACAIBO', entidad_federal='ZU' WHERE cedula='11116186148';</v>
      </c>
    </row>
    <row r="445" customFormat="false" ht="14.9" hidden="false" customHeight="false" outlineLevel="0" collapsed="false">
      <c r="A445" s="1" t="s">
        <v>15</v>
      </c>
      <c r="B445" s="1" t="s">
        <v>356</v>
      </c>
      <c r="C445" s="1" t="s">
        <v>129</v>
      </c>
      <c r="D445" s="1" t="s">
        <v>470</v>
      </c>
      <c r="E445" s="2" t="n">
        <v>45924</v>
      </c>
      <c r="F445" s="2" t="n">
        <f aca="false">IFERROR(VLOOKUP(TRIM($D445), Hoja4_2!$A$2:$L$10000, 4, 0), "Revisar")</f>
        <v>40637</v>
      </c>
      <c r="G445" s="7" t="str">
        <f aca="false">IFERROR(VLOOKUP(TRIM($D445), Hoja4_2!$A$2:$L$10000, 5, 0), "Revisar")</f>
        <v>MASCULINO</v>
      </c>
      <c r="H445" s="7" t="str">
        <f aca="false">IFERROR(VLOOKUP(TRIM($D445), Hoja4_2!$A$2:$L$10000, 7, 0), "Revisar")</f>
        <v>MARACAIBO</v>
      </c>
      <c r="I445" s="7" t="str">
        <f aca="false">IFERROR(VLOOKUP(TRIM($D445), Hoja4_2!$A$2:$L$10000, 9, 0), "Revisar")</f>
        <v>ZU</v>
      </c>
      <c r="J445" s="7" t="str">
        <f aca="false">IFERROR(VLOOKUP(TRIM($D445), Hoja4_2!$A$2:$L$10000, 12, 0), "Revisar")</f>
        <v>99999999</v>
      </c>
      <c r="K445" s="8" t="str">
        <f aca="false">TEXT(TRIM(D445),"0")</f>
        <v>11117566953</v>
      </c>
      <c r="L445" s="1" t="str">
        <f aca="false">IF(F445="Revisar","NULL",CONCATENATE("'",TEXT(F445,"yyyy-mm-dd"),"'"))</f>
        <v>'2011-04-04'</v>
      </c>
      <c r="M445" s="9" t="str">
        <f aca="false">IF(G445="Revisar","NULL",CONCATENATE("'",MID(G445,1,1),"'"))</f>
        <v>'M'</v>
      </c>
      <c r="N445" s="9" t="str">
        <f aca="false">IF(H445="Revisar","NULL",CONCATENATE("'",H445,"'"))</f>
        <v>'MARACAIBO'</v>
      </c>
      <c r="O445" s="9" t="str">
        <f aca="false">IF(I445="Revisar","NULL",CONCATENATE("'",I445,"'"))</f>
        <v>'ZU'</v>
      </c>
      <c r="P445" s="1" t="str">
        <f aca="false">"UPDATE estudiantes SET fecha_nacimiento="&amp;L445&amp;", sexo="&amp;M445&amp;", lugar_nacimiento="&amp;N445&amp;", entidad_federal="&amp;O445&amp;" WHERE cedula='"&amp;K445&amp;"';"</f>
        <v>UPDATE estudiantes SET fecha_nacimiento='2011-04-04', sexo='M', lugar_nacimiento='MARACAIBO', entidad_federal='ZU' WHERE cedula='11117566953';</v>
      </c>
    </row>
    <row r="446" customFormat="false" ht="14.9" hidden="false" customHeight="false" outlineLevel="0" collapsed="false">
      <c r="A446" s="1" t="s">
        <v>15</v>
      </c>
      <c r="B446" s="1" t="s">
        <v>356</v>
      </c>
      <c r="C446" s="1" t="s">
        <v>129</v>
      </c>
      <c r="D446" s="1" t="s">
        <v>471</v>
      </c>
      <c r="E446" s="2" t="n">
        <v>45924</v>
      </c>
      <c r="F446" s="2" t="n">
        <f aca="false">IFERROR(VLOOKUP(TRIM($D446), Hoja4_2!$A$2:$L$10000, 4, 0), "Revisar")</f>
        <v>40316</v>
      </c>
      <c r="G446" s="7" t="str">
        <f aca="false">IFERROR(VLOOKUP(TRIM($D446), Hoja4_2!$A$2:$L$10000, 5, 0), "Revisar")</f>
        <v>FEMENINO</v>
      </c>
      <c r="H446" s="7" t="str">
        <f aca="false">IFERROR(VLOOKUP(TRIM($D446), Hoja4_2!$A$2:$L$10000, 7, 0), "Revisar")</f>
        <v>MARACAIBO</v>
      </c>
      <c r="I446" s="7" t="str">
        <f aca="false">IFERROR(VLOOKUP(TRIM($D446), Hoja4_2!$A$2:$L$10000, 9, 0), "Revisar")</f>
        <v>ZU</v>
      </c>
      <c r="J446" s="7" t="str">
        <f aca="false">IFERROR(VLOOKUP(TRIM($D446), Hoja4_2!$A$2:$L$10000, 12, 0), "Revisar")</f>
        <v>99999999</v>
      </c>
      <c r="K446" s="8" t="str">
        <f aca="false">TEXT(TRIM(D446),"0")</f>
        <v>11118624020</v>
      </c>
      <c r="L446" s="1" t="str">
        <f aca="false">IF(F446="Revisar","NULL",CONCATENATE("'",TEXT(F446,"yyyy-mm-dd"),"'"))</f>
        <v>'2010-05-18'</v>
      </c>
      <c r="M446" s="9" t="str">
        <f aca="false">IF(G446="Revisar","NULL",CONCATENATE("'",MID(G446,1,1),"'"))</f>
        <v>'F'</v>
      </c>
      <c r="N446" s="9" t="str">
        <f aca="false">IF(H446="Revisar","NULL",CONCATENATE("'",H446,"'"))</f>
        <v>'MARACAIBO'</v>
      </c>
      <c r="O446" s="9" t="str">
        <f aca="false">IF(I446="Revisar","NULL",CONCATENATE("'",I446,"'"))</f>
        <v>'ZU'</v>
      </c>
      <c r="P446" s="1" t="str">
        <f aca="false">"UPDATE estudiantes SET fecha_nacimiento="&amp;L446&amp;", sexo="&amp;M446&amp;", lugar_nacimiento="&amp;N446&amp;", entidad_federal="&amp;O446&amp;" WHERE cedula='"&amp;K446&amp;"';"</f>
        <v>UPDATE estudiantes SET fecha_nacimiento='2010-05-18', sexo='F', lugar_nacimiento='MARACAIBO', entidad_federal='ZU' WHERE cedula='11118624020';</v>
      </c>
    </row>
    <row r="447" customFormat="false" ht="14.9" hidden="false" customHeight="false" outlineLevel="0" collapsed="false">
      <c r="A447" s="1" t="s">
        <v>15</v>
      </c>
      <c r="B447" s="1" t="s">
        <v>356</v>
      </c>
      <c r="C447" s="1" t="s">
        <v>129</v>
      </c>
      <c r="D447" s="1" t="s">
        <v>472</v>
      </c>
      <c r="E447" s="2" t="n">
        <v>45930</v>
      </c>
      <c r="F447" s="2" t="n">
        <f aca="false">IFERROR(VLOOKUP(TRIM($D447), Hoja4_2!$A$2:$L$10000, 4, 0), "Revisar")</f>
        <v>40708</v>
      </c>
      <c r="G447" s="7" t="str">
        <f aca="false">IFERROR(VLOOKUP(TRIM($D447), Hoja4_2!$A$2:$L$10000, 5, 0), "Revisar")</f>
        <v>FEMENINO</v>
      </c>
      <c r="H447" s="7" t="str">
        <f aca="false">IFERROR(VLOOKUP(TRIM($D447), Hoja4_2!$A$2:$L$10000, 7, 0), "Revisar")</f>
        <v>MARACAIBO</v>
      </c>
      <c r="I447" s="7" t="str">
        <f aca="false">IFERROR(VLOOKUP(TRIM($D447), Hoja4_2!$A$2:$L$10000, 9, 0), "Revisar")</f>
        <v>ZU</v>
      </c>
      <c r="J447" s="7" t="str">
        <f aca="false">IFERROR(VLOOKUP(TRIM($D447), Hoja4_2!$A$2:$L$10000, 12, 0), "Revisar")</f>
        <v>99999999</v>
      </c>
      <c r="K447" s="8" t="str">
        <f aca="false">TEXT(TRIM(D447),"0")</f>
        <v>11118662101</v>
      </c>
      <c r="L447" s="1" t="str">
        <f aca="false">IF(F447="Revisar","NULL",CONCATENATE("'",TEXT(F447,"yyyy-mm-dd"),"'"))</f>
        <v>'2011-06-14'</v>
      </c>
      <c r="M447" s="9" t="str">
        <f aca="false">IF(G447="Revisar","NULL",CONCATENATE("'",MID(G447,1,1),"'"))</f>
        <v>'F'</v>
      </c>
      <c r="N447" s="9" t="str">
        <f aca="false">IF(H447="Revisar","NULL",CONCATENATE("'",H447,"'"))</f>
        <v>'MARACAIBO'</v>
      </c>
      <c r="O447" s="9" t="str">
        <f aca="false">IF(I447="Revisar","NULL",CONCATENATE("'",I447,"'"))</f>
        <v>'ZU'</v>
      </c>
      <c r="P447" s="1" t="str">
        <f aca="false">"UPDATE estudiantes SET fecha_nacimiento="&amp;L447&amp;", sexo="&amp;M447&amp;", lugar_nacimiento="&amp;N447&amp;", entidad_federal="&amp;O447&amp;" WHERE cedula='"&amp;K447&amp;"';"</f>
        <v>UPDATE estudiantes SET fecha_nacimiento='2011-06-14', sexo='F', lugar_nacimiento='MARACAIBO', entidad_federal='ZU' WHERE cedula='11118662101';</v>
      </c>
    </row>
    <row r="448" customFormat="false" ht="14.9" hidden="false" customHeight="false" outlineLevel="0" collapsed="false">
      <c r="A448" s="1" t="s">
        <v>15</v>
      </c>
      <c r="B448" s="1" t="s">
        <v>356</v>
      </c>
      <c r="C448" s="1" t="s">
        <v>129</v>
      </c>
      <c r="D448" s="1" t="s">
        <v>473</v>
      </c>
      <c r="E448" s="2" t="n">
        <v>45924</v>
      </c>
      <c r="F448" s="2" t="n">
        <f aca="false">IFERROR(VLOOKUP(TRIM($D448), Hoja4_2!$A$2:$L$10000, 4, 0), "Revisar")</f>
        <v>40879</v>
      </c>
      <c r="G448" s="7" t="str">
        <f aca="false">IFERROR(VLOOKUP(TRIM($D448), Hoja4_2!$A$2:$L$10000, 5, 0), "Revisar")</f>
        <v>FEMENINO</v>
      </c>
      <c r="H448" s="7" t="str">
        <f aca="false">IFERROR(VLOOKUP(TRIM($D448), Hoja4_2!$A$2:$L$10000, 7, 0), "Revisar")</f>
        <v>JESUS ENRIQUE LOSSADA</v>
      </c>
      <c r="I448" s="7" t="str">
        <f aca="false">IFERROR(VLOOKUP(TRIM($D448), Hoja4_2!$A$2:$L$10000, 9, 0), "Revisar")</f>
        <v>ZU</v>
      </c>
      <c r="J448" s="7" t="str">
        <f aca="false">IFERROR(VLOOKUP(TRIM($D448), Hoja4_2!$A$2:$L$10000, 12, 0), "Revisar")</f>
        <v>99999999</v>
      </c>
      <c r="K448" s="8" t="str">
        <f aca="false">TEXT(TRIM(D448),"0")</f>
        <v>11120686045</v>
      </c>
      <c r="L448" s="1" t="str">
        <f aca="false">IF(F448="Revisar","NULL",CONCATENATE("'",TEXT(F448,"yyyy-mm-dd"),"'"))</f>
        <v>'2011-12-02'</v>
      </c>
      <c r="M448" s="9" t="str">
        <f aca="false">IF(G448="Revisar","NULL",CONCATENATE("'",MID(G448,1,1),"'"))</f>
        <v>'F'</v>
      </c>
      <c r="N448" s="9" t="str">
        <f aca="false">IF(H448="Revisar","NULL",CONCATENATE("'",H448,"'"))</f>
        <v>'JESUS ENRIQUE LOSSADA'</v>
      </c>
      <c r="O448" s="9" t="str">
        <f aca="false">IF(I448="Revisar","NULL",CONCATENATE("'",I448,"'"))</f>
        <v>'ZU'</v>
      </c>
      <c r="P448" s="1" t="str">
        <f aca="false">"UPDATE estudiantes SET fecha_nacimiento="&amp;L448&amp;", sexo="&amp;M448&amp;", lugar_nacimiento="&amp;N448&amp;", entidad_federal="&amp;O448&amp;" WHERE cedula='"&amp;K448&amp;"';"</f>
        <v>UPDATE estudiantes SET fecha_nacimiento='2011-12-02', sexo='F', lugar_nacimiento='JESUS ENRIQUE LOSSADA', entidad_federal='ZU' WHERE cedula='11120686045';</v>
      </c>
    </row>
    <row r="449" customFormat="false" ht="14.9" hidden="false" customHeight="false" outlineLevel="0" collapsed="false">
      <c r="A449" s="1" t="s">
        <v>15</v>
      </c>
      <c r="B449" s="1" t="s">
        <v>356</v>
      </c>
      <c r="C449" s="1" t="s">
        <v>129</v>
      </c>
      <c r="D449" s="1" t="s">
        <v>474</v>
      </c>
      <c r="E449" s="2" t="n">
        <v>45924</v>
      </c>
      <c r="F449" s="2" t="n">
        <f aca="false">IFERROR(VLOOKUP(TRIM($D449), Hoja4_2!$A$2:$L$10000, 4, 0), "Revisar")</f>
        <v>40826</v>
      </c>
      <c r="G449" s="7" t="str">
        <f aca="false">IFERROR(VLOOKUP(TRIM($D449), Hoja4_2!$A$2:$L$10000, 5, 0), "Revisar")</f>
        <v>MASCULINO</v>
      </c>
      <c r="H449" s="7" t="str">
        <f aca="false">IFERROR(VLOOKUP(TRIM($D449), Hoja4_2!$A$2:$L$10000, 7, 0), "Revisar")</f>
        <v>MARACAIBO</v>
      </c>
      <c r="I449" s="7" t="str">
        <f aca="false">IFERROR(VLOOKUP(TRIM($D449), Hoja4_2!$A$2:$L$10000, 9, 0), "Revisar")</f>
        <v>ZU</v>
      </c>
      <c r="J449" s="7" t="str">
        <f aca="false">IFERROR(VLOOKUP(TRIM($D449), Hoja4_2!$A$2:$L$10000, 12, 0), "Revisar")</f>
        <v>99999999</v>
      </c>
      <c r="K449" s="8" t="str">
        <f aca="false">TEXT(TRIM(D449),"0")</f>
        <v>11120778506</v>
      </c>
      <c r="L449" s="1" t="str">
        <f aca="false">IF(F449="Revisar","NULL",CONCATENATE("'",TEXT(F449,"yyyy-mm-dd"),"'"))</f>
        <v>'2011-10-10'</v>
      </c>
      <c r="M449" s="9" t="str">
        <f aca="false">IF(G449="Revisar","NULL",CONCATENATE("'",MID(G449,1,1),"'"))</f>
        <v>'M'</v>
      </c>
      <c r="N449" s="9" t="str">
        <f aca="false">IF(H449="Revisar","NULL",CONCATENATE("'",H449,"'"))</f>
        <v>'MARACAIBO'</v>
      </c>
      <c r="O449" s="9" t="str">
        <f aca="false">IF(I449="Revisar","NULL",CONCATENATE("'",I449,"'"))</f>
        <v>'ZU'</v>
      </c>
      <c r="P449" s="1" t="str">
        <f aca="false">"UPDATE estudiantes SET fecha_nacimiento="&amp;L449&amp;", sexo="&amp;M449&amp;", lugar_nacimiento="&amp;N449&amp;", entidad_federal="&amp;O449&amp;" WHERE cedula='"&amp;K449&amp;"';"</f>
        <v>UPDATE estudiantes SET fecha_nacimiento='2011-10-10', sexo='M', lugar_nacimiento='MARACAIBO', entidad_federal='ZU' WHERE cedula='11120778506';</v>
      </c>
    </row>
    <row r="450" customFormat="false" ht="14.9" hidden="false" customHeight="false" outlineLevel="0" collapsed="false">
      <c r="A450" s="1" t="s">
        <v>15</v>
      </c>
      <c r="B450" s="1" t="s">
        <v>356</v>
      </c>
      <c r="C450" s="1" t="s">
        <v>129</v>
      </c>
      <c r="D450" s="1" t="s">
        <v>475</v>
      </c>
      <c r="E450" s="2" t="n">
        <v>45924</v>
      </c>
      <c r="F450" s="2" t="n">
        <f aca="false">IFERROR(VLOOKUP(TRIM($D450), Hoja4_2!$A$2:$L$10000, 4, 0), "Revisar")</f>
        <v>40639</v>
      </c>
      <c r="G450" s="7" t="str">
        <f aca="false">IFERROR(VLOOKUP(TRIM($D450), Hoja4_2!$A$2:$L$10000, 5, 0), "Revisar")</f>
        <v>MASCULINO</v>
      </c>
      <c r="H450" s="7" t="str">
        <f aca="false">IFERROR(VLOOKUP(TRIM($D450), Hoja4_2!$A$2:$L$10000, 7, 0), "Revisar")</f>
        <v>JESUS ENRIQUE LOSSADA</v>
      </c>
      <c r="I450" s="7" t="str">
        <f aca="false">IFERROR(VLOOKUP(TRIM($D450), Hoja4_2!$A$2:$L$10000, 9, 0), "Revisar")</f>
        <v>ZU</v>
      </c>
      <c r="J450" s="7" t="str">
        <f aca="false">IFERROR(VLOOKUP(TRIM($D450), Hoja4_2!$A$2:$L$10000, 12, 0), "Revisar")</f>
        <v>99999999</v>
      </c>
      <c r="K450" s="8" t="str">
        <f aca="false">TEXT(TRIM(D450),"0")</f>
        <v>11121490627</v>
      </c>
      <c r="L450" s="1" t="str">
        <f aca="false">IF(F450="Revisar","NULL",CONCATENATE("'",TEXT(F450,"yyyy-mm-dd"),"'"))</f>
        <v>'2011-04-06'</v>
      </c>
      <c r="M450" s="9" t="str">
        <f aca="false">IF(G450="Revisar","NULL",CONCATENATE("'",MID(G450,1,1),"'"))</f>
        <v>'M'</v>
      </c>
      <c r="N450" s="9" t="str">
        <f aca="false">IF(H450="Revisar","NULL",CONCATENATE("'",H450,"'"))</f>
        <v>'JESUS ENRIQUE LOSSADA'</v>
      </c>
      <c r="O450" s="9" t="str">
        <f aca="false">IF(I450="Revisar","NULL",CONCATENATE("'",I450,"'"))</f>
        <v>'ZU'</v>
      </c>
      <c r="P450" s="1" t="str">
        <f aca="false">"UPDATE estudiantes SET fecha_nacimiento="&amp;L450&amp;", sexo="&amp;M450&amp;", lugar_nacimiento="&amp;N450&amp;", entidad_federal="&amp;O450&amp;" WHERE cedula='"&amp;K450&amp;"';"</f>
        <v>UPDATE estudiantes SET fecha_nacimiento='2011-04-06', sexo='M', lugar_nacimiento='JESUS ENRIQUE LOSSADA', entidad_federal='ZU' WHERE cedula='11121490627';</v>
      </c>
    </row>
    <row r="451" customFormat="false" ht="14.9" hidden="false" customHeight="false" outlineLevel="0" collapsed="false">
      <c r="A451" s="1" t="s">
        <v>15</v>
      </c>
      <c r="B451" s="1" t="s">
        <v>356</v>
      </c>
      <c r="C451" s="1" t="s">
        <v>129</v>
      </c>
      <c r="D451" s="1" t="s">
        <v>476</v>
      </c>
      <c r="E451" s="2" t="n">
        <v>45924</v>
      </c>
      <c r="F451" s="2" t="n">
        <f aca="false">IFERROR(VLOOKUP(TRIM($D451), Hoja4_2!$A$2:$L$10000, 4, 0), "Revisar")</f>
        <v>40894</v>
      </c>
      <c r="G451" s="7" t="str">
        <f aca="false">IFERROR(VLOOKUP(TRIM($D451), Hoja4_2!$A$2:$L$10000, 5, 0), "Revisar")</f>
        <v>FEMENINO</v>
      </c>
      <c r="H451" s="7" t="str">
        <f aca="false">IFERROR(VLOOKUP(TRIM($D451), Hoja4_2!$A$2:$L$10000, 7, 0), "Revisar")</f>
        <v>MARACAIBO</v>
      </c>
      <c r="I451" s="7" t="str">
        <f aca="false">IFERROR(VLOOKUP(TRIM($D451), Hoja4_2!$A$2:$L$10000, 9, 0), "Revisar")</f>
        <v>ZU</v>
      </c>
      <c r="J451" s="7" t="str">
        <f aca="false">IFERROR(VLOOKUP(TRIM($D451), Hoja4_2!$A$2:$L$10000, 12, 0), "Revisar")</f>
        <v>99999999</v>
      </c>
      <c r="K451" s="8" t="str">
        <f aca="false">TEXT(TRIM(D451),"0")</f>
        <v>11123466535</v>
      </c>
      <c r="L451" s="1" t="str">
        <f aca="false">IF(F451="Revisar","NULL",CONCATENATE("'",TEXT(F451,"yyyy-mm-dd"),"'"))</f>
        <v>'2011-12-17'</v>
      </c>
      <c r="M451" s="9" t="str">
        <f aca="false">IF(G451="Revisar","NULL",CONCATENATE("'",MID(G451,1,1),"'"))</f>
        <v>'F'</v>
      </c>
      <c r="N451" s="9" t="str">
        <f aca="false">IF(H451="Revisar","NULL",CONCATENATE("'",H451,"'"))</f>
        <v>'MARACAIBO'</v>
      </c>
      <c r="O451" s="9" t="str">
        <f aca="false">IF(I451="Revisar","NULL",CONCATENATE("'",I451,"'"))</f>
        <v>'ZU'</v>
      </c>
      <c r="P451" s="1" t="str">
        <f aca="false">"UPDATE estudiantes SET fecha_nacimiento="&amp;L451&amp;", sexo="&amp;M451&amp;", lugar_nacimiento="&amp;N451&amp;", entidad_federal="&amp;O451&amp;" WHERE cedula='"&amp;K451&amp;"';"</f>
        <v>UPDATE estudiantes SET fecha_nacimiento='2011-12-17', sexo='F', lugar_nacimiento='MARACAIBO', entidad_federal='ZU' WHERE cedula='11123466535';</v>
      </c>
    </row>
    <row r="452" customFormat="false" ht="14.9" hidden="false" customHeight="false" outlineLevel="0" collapsed="false">
      <c r="A452" s="1" t="s">
        <v>15</v>
      </c>
      <c r="B452" s="1" t="s">
        <v>356</v>
      </c>
      <c r="C452" s="1" t="s">
        <v>129</v>
      </c>
      <c r="D452" s="1" t="s">
        <v>477</v>
      </c>
      <c r="E452" s="2" t="n">
        <v>45924</v>
      </c>
      <c r="F452" s="2" t="n">
        <f aca="false">IFERROR(VLOOKUP(TRIM($D452), Hoja4_2!$A$2:$L$10000, 4, 0), "Revisar")</f>
        <v>40906</v>
      </c>
      <c r="G452" s="7" t="str">
        <f aca="false">IFERROR(VLOOKUP(TRIM($D452), Hoja4_2!$A$2:$L$10000, 5, 0), "Revisar")</f>
        <v>FEMENINO</v>
      </c>
      <c r="H452" s="7" t="str">
        <f aca="false">IFERROR(VLOOKUP(TRIM($D452), Hoja4_2!$A$2:$L$10000, 7, 0), "Revisar")</f>
        <v>MARACAIBO</v>
      </c>
      <c r="I452" s="7" t="str">
        <f aca="false">IFERROR(VLOOKUP(TRIM($D452), Hoja4_2!$A$2:$L$10000, 9, 0), "Revisar")</f>
        <v>ZU</v>
      </c>
      <c r="J452" s="7" t="str">
        <f aca="false">IFERROR(VLOOKUP(TRIM($D452), Hoja4_2!$A$2:$L$10000, 12, 0), "Revisar")</f>
        <v>99999999</v>
      </c>
      <c r="K452" s="8" t="str">
        <f aca="false">TEXT(TRIM(D452),"0")</f>
        <v>11124249954</v>
      </c>
      <c r="L452" s="1" t="str">
        <f aca="false">IF(F452="Revisar","NULL",CONCATENATE("'",TEXT(F452,"yyyy-mm-dd"),"'"))</f>
        <v>'2011-12-29'</v>
      </c>
      <c r="M452" s="9" t="str">
        <f aca="false">IF(G452="Revisar","NULL",CONCATENATE("'",MID(G452,1,1),"'"))</f>
        <v>'F'</v>
      </c>
      <c r="N452" s="9" t="str">
        <f aca="false">IF(H452="Revisar","NULL",CONCATENATE("'",H452,"'"))</f>
        <v>'MARACAIBO'</v>
      </c>
      <c r="O452" s="9" t="str">
        <f aca="false">IF(I452="Revisar","NULL",CONCATENATE("'",I452,"'"))</f>
        <v>'ZU'</v>
      </c>
      <c r="P452" s="1" t="str">
        <f aca="false">"UPDATE estudiantes SET fecha_nacimiento="&amp;L452&amp;", sexo="&amp;M452&amp;", lugar_nacimiento="&amp;N452&amp;", entidad_federal="&amp;O452&amp;" WHERE cedula='"&amp;K452&amp;"';"</f>
        <v>UPDATE estudiantes SET fecha_nacimiento='2011-12-29', sexo='F', lugar_nacimiento='MARACAIBO', entidad_federal='ZU' WHERE cedula='11124249954';</v>
      </c>
    </row>
    <row r="453" customFormat="false" ht="14.9" hidden="false" customHeight="false" outlineLevel="0" collapsed="false">
      <c r="A453" s="1" t="s">
        <v>15</v>
      </c>
      <c r="B453" s="1" t="s">
        <v>356</v>
      </c>
      <c r="C453" s="1" t="s">
        <v>129</v>
      </c>
      <c r="D453" s="1" t="s">
        <v>478</v>
      </c>
      <c r="E453" s="2" t="n">
        <v>45924</v>
      </c>
      <c r="F453" s="2" t="n">
        <f aca="false">IFERROR(VLOOKUP(TRIM($D453), Hoja4_2!$A$2:$L$10000, 4, 0), "Revisar")</f>
        <v>40587</v>
      </c>
      <c r="G453" s="7" t="str">
        <f aca="false">IFERROR(VLOOKUP(TRIM($D453), Hoja4_2!$A$2:$L$10000, 5, 0), "Revisar")</f>
        <v>MASCULINO</v>
      </c>
      <c r="H453" s="7" t="str">
        <f aca="false">IFERROR(VLOOKUP(TRIM($D453), Hoja4_2!$A$2:$L$10000, 7, 0), "Revisar")</f>
        <v>SAN FRANCISCO</v>
      </c>
      <c r="I453" s="7" t="str">
        <f aca="false">IFERROR(VLOOKUP(TRIM($D453), Hoja4_2!$A$2:$L$10000, 9, 0), "Revisar")</f>
        <v>ZU</v>
      </c>
      <c r="J453" s="7" t="str">
        <f aca="false">IFERROR(VLOOKUP(TRIM($D453), Hoja4_2!$A$2:$L$10000, 12, 0), "Revisar")</f>
        <v>99999999</v>
      </c>
      <c r="K453" s="8" t="str">
        <f aca="false">TEXT(TRIM(D453),"0")</f>
        <v>11124251305</v>
      </c>
      <c r="L453" s="1" t="str">
        <f aca="false">IF(F453="Revisar","NULL",CONCATENATE("'",TEXT(F453,"yyyy-mm-dd"),"'"))</f>
        <v>'2011-02-13'</v>
      </c>
      <c r="M453" s="9" t="str">
        <f aca="false">IF(G453="Revisar","NULL",CONCATENATE("'",MID(G453,1,1),"'"))</f>
        <v>'M'</v>
      </c>
      <c r="N453" s="9" t="str">
        <f aca="false">IF(H453="Revisar","NULL",CONCATENATE("'",H453,"'"))</f>
        <v>'SAN FRANCISCO'</v>
      </c>
      <c r="O453" s="9" t="str">
        <f aca="false">IF(I453="Revisar","NULL",CONCATENATE("'",I453,"'"))</f>
        <v>'ZU'</v>
      </c>
      <c r="P453" s="1" t="str">
        <f aca="false">"UPDATE estudiantes SET fecha_nacimiento="&amp;L453&amp;", sexo="&amp;M453&amp;", lugar_nacimiento="&amp;N453&amp;", entidad_federal="&amp;O453&amp;" WHERE cedula='"&amp;K453&amp;"';"</f>
        <v>UPDATE estudiantes SET fecha_nacimiento='2011-02-13', sexo='M', lugar_nacimiento='SAN FRANCISCO', entidad_federal='ZU' WHERE cedula='11124251305';</v>
      </c>
    </row>
    <row r="454" customFormat="false" ht="14.9" hidden="false" customHeight="false" outlineLevel="0" collapsed="false">
      <c r="A454" s="1" t="s">
        <v>15</v>
      </c>
      <c r="B454" s="1" t="s">
        <v>356</v>
      </c>
      <c r="C454" s="1" t="s">
        <v>129</v>
      </c>
      <c r="D454" s="1" t="s">
        <v>479</v>
      </c>
      <c r="E454" s="2" t="n">
        <v>45924</v>
      </c>
      <c r="F454" s="2" t="n">
        <f aca="false">IFERROR(VLOOKUP(TRIM($D454), Hoja4_2!$A$2:$L$10000, 4, 0), "Revisar")</f>
        <v>40680</v>
      </c>
      <c r="G454" s="7" t="str">
        <f aca="false">IFERROR(VLOOKUP(TRIM($D454), Hoja4_2!$A$2:$L$10000, 5, 0), "Revisar")</f>
        <v>FEMENINO</v>
      </c>
      <c r="H454" s="7" t="str">
        <f aca="false">IFERROR(VLOOKUP(TRIM($D454), Hoja4_2!$A$2:$L$10000, 7, 0), "Revisar")</f>
        <v>MARACAIBO</v>
      </c>
      <c r="I454" s="7" t="str">
        <f aca="false">IFERROR(VLOOKUP(TRIM($D454), Hoja4_2!$A$2:$L$10000, 9, 0), "Revisar")</f>
        <v>ZU</v>
      </c>
      <c r="J454" s="7" t="str">
        <f aca="false">IFERROR(VLOOKUP(TRIM($D454), Hoja4_2!$A$2:$L$10000, 12, 0), "Revisar")</f>
        <v>99999999</v>
      </c>
      <c r="K454" s="8" t="str">
        <f aca="false">TEXT(TRIM(D454),"0")</f>
        <v>11125540511</v>
      </c>
      <c r="L454" s="1" t="str">
        <f aca="false">IF(F454="Revisar","NULL",CONCATENATE("'",TEXT(F454,"yyyy-mm-dd"),"'"))</f>
        <v>'2011-05-17'</v>
      </c>
      <c r="M454" s="9" t="str">
        <f aca="false">IF(G454="Revisar","NULL",CONCATENATE("'",MID(G454,1,1),"'"))</f>
        <v>'F'</v>
      </c>
      <c r="N454" s="9" t="str">
        <f aca="false">IF(H454="Revisar","NULL",CONCATENATE("'",H454,"'"))</f>
        <v>'MARACAIBO'</v>
      </c>
      <c r="O454" s="9" t="str">
        <f aca="false">IF(I454="Revisar","NULL",CONCATENATE("'",I454,"'"))</f>
        <v>'ZU'</v>
      </c>
      <c r="P454" s="1" t="str">
        <f aca="false">"UPDATE estudiantes SET fecha_nacimiento="&amp;L454&amp;", sexo="&amp;M454&amp;", lugar_nacimiento="&amp;N454&amp;", entidad_federal="&amp;O454&amp;" WHERE cedula='"&amp;K454&amp;"';"</f>
        <v>UPDATE estudiantes SET fecha_nacimiento='2011-05-17', sexo='F', lugar_nacimiento='MARACAIBO', entidad_federal='ZU' WHERE cedula='11125540511';</v>
      </c>
    </row>
    <row r="455" customFormat="false" ht="14.9" hidden="false" customHeight="false" outlineLevel="0" collapsed="false">
      <c r="A455" s="1" t="s">
        <v>15</v>
      </c>
      <c r="B455" s="1" t="s">
        <v>356</v>
      </c>
      <c r="C455" s="1" t="s">
        <v>129</v>
      </c>
      <c r="D455" s="1" t="s">
        <v>480</v>
      </c>
      <c r="E455" s="2" t="n">
        <v>45924</v>
      </c>
      <c r="F455" s="2" t="n">
        <f aca="false">IFERROR(VLOOKUP(TRIM($D455), Hoja4_2!$A$2:$L$10000, 4, 0), "Revisar")</f>
        <v>40789</v>
      </c>
      <c r="G455" s="7" t="str">
        <f aca="false">IFERROR(VLOOKUP(TRIM($D455), Hoja4_2!$A$2:$L$10000, 5, 0), "Revisar")</f>
        <v>FEMENINO</v>
      </c>
      <c r="H455" s="7" t="str">
        <f aca="false">IFERROR(VLOOKUP(TRIM($D455), Hoja4_2!$A$2:$L$10000, 7, 0), "Revisar")</f>
        <v>MARACAIBO</v>
      </c>
      <c r="I455" s="7" t="str">
        <f aca="false">IFERROR(VLOOKUP(TRIM($D455), Hoja4_2!$A$2:$L$10000, 9, 0), "Revisar")</f>
        <v>ZU</v>
      </c>
      <c r="J455" s="7" t="str">
        <f aca="false">IFERROR(VLOOKUP(TRIM($D455), Hoja4_2!$A$2:$L$10000, 12, 0), "Revisar")</f>
        <v>99999999</v>
      </c>
      <c r="K455" s="8" t="str">
        <f aca="false">TEXT(TRIM(D455),"0")</f>
        <v>11125763536</v>
      </c>
      <c r="L455" s="1" t="str">
        <f aca="false">IF(F455="Revisar","NULL",CONCATENATE("'",TEXT(F455,"yyyy-mm-dd"),"'"))</f>
        <v>'2011-09-03'</v>
      </c>
      <c r="M455" s="9" t="str">
        <f aca="false">IF(G455="Revisar","NULL",CONCATENATE("'",MID(G455,1,1),"'"))</f>
        <v>'F'</v>
      </c>
      <c r="N455" s="9" t="str">
        <f aca="false">IF(H455="Revisar","NULL",CONCATENATE("'",H455,"'"))</f>
        <v>'MARACAIBO'</v>
      </c>
      <c r="O455" s="9" t="str">
        <f aca="false">IF(I455="Revisar","NULL",CONCATENATE("'",I455,"'"))</f>
        <v>'ZU'</v>
      </c>
      <c r="P455" s="1" t="str">
        <f aca="false">"UPDATE estudiantes SET fecha_nacimiento="&amp;L455&amp;", sexo="&amp;M455&amp;", lugar_nacimiento="&amp;N455&amp;", entidad_federal="&amp;O455&amp;" WHERE cedula='"&amp;K455&amp;"';"</f>
        <v>UPDATE estudiantes SET fecha_nacimiento='2011-09-03', sexo='F', lugar_nacimiento='MARACAIBO', entidad_federal='ZU' WHERE cedula='11125763536';</v>
      </c>
    </row>
    <row r="456" customFormat="false" ht="14.9" hidden="false" customHeight="false" outlineLevel="0" collapsed="false">
      <c r="A456" s="1" t="s">
        <v>15</v>
      </c>
      <c r="B456" s="1" t="s">
        <v>356</v>
      </c>
      <c r="C456" s="1" t="s">
        <v>129</v>
      </c>
      <c r="D456" s="1" t="s">
        <v>481</v>
      </c>
      <c r="E456" s="2" t="n">
        <v>45924</v>
      </c>
      <c r="F456" s="2" t="n">
        <f aca="false">IFERROR(VLOOKUP(TRIM($D456), Hoja4_2!$A$2:$L$10000, 4, 0), "Revisar")</f>
        <v>40550</v>
      </c>
      <c r="G456" s="7" t="str">
        <f aca="false">IFERROR(VLOOKUP(TRIM($D456), Hoja4_2!$A$2:$L$10000, 5, 0), "Revisar")</f>
        <v>MASCULINO</v>
      </c>
      <c r="H456" s="7" t="str">
        <f aca="false">IFERROR(VLOOKUP(TRIM($D456), Hoja4_2!$A$2:$L$10000, 7, 0), "Revisar")</f>
        <v>JESUS ENRIQUE LOSSADA</v>
      </c>
      <c r="I456" s="7" t="str">
        <f aca="false">IFERROR(VLOOKUP(TRIM($D456), Hoja4_2!$A$2:$L$10000, 9, 0), "Revisar")</f>
        <v>ZU</v>
      </c>
      <c r="J456" s="7" t="str">
        <f aca="false">IFERROR(VLOOKUP(TRIM($D456), Hoja4_2!$A$2:$L$10000, 12, 0), "Revisar")</f>
        <v>99999999</v>
      </c>
      <c r="K456" s="8" t="str">
        <f aca="false">TEXT(TRIM(D456),"0")</f>
        <v>11125883383</v>
      </c>
      <c r="L456" s="1" t="str">
        <f aca="false">IF(F456="Revisar","NULL",CONCATENATE("'",TEXT(F456,"yyyy-mm-dd"),"'"))</f>
        <v>'2011-01-07'</v>
      </c>
      <c r="M456" s="9" t="str">
        <f aca="false">IF(G456="Revisar","NULL",CONCATENATE("'",MID(G456,1,1),"'"))</f>
        <v>'M'</v>
      </c>
      <c r="N456" s="9" t="str">
        <f aca="false">IF(H456="Revisar","NULL",CONCATENATE("'",H456,"'"))</f>
        <v>'JESUS ENRIQUE LOSSADA'</v>
      </c>
      <c r="O456" s="9" t="str">
        <f aca="false">IF(I456="Revisar","NULL",CONCATENATE("'",I456,"'"))</f>
        <v>'ZU'</v>
      </c>
      <c r="P456" s="1" t="str">
        <f aca="false">"UPDATE estudiantes SET fecha_nacimiento="&amp;L456&amp;", sexo="&amp;M456&amp;", lugar_nacimiento="&amp;N456&amp;", entidad_federal="&amp;O456&amp;" WHERE cedula='"&amp;K456&amp;"';"</f>
        <v>UPDATE estudiantes SET fecha_nacimiento='2011-01-07', sexo='M', lugar_nacimiento='JESUS ENRIQUE LOSSADA', entidad_federal='ZU' WHERE cedula='11125883383';</v>
      </c>
    </row>
    <row r="457" customFormat="false" ht="14.9" hidden="false" customHeight="false" outlineLevel="0" collapsed="false">
      <c r="A457" s="1" t="s">
        <v>15</v>
      </c>
      <c r="B457" s="1" t="s">
        <v>356</v>
      </c>
      <c r="C457" s="1" t="s">
        <v>129</v>
      </c>
      <c r="D457" s="1" t="s">
        <v>482</v>
      </c>
      <c r="E457" s="2" t="n">
        <v>45924</v>
      </c>
      <c r="F457" s="2" t="n">
        <f aca="false">IFERROR(VLOOKUP(TRIM($D457), Hoja4_2!$A$2:$L$10000, 4, 0), "Revisar")</f>
        <v>40912</v>
      </c>
      <c r="G457" s="7" t="str">
        <f aca="false">IFERROR(VLOOKUP(TRIM($D457), Hoja4_2!$A$2:$L$10000, 5, 0), "Revisar")</f>
        <v>FEMENINO</v>
      </c>
      <c r="H457" s="7" t="str">
        <f aca="false">IFERROR(VLOOKUP(TRIM($D457), Hoja4_2!$A$2:$L$10000, 7, 0), "Revisar")</f>
        <v>SAN FRANCISCO</v>
      </c>
      <c r="I457" s="7" t="str">
        <f aca="false">IFERROR(VLOOKUP(TRIM($D457), Hoja4_2!$A$2:$L$10000, 9, 0), "Revisar")</f>
        <v>ZU</v>
      </c>
      <c r="J457" s="7" t="str">
        <f aca="false">IFERROR(VLOOKUP(TRIM($D457), Hoja4_2!$A$2:$L$10000, 12, 0), "Revisar")</f>
        <v>99999999</v>
      </c>
      <c r="K457" s="8" t="str">
        <f aca="false">TEXT(TRIM(D457),"0")</f>
        <v>11227090463</v>
      </c>
      <c r="L457" s="1" t="str">
        <f aca="false">IF(F457="Revisar","NULL",CONCATENATE("'",TEXT(F457,"yyyy-mm-dd"),"'"))</f>
        <v>'2012-01-04'</v>
      </c>
      <c r="M457" s="9" t="str">
        <f aca="false">IF(G457="Revisar","NULL",CONCATENATE("'",MID(G457,1,1),"'"))</f>
        <v>'F'</v>
      </c>
      <c r="N457" s="9" t="str">
        <f aca="false">IF(H457="Revisar","NULL",CONCATENATE("'",H457,"'"))</f>
        <v>'SAN FRANCISCO'</v>
      </c>
      <c r="O457" s="9" t="str">
        <f aca="false">IF(I457="Revisar","NULL",CONCATENATE("'",I457,"'"))</f>
        <v>'ZU'</v>
      </c>
      <c r="P457" s="1" t="str">
        <f aca="false">"UPDATE estudiantes SET fecha_nacimiento="&amp;L457&amp;", sexo="&amp;M457&amp;", lugar_nacimiento="&amp;N457&amp;", entidad_federal="&amp;O457&amp;" WHERE cedula='"&amp;K457&amp;"';"</f>
        <v>UPDATE estudiantes SET fecha_nacimiento='2012-01-04', sexo='F', lugar_nacimiento='SAN FRANCISCO', entidad_federal='ZU' WHERE cedula='11227090463';</v>
      </c>
    </row>
    <row r="458" customFormat="false" ht="14.9" hidden="false" customHeight="false" outlineLevel="0" collapsed="false">
      <c r="A458" s="1" t="s">
        <v>15</v>
      </c>
      <c r="B458" s="1" t="s">
        <v>483</v>
      </c>
      <c r="C458" s="1" t="s">
        <v>17</v>
      </c>
      <c r="D458" s="1" t="s">
        <v>484</v>
      </c>
      <c r="E458" s="2" t="n">
        <v>45925</v>
      </c>
      <c r="F458" s="2" t="n">
        <f aca="false">IFERROR(VLOOKUP(TRIM($D458), Hoja4_2!$A$2:$L$10000, 4, 0), "Revisar")</f>
        <v>39872</v>
      </c>
      <c r="G458" s="7" t="str">
        <f aca="false">IFERROR(VLOOKUP(TRIM($D458), Hoja4_2!$A$2:$L$10000, 5, 0), "Revisar")</f>
        <v>MASCULINO</v>
      </c>
      <c r="H458" s="7" t="str">
        <f aca="false">IFERROR(VLOOKUP(TRIM($D458), Hoja4_2!$A$2:$L$10000, 7, 0), "Revisar")</f>
        <v>MARACAIBO</v>
      </c>
      <c r="I458" s="7" t="str">
        <f aca="false">IFERROR(VLOOKUP(TRIM($D458), Hoja4_2!$A$2:$L$10000, 9, 0), "Revisar")</f>
        <v>ZU</v>
      </c>
      <c r="J458" s="7" t="str">
        <f aca="false">IFERROR(VLOOKUP(TRIM($D458), Hoja4_2!$A$2:$L$10000, 12, 0), "Revisar")</f>
        <v>04538001</v>
      </c>
      <c r="K458" s="8" t="str">
        <f aca="false">TEXT(TRIM(D458),"0")</f>
        <v>33123722</v>
      </c>
      <c r="L458" s="1" t="str">
        <f aca="false">IF(F458="Revisar","NULL",CONCATENATE("'",TEXT(F458,"yyyy-mm-dd"),"'"))</f>
        <v>'2009-02-28'</v>
      </c>
      <c r="M458" s="9" t="str">
        <f aca="false">IF(G458="Revisar","NULL",CONCATENATE("'",MID(G458,1,1),"'"))</f>
        <v>'M'</v>
      </c>
      <c r="N458" s="9" t="str">
        <f aca="false">IF(H458="Revisar","NULL",CONCATENATE("'",H458,"'"))</f>
        <v>'MARACAIBO'</v>
      </c>
      <c r="O458" s="9" t="str">
        <f aca="false">IF(I458="Revisar","NULL",CONCATENATE("'",I458,"'"))</f>
        <v>'ZU'</v>
      </c>
      <c r="P458" s="1" t="str">
        <f aca="false">"UPDATE estudiantes SET fecha_nacimiento="&amp;L458&amp;", sexo="&amp;M458&amp;", lugar_nacimiento="&amp;N458&amp;", entidad_federal="&amp;O458&amp;" WHERE cedula='"&amp;K458&amp;"';"</f>
        <v>UPDATE estudiantes SET fecha_nacimiento='2009-02-28', sexo='M', lugar_nacimiento='MARACAIBO', entidad_federal='ZU' WHERE cedula='33123722';</v>
      </c>
    </row>
    <row r="459" customFormat="false" ht="14.9" hidden="false" customHeight="false" outlineLevel="0" collapsed="false">
      <c r="A459" s="1" t="s">
        <v>15</v>
      </c>
      <c r="B459" s="1" t="s">
        <v>483</v>
      </c>
      <c r="C459" s="1" t="s">
        <v>17</v>
      </c>
      <c r="D459" s="1" t="s">
        <v>485</v>
      </c>
      <c r="E459" s="2" t="n">
        <v>45925</v>
      </c>
      <c r="F459" s="2" t="n">
        <f aca="false">IFERROR(VLOOKUP(TRIM($D459), Hoja4_2!$A$2:$L$10000, 4, 0), "Revisar")</f>
        <v>40141</v>
      </c>
      <c r="G459" s="7" t="str">
        <f aca="false">IFERROR(VLOOKUP(TRIM($D459), Hoja4_2!$A$2:$L$10000, 5, 0), "Revisar")</f>
        <v>MASCULINO</v>
      </c>
      <c r="H459" s="7" t="str">
        <f aca="false">IFERROR(VLOOKUP(TRIM($D459), Hoja4_2!$A$2:$L$10000, 7, 0), "Revisar")</f>
        <v>MARACAIBO</v>
      </c>
      <c r="I459" s="7" t="str">
        <f aca="false">IFERROR(VLOOKUP(TRIM($D459), Hoja4_2!$A$2:$L$10000, 9, 0), "Revisar")</f>
        <v>ZU</v>
      </c>
      <c r="J459" s="7" t="str">
        <f aca="false">IFERROR(VLOOKUP(TRIM($D459), Hoja4_2!$A$2:$L$10000, 12, 0), "Revisar")</f>
        <v>15011973</v>
      </c>
      <c r="K459" s="8" t="str">
        <f aca="false">TEXT(TRIM(D459),"0")</f>
        <v>33675821</v>
      </c>
      <c r="L459" s="1" t="str">
        <f aca="false">IF(F459="Revisar","NULL",CONCATENATE("'",TEXT(F459,"yyyy-mm-dd"),"'"))</f>
        <v>'2009-11-24'</v>
      </c>
      <c r="M459" s="9" t="str">
        <f aca="false">IF(G459="Revisar","NULL",CONCATENATE("'",MID(G459,1,1),"'"))</f>
        <v>'M'</v>
      </c>
      <c r="N459" s="9" t="str">
        <f aca="false">IF(H459="Revisar","NULL",CONCATENATE("'",H459,"'"))</f>
        <v>'MARACAIBO'</v>
      </c>
      <c r="O459" s="9" t="str">
        <f aca="false">IF(I459="Revisar","NULL",CONCATENATE("'",I459,"'"))</f>
        <v>'ZU'</v>
      </c>
      <c r="P459" s="1" t="str">
        <f aca="false">"UPDATE estudiantes SET fecha_nacimiento="&amp;L459&amp;", sexo="&amp;M459&amp;", lugar_nacimiento="&amp;N459&amp;", entidad_federal="&amp;O459&amp;" WHERE cedula='"&amp;K459&amp;"';"</f>
        <v>UPDATE estudiantes SET fecha_nacimiento='2009-11-24', sexo='M', lugar_nacimiento='MARACAIBO', entidad_federal='ZU' WHERE cedula='33675821';</v>
      </c>
    </row>
    <row r="460" customFormat="false" ht="14.9" hidden="false" customHeight="false" outlineLevel="0" collapsed="false">
      <c r="A460" s="1" t="s">
        <v>15</v>
      </c>
      <c r="B460" s="1" t="s">
        <v>483</v>
      </c>
      <c r="C460" s="1" t="s">
        <v>17</v>
      </c>
      <c r="D460" s="1" t="s">
        <v>486</v>
      </c>
      <c r="E460" s="2" t="n">
        <v>45925</v>
      </c>
      <c r="F460" s="2" t="n">
        <f aca="false">IFERROR(VLOOKUP(TRIM($D460), Hoja4_2!$A$2:$L$10000, 4, 0), "Revisar")</f>
        <v>40484</v>
      </c>
      <c r="G460" s="7" t="str">
        <f aca="false">IFERROR(VLOOKUP(TRIM($D460), Hoja4_2!$A$2:$L$10000, 5, 0), "Revisar")</f>
        <v>MASCULINO</v>
      </c>
      <c r="H460" s="7" t="str">
        <f aca="false">IFERROR(VLOOKUP(TRIM($D460), Hoja4_2!$A$2:$L$10000, 7, 0), "Revisar")</f>
        <v>MARACAIBO</v>
      </c>
      <c r="I460" s="7" t="str">
        <f aca="false">IFERROR(VLOOKUP(TRIM($D460), Hoja4_2!$A$2:$L$10000, 9, 0), "Revisar")</f>
        <v>ZU</v>
      </c>
      <c r="J460" s="7" t="str">
        <f aca="false">IFERROR(VLOOKUP(TRIM($D460), Hoja4_2!$A$2:$L$10000, 12, 0), "Revisar")</f>
        <v>14824309</v>
      </c>
      <c r="K460" s="8" t="str">
        <f aca="false">TEXT(TRIM(D460),"0")</f>
        <v>33792347</v>
      </c>
      <c r="L460" s="1" t="str">
        <f aca="false">IF(F460="Revisar","NULL",CONCATENATE("'",TEXT(F460,"yyyy-mm-dd"),"'"))</f>
        <v>'2010-11-02'</v>
      </c>
      <c r="M460" s="9" t="str">
        <f aca="false">IF(G460="Revisar","NULL",CONCATENATE("'",MID(G460,1,1),"'"))</f>
        <v>'M'</v>
      </c>
      <c r="N460" s="9" t="str">
        <f aca="false">IF(H460="Revisar","NULL",CONCATENATE("'",H460,"'"))</f>
        <v>'MARACAIBO'</v>
      </c>
      <c r="O460" s="9" t="str">
        <f aca="false">IF(I460="Revisar","NULL",CONCATENATE("'",I460,"'"))</f>
        <v>'ZU'</v>
      </c>
      <c r="P460" s="1" t="str">
        <f aca="false">"UPDATE estudiantes SET fecha_nacimiento="&amp;L460&amp;", sexo="&amp;M460&amp;", lugar_nacimiento="&amp;N460&amp;", entidad_federal="&amp;O460&amp;" WHERE cedula='"&amp;K460&amp;"';"</f>
        <v>UPDATE estudiantes SET fecha_nacimiento='2010-11-02', sexo='M', lugar_nacimiento='MARACAIBO', entidad_federal='ZU' WHERE cedula='33792347';</v>
      </c>
    </row>
    <row r="461" customFormat="false" ht="14.9" hidden="false" customHeight="false" outlineLevel="0" collapsed="false">
      <c r="A461" s="1" t="s">
        <v>15</v>
      </c>
      <c r="B461" s="1" t="s">
        <v>483</v>
      </c>
      <c r="C461" s="1" t="s">
        <v>17</v>
      </c>
      <c r="D461" s="1" t="s">
        <v>487</v>
      </c>
      <c r="E461" s="2" t="n">
        <v>45925</v>
      </c>
      <c r="F461" s="2" t="n">
        <f aca="false">IFERROR(VLOOKUP(TRIM($D461), Hoja4_2!$A$2:$L$10000, 4, 0), "Revisar")</f>
        <v>39804</v>
      </c>
      <c r="G461" s="7" t="str">
        <f aca="false">IFERROR(VLOOKUP(TRIM($D461), Hoja4_2!$A$2:$L$10000, 5, 0), "Revisar")</f>
        <v>FEMENINO</v>
      </c>
      <c r="H461" s="7" t="str">
        <f aca="false">IFERROR(VLOOKUP(TRIM($D461), Hoja4_2!$A$2:$L$10000, 7, 0), "Revisar")</f>
        <v>MARACAIBO</v>
      </c>
      <c r="I461" s="7" t="str">
        <f aca="false">IFERROR(VLOOKUP(TRIM($D461), Hoja4_2!$A$2:$L$10000, 9, 0), "Revisar")</f>
        <v>ZU</v>
      </c>
      <c r="J461" s="7" t="str">
        <f aca="false">IFERROR(VLOOKUP(TRIM($D461), Hoja4_2!$A$2:$L$10000, 12, 0), "Revisar")</f>
        <v>19766628</v>
      </c>
      <c r="K461" s="8" t="str">
        <f aca="false">TEXT(TRIM(D461),"0")</f>
        <v>33893307</v>
      </c>
      <c r="L461" s="1" t="str">
        <f aca="false">IF(F461="Revisar","NULL",CONCATENATE("'",TEXT(F461,"yyyy-mm-dd"),"'"))</f>
        <v>'2008-12-22'</v>
      </c>
      <c r="M461" s="9" t="str">
        <f aca="false">IF(G461="Revisar","NULL",CONCATENATE("'",MID(G461,1,1),"'"))</f>
        <v>'F'</v>
      </c>
      <c r="N461" s="9" t="str">
        <f aca="false">IF(H461="Revisar","NULL",CONCATENATE("'",H461,"'"))</f>
        <v>'MARACAIBO'</v>
      </c>
      <c r="O461" s="9" t="str">
        <f aca="false">IF(I461="Revisar","NULL",CONCATENATE("'",I461,"'"))</f>
        <v>'ZU'</v>
      </c>
      <c r="P461" s="1" t="str">
        <f aca="false">"UPDATE estudiantes SET fecha_nacimiento="&amp;L461&amp;", sexo="&amp;M461&amp;", lugar_nacimiento="&amp;N461&amp;", entidad_federal="&amp;O461&amp;" WHERE cedula='"&amp;K461&amp;"';"</f>
        <v>UPDATE estudiantes SET fecha_nacimiento='2008-12-22', sexo='F', lugar_nacimiento='MARACAIBO', entidad_federal='ZU' WHERE cedula='33893307';</v>
      </c>
    </row>
    <row r="462" customFormat="false" ht="14.9" hidden="false" customHeight="false" outlineLevel="0" collapsed="false">
      <c r="A462" s="1" t="s">
        <v>15</v>
      </c>
      <c r="B462" s="1" t="s">
        <v>483</v>
      </c>
      <c r="C462" s="1" t="s">
        <v>17</v>
      </c>
      <c r="D462" s="1" t="s">
        <v>488</v>
      </c>
      <c r="E462" s="2" t="n">
        <v>45925</v>
      </c>
      <c r="F462" s="2" t="n">
        <f aca="false">IFERROR(VLOOKUP(TRIM($D462), Hoja4_2!$A$2:$L$10000, 4, 0), "Revisar")</f>
        <v>40213</v>
      </c>
      <c r="G462" s="7" t="str">
        <f aca="false">IFERROR(VLOOKUP(TRIM($D462), Hoja4_2!$A$2:$L$10000, 5, 0), "Revisar")</f>
        <v>MASCULINO</v>
      </c>
      <c r="H462" s="7" t="str">
        <f aca="false">IFERROR(VLOOKUP(TRIM($D462), Hoja4_2!$A$2:$L$10000, 7, 0), "Revisar")</f>
        <v>MARACAIBO</v>
      </c>
      <c r="I462" s="7" t="str">
        <f aca="false">IFERROR(VLOOKUP(TRIM($D462), Hoja4_2!$A$2:$L$10000, 9, 0), "Revisar")</f>
        <v>ZU</v>
      </c>
      <c r="J462" s="7" t="str">
        <f aca="false">IFERROR(VLOOKUP(TRIM($D462), Hoja4_2!$A$2:$L$10000, 12, 0), "Revisar")</f>
        <v>06805845</v>
      </c>
      <c r="K462" s="8" t="str">
        <f aca="false">TEXT(TRIM(D462),"0")</f>
        <v>34051309</v>
      </c>
      <c r="L462" s="1" t="str">
        <f aca="false">IF(F462="Revisar","NULL",CONCATENATE("'",TEXT(F462,"yyyy-mm-dd"),"'"))</f>
        <v>'2010-02-04'</v>
      </c>
      <c r="M462" s="9" t="str">
        <f aca="false">IF(G462="Revisar","NULL",CONCATENATE("'",MID(G462,1,1),"'"))</f>
        <v>'M'</v>
      </c>
      <c r="N462" s="9" t="str">
        <f aca="false">IF(H462="Revisar","NULL",CONCATENATE("'",H462,"'"))</f>
        <v>'MARACAIBO'</v>
      </c>
      <c r="O462" s="9" t="str">
        <f aca="false">IF(I462="Revisar","NULL",CONCATENATE("'",I462,"'"))</f>
        <v>'ZU'</v>
      </c>
      <c r="P462" s="1" t="str">
        <f aca="false">"UPDATE estudiantes SET fecha_nacimiento="&amp;L462&amp;", sexo="&amp;M462&amp;", lugar_nacimiento="&amp;N462&amp;", entidad_federal="&amp;O462&amp;" WHERE cedula='"&amp;K462&amp;"';"</f>
        <v>UPDATE estudiantes SET fecha_nacimiento='2010-02-04', sexo='M', lugar_nacimiento='MARACAIBO', entidad_federal='ZU' WHERE cedula='34051309';</v>
      </c>
    </row>
    <row r="463" customFormat="false" ht="14.9" hidden="false" customHeight="false" outlineLevel="0" collapsed="false">
      <c r="A463" s="1" t="s">
        <v>15</v>
      </c>
      <c r="B463" s="1" t="s">
        <v>483</v>
      </c>
      <c r="C463" s="1" t="s">
        <v>17</v>
      </c>
      <c r="D463" s="1" t="s">
        <v>489</v>
      </c>
      <c r="E463" s="2" t="n">
        <v>45925</v>
      </c>
      <c r="F463" s="2" t="n">
        <f aca="false">IFERROR(VLOOKUP(TRIM($D463), Hoja4_2!$A$2:$L$10000, 4, 0), "Revisar")</f>
        <v>40512</v>
      </c>
      <c r="G463" s="7" t="str">
        <f aca="false">IFERROR(VLOOKUP(TRIM($D463), Hoja4_2!$A$2:$L$10000, 5, 0), "Revisar")</f>
        <v>FEMENINO</v>
      </c>
      <c r="H463" s="7" t="str">
        <f aca="false">IFERROR(VLOOKUP(TRIM($D463), Hoja4_2!$A$2:$L$10000, 7, 0), "Revisar")</f>
        <v>MARACAIBO</v>
      </c>
      <c r="I463" s="7" t="str">
        <f aca="false">IFERROR(VLOOKUP(TRIM($D463), Hoja4_2!$A$2:$L$10000, 9, 0), "Revisar")</f>
        <v>ZU</v>
      </c>
      <c r="J463" s="7" t="str">
        <f aca="false">IFERROR(VLOOKUP(TRIM($D463), Hoja4_2!$A$2:$L$10000, 12, 0), "Revisar")</f>
        <v>18662073</v>
      </c>
      <c r="K463" s="8" t="str">
        <f aca="false">TEXT(TRIM(D463),"0")</f>
        <v>34097156</v>
      </c>
      <c r="L463" s="1" t="str">
        <f aca="false">IF(F463="Revisar","NULL",CONCATENATE("'",TEXT(F463,"yyyy-mm-dd"),"'"))</f>
        <v>'2010-11-30'</v>
      </c>
      <c r="M463" s="9" t="str">
        <f aca="false">IF(G463="Revisar","NULL",CONCATENATE("'",MID(G463,1,1),"'"))</f>
        <v>'F'</v>
      </c>
      <c r="N463" s="9" t="str">
        <f aca="false">IF(H463="Revisar","NULL",CONCATENATE("'",H463,"'"))</f>
        <v>'MARACAIBO'</v>
      </c>
      <c r="O463" s="9" t="str">
        <f aca="false">IF(I463="Revisar","NULL",CONCATENATE("'",I463,"'"))</f>
        <v>'ZU'</v>
      </c>
      <c r="P463" s="1" t="str">
        <f aca="false">"UPDATE estudiantes SET fecha_nacimiento="&amp;L463&amp;", sexo="&amp;M463&amp;", lugar_nacimiento="&amp;N463&amp;", entidad_federal="&amp;O463&amp;" WHERE cedula='"&amp;K463&amp;"';"</f>
        <v>UPDATE estudiantes SET fecha_nacimiento='2010-11-30', sexo='F', lugar_nacimiento='MARACAIBO', entidad_federal='ZU' WHERE cedula='34097156';</v>
      </c>
    </row>
    <row r="464" customFormat="false" ht="13.8" hidden="false" customHeight="false" outlineLevel="0" collapsed="false">
      <c r="A464" s="1" t="s">
        <v>15</v>
      </c>
      <c r="B464" s="1" t="s">
        <v>483</v>
      </c>
      <c r="C464" s="1" t="s">
        <v>17</v>
      </c>
      <c r="D464" s="1" t="s">
        <v>490</v>
      </c>
      <c r="E464" s="2" t="n">
        <v>45925</v>
      </c>
      <c r="F464" s="2" t="s">
        <v>82</v>
      </c>
      <c r="G464" s="2" t="s">
        <v>82</v>
      </c>
      <c r="H464" s="2" t="s">
        <v>82</v>
      </c>
      <c r="I464" s="2" t="s">
        <v>82</v>
      </c>
      <c r="J464" s="2" t="s">
        <v>82</v>
      </c>
      <c r="K464" s="8" t="str">
        <f aca="false">TEXT(TRIM(D464),"0")</f>
        <v>34129813</v>
      </c>
      <c r="L464" s="1" t="str">
        <f aca="false">IF(F464="Revisar","NULL",CONCATENATE("'",TEXT(F464,"yyyy-mm-dd"),"'"))</f>
        <v>'NULL'</v>
      </c>
      <c r="M464" s="9" t="str">
        <f aca="false">IF(G464="Revisar","NULL",CONCATENATE("'",MID(G464,1,1),"'"))</f>
        <v>'N'</v>
      </c>
      <c r="N464" s="9" t="str">
        <f aca="false">IF(H464="Revisar","NULL",CONCATENATE("'",H464,"'"))</f>
        <v>'NULL'</v>
      </c>
      <c r="O464" s="9" t="str">
        <f aca="false">IF(I464="Revisar","NULL",CONCATENATE("'",I464,"'"))</f>
        <v>'NULL'</v>
      </c>
      <c r="P464" s="1" t="str">
        <f aca="false">"UPDATE estudiantes SET fecha_nacimiento="&amp;L464&amp;", sexo="&amp;M464&amp;", lugar_nacimiento="&amp;N464&amp;", entidad_federal="&amp;O464&amp;" WHERE cedula='"&amp;K464&amp;"';"</f>
        <v>UPDATE estudiantes SET fecha_nacimiento='NULL', sexo='N', lugar_nacimiento='NULL', entidad_federal='NULL' WHERE cedula='34129813';</v>
      </c>
    </row>
    <row r="465" customFormat="false" ht="14.9" hidden="false" customHeight="false" outlineLevel="0" collapsed="false">
      <c r="A465" s="1" t="s">
        <v>15</v>
      </c>
      <c r="B465" s="1" t="s">
        <v>483</v>
      </c>
      <c r="C465" s="1" t="s">
        <v>17</v>
      </c>
      <c r="D465" s="1" t="s">
        <v>491</v>
      </c>
      <c r="E465" s="2" t="n">
        <v>45925</v>
      </c>
      <c r="F465" s="2" t="n">
        <f aca="false">IFERROR(VLOOKUP(TRIM($D465), Hoja4_2!$A$2:$L$10000, 4, 0), "Revisar")</f>
        <v>40549</v>
      </c>
      <c r="G465" s="7" t="str">
        <f aca="false">IFERROR(VLOOKUP(TRIM($D465), Hoja4_2!$A$2:$L$10000, 5, 0), "Revisar")</f>
        <v>FEMENINO</v>
      </c>
      <c r="H465" s="7" t="str">
        <f aca="false">IFERROR(VLOOKUP(TRIM($D465), Hoja4_2!$A$2:$L$10000, 7, 0), "Revisar")</f>
        <v>MARACAIBO</v>
      </c>
      <c r="I465" s="7" t="str">
        <f aca="false">IFERROR(VLOOKUP(TRIM($D465), Hoja4_2!$A$2:$L$10000, 9, 0), "Revisar")</f>
        <v>ZU</v>
      </c>
      <c r="J465" s="7" t="str">
        <f aca="false">IFERROR(VLOOKUP(TRIM($D465), Hoja4_2!$A$2:$L$10000, 12, 0), "Revisar")</f>
        <v>19906318</v>
      </c>
      <c r="K465" s="8" t="str">
        <f aca="false">TEXT(TRIM(D465),"0")</f>
        <v>34301431</v>
      </c>
      <c r="L465" s="1" t="str">
        <f aca="false">IF(F465="Revisar","NULL",CONCATENATE("'",TEXT(F465,"yyyy-mm-dd"),"'"))</f>
        <v>'2011-01-06'</v>
      </c>
      <c r="M465" s="9" t="str">
        <f aca="false">IF(G465="Revisar","NULL",CONCATENATE("'",MID(G465,1,1),"'"))</f>
        <v>'F'</v>
      </c>
      <c r="N465" s="9" t="str">
        <f aca="false">IF(H465="Revisar","NULL",CONCATENATE("'",H465,"'"))</f>
        <v>'MARACAIBO'</v>
      </c>
      <c r="O465" s="9" t="str">
        <f aca="false">IF(I465="Revisar","NULL",CONCATENATE("'",I465,"'"))</f>
        <v>'ZU'</v>
      </c>
      <c r="P465" s="1" t="str">
        <f aca="false">"UPDATE estudiantes SET fecha_nacimiento="&amp;L465&amp;", sexo="&amp;M465&amp;", lugar_nacimiento="&amp;N465&amp;", entidad_federal="&amp;O465&amp;" WHERE cedula='"&amp;K465&amp;"';"</f>
        <v>UPDATE estudiantes SET fecha_nacimiento='2011-01-06', sexo='F', lugar_nacimiento='MARACAIBO', entidad_federal='ZU' WHERE cedula='34301431';</v>
      </c>
    </row>
    <row r="466" customFormat="false" ht="14.9" hidden="false" customHeight="false" outlineLevel="0" collapsed="false">
      <c r="A466" s="1" t="s">
        <v>15</v>
      </c>
      <c r="B466" s="1" t="s">
        <v>483</v>
      </c>
      <c r="C466" s="1" t="s">
        <v>17</v>
      </c>
      <c r="D466" s="1" t="s">
        <v>492</v>
      </c>
      <c r="E466" s="2" t="n">
        <v>45925</v>
      </c>
      <c r="F466" s="2" t="n">
        <f aca="false">IFERROR(VLOOKUP(TRIM($D466), Hoja4_2!$A$2:$L$10000, 4, 0), "Revisar")</f>
        <v>40388</v>
      </c>
      <c r="G466" s="7" t="str">
        <f aca="false">IFERROR(VLOOKUP(TRIM($D466), Hoja4_2!$A$2:$L$10000, 5, 0), "Revisar")</f>
        <v>FEMENINO</v>
      </c>
      <c r="H466" s="7" t="str">
        <f aca="false">IFERROR(VLOOKUP(TRIM($D466), Hoja4_2!$A$2:$L$10000, 7, 0), "Revisar")</f>
        <v>MARACAIBO</v>
      </c>
      <c r="I466" s="7" t="str">
        <f aca="false">IFERROR(VLOOKUP(TRIM($D466), Hoja4_2!$A$2:$L$10000, 9, 0), "Revisar")</f>
        <v>ZU</v>
      </c>
      <c r="J466" s="7" t="str">
        <f aca="false">IFERROR(VLOOKUP(TRIM($D466), Hoja4_2!$A$2:$L$10000, 12, 0), "Revisar")</f>
        <v>23466538</v>
      </c>
      <c r="K466" s="8" t="str">
        <f aca="false">TEXT(TRIM(D466),"0")</f>
        <v>34400592</v>
      </c>
      <c r="L466" s="1" t="str">
        <f aca="false">IF(F466="Revisar","NULL",CONCATENATE("'",TEXT(F466,"yyyy-mm-dd"),"'"))</f>
        <v>'2010-07-29'</v>
      </c>
      <c r="M466" s="9" t="str">
        <f aca="false">IF(G466="Revisar","NULL",CONCATENATE("'",MID(G466,1,1),"'"))</f>
        <v>'F'</v>
      </c>
      <c r="N466" s="9" t="str">
        <f aca="false">IF(H466="Revisar","NULL",CONCATENATE("'",H466,"'"))</f>
        <v>'MARACAIBO'</v>
      </c>
      <c r="O466" s="9" t="str">
        <f aca="false">IF(I466="Revisar","NULL",CONCATENATE("'",I466,"'"))</f>
        <v>'ZU'</v>
      </c>
      <c r="P466" s="1" t="str">
        <f aca="false">"UPDATE estudiantes SET fecha_nacimiento="&amp;L466&amp;", sexo="&amp;M466&amp;", lugar_nacimiento="&amp;N466&amp;", entidad_federal="&amp;O466&amp;" WHERE cedula='"&amp;K466&amp;"';"</f>
        <v>UPDATE estudiantes SET fecha_nacimiento='2010-07-29', sexo='F', lugar_nacimiento='MARACAIBO', entidad_federal='ZU' WHERE cedula='34400592';</v>
      </c>
    </row>
    <row r="467" customFormat="false" ht="14.9" hidden="false" customHeight="false" outlineLevel="0" collapsed="false">
      <c r="A467" s="1" t="s">
        <v>15</v>
      </c>
      <c r="B467" s="1" t="s">
        <v>483</v>
      </c>
      <c r="C467" s="1" t="s">
        <v>17</v>
      </c>
      <c r="D467" s="1" t="s">
        <v>493</v>
      </c>
      <c r="E467" s="2" t="n">
        <v>45925</v>
      </c>
      <c r="F467" s="2" t="n">
        <f aca="false">IFERROR(VLOOKUP(TRIM($D467), Hoja4_2!$A$2:$L$10000, 4, 0), "Revisar")</f>
        <v>40240</v>
      </c>
      <c r="G467" s="7" t="str">
        <f aca="false">IFERROR(VLOOKUP(TRIM($D467), Hoja4_2!$A$2:$L$10000, 5, 0), "Revisar")</f>
        <v>MASCULINO</v>
      </c>
      <c r="H467" s="7" t="str">
        <f aca="false">IFERROR(VLOOKUP(TRIM($D467), Hoja4_2!$A$2:$L$10000, 7, 0), "Revisar")</f>
        <v>MARACAIBO</v>
      </c>
      <c r="I467" s="7" t="str">
        <f aca="false">IFERROR(VLOOKUP(TRIM($D467), Hoja4_2!$A$2:$L$10000, 9, 0), "Revisar")</f>
        <v>ZU</v>
      </c>
      <c r="J467" s="7" t="str">
        <f aca="false">IFERROR(VLOOKUP(TRIM($D467), Hoja4_2!$A$2:$L$10000, 12, 0), "Revisar")</f>
        <v>11262416</v>
      </c>
      <c r="K467" s="8" t="str">
        <f aca="false">TEXT(TRIM(D467),"0")</f>
        <v>34407792</v>
      </c>
      <c r="L467" s="1" t="str">
        <f aca="false">IF(F467="Revisar","NULL",CONCATENATE("'",TEXT(F467,"yyyy-mm-dd"),"'"))</f>
        <v>'2010-03-03'</v>
      </c>
      <c r="M467" s="9" t="str">
        <f aca="false">IF(G467="Revisar","NULL",CONCATENATE("'",MID(G467,1,1),"'"))</f>
        <v>'M'</v>
      </c>
      <c r="N467" s="9" t="str">
        <f aca="false">IF(H467="Revisar","NULL",CONCATENATE("'",H467,"'"))</f>
        <v>'MARACAIBO'</v>
      </c>
      <c r="O467" s="9" t="str">
        <f aca="false">IF(I467="Revisar","NULL",CONCATENATE("'",I467,"'"))</f>
        <v>'ZU'</v>
      </c>
      <c r="P467" s="1" t="str">
        <f aca="false">"UPDATE estudiantes SET fecha_nacimiento="&amp;L467&amp;", sexo="&amp;M467&amp;", lugar_nacimiento="&amp;N467&amp;", entidad_federal="&amp;O467&amp;" WHERE cedula='"&amp;K467&amp;"';"</f>
        <v>UPDATE estudiantes SET fecha_nacimiento='2010-03-03', sexo='M', lugar_nacimiento='MARACAIBO', entidad_federal='ZU' WHERE cedula='34407792';</v>
      </c>
    </row>
    <row r="468" customFormat="false" ht="14.9" hidden="false" customHeight="false" outlineLevel="0" collapsed="false">
      <c r="A468" s="1" t="s">
        <v>15</v>
      </c>
      <c r="B468" s="1" t="s">
        <v>483</v>
      </c>
      <c r="C468" s="1" t="s">
        <v>17</v>
      </c>
      <c r="D468" s="1" t="s">
        <v>494</v>
      </c>
      <c r="E468" s="2" t="n">
        <v>45925</v>
      </c>
      <c r="F468" s="2" t="n">
        <f aca="false">IFERROR(VLOOKUP(TRIM($D468), Hoja4_2!$A$2:$L$10000, 4, 0), "Revisar")</f>
        <v>40470</v>
      </c>
      <c r="G468" s="7" t="str">
        <f aca="false">IFERROR(VLOOKUP(TRIM($D468), Hoja4_2!$A$2:$L$10000, 5, 0), "Revisar")</f>
        <v>MASCULINO</v>
      </c>
      <c r="H468" s="7" t="str">
        <f aca="false">IFERROR(VLOOKUP(TRIM($D468), Hoja4_2!$A$2:$L$10000, 7, 0), "Revisar")</f>
        <v>MARACAIBO</v>
      </c>
      <c r="I468" s="7" t="str">
        <f aca="false">IFERROR(VLOOKUP(TRIM($D468), Hoja4_2!$A$2:$L$10000, 9, 0), "Revisar")</f>
        <v>ZU</v>
      </c>
      <c r="J468" s="7" t="str">
        <f aca="false">IFERROR(VLOOKUP(TRIM($D468), Hoja4_2!$A$2:$L$10000, 12, 0), "Revisar")</f>
        <v>14369384</v>
      </c>
      <c r="K468" s="8" t="str">
        <f aca="false">TEXT(TRIM(D468),"0")</f>
        <v>34408098</v>
      </c>
      <c r="L468" s="1" t="str">
        <f aca="false">IF(F468="Revisar","NULL",CONCATENATE("'",TEXT(F468,"yyyy-mm-dd"),"'"))</f>
        <v>'2010-10-19'</v>
      </c>
      <c r="M468" s="9" t="str">
        <f aca="false">IF(G468="Revisar","NULL",CONCATENATE("'",MID(G468,1,1),"'"))</f>
        <v>'M'</v>
      </c>
      <c r="N468" s="9" t="str">
        <f aca="false">IF(H468="Revisar","NULL",CONCATENATE("'",H468,"'"))</f>
        <v>'MARACAIBO'</v>
      </c>
      <c r="O468" s="9" t="str">
        <f aca="false">IF(I468="Revisar","NULL",CONCATENATE("'",I468,"'"))</f>
        <v>'ZU'</v>
      </c>
      <c r="P468" s="1" t="str">
        <f aca="false">"UPDATE estudiantes SET fecha_nacimiento="&amp;L468&amp;", sexo="&amp;M468&amp;", lugar_nacimiento="&amp;N468&amp;", entidad_federal="&amp;O468&amp;" WHERE cedula='"&amp;K468&amp;"';"</f>
        <v>UPDATE estudiantes SET fecha_nacimiento='2010-10-19', sexo='M', lugar_nacimiento='MARACAIBO', entidad_federal='ZU' WHERE cedula='34408098';</v>
      </c>
    </row>
    <row r="469" customFormat="false" ht="14.9" hidden="false" customHeight="false" outlineLevel="0" collapsed="false">
      <c r="A469" s="1" t="s">
        <v>15</v>
      </c>
      <c r="B469" s="1" t="s">
        <v>483</v>
      </c>
      <c r="C469" s="1" t="s">
        <v>17</v>
      </c>
      <c r="D469" s="1" t="s">
        <v>495</v>
      </c>
      <c r="E469" s="2" t="n">
        <v>45925</v>
      </c>
      <c r="F469" s="2" t="n">
        <f aca="false">IFERROR(VLOOKUP(TRIM($D469), Hoja4_2!$A$2:$L$10000, 4, 0), "Revisar")</f>
        <v>40535</v>
      </c>
      <c r="G469" s="7" t="str">
        <f aca="false">IFERROR(VLOOKUP(TRIM($D469), Hoja4_2!$A$2:$L$10000, 5, 0), "Revisar")</f>
        <v>MASCULINO</v>
      </c>
      <c r="H469" s="7" t="str">
        <f aca="false">IFERROR(VLOOKUP(TRIM($D469), Hoja4_2!$A$2:$L$10000, 7, 0), "Revisar")</f>
        <v>JESUS ENRIQUE LOSSADA</v>
      </c>
      <c r="I469" s="7" t="str">
        <f aca="false">IFERROR(VLOOKUP(TRIM($D469), Hoja4_2!$A$2:$L$10000, 9, 0), "Revisar")</f>
        <v>ZU</v>
      </c>
      <c r="J469" s="7" t="str">
        <f aca="false">IFERROR(VLOOKUP(TRIM($D469), Hoja4_2!$A$2:$L$10000, 12, 0), "Revisar")</f>
        <v>12697333</v>
      </c>
      <c r="K469" s="8" t="str">
        <f aca="false">TEXT(TRIM(D469),"0")</f>
        <v>34415374</v>
      </c>
      <c r="L469" s="1" t="str">
        <f aca="false">IF(F469="Revisar","NULL",CONCATENATE("'",TEXT(F469,"yyyy-mm-dd"),"'"))</f>
        <v>'2010-12-23'</v>
      </c>
      <c r="M469" s="9" t="str">
        <f aca="false">IF(G469="Revisar","NULL",CONCATENATE("'",MID(G469,1,1),"'"))</f>
        <v>'M'</v>
      </c>
      <c r="N469" s="9" t="str">
        <f aca="false">IF(H469="Revisar","NULL",CONCATENATE("'",H469,"'"))</f>
        <v>'JESUS ENRIQUE LOSSADA'</v>
      </c>
      <c r="O469" s="9" t="str">
        <f aca="false">IF(I469="Revisar","NULL",CONCATENATE("'",I469,"'"))</f>
        <v>'ZU'</v>
      </c>
      <c r="P469" s="1" t="str">
        <f aca="false">"UPDATE estudiantes SET fecha_nacimiento="&amp;L469&amp;", sexo="&amp;M469&amp;", lugar_nacimiento="&amp;N469&amp;", entidad_federal="&amp;O469&amp;" WHERE cedula='"&amp;K469&amp;"';"</f>
        <v>UPDATE estudiantes SET fecha_nacimiento='2010-12-23', sexo='M', lugar_nacimiento='JESUS ENRIQUE LOSSADA', entidad_federal='ZU' WHERE cedula='34415374';</v>
      </c>
    </row>
    <row r="470" customFormat="false" ht="14.9" hidden="false" customHeight="false" outlineLevel="0" collapsed="false">
      <c r="A470" s="1" t="s">
        <v>15</v>
      </c>
      <c r="B470" s="1" t="s">
        <v>483</v>
      </c>
      <c r="C470" s="1" t="s">
        <v>17</v>
      </c>
      <c r="D470" s="1" t="s">
        <v>496</v>
      </c>
      <c r="E470" s="2" t="n">
        <v>45925</v>
      </c>
      <c r="F470" s="2" t="n">
        <f aca="false">IFERROR(VLOOKUP(TRIM($D470), Hoja4_2!$A$2:$L$10000, 4, 0), "Revisar")</f>
        <v>40373</v>
      </c>
      <c r="G470" s="7" t="str">
        <f aca="false">IFERROR(VLOOKUP(TRIM($D470), Hoja4_2!$A$2:$L$10000, 5, 0), "Revisar")</f>
        <v>FEMENINO</v>
      </c>
      <c r="H470" s="7" t="str">
        <f aca="false">IFERROR(VLOOKUP(TRIM($D470), Hoja4_2!$A$2:$L$10000, 7, 0), "Revisar")</f>
        <v>MARACAIBO</v>
      </c>
      <c r="I470" s="7" t="str">
        <f aca="false">IFERROR(VLOOKUP(TRIM($D470), Hoja4_2!$A$2:$L$10000, 9, 0), "Revisar")</f>
        <v>ZU</v>
      </c>
      <c r="J470" s="7" t="str">
        <f aca="false">IFERROR(VLOOKUP(TRIM($D470), Hoja4_2!$A$2:$L$10000, 12, 0), "Revisar")</f>
        <v>99999999</v>
      </c>
      <c r="K470" s="8" t="str">
        <f aca="false">TEXT(TRIM(D470),"0")</f>
        <v>34422299</v>
      </c>
      <c r="L470" s="1" t="str">
        <f aca="false">IF(F470="Revisar","NULL",CONCATENATE("'",TEXT(F470,"yyyy-mm-dd"),"'"))</f>
        <v>'2010-07-14'</v>
      </c>
      <c r="M470" s="9" t="str">
        <f aca="false">IF(G470="Revisar","NULL",CONCATENATE("'",MID(G470,1,1),"'"))</f>
        <v>'F'</v>
      </c>
      <c r="N470" s="9" t="str">
        <f aca="false">IF(H470="Revisar","NULL",CONCATENATE("'",H470,"'"))</f>
        <v>'MARACAIBO'</v>
      </c>
      <c r="O470" s="9" t="str">
        <f aca="false">IF(I470="Revisar","NULL",CONCATENATE("'",I470,"'"))</f>
        <v>'ZU'</v>
      </c>
      <c r="P470" s="1" t="str">
        <f aca="false">"UPDATE estudiantes SET fecha_nacimiento="&amp;L470&amp;", sexo="&amp;M470&amp;", lugar_nacimiento="&amp;N470&amp;", entidad_federal="&amp;O470&amp;" WHERE cedula='"&amp;K470&amp;"';"</f>
        <v>UPDATE estudiantes SET fecha_nacimiento='2010-07-14', sexo='F', lugar_nacimiento='MARACAIBO', entidad_federal='ZU' WHERE cedula='34422299';</v>
      </c>
    </row>
    <row r="471" customFormat="false" ht="14.9" hidden="false" customHeight="false" outlineLevel="0" collapsed="false">
      <c r="A471" s="1" t="s">
        <v>15</v>
      </c>
      <c r="B471" s="1" t="s">
        <v>483</v>
      </c>
      <c r="C471" s="1" t="s">
        <v>17</v>
      </c>
      <c r="D471" s="1" t="s">
        <v>497</v>
      </c>
      <c r="E471" s="2" t="n">
        <v>45925</v>
      </c>
      <c r="F471" s="2" t="n">
        <f aca="false">IFERROR(VLOOKUP(TRIM($D471), Hoja4_2!$A$2:$L$10000, 4, 0), "Revisar")</f>
        <v>40649</v>
      </c>
      <c r="G471" s="7" t="str">
        <f aca="false">IFERROR(VLOOKUP(TRIM($D471), Hoja4_2!$A$2:$L$10000, 5, 0), "Revisar")</f>
        <v>FEMENINO</v>
      </c>
      <c r="H471" s="7" t="str">
        <f aca="false">IFERROR(VLOOKUP(TRIM($D471), Hoja4_2!$A$2:$L$10000, 7, 0), "Revisar")</f>
        <v>MARACAIBO</v>
      </c>
      <c r="I471" s="7" t="str">
        <f aca="false">IFERROR(VLOOKUP(TRIM($D471), Hoja4_2!$A$2:$L$10000, 9, 0), "Revisar")</f>
        <v>ZU</v>
      </c>
      <c r="J471" s="7" t="str">
        <f aca="false">IFERROR(VLOOKUP(TRIM($D471), Hoja4_2!$A$2:$L$10000, 12, 0), "Revisar")</f>
        <v>19016691</v>
      </c>
      <c r="K471" s="8" t="str">
        <f aca="false">TEXT(TRIM(D471),"0")</f>
        <v>34423627</v>
      </c>
      <c r="L471" s="1" t="str">
        <f aca="false">IF(F471="Revisar","NULL",CONCATENATE("'",TEXT(F471,"yyyy-mm-dd"),"'"))</f>
        <v>'2011-04-16'</v>
      </c>
      <c r="M471" s="9" t="str">
        <f aca="false">IF(G471="Revisar","NULL",CONCATENATE("'",MID(G471,1,1),"'"))</f>
        <v>'F'</v>
      </c>
      <c r="N471" s="9" t="str">
        <f aca="false">IF(H471="Revisar","NULL",CONCATENATE("'",H471,"'"))</f>
        <v>'MARACAIBO'</v>
      </c>
      <c r="O471" s="9" t="str">
        <f aca="false">IF(I471="Revisar","NULL",CONCATENATE("'",I471,"'"))</f>
        <v>'ZU'</v>
      </c>
      <c r="P471" s="1" t="str">
        <f aca="false">"UPDATE estudiantes SET fecha_nacimiento="&amp;L471&amp;", sexo="&amp;M471&amp;", lugar_nacimiento="&amp;N471&amp;", entidad_federal="&amp;O471&amp;" WHERE cedula='"&amp;K471&amp;"';"</f>
        <v>UPDATE estudiantes SET fecha_nacimiento='2011-04-16', sexo='F', lugar_nacimiento='MARACAIBO', entidad_federal='ZU' WHERE cedula='34423627';</v>
      </c>
    </row>
    <row r="472" customFormat="false" ht="14.9" hidden="false" customHeight="false" outlineLevel="0" collapsed="false">
      <c r="A472" s="1" t="s">
        <v>15</v>
      </c>
      <c r="B472" s="1" t="s">
        <v>483</v>
      </c>
      <c r="C472" s="1" t="s">
        <v>17</v>
      </c>
      <c r="D472" s="1" t="s">
        <v>498</v>
      </c>
      <c r="E472" s="2" t="n">
        <v>45925</v>
      </c>
      <c r="F472" s="2" t="n">
        <f aca="false">IFERROR(VLOOKUP(TRIM($D472), Hoja4_2!$A$2:$L$10000, 4, 0), "Revisar")</f>
        <v>40076</v>
      </c>
      <c r="G472" s="7" t="str">
        <f aca="false">IFERROR(VLOOKUP(TRIM($D472), Hoja4_2!$A$2:$L$10000, 5, 0), "Revisar")</f>
        <v>MASCULINO</v>
      </c>
      <c r="H472" s="7" t="str">
        <f aca="false">IFERROR(VLOOKUP(TRIM($D472), Hoja4_2!$A$2:$L$10000, 7, 0), "Revisar")</f>
        <v>MARACAIBO</v>
      </c>
      <c r="I472" s="7" t="str">
        <f aca="false">IFERROR(VLOOKUP(TRIM($D472), Hoja4_2!$A$2:$L$10000, 9, 0), "Revisar")</f>
        <v>ZU</v>
      </c>
      <c r="J472" s="7" t="str">
        <f aca="false">IFERROR(VLOOKUP(TRIM($D472), Hoja4_2!$A$2:$L$10000, 12, 0), "Revisar")</f>
        <v>17634620</v>
      </c>
      <c r="K472" s="8" t="str">
        <f aca="false">TEXT(TRIM(D472),"0")</f>
        <v>34462350</v>
      </c>
      <c r="L472" s="1" t="str">
        <f aca="false">IF(F472="Revisar","NULL",CONCATENATE("'",TEXT(F472,"yyyy-mm-dd"),"'"))</f>
        <v>'2009-09-20'</v>
      </c>
      <c r="M472" s="9" t="str">
        <f aca="false">IF(G472="Revisar","NULL",CONCATENATE("'",MID(G472,1,1),"'"))</f>
        <v>'M'</v>
      </c>
      <c r="N472" s="9" t="str">
        <f aca="false">IF(H472="Revisar","NULL",CONCATENATE("'",H472,"'"))</f>
        <v>'MARACAIBO'</v>
      </c>
      <c r="O472" s="9" t="str">
        <f aca="false">IF(I472="Revisar","NULL",CONCATENATE("'",I472,"'"))</f>
        <v>'ZU'</v>
      </c>
      <c r="P472" s="1" t="str">
        <f aca="false">"UPDATE estudiantes SET fecha_nacimiento="&amp;L472&amp;", sexo="&amp;M472&amp;", lugar_nacimiento="&amp;N472&amp;", entidad_federal="&amp;O472&amp;" WHERE cedula='"&amp;K472&amp;"';"</f>
        <v>UPDATE estudiantes SET fecha_nacimiento='2009-09-20', sexo='M', lugar_nacimiento='MARACAIBO', entidad_federal='ZU' WHERE cedula='34462350';</v>
      </c>
    </row>
    <row r="473" customFormat="false" ht="14.9" hidden="false" customHeight="false" outlineLevel="0" collapsed="false">
      <c r="A473" s="1" t="s">
        <v>15</v>
      </c>
      <c r="B473" s="1" t="s">
        <v>483</v>
      </c>
      <c r="C473" s="1" t="s">
        <v>17</v>
      </c>
      <c r="D473" s="1" t="s">
        <v>499</v>
      </c>
      <c r="E473" s="2" t="n">
        <v>45925</v>
      </c>
      <c r="F473" s="2" t="n">
        <f aca="false">IFERROR(VLOOKUP(TRIM($D473), Hoja4_2!$A$2:$L$10000, 4, 0), "Revisar")</f>
        <v>40487</v>
      </c>
      <c r="G473" s="7" t="str">
        <f aca="false">IFERROR(VLOOKUP(TRIM($D473), Hoja4_2!$A$2:$L$10000, 5, 0), "Revisar")</f>
        <v>FEMENINO</v>
      </c>
      <c r="H473" s="7" t="str">
        <f aca="false">IFERROR(VLOOKUP(TRIM($D473), Hoja4_2!$A$2:$L$10000, 7, 0), "Revisar")</f>
        <v>MARACAIBO</v>
      </c>
      <c r="I473" s="7" t="str">
        <f aca="false">IFERROR(VLOOKUP(TRIM($D473), Hoja4_2!$A$2:$L$10000, 9, 0), "Revisar")</f>
        <v>ZU</v>
      </c>
      <c r="J473" s="7" t="str">
        <f aca="false">IFERROR(VLOOKUP(TRIM($D473), Hoja4_2!$A$2:$L$10000, 12, 0), "Revisar")</f>
        <v>07801231</v>
      </c>
      <c r="K473" s="8" t="str">
        <f aca="false">TEXT(TRIM(D473),"0")</f>
        <v>34463333</v>
      </c>
      <c r="L473" s="1" t="str">
        <f aca="false">IF(F473="Revisar","NULL",CONCATENATE("'",TEXT(F473,"yyyy-mm-dd"),"'"))</f>
        <v>'2010-11-05'</v>
      </c>
      <c r="M473" s="9" t="str">
        <f aca="false">IF(G473="Revisar","NULL",CONCATENATE("'",MID(G473,1,1),"'"))</f>
        <v>'F'</v>
      </c>
      <c r="N473" s="9" t="str">
        <f aca="false">IF(H473="Revisar","NULL",CONCATENATE("'",H473,"'"))</f>
        <v>'MARACAIBO'</v>
      </c>
      <c r="O473" s="9" t="str">
        <f aca="false">IF(I473="Revisar","NULL",CONCATENATE("'",I473,"'"))</f>
        <v>'ZU'</v>
      </c>
      <c r="P473" s="1" t="str">
        <f aca="false">"UPDATE estudiantes SET fecha_nacimiento="&amp;L473&amp;", sexo="&amp;M473&amp;", lugar_nacimiento="&amp;N473&amp;", entidad_federal="&amp;O473&amp;" WHERE cedula='"&amp;K473&amp;"';"</f>
        <v>UPDATE estudiantes SET fecha_nacimiento='2010-11-05', sexo='F', lugar_nacimiento='MARACAIBO', entidad_federal='ZU' WHERE cedula='34463333';</v>
      </c>
    </row>
    <row r="474" customFormat="false" ht="14.9" hidden="false" customHeight="false" outlineLevel="0" collapsed="false">
      <c r="A474" s="1" t="s">
        <v>15</v>
      </c>
      <c r="B474" s="1" t="s">
        <v>483</v>
      </c>
      <c r="C474" s="1" t="s">
        <v>17</v>
      </c>
      <c r="D474" s="1" t="s">
        <v>500</v>
      </c>
      <c r="E474" s="2" t="n">
        <v>45925</v>
      </c>
      <c r="F474" s="2" t="n">
        <f aca="false">IFERROR(VLOOKUP(TRIM($D474), Hoja4_2!$A$2:$L$10000, 4, 0), "Revisar")</f>
        <v>40633</v>
      </c>
      <c r="G474" s="7" t="str">
        <f aca="false">IFERROR(VLOOKUP(TRIM($D474), Hoja4_2!$A$2:$L$10000, 5, 0), "Revisar")</f>
        <v>FEMENINO</v>
      </c>
      <c r="H474" s="7" t="str">
        <f aca="false">IFERROR(VLOOKUP(TRIM($D474), Hoja4_2!$A$2:$L$10000, 7, 0), "Revisar")</f>
        <v>MARACAIBO</v>
      </c>
      <c r="I474" s="7" t="str">
        <f aca="false">IFERROR(VLOOKUP(TRIM($D474), Hoja4_2!$A$2:$L$10000, 9, 0), "Revisar")</f>
        <v>ZU</v>
      </c>
      <c r="J474" s="7" t="str">
        <f aca="false">IFERROR(VLOOKUP(TRIM($D474), Hoja4_2!$A$2:$L$10000, 12, 0), "Revisar")</f>
        <v>18650764</v>
      </c>
      <c r="K474" s="8" t="str">
        <f aca="false">TEXT(TRIM(D474),"0")</f>
        <v>34470919</v>
      </c>
      <c r="L474" s="1" t="str">
        <f aca="false">IF(F474="Revisar","NULL",CONCATENATE("'",TEXT(F474,"yyyy-mm-dd"),"'"))</f>
        <v>'2011-03-31'</v>
      </c>
      <c r="M474" s="9" t="str">
        <f aca="false">IF(G474="Revisar","NULL",CONCATENATE("'",MID(G474,1,1),"'"))</f>
        <v>'F'</v>
      </c>
      <c r="N474" s="9" t="str">
        <f aca="false">IF(H474="Revisar","NULL",CONCATENATE("'",H474,"'"))</f>
        <v>'MARACAIBO'</v>
      </c>
      <c r="O474" s="9" t="str">
        <f aca="false">IF(I474="Revisar","NULL",CONCATENATE("'",I474,"'"))</f>
        <v>'ZU'</v>
      </c>
      <c r="P474" s="1" t="str">
        <f aca="false">"UPDATE estudiantes SET fecha_nacimiento="&amp;L474&amp;", sexo="&amp;M474&amp;", lugar_nacimiento="&amp;N474&amp;", entidad_federal="&amp;O474&amp;" WHERE cedula='"&amp;K474&amp;"';"</f>
        <v>UPDATE estudiantes SET fecha_nacimiento='2011-03-31', sexo='F', lugar_nacimiento='MARACAIBO', entidad_federal='ZU' WHERE cedula='34470919';</v>
      </c>
    </row>
    <row r="475" customFormat="false" ht="14.9" hidden="false" customHeight="false" outlineLevel="0" collapsed="false">
      <c r="A475" s="1" t="s">
        <v>15</v>
      </c>
      <c r="B475" s="1" t="s">
        <v>483</v>
      </c>
      <c r="C475" s="1" t="s">
        <v>17</v>
      </c>
      <c r="D475" s="1" t="s">
        <v>501</v>
      </c>
      <c r="E475" s="2" t="n">
        <v>45925</v>
      </c>
      <c r="F475" s="2" t="n">
        <f aca="false">IFERROR(VLOOKUP(TRIM($D475), Hoja4_2!$A$2:$L$10000, 4, 0), "Revisar")</f>
        <v>40294</v>
      </c>
      <c r="G475" s="7" t="str">
        <f aca="false">IFERROR(VLOOKUP(TRIM($D475), Hoja4_2!$A$2:$L$10000, 5, 0), "Revisar")</f>
        <v>FEMENINO</v>
      </c>
      <c r="H475" s="7" t="str">
        <f aca="false">IFERROR(VLOOKUP(TRIM($D475), Hoja4_2!$A$2:$L$10000, 7, 0), "Revisar")</f>
        <v>MARACAIBO</v>
      </c>
      <c r="I475" s="7" t="str">
        <f aca="false">IFERROR(VLOOKUP(TRIM($D475), Hoja4_2!$A$2:$L$10000, 9, 0), "Revisar")</f>
        <v>ZU</v>
      </c>
      <c r="J475" s="7" t="str">
        <f aca="false">IFERROR(VLOOKUP(TRIM($D475), Hoja4_2!$A$2:$L$10000, 12, 0), "Revisar")</f>
        <v>13474165</v>
      </c>
      <c r="K475" s="8" t="str">
        <f aca="false">TEXT(TRIM(D475),"0")</f>
        <v>34471212</v>
      </c>
      <c r="L475" s="1" t="str">
        <f aca="false">IF(F475="Revisar","NULL",CONCATENATE("'",TEXT(F475,"yyyy-mm-dd"),"'"))</f>
        <v>'2010-04-26'</v>
      </c>
      <c r="M475" s="9" t="str">
        <f aca="false">IF(G475="Revisar","NULL",CONCATENATE("'",MID(G475,1,1),"'"))</f>
        <v>'F'</v>
      </c>
      <c r="N475" s="9" t="str">
        <f aca="false">IF(H475="Revisar","NULL",CONCATENATE("'",H475,"'"))</f>
        <v>'MARACAIBO'</v>
      </c>
      <c r="O475" s="9" t="str">
        <f aca="false">IF(I475="Revisar","NULL",CONCATENATE("'",I475,"'"))</f>
        <v>'ZU'</v>
      </c>
      <c r="P475" s="1" t="str">
        <f aca="false">"UPDATE estudiantes SET fecha_nacimiento="&amp;L475&amp;", sexo="&amp;M475&amp;", lugar_nacimiento="&amp;N475&amp;", entidad_federal="&amp;O475&amp;" WHERE cedula='"&amp;K475&amp;"';"</f>
        <v>UPDATE estudiantes SET fecha_nacimiento='2010-04-26', sexo='F', lugar_nacimiento='MARACAIBO', entidad_federal='ZU' WHERE cedula='34471212';</v>
      </c>
    </row>
    <row r="476" customFormat="false" ht="14.9" hidden="false" customHeight="false" outlineLevel="0" collapsed="false">
      <c r="A476" s="1" t="s">
        <v>15</v>
      </c>
      <c r="B476" s="1" t="s">
        <v>483</v>
      </c>
      <c r="C476" s="1" t="s">
        <v>17</v>
      </c>
      <c r="D476" s="1" t="s">
        <v>502</v>
      </c>
      <c r="E476" s="2" t="n">
        <v>45925</v>
      </c>
      <c r="F476" s="2" t="n">
        <f aca="false">IFERROR(VLOOKUP(TRIM($D476), Hoja4_2!$A$2:$L$10000, 4, 0), "Revisar")</f>
        <v>40227</v>
      </c>
      <c r="G476" s="7" t="str">
        <f aca="false">IFERROR(VLOOKUP(TRIM($D476), Hoja4_2!$A$2:$L$10000, 5, 0), "Revisar")</f>
        <v>MASCULINO</v>
      </c>
      <c r="H476" s="7" t="str">
        <f aca="false">IFERROR(VLOOKUP(TRIM($D476), Hoja4_2!$A$2:$L$10000, 7, 0), "Revisar")</f>
        <v>MARACAIBO</v>
      </c>
      <c r="I476" s="7" t="str">
        <f aca="false">IFERROR(VLOOKUP(TRIM($D476), Hoja4_2!$A$2:$L$10000, 9, 0), "Revisar")</f>
        <v>ZU</v>
      </c>
      <c r="J476" s="7" t="str">
        <f aca="false">IFERROR(VLOOKUP(TRIM($D476), Hoja4_2!$A$2:$L$10000, 12, 0), "Revisar")</f>
        <v>21152657</v>
      </c>
      <c r="K476" s="8" t="str">
        <f aca="false">TEXT(TRIM(D476),"0")</f>
        <v>34637736</v>
      </c>
      <c r="L476" s="1" t="str">
        <f aca="false">IF(F476="Revisar","NULL",CONCATENATE("'",TEXT(F476,"yyyy-mm-dd"),"'"))</f>
        <v>'2010-02-18'</v>
      </c>
      <c r="M476" s="9" t="str">
        <f aca="false">IF(G476="Revisar","NULL",CONCATENATE("'",MID(G476,1,1),"'"))</f>
        <v>'M'</v>
      </c>
      <c r="N476" s="9" t="str">
        <f aca="false">IF(H476="Revisar","NULL",CONCATENATE("'",H476,"'"))</f>
        <v>'MARACAIBO'</v>
      </c>
      <c r="O476" s="9" t="str">
        <f aca="false">IF(I476="Revisar","NULL",CONCATENATE("'",I476,"'"))</f>
        <v>'ZU'</v>
      </c>
      <c r="P476" s="1" t="str">
        <f aca="false">"UPDATE estudiantes SET fecha_nacimiento="&amp;L476&amp;", sexo="&amp;M476&amp;", lugar_nacimiento="&amp;N476&amp;", entidad_federal="&amp;O476&amp;" WHERE cedula='"&amp;K476&amp;"';"</f>
        <v>UPDATE estudiantes SET fecha_nacimiento='2010-02-18', sexo='M', lugar_nacimiento='MARACAIBO', entidad_federal='ZU' WHERE cedula='34637736';</v>
      </c>
    </row>
    <row r="477" customFormat="false" ht="14.9" hidden="false" customHeight="false" outlineLevel="0" collapsed="false">
      <c r="A477" s="1" t="s">
        <v>15</v>
      </c>
      <c r="B477" s="1" t="s">
        <v>483</v>
      </c>
      <c r="C477" s="1" t="s">
        <v>17</v>
      </c>
      <c r="D477" s="1" t="s">
        <v>503</v>
      </c>
      <c r="E477" s="2" t="n">
        <v>45925</v>
      </c>
      <c r="F477" s="2" t="n">
        <f aca="false">IFERROR(VLOOKUP(TRIM($D477), Hoja4_2!$A$2:$L$10000, 4, 0), "Revisar")</f>
        <v>40915</v>
      </c>
      <c r="G477" s="7" t="str">
        <f aca="false">IFERROR(VLOOKUP(TRIM($D477), Hoja4_2!$A$2:$L$10000, 5, 0), "Revisar")</f>
        <v>FEMENINO</v>
      </c>
      <c r="H477" s="7" t="str">
        <f aca="false">IFERROR(VLOOKUP(TRIM($D477), Hoja4_2!$A$2:$L$10000, 7, 0), "Revisar")</f>
        <v>MARACAIBO</v>
      </c>
      <c r="I477" s="7" t="str">
        <f aca="false">IFERROR(VLOOKUP(TRIM($D477), Hoja4_2!$A$2:$L$10000, 9, 0), "Revisar")</f>
        <v>ZU</v>
      </c>
      <c r="J477" s="7" t="str">
        <f aca="false">IFERROR(VLOOKUP(TRIM($D477), Hoja4_2!$A$2:$L$10000, 12, 0), "Revisar")</f>
        <v>15888513</v>
      </c>
      <c r="K477" s="8" t="str">
        <f aca="false">TEXT(TRIM(D477),"0")</f>
        <v>34820426</v>
      </c>
      <c r="L477" s="1" t="str">
        <f aca="false">IF(F477="Revisar","NULL",CONCATENATE("'",TEXT(F477,"yyyy-mm-dd"),"'"))</f>
        <v>'2012-01-07'</v>
      </c>
      <c r="M477" s="9" t="str">
        <f aca="false">IF(G477="Revisar","NULL",CONCATENATE("'",MID(G477,1,1),"'"))</f>
        <v>'F'</v>
      </c>
      <c r="N477" s="9" t="str">
        <f aca="false">IF(H477="Revisar","NULL",CONCATENATE("'",H477,"'"))</f>
        <v>'MARACAIBO'</v>
      </c>
      <c r="O477" s="9" t="str">
        <f aca="false">IF(I477="Revisar","NULL",CONCATENATE("'",I477,"'"))</f>
        <v>'ZU'</v>
      </c>
      <c r="P477" s="1" t="str">
        <f aca="false">"UPDATE estudiantes SET fecha_nacimiento="&amp;L477&amp;", sexo="&amp;M477&amp;", lugar_nacimiento="&amp;N477&amp;", entidad_federal="&amp;O477&amp;" WHERE cedula='"&amp;K477&amp;"';"</f>
        <v>UPDATE estudiantes SET fecha_nacimiento='2012-01-07', sexo='F', lugar_nacimiento='MARACAIBO', entidad_federal='ZU' WHERE cedula='34820426';</v>
      </c>
    </row>
    <row r="478" customFormat="false" ht="14.9" hidden="false" customHeight="false" outlineLevel="0" collapsed="false">
      <c r="A478" s="1" t="s">
        <v>15</v>
      </c>
      <c r="B478" s="1" t="s">
        <v>483</v>
      </c>
      <c r="C478" s="1" t="s">
        <v>17</v>
      </c>
      <c r="D478" s="1" t="s">
        <v>504</v>
      </c>
      <c r="E478" s="2" t="n">
        <v>45919</v>
      </c>
      <c r="F478" s="2" t="n">
        <f aca="false">IFERROR(VLOOKUP(TRIM($D478), Hoja4_2!$A$2:$L$10000, 4, 0), "Revisar")</f>
        <v>40227</v>
      </c>
      <c r="G478" s="7" t="str">
        <f aca="false">IFERROR(VLOOKUP(TRIM($D478), Hoja4_2!$A$2:$L$10000, 5, 0), "Revisar")</f>
        <v>FEMENINO</v>
      </c>
      <c r="H478" s="7" t="str">
        <f aca="false">IFERROR(VLOOKUP(TRIM($D478), Hoja4_2!$A$2:$L$10000, 7, 0), "Revisar")</f>
        <v>MARACAIBO</v>
      </c>
      <c r="I478" s="7" t="str">
        <f aca="false">IFERROR(VLOOKUP(TRIM($D478), Hoja4_2!$A$2:$L$10000, 9, 0), "Revisar")</f>
        <v>ZU</v>
      </c>
      <c r="J478" s="7" t="str">
        <f aca="false">IFERROR(VLOOKUP(TRIM($D478), Hoja4_2!$A$2:$L$10000, 12, 0), "Revisar")</f>
        <v>19706695</v>
      </c>
      <c r="K478" s="8" t="str">
        <f aca="false">TEXT(TRIM(D478),"0")</f>
        <v>34827885</v>
      </c>
      <c r="L478" s="1" t="str">
        <f aca="false">IF(F478="Revisar","NULL",CONCATENATE("'",TEXT(F478,"yyyy-mm-dd"),"'"))</f>
        <v>'2010-02-18'</v>
      </c>
      <c r="M478" s="9" t="str">
        <f aca="false">IF(G478="Revisar","NULL",CONCATENATE("'",MID(G478,1,1),"'"))</f>
        <v>'F'</v>
      </c>
      <c r="N478" s="9" t="str">
        <f aca="false">IF(H478="Revisar","NULL",CONCATENATE("'",H478,"'"))</f>
        <v>'MARACAIBO'</v>
      </c>
      <c r="O478" s="9" t="str">
        <f aca="false">IF(I478="Revisar","NULL",CONCATENATE("'",I478,"'"))</f>
        <v>'ZU'</v>
      </c>
      <c r="P478" s="1" t="str">
        <f aca="false">"UPDATE estudiantes SET fecha_nacimiento="&amp;L478&amp;", sexo="&amp;M478&amp;", lugar_nacimiento="&amp;N478&amp;", entidad_federal="&amp;O478&amp;" WHERE cedula='"&amp;K478&amp;"';"</f>
        <v>UPDATE estudiantes SET fecha_nacimiento='2010-02-18', sexo='F', lugar_nacimiento='MARACAIBO', entidad_federal='ZU' WHERE cedula='34827885';</v>
      </c>
    </row>
    <row r="479" customFormat="false" ht="14.9" hidden="false" customHeight="false" outlineLevel="0" collapsed="false">
      <c r="A479" s="1" t="s">
        <v>15</v>
      </c>
      <c r="B479" s="1" t="s">
        <v>483</v>
      </c>
      <c r="C479" s="1" t="s">
        <v>17</v>
      </c>
      <c r="D479" s="1" t="s">
        <v>505</v>
      </c>
      <c r="E479" s="2" t="n">
        <v>45925</v>
      </c>
      <c r="F479" s="2" t="n">
        <f aca="false">IFERROR(VLOOKUP(TRIM($D479), Hoja4_2!$A$2:$L$10000, 4, 0), "Revisar")</f>
        <v>40339</v>
      </c>
      <c r="G479" s="7" t="str">
        <f aca="false">IFERROR(VLOOKUP(TRIM($D479), Hoja4_2!$A$2:$L$10000, 5, 0), "Revisar")</f>
        <v>FEMENINO</v>
      </c>
      <c r="H479" s="7" t="str">
        <f aca="false">IFERROR(VLOOKUP(TRIM($D479), Hoja4_2!$A$2:$L$10000, 7, 0), "Revisar")</f>
        <v>MARACAIBO</v>
      </c>
      <c r="I479" s="7" t="str">
        <f aca="false">IFERROR(VLOOKUP(TRIM($D479), Hoja4_2!$A$2:$L$10000, 9, 0), "Revisar")</f>
        <v>ZU</v>
      </c>
      <c r="J479" s="7" t="str">
        <f aca="false">IFERROR(VLOOKUP(TRIM($D479), Hoja4_2!$A$2:$L$10000, 12, 0), "Revisar")</f>
        <v>12513582</v>
      </c>
      <c r="K479" s="8" t="str">
        <f aca="false">TEXT(TRIM(D479),"0")</f>
        <v>36208123</v>
      </c>
      <c r="L479" s="1" t="str">
        <f aca="false">IF(F479="Revisar","NULL",CONCATENATE("'",TEXT(F479,"yyyy-mm-dd"),"'"))</f>
        <v>'2010-06-10'</v>
      </c>
      <c r="M479" s="9" t="str">
        <f aca="false">IF(G479="Revisar","NULL",CONCATENATE("'",MID(G479,1,1),"'"))</f>
        <v>'F'</v>
      </c>
      <c r="N479" s="9" t="str">
        <f aca="false">IF(H479="Revisar","NULL",CONCATENATE("'",H479,"'"))</f>
        <v>'MARACAIBO'</v>
      </c>
      <c r="O479" s="9" t="str">
        <f aca="false">IF(I479="Revisar","NULL",CONCATENATE("'",I479,"'"))</f>
        <v>'ZU'</v>
      </c>
      <c r="P479" s="1" t="str">
        <f aca="false">"UPDATE estudiantes SET fecha_nacimiento="&amp;L479&amp;", sexo="&amp;M479&amp;", lugar_nacimiento="&amp;N479&amp;", entidad_federal="&amp;O479&amp;" WHERE cedula='"&amp;K479&amp;"';"</f>
        <v>UPDATE estudiantes SET fecha_nacimiento='2010-06-10', sexo='F', lugar_nacimiento='MARACAIBO', entidad_federal='ZU' WHERE cedula='36208123';</v>
      </c>
    </row>
    <row r="480" customFormat="false" ht="14.9" hidden="false" customHeight="false" outlineLevel="0" collapsed="false">
      <c r="A480" s="1" t="s">
        <v>15</v>
      </c>
      <c r="B480" s="1" t="s">
        <v>483</v>
      </c>
      <c r="C480" s="1" t="s">
        <v>17</v>
      </c>
      <c r="D480" s="1" t="s">
        <v>506</v>
      </c>
      <c r="E480" s="2" t="n">
        <v>45925</v>
      </c>
      <c r="F480" s="2" t="n">
        <f aca="false">IFERROR(VLOOKUP(TRIM($D480), Hoja4_2!$A$2:$L$10000, 4, 0), "Revisar")</f>
        <v>40011</v>
      </c>
      <c r="G480" s="7" t="str">
        <f aca="false">IFERROR(VLOOKUP(TRIM($D480), Hoja4_2!$A$2:$L$10000, 5, 0), "Revisar")</f>
        <v>MASCULINO</v>
      </c>
      <c r="H480" s="7" t="str">
        <f aca="false">IFERROR(VLOOKUP(TRIM($D480), Hoja4_2!$A$2:$L$10000, 7, 0), "Revisar")</f>
        <v>MARACAIBO</v>
      </c>
      <c r="I480" s="7" t="str">
        <f aca="false">IFERROR(VLOOKUP(TRIM($D480), Hoja4_2!$A$2:$L$10000, 9, 0), "Revisar")</f>
        <v>ZU</v>
      </c>
      <c r="J480" s="7" t="str">
        <f aca="false">IFERROR(VLOOKUP(TRIM($D480), Hoja4_2!$A$2:$L$10000, 12, 0), "Revisar")</f>
        <v>19989237</v>
      </c>
      <c r="K480" s="8" t="str">
        <f aca="false">TEXT(TRIM(D480),"0")</f>
        <v>36388691</v>
      </c>
      <c r="L480" s="1" t="str">
        <f aca="false">IF(F480="Revisar","NULL",CONCATENATE("'",TEXT(F480,"yyyy-mm-dd"),"'"))</f>
        <v>'2009-07-17'</v>
      </c>
      <c r="M480" s="9" t="str">
        <f aca="false">IF(G480="Revisar","NULL",CONCATENATE("'",MID(G480,1,1),"'"))</f>
        <v>'M'</v>
      </c>
      <c r="N480" s="9" t="str">
        <f aca="false">IF(H480="Revisar","NULL",CONCATENATE("'",H480,"'"))</f>
        <v>'MARACAIBO'</v>
      </c>
      <c r="O480" s="9" t="str">
        <f aca="false">IF(I480="Revisar","NULL",CONCATENATE("'",I480,"'"))</f>
        <v>'ZU'</v>
      </c>
      <c r="P480" s="1" t="str">
        <f aca="false">"UPDATE estudiantes SET fecha_nacimiento="&amp;L480&amp;", sexo="&amp;M480&amp;", lugar_nacimiento="&amp;N480&amp;", entidad_federal="&amp;O480&amp;" WHERE cedula='"&amp;K480&amp;"';"</f>
        <v>UPDATE estudiantes SET fecha_nacimiento='2009-07-17', sexo='M', lugar_nacimiento='MARACAIBO', entidad_federal='ZU' WHERE cedula='36388691';</v>
      </c>
    </row>
    <row r="481" customFormat="false" ht="14.9" hidden="false" customHeight="false" outlineLevel="0" collapsed="false">
      <c r="A481" s="1" t="s">
        <v>15</v>
      </c>
      <c r="B481" s="1" t="s">
        <v>483</v>
      </c>
      <c r="C481" s="1" t="s">
        <v>17</v>
      </c>
      <c r="D481" s="1" t="s">
        <v>507</v>
      </c>
      <c r="E481" s="2" t="n">
        <v>46076</v>
      </c>
      <c r="F481" s="2" t="n">
        <f aca="false">IFERROR(VLOOKUP(TRIM($D481), Hoja4_2!$A$2:$L$10000, 4, 0), "Revisar")</f>
        <v>39268</v>
      </c>
      <c r="G481" s="7" t="str">
        <f aca="false">IFERROR(VLOOKUP(TRIM($D481), Hoja4_2!$A$2:$L$10000, 5, 0), "Revisar")</f>
        <v>FEMENINO</v>
      </c>
      <c r="H481" s="7" t="str">
        <f aca="false">IFERROR(VLOOKUP(TRIM($D481), Hoja4_2!$A$2:$L$10000, 7, 0), "Revisar")</f>
        <v>MARACAIBO</v>
      </c>
      <c r="I481" s="7" t="str">
        <f aca="false">IFERROR(VLOOKUP(TRIM($D481), Hoja4_2!$A$2:$L$10000, 9, 0), "Revisar")</f>
        <v>ZU</v>
      </c>
      <c r="J481" s="7" t="str">
        <f aca="false">IFERROR(VLOOKUP(TRIM($D481), Hoja4_2!$A$2:$L$10000, 12, 0), "Revisar")</f>
        <v>17280949</v>
      </c>
      <c r="K481" s="8" t="str">
        <f aca="false">TEXT(TRIM(D481),"0")</f>
        <v>36618079</v>
      </c>
      <c r="L481" s="1" t="str">
        <f aca="false">IF(F481="Revisar","NULL",CONCATENATE("'",TEXT(F481,"yyyy-mm-dd"),"'"))</f>
        <v>'2007-07-05'</v>
      </c>
      <c r="M481" s="9" t="str">
        <f aca="false">IF(G481="Revisar","NULL",CONCATENATE("'",MID(G481,1,1),"'"))</f>
        <v>'F'</v>
      </c>
      <c r="N481" s="9" t="str">
        <f aca="false">IF(H481="Revisar","NULL",CONCATENATE("'",H481,"'"))</f>
        <v>'MARACAIBO'</v>
      </c>
      <c r="O481" s="9" t="str">
        <f aca="false">IF(I481="Revisar","NULL",CONCATENATE("'",I481,"'"))</f>
        <v>'ZU'</v>
      </c>
      <c r="P481" s="1" t="str">
        <f aca="false">"UPDATE estudiantes SET fecha_nacimiento="&amp;L481&amp;", sexo="&amp;M481&amp;", lugar_nacimiento="&amp;N481&amp;", entidad_federal="&amp;O481&amp;" WHERE cedula='"&amp;K481&amp;"';"</f>
        <v>UPDATE estudiantes SET fecha_nacimiento='2007-07-05', sexo='F', lugar_nacimiento='MARACAIBO', entidad_federal='ZU' WHERE cedula='36618079';</v>
      </c>
    </row>
    <row r="482" customFormat="false" ht="14.9" hidden="false" customHeight="false" outlineLevel="0" collapsed="false">
      <c r="A482" s="1" t="s">
        <v>15</v>
      </c>
      <c r="B482" s="1" t="s">
        <v>483</v>
      </c>
      <c r="C482" s="1" t="s">
        <v>17</v>
      </c>
      <c r="D482" s="1" t="s">
        <v>508</v>
      </c>
      <c r="E482" s="2" t="n">
        <v>45925</v>
      </c>
      <c r="F482" s="2" t="n">
        <f aca="false">IFERROR(VLOOKUP(TRIM($D482), Hoja4_2!$A$2:$L$10000, 4, 0), "Revisar")</f>
        <v>40632</v>
      </c>
      <c r="G482" s="7" t="str">
        <f aca="false">IFERROR(VLOOKUP(TRIM($D482), Hoja4_2!$A$2:$L$10000, 5, 0), "Revisar")</f>
        <v>MASCULINO</v>
      </c>
      <c r="H482" s="7" t="str">
        <f aca="false">IFERROR(VLOOKUP(TRIM($D482), Hoja4_2!$A$2:$L$10000, 7, 0), "Revisar")</f>
        <v>JESUS ENRIQUE LOSSADA</v>
      </c>
      <c r="I482" s="7" t="str">
        <f aca="false">IFERROR(VLOOKUP(TRIM($D482), Hoja4_2!$A$2:$L$10000, 9, 0), "Revisar")</f>
        <v>ZU</v>
      </c>
      <c r="J482" s="7" t="str">
        <f aca="false">IFERROR(VLOOKUP(TRIM($D482), Hoja4_2!$A$2:$L$10000, 12, 0), "Revisar")</f>
        <v>16080202</v>
      </c>
      <c r="K482" s="8" t="str">
        <f aca="false">TEXT(TRIM(D482),"0")</f>
        <v>36872439</v>
      </c>
      <c r="L482" s="1" t="str">
        <f aca="false">IF(F482="Revisar","NULL",CONCATENATE("'",TEXT(F482,"yyyy-mm-dd"),"'"))</f>
        <v>'2011-03-30'</v>
      </c>
      <c r="M482" s="9" t="str">
        <f aca="false">IF(G482="Revisar","NULL",CONCATENATE("'",MID(G482,1,1),"'"))</f>
        <v>'M'</v>
      </c>
      <c r="N482" s="9" t="str">
        <f aca="false">IF(H482="Revisar","NULL",CONCATENATE("'",H482,"'"))</f>
        <v>'JESUS ENRIQUE LOSSADA'</v>
      </c>
      <c r="O482" s="9" t="str">
        <f aca="false">IF(I482="Revisar","NULL",CONCATENATE("'",I482,"'"))</f>
        <v>'ZU'</v>
      </c>
      <c r="P482" s="1" t="str">
        <f aca="false">"UPDATE estudiantes SET fecha_nacimiento="&amp;L482&amp;", sexo="&amp;M482&amp;", lugar_nacimiento="&amp;N482&amp;", entidad_federal="&amp;O482&amp;" WHERE cedula='"&amp;K482&amp;"';"</f>
        <v>UPDATE estudiantes SET fecha_nacimiento='2011-03-30', sexo='M', lugar_nacimiento='JESUS ENRIQUE LOSSADA', entidad_federal='ZU' WHERE cedula='36872439';</v>
      </c>
    </row>
    <row r="483" customFormat="false" ht="14.9" hidden="false" customHeight="false" outlineLevel="0" collapsed="false">
      <c r="A483" s="1" t="s">
        <v>15</v>
      </c>
      <c r="B483" s="1" t="s">
        <v>483</v>
      </c>
      <c r="C483" s="1" t="s">
        <v>17</v>
      </c>
      <c r="D483" s="1" t="s">
        <v>509</v>
      </c>
      <c r="E483" s="2" t="n">
        <v>45925</v>
      </c>
      <c r="F483" s="2" t="n">
        <f aca="false">IFERROR(VLOOKUP(TRIM($D483), Hoja4_2!$A$2:$L$10000, 4, 0), "Revisar")</f>
        <v>40535</v>
      </c>
      <c r="G483" s="7" t="str">
        <f aca="false">IFERROR(VLOOKUP(TRIM($D483), Hoja4_2!$A$2:$L$10000, 5, 0), "Revisar")</f>
        <v>FEMENINO</v>
      </c>
      <c r="H483" s="7" t="str">
        <f aca="false">IFERROR(VLOOKUP(TRIM($D483), Hoja4_2!$A$2:$L$10000, 7, 0), "Revisar")</f>
        <v>MARACAIBO</v>
      </c>
      <c r="I483" s="7" t="str">
        <f aca="false">IFERROR(VLOOKUP(TRIM($D483), Hoja4_2!$A$2:$L$10000, 9, 0), "Revisar")</f>
        <v>ZU</v>
      </c>
      <c r="J483" s="7" t="str">
        <f aca="false">IFERROR(VLOOKUP(TRIM($D483), Hoja4_2!$A$2:$L$10000, 12, 0), "Revisar")</f>
        <v>14544415</v>
      </c>
      <c r="K483" s="8" t="str">
        <f aca="false">TEXT(TRIM(D483),"0")</f>
        <v>11014544415</v>
      </c>
      <c r="L483" s="1" t="str">
        <f aca="false">IF(F483="Revisar","NULL",CONCATENATE("'",TEXT(F483,"yyyy-mm-dd"),"'"))</f>
        <v>'2010-12-23'</v>
      </c>
      <c r="M483" s="9" t="str">
        <f aca="false">IF(G483="Revisar","NULL",CONCATENATE("'",MID(G483,1,1),"'"))</f>
        <v>'F'</v>
      </c>
      <c r="N483" s="9" t="str">
        <f aca="false">IF(H483="Revisar","NULL",CONCATENATE("'",H483,"'"))</f>
        <v>'MARACAIBO'</v>
      </c>
      <c r="O483" s="9" t="str">
        <f aca="false">IF(I483="Revisar","NULL",CONCATENATE("'",I483,"'"))</f>
        <v>'ZU'</v>
      </c>
      <c r="P483" s="1" t="str">
        <f aca="false">"UPDATE estudiantes SET fecha_nacimiento="&amp;L483&amp;", sexo="&amp;M483&amp;", lugar_nacimiento="&amp;N483&amp;", entidad_federal="&amp;O483&amp;" WHERE cedula='"&amp;K483&amp;"';"</f>
        <v>UPDATE estudiantes SET fecha_nacimiento='2010-12-23', sexo='F', lugar_nacimiento='MARACAIBO', entidad_federal='ZU' WHERE cedula='11014544415';</v>
      </c>
    </row>
    <row r="484" customFormat="false" ht="14.9" hidden="false" customHeight="false" outlineLevel="0" collapsed="false">
      <c r="A484" s="1" t="s">
        <v>15</v>
      </c>
      <c r="B484" s="1" t="s">
        <v>483</v>
      </c>
      <c r="C484" s="1" t="s">
        <v>17</v>
      </c>
      <c r="D484" s="1" t="s">
        <v>510</v>
      </c>
      <c r="E484" s="2" t="n">
        <v>45925</v>
      </c>
      <c r="F484" s="2" t="n">
        <f aca="false">IFERROR(VLOOKUP(TRIM($D484), Hoja4_2!$A$2:$L$10000, 4, 0), "Revisar")</f>
        <v>40266</v>
      </c>
      <c r="G484" s="7" t="str">
        <f aca="false">IFERROR(VLOOKUP(TRIM($D484), Hoja4_2!$A$2:$L$10000, 5, 0), "Revisar")</f>
        <v>MASCULINO</v>
      </c>
      <c r="H484" s="7" t="str">
        <f aca="false">IFERROR(VLOOKUP(TRIM($D484), Hoja4_2!$A$2:$L$10000, 7, 0), "Revisar")</f>
        <v>MARACAIBO</v>
      </c>
      <c r="I484" s="7" t="str">
        <f aca="false">IFERROR(VLOOKUP(TRIM($D484), Hoja4_2!$A$2:$L$10000, 9, 0), "Revisar")</f>
        <v>ZU</v>
      </c>
      <c r="J484" s="7" t="str">
        <f aca="false">IFERROR(VLOOKUP(TRIM($D484), Hoja4_2!$A$2:$L$10000, 12, 0), "Revisar")</f>
        <v>20148203</v>
      </c>
      <c r="K484" s="8" t="str">
        <f aca="false">TEXT(TRIM(D484),"0")</f>
        <v>11020148203</v>
      </c>
      <c r="L484" s="1" t="str">
        <f aca="false">IF(F484="Revisar","NULL",CONCATENATE("'",TEXT(F484,"yyyy-mm-dd"),"'"))</f>
        <v>'2010-03-29'</v>
      </c>
      <c r="M484" s="9" t="str">
        <f aca="false">IF(G484="Revisar","NULL",CONCATENATE("'",MID(G484,1,1),"'"))</f>
        <v>'M'</v>
      </c>
      <c r="N484" s="9" t="str">
        <f aca="false">IF(H484="Revisar","NULL",CONCATENATE("'",H484,"'"))</f>
        <v>'MARACAIBO'</v>
      </c>
      <c r="O484" s="9" t="str">
        <f aca="false">IF(I484="Revisar","NULL",CONCATENATE("'",I484,"'"))</f>
        <v>'ZU'</v>
      </c>
      <c r="P484" s="1" t="str">
        <f aca="false">"UPDATE estudiantes SET fecha_nacimiento="&amp;L484&amp;", sexo="&amp;M484&amp;", lugar_nacimiento="&amp;N484&amp;", entidad_federal="&amp;O484&amp;" WHERE cedula='"&amp;K484&amp;"';"</f>
        <v>UPDATE estudiantes SET fecha_nacimiento='2010-03-29', sexo='M', lugar_nacimiento='MARACAIBO', entidad_federal='ZU' WHERE cedula='11020148203';</v>
      </c>
    </row>
    <row r="485" customFormat="false" ht="14.9" hidden="false" customHeight="false" outlineLevel="0" collapsed="false">
      <c r="A485" s="1" t="s">
        <v>15</v>
      </c>
      <c r="B485" s="1" t="s">
        <v>483</v>
      </c>
      <c r="C485" s="1" t="s">
        <v>17</v>
      </c>
      <c r="D485" s="1" t="s">
        <v>511</v>
      </c>
      <c r="E485" s="2" t="n">
        <v>45925</v>
      </c>
      <c r="F485" s="2" t="n">
        <f aca="false">IFERROR(VLOOKUP(TRIM($D485), Hoja4_2!$A$2:$L$10000, 4, 0), "Revisar")</f>
        <v>40565</v>
      </c>
      <c r="G485" s="7" t="str">
        <f aca="false">IFERROR(VLOOKUP(TRIM($D485), Hoja4_2!$A$2:$L$10000, 5, 0), "Revisar")</f>
        <v>MASCULINO</v>
      </c>
      <c r="H485" s="7" t="str">
        <f aca="false">IFERROR(VLOOKUP(TRIM($D485), Hoja4_2!$A$2:$L$10000, 7, 0), "Revisar")</f>
        <v>MARACAIBO</v>
      </c>
      <c r="I485" s="7" t="str">
        <f aca="false">IFERROR(VLOOKUP(TRIM($D485), Hoja4_2!$A$2:$L$10000, 9, 0), "Revisar")</f>
        <v>ZU</v>
      </c>
      <c r="J485" s="7" t="str">
        <f aca="false">IFERROR(VLOOKUP(TRIM($D485), Hoja4_2!$A$2:$L$10000, 12, 0), "Revisar")</f>
        <v>16687667</v>
      </c>
      <c r="K485" s="8" t="str">
        <f aca="false">TEXT(TRIM(D485),"0")</f>
        <v>11116687667</v>
      </c>
      <c r="L485" s="1" t="str">
        <f aca="false">IF(F485="Revisar","NULL",CONCATENATE("'",TEXT(F485,"yyyy-mm-dd"),"'"))</f>
        <v>'2011-01-22'</v>
      </c>
      <c r="M485" s="9" t="str">
        <f aca="false">IF(G485="Revisar","NULL",CONCATENATE("'",MID(G485,1,1),"'"))</f>
        <v>'M'</v>
      </c>
      <c r="N485" s="9" t="str">
        <f aca="false">IF(H485="Revisar","NULL",CONCATENATE("'",H485,"'"))</f>
        <v>'MARACAIBO'</v>
      </c>
      <c r="O485" s="9" t="str">
        <f aca="false">IF(I485="Revisar","NULL",CONCATENATE("'",I485,"'"))</f>
        <v>'ZU'</v>
      </c>
      <c r="P485" s="1" t="str">
        <f aca="false">"UPDATE estudiantes SET fecha_nacimiento="&amp;L485&amp;", sexo="&amp;M485&amp;", lugar_nacimiento="&amp;N485&amp;", entidad_federal="&amp;O485&amp;" WHERE cedula='"&amp;K485&amp;"';"</f>
        <v>UPDATE estudiantes SET fecha_nacimiento='2011-01-22', sexo='M', lugar_nacimiento='MARACAIBO', entidad_federal='ZU' WHERE cedula='11116687667';</v>
      </c>
    </row>
    <row r="486" customFormat="false" ht="14.9" hidden="false" customHeight="false" outlineLevel="0" collapsed="false">
      <c r="A486" s="1" t="s">
        <v>15</v>
      </c>
      <c r="B486" s="1" t="s">
        <v>483</v>
      </c>
      <c r="C486" s="1" t="s">
        <v>53</v>
      </c>
      <c r="D486" s="1" t="s">
        <v>512</v>
      </c>
      <c r="E486" s="2" t="n">
        <v>45926</v>
      </c>
      <c r="F486" s="2" t="n">
        <f aca="false">IFERROR(VLOOKUP(TRIM($D486), Hoja4_2!$A$2:$L$10000, 4, 0), "Revisar")</f>
        <v>40128</v>
      </c>
      <c r="G486" s="7" t="str">
        <f aca="false">IFERROR(VLOOKUP(TRIM($D486), Hoja4_2!$A$2:$L$10000, 5, 0), "Revisar")</f>
        <v>MASCULINO</v>
      </c>
      <c r="H486" s="7" t="str">
        <f aca="false">IFERROR(VLOOKUP(TRIM($D486), Hoja4_2!$A$2:$L$10000, 7, 0), "Revisar")</f>
        <v>MARACAIBO</v>
      </c>
      <c r="I486" s="7" t="str">
        <f aca="false">IFERROR(VLOOKUP(TRIM($D486), Hoja4_2!$A$2:$L$10000, 9, 0), "Revisar")</f>
        <v>ZU</v>
      </c>
      <c r="J486" s="7" t="str">
        <f aca="false">IFERROR(VLOOKUP(TRIM($D486), Hoja4_2!$A$2:$L$10000, 12, 0), "Revisar")</f>
        <v>17087302</v>
      </c>
      <c r="K486" s="8" t="str">
        <f aca="false">TEXT(TRIM(D486),"0")</f>
        <v>33459867</v>
      </c>
      <c r="L486" s="1" t="str">
        <f aca="false">IF(F486="Revisar","NULL",CONCATENATE("'",TEXT(F486,"yyyy-mm-dd"),"'"))</f>
        <v>'2009-11-11'</v>
      </c>
      <c r="M486" s="9" t="str">
        <f aca="false">IF(G486="Revisar","NULL",CONCATENATE("'",MID(G486,1,1),"'"))</f>
        <v>'M'</v>
      </c>
      <c r="N486" s="9" t="str">
        <f aca="false">IF(H486="Revisar","NULL",CONCATENATE("'",H486,"'"))</f>
        <v>'MARACAIBO'</v>
      </c>
      <c r="O486" s="9" t="str">
        <f aca="false">IF(I486="Revisar","NULL",CONCATENATE("'",I486,"'"))</f>
        <v>'ZU'</v>
      </c>
      <c r="P486" s="1" t="str">
        <f aca="false">"UPDATE estudiantes SET fecha_nacimiento="&amp;L486&amp;", sexo="&amp;M486&amp;", lugar_nacimiento="&amp;N486&amp;", entidad_federal="&amp;O486&amp;" WHERE cedula='"&amp;K486&amp;"';"</f>
        <v>UPDATE estudiantes SET fecha_nacimiento='2009-11-11', sexo='M', lugar_nacimiento='MARACAIBO', entidad_federal='ZU' WHERE cedula='33459867';</v>
      </c>
    </row>
    <row r="487" customFormat="false" ht="14.9" hidden="false" customHeight="false" outlineLevel="0" collapsed="false">
      <c r="A487" s="1" t="s">
        <v>15</v>
      </c>
      <c r="B487" s="1" t="s">
        <v>483</v>
      </c>
      <c r="C487" s="1" t="s">
        <v>53</v>
      </c>
      <c r="D487" s="1" t="s">
        <v>513</v>
      </c>
      <c r="E487" s="2" t="n">
        <v>45926</v>
      </c>
      <c r="F487" s="2" t="n">
        <f aca="false">IFERROR(VLOOKUP(TRIM($D487), Hoja4_2!$A$2:$L$10000, 4, 0), "Revisar")</f>
        <v>40035</v>
      </c>
      <c r="G487" s="7" t="str">
        <f aca="false">IFERROR(VLOOKUP(TRIM($D487), Hoja4_2!$A$2:$L$10000, 5, 0), "Revisar")</f>
        <v>MASCULINO</v>
      </c>
      <c r="H487" s="7" t="str">
        <f aca="false">IFERROR(VLOOKUP(TRIM($D487), Hoja4_2!$A$2:$L$10000, 7, 0), "Revisar")</f>
        <v>MARACAIBO</v>
      </c>
      <c r="I487" s="7" t="str">
        <f aca="false">IFERROR(VLOOKUP(TRIM($D487), Hoja4_2!$A$2:$L$10000, 9, 0), "Revisar")</f>
        <v>ZU</v>
      </c>
      <c r="J487" s="7" t="str">
        <f aca="false">IFERROR(VLOOKUP(TRIM($D487), Hoja4_2!$A$2:$L$10000, 12, 0), "Revisar")</f>
        <v>17566997</v>
      </c>
      <c r="K487" s="8" t="str">
        <f aca="false">TEXT(TRIM(D487),"0")</f>
        <v>33459869</v>
      </c>
      <c r="L487" s="1" t="str">
        <f aca="false">IF(F487="Revisar","NULL",CONCATENATE("'",TEXT(F487,"yyyy-mm-dd"),"'"))</f>
        <v>'2009-08-10'</v>
      </c>
      <c r="M487" s="9" t="str">
        <f aca="false">IF(G487="Revisar","NULL",CONCATENATE("'",MID(G487,1,1),"'"))</f>
        <v>'M'</v>
      </c>
      <c r="N487" s="9" t="str">
        <f aca="false">IF(H487="Revisar","NULL",CONCATENATE("'",H487,"'"))</f>
        <v>'MARACAIBO'</v>
      </c>
      <c r="O487" s="9" t="str">
        <f aca="false">IF(I487="Revisar","NULL",CONCATENATE("'",I487,"'"))</f>
        <v>'ZU'</v>
      </c>
      <c r="P487" s="1" t="str">
        <f aca="false">"UPDATE estudiantes SET fecha_nacimiento="&amp;L487&amp;", sexo="&amp;M487&amp;", lugar_nacimiento="&amp;N487&amp;", entidad_federal="&amp;O487&amp;" WHERE cedula='"&amp;K487&amp;"';"</f>
        <v>UPDATE estudiantes SET fecha_nacimiento='2009-08-10', sexo='M', lugar_nacimiento='MARACAIBO', entidad_federal='ZU' WHERE cedula='33459869';</v>
      </c>
    </row>
    <row r="488" customFormat="false" ht="14.9" hidden="false" customHeight="false" outlineLevel="0" collapsed="false">
      <c r="A488" s="1" t="s">
        <v>15</v>
      </c>
      <c r="B488" s="1" t="s">
        <v>483</v>
      </c>
      <c r="C488" s="1" t="s">
        <v>53</v>
      </c>
      <c r="D488" s="1" t="s">
        <v>514</v>
      </c>
      <c r="E488" s="2" t="n">
        <v>46041</v>
      </c>
      <c r="F488" s="2" t="n">
        <f aca="false">IFERROR(VLOOKUP(TRIM($D488), Hoja4_2!$A$2:$L$10000, 4, 0), "Revisar")</f>
        <v>39890</v>
      </c>
      <c r="G488" s="7" t="str">
        <f aca="false">IFERROR(VLOOKUP(TRIM($D488), Hoja4_2!$A$2:$L$10000, 5, 0), "Revisar")</f>
        <v>MASCULINO</v>
      </c>
      <c r="H488" s="7" t="str">
        <f aca="false">IFERROR(VLOOKUP(TRIM($D488), Hoja4_2!$A$2:$L$10000, 7, 0), "Revisar")</f>
        <v>MARACAIBO</v>
      </c>
      <c r="I488" s="7" t="str">
        <f aca="false">IFERROR(VLOOKUP(TRIM($D488), Hoja4_2!$A$2:$L$10000, 9, 0), "Revisar")</f>
        <v>ZU</v>
      </c>
      <c r="J488" s="7" t="str">
        <f aca="false">IFERROR(VLOOKUP(TRIM($D488), Hoja4_2!$A$2:$L$10000, 12, 0), "Revisar")</f>
        <v>12344435</v>
      </c>
      <c r="K488" s="8" t="str">
        <f aca="false">TEXT(TRIM(D488),"0")</f>
        <v>33570381</v>
      </c>
      <c r="L488" s="1" t="str">
        <f aca="false">IF(F488="Revisar","NULL",CONCATENATE("'",TEXT(F488,"yyyy-mm-dd"),"'"))</f>
        <v>'2009-03-18'</v>
      </c>
      <c r="M488" s="9" t="str">
        <f aca="false">IF(G488="Revisar","NULL",CONCATENATE("'",MID(G488,1,1),"'"))</f>
        <v>'M'</v>
      </c>
      <c r="N488" s="9" t="str">
        <f aca="false">IF(H488="Revisar","NULL",CONCATENATE("'",H488,"'"))</f>
        <v>'MARACAIBO'</v>
      </c>
      <c r="O488" s="9" t="str">
        <f aca="false">IF(I488="Revisar","NULL",CONCATENATE("'",I488,"'"))</f>
        <v>'ZU'</v>
      </c>
      <c r="P488" s="1" t="str">
        <f aca="false">"UPDATE estudiantes SET fecha_nacimiento="&amp;L488&amp;", sexo="&amp;M488&amp;", lugar_nacimiento="&amp;N488&amp;", entidad_federal="&amp;O488&amp;" WHERE cedula='"&amp;K488&amp;"';"</f>
        <v>UPDATE estudiantes SET fecha_nacimiento='2009-03-18', sexo='M', lugar_nacimiento='MARACAIBO', entidad_federal='ZU' WHERE cedula='33570381';</v>
      </c>
    </row>
    <row r="489" customFormat="false" ht="14.9" hidden="false" customHeight="false" outlineLevel="0" collapsed="false">
      <c r="A489" s="1" t="s">
        <v>15</v>
      </c>
      <c r="B489" s="1" t="s">
        <v>483</v>
      </c>
      <c r="C489" s="1" t="s">
        <v>53</v>
      </c>
      <c r="D489" s="1" t="s">
        <v>515</v>
      </c>
      <c r="E489" s="2" t="n">
        <v>45926</v>
      </c>
      <c r="F489" s="2" t="n">
        <f aca="false">IFERROR(VLOOKUP(TRIM($D489), Hoja4_2!$A$2:$L$10000, 4, 0), "Revisar")</f>
        <v>40212</v>
      </c>
      <c r="G489" s="7" t="str">
        <f aca="false">IFERROR(VLOOKUP(TRIM($D489), Hoja4_2!$A$2:$L$10000, 5, 0), "Revisar")</f>
        <v>FEMENINO</v>
      </c>
      <c r="H489" s="7" t="str">
        <f aca="false">IFERROR(VLOOKUP(TRIM($D489), Hoja4_2!$A$2:$L$10000, 7, 0), "Revisar")</f>
        <v>MARACAIBO</v>
      </c>
      <c r="I489" s="7" t="str">
        <f aca="false">IFERROR(VLOOKUP(TRIM($D489), Hoja4_2!$A$2:$L$10000, 9, 0), "Revisar")</f>
        <v>ZU</v>
      </c>
      <c r="J489" s="7" t="str">
        <f aca="false">IFERROR(VLOOKUP(TRIM($D489), Hoja4_2!$A$2:$L$10000, 12, 0), "Revisar")</f>
        <v>17565201</v>
      </c>
      <c r="K489" s="8" t="str">
        <f aca="false">TEXT(TRIM(D489),"0")</f>
        <v>33608222</v>
      </c>
      <c r="L489" s="1" t="str">
        <f aca="false">IF(F489="Revisar","NULL",CONCATENATE("'",TEXT(F489,"yyyy-mm-dd"),"'"))</f>
        <v>'2010-02-03'</v>
      </c>
      <c r="M489" s="9" t="str">
        <f aca="false">IF(G489="Revisar","NULL",CONCATENATE("'",MID(G489,1,1),"'"))</f>
        <v>'F'</v>
      </c>
      <c r="N489" s="9" t="str">
        <f aca="false">IF(H489="Revisar","NULL",CONCATENATE("'",H489,"'"))</f>
        <v>'MARACAIBO'</v>
      </c>
      <c r="O489" s="9" t="str">
        <f aca="false">IF(I489="Revisar","NULL",CONCATENATE("'",I489,"'"))</f>
        <v>'ZU'</v>
      </c>
      <c r="P489" s="1" t="str">
        <f aca="false">"UPDATE estudiantes SET fecha_nacimiento="&amp;L489&amp;", sexo="&amp;M489&amp;", lugar_nacimiento="&amp;N489&amp;", entidad_federal="&amp;O489&amp;" WHERE cedula='"&amp;K489&amp;"';"</f>
        <v>UPDATE estudiantes SET fecha_nacimiento='2010-02-03', sexo='F', lugar_nacimiento='MARACAIBO', entidad_federal='ZU' WHERE cedula='33608222';</v>
      </c>
    </row>
    <row r="490" customFormat="false" ht="14.9" hidden="false" customHeight="false" outlineLevel="0" collapsed="false">
      <c r="A490" s="1" t="s">
        <v>15</v>
      </c>
      <c r="B490" s="1" t="s">
        <v>483</v>
      </c>
      <c r="C490" s="1" t="s">
        <v>53</v>
      </c>
      <c r="D490" s="1" t="s">
        <v>516</v>
      </c>
      <c r="E490" s="2" t="n">
        <v>45926</v>
      </c>
      <c r="F490" s="2" t="n">
        <f aca="false">IFERROR(VLOOKUP(TRIM($D490), Hoja4_2!$A$2:$L$10000, 4, 0), "Revisar")</f>
        <v>40369</v>
      </c>
      <c r="G490" s="7" t="str">
        <f aca="false">IFERROR(VLOOKUP(TRIM($D490), Hoja4_2!$A$2:$L$10000, 5, 0), "Revisar")</f>
        <v>MASCULINO</v>
      </c>
      <c r="H490" s="7" t="str">
        <f aca="false">IFERROR(VLOOKUP(TRIM($D490), Hoja4_2!$A$2:$L$10000, 7, 0), "Revisar")</f>
        <v>MARACAIBO</v>
      </c>
      <c r="I490" s="7" t="str">
        <f aca="false">IFERROR(VLOOKUP(TRIM($D490), Hoja4_2!$A$2:$L$10000, 9, 0), "Revisar")</f>
        <v>ZU</v>
      </c>
      <c r="J490" s="7" t="str">
        <f aca="false">IFERROR(VLOOKUP(TRIM($D490), Hoja4_2!$A$2:$L$10000, 12, 0), "Revisar")</f>
        <v>20058819</v>
      </c>
      <c r="K490" s="8" t="str">
        <f aca="false">TEXT(TRIM(D490),"0")</f>
        <v>33724393</v>
      </c>
      <c r="L490" s="1" t="str">
        <f aca="false">IF(F490="Revisar","NULL",CONCATENATE("'",TEXT(F490,"yyyy-mm-dd"),"'"))</f>
        <v>'2010-07-10'</v>
      </c>
      <c r="M490" s="9" t="str">
        <f aca="false">IF(G490="Revisar","NULL",CONCATENATE("'",MID(G490,1,1),"'"))</f>
        <v>'M'</v>
      </c>
      <c r="N490" s="9" t="str">
        <f aca="false">IF(H490="Revisar","NULL",CONCATENATE("'",H490,"'"))</f>
        <v>'MARACAIBO'</v>
      </c>
      <c r="O490" s="9" t="str">
        <f aca="false">IF(I490="Revisar","NULL",CONCATENATE("'",I490,"'"))</f>
        <v>'ZU'</v>
      </c>
      <c r="P490" s="1" t="str">
        <f aca="false">"UPDATE estudiantes SET fecha_nacimiento="&amp;L490&amp;", sexo="&amp;M490&amp;", lugar_nacimiento="&amp;N490&amp;", entidad_federal="&amp;O490&amp;" WHERE cedula='"&amp;K490&amp;"';"</f>
        <v>UPDATE estudiantes SET fecha_nacimiento='2010-07-10', sexo='M', lugar_nacimiento='MARACAIBO', entidad_federal='ZU' WHERE cedula='33724393';</v>
      </c>
    </row>
    <row r="491" customFormat="false" ht="14.9" hidden="false" customHeight="false" outlineLevel="0" collapsed="false">
      <c r="A491" s="1" t="s">
        <v>15</v>
      </c>
      <c r="B491" s="1" t="s">
        <v>483</v>
      </c>
      <c r="C491" s="1" t="s">
        <v>53</v>
      </c>
      <c r="D491" s="1" t="s">
        <v>517</v>
      </c>
      <c r="E491" s="2" t="n">
        <v>45926</v>
      </c>
      <c r="F491" s="2" t="n">
        <f aca="false">IFERROR(VLOOKUP(TRIM($D491), Hoja4_2!$A$2:$L$10000, 4, 0), "Revisar")</f>
        <v>40270</v>
      </c>
      <c r="G491" s="7" t="str">
        <f aca="false">IFERROR(VLOOKUP(TRIM($D491), Hoja4_2!$A$2:$L$10000, 5, 0), "Revisar")</f>
        <v>FEMENINO</v>
      </c>
      <c r="H491" s="7" t="str">
        <f aca="false">IFERROR(VLOOKUP(TRIM($D491), Hoja4_2!$A$2:$L$10000, 7, 0), "Revisar")</f>
        <v>MARACAIBO</v>
      </c>
      <c r="I491" s="7" t="str">
        <f aca="false">IFERROR(VLOOKUP(TRIM($D491), Hoja4_2!$A$2:$L$10000, 9, 0), "Revisar")</f>
        <v>ZU</v>
      </c>
      <c r="J491" s="7" t="str">
        <f aca="false">IFERROR(VLOOKUP(TRIM($D491), Hoja4_2!$A$2:$L$10000, 12, 0), "Revisar")</f>
        <v>17938271</v>
      </c>
      <c r="K491" s="8" t="str">
        <f aca="false">TEXT(TRIM(D491),"0")</f>
        <v>33811170</v>
      </c>
      <c r="L491" s="1" t="str">
        <f aca="false">IF(F491="Revisar","NULL",CONCATENATE("'",TEXT(F491,"yyyy-mm-dd"),"'"))</f>
        <v>'2010-04-02'</v>
      </c>
      <c r="M491" s="9" t="str">
        <f aca="false">IF(G491="Revisar","NULL",CONCATENATE("'",MID(G491,1,1),"'"))</f>
        <v>'F'</v>
      </c>
      <c r="N491" s="9" t="str">
        <f aca="false">IF(H491="Revisar","NULL",CONCATENATE("'",H491,"'"))</f>
        <v>'MARACAIBO'</v>
      </c>
      <c r="O491" s="9" t="str">
        <f aca="false">IF(I491="Revisar","NULL",CONCATENATE("'",I491,"'"))</f>
        <v>'ZU'</v>
      </c>
      <c r="P491" s="1" t="str">
        <f aca="false">"UPDATE estudiantes SET fecha_nacimiento="&amp;L491&amp;", sexo="&amp;M491&amp;", lugar_nacimiento="&amp;N491&amp;", entidad_federal="&amp;O491&amp;" WHERE cedula='"&amp;K491&amp;"';"</f>
        <v>UPDATE estudiantes SET fecha_nacimiento='2010-04-02', sexo='F', lugar_nacimiento='MARACAIBO', entidad_federal='ZU' WHERE cedula='33811170';</v>
      </c>
    </row>
    <row r="492" customFormat="false" ht="14.9" hidden="false" customHeight="false" outlineLevel="0" collapsed="false">
      <c r="A492" s="1" t="s">
        <v>15</v>
      </c>
      <c r="B492" s="1" t="s">
        <v>483</v>
      </c>
      <c r="C492" s="1" t="s">
        <v>53</v>
      </c>
      <c r="D492" s="1" t="s">
        <v>518</v>
      </c>
      <c r="E492" s="2" t="n">
        <v>45926</v>
      </c>
      <c r="F492" s="2" t="n">
        <f aca="false">IFERROR(VLOOKUP(TRIM($D492), Hoja4_2!$A$2:$L$10000, 4, 0), "Revisar")</f>
        <v>40479</v>
      </c>
      <c r="G492" s="7" t="str">
        <f aca="false">IFERROR(VLOOKUP(TRIM($D492), Hoja4_2!$A$2:$L$10000, 5, 0), "Revisar")</f>
        <v>MASCULINO</v>
      </c>
      <c r="H492" s="7" t="str">
        <f aca="false">IFERROR(VLOOKUP(TRIM($D492), Hoja4_2!$A$2:$L$10000, 7, 0), "Revisar")</f>
        <v>MARACAIBO</v>
      </c>
      <c r="I492" s="7" t="str">
        <f aca="false">IFERROR(VLOOKUP(TRIM($D492), Hoja4_2!$A$2:$L$10000, 9, 0), "Revisar")</f>
        <v>ZU</v>
      </c>
      <c r="J492" s="7" t="str">
        <f aca="false">IFERROR(VLOOKUP(TRIM($D492), Hoja4_2!$A$2:$L$10000, 12, 0), "Revisar")</f>
        <v>21039137</v>
      </c>
      <c r="K492" s="8" t="str">
        <f aca="false">TEXT(TRIM(D492),"0")</f>
        <v>33859828</v>
      </c>
      <c r="L492" s="1" t="str">
        <f aca="false">IF(F492="Revisar","NULL",CONCATENATE("'",TEXT(F492,"yyyy-mm-dd"),"'"))</f>
        <v>'2010-10-28'</v>
      </c>
      <c r="M492" s="9" t="str">
        <f aca="false">IF(G492="Revisar","NULL",CONCATENATE("'",MID(G492,1,1),"'"))</f>
        <v>'M'</v>
      </c>
      <c r="N492" s="9" t="str">
        <f aca="false">IF(H492="Revisar","NULL",CONCATENATE("'",H492,"'"))</f>
        <v>'MARACAIBO'</v>
      </c>
      <c r="O492" s="9" t="str">
        <f aca="false">IF(I492="Revisar","NULL",CONCATENATE("'",I492,"'"))</f>
        <v>'ZU'</v>
      </c>
      <c r="P492" s="1" t="str">
        <f aca="false">"UPDATE estudiantes SET fecha_nacimiento="&amp;L492&amp;", sexo="&amp;M492&amp;", lugar_nacimiento="&amp;N492&amp;", entidad_federal="&amp;O492&amp;" WHERE cedula='"&amp;K492&amp;"';"</f>
        <v>UPDATE estudiantes SET fecha_nacimiento='2010-10-28', sexo='M', lugar_nacimiento='MARACAIBO', entidad_federal='ZU' WHERE cedula='33859828';</v>
      </c>
    </row>
    <row r="493" customFormat="false" ht="14.9" hidden="false" customHeight="false" outlineLevel="0" collapsed="false">
      <c r="A493" s="1" t="s">
        <v>15</v>
      </c>
      <c r="B493" s="1" t="s">
        <v>483</v>
      </c>
      <c r="C493" s="1" t="s">
        <v>53</v>
      </c>
      <c r="D493" s="1" t="s">
        <v>519</v>
      </c>
      <c r="E493" s="2" t="n">
        <v>45926</v>
      </c>
      <c r="F493" s="2" t="n">
        <f aca="false">IFERROR(VLOOKUP(TRIM($D493), Hoja4_2!$A$2:$L$10000, 4, 0), "Revisar")</f>
        <v>40658</v>
      </c>
      <c r="G493" s="7" t="str">
        <f aca="false">IFERROR(VLOOKUP(TRIM($D493), Hoja4_2!$A$2:$L$10000, 5, 0), "Revisar")</f>
        <v>MASCULINO</v>
      </c>
      <c r="H493" s="7" t="str">
        <f aca="false">IFERROR(VLOOKUP(TRIM($D493), Hoja4_2!$A$2:$L$10000, 7, 0), "Revisar")</f>
        <v>MARACAIBO</v>
      </c>
      <c r="I493" s="7" t="str">
        <f aca="false">IFERROR(VLOOKUP(TRIM($D493), Hoja4_2!$A$2:$L$10000, 9, 0), "Revisar")</f>
        <v>ZU</v>
      </c>
      <c r="J493" s="7" t="str">
        <f aca="false">IFERROR(VLOOKUP(TRIM($D493), Hoja4_2!$A$2:$L$10000, 12, 0), "Revisar")</f>
        <v>11608658</v>
      </c>
      <c r="K493" s="8" t="str">
        <f aca="false">TEXT(TRIM(D493),"0")</f>
        <v>34243363</v>
      </c>
      <c r="L493" s="1" t="str">
        <f aca="false">IF(F493="Revisar","NULL",CONCATENATE("'",TEXT(F493,"yyyy-mm-dd"),"'"))</f>
        <v>'2011-04-25'</v>
      </c>
      <c r="M493" s="9" t="str">
        <f aca="false">IF(G493="Revisar","NULL",CONCATENATE("'",MID(G493,1,1),"'"))</f>
        <v>'M'</v>
      </c>
      <c r="N493" s="9" t="str">
        <f aca="false">IF(H493="Revisar","NULL",CONCATENATE("'",H493,"'"))</f>
        <v>'MARACAIBO'</v>
      </c>
      <c r="O493" s="9" t="str">
        <f aca="false">IF(I493="Revisar","NULL",CONCATENATE("'",I493,"'"))</f>
        <v>'ZU'</v>
      </c>
      <c r="P493" s="1" t="str">
        <f aca="false">"UPDATE estudiantes SET fecha_nacimiento="&amp;L493&amp;", sexo="&amp;M493&amp;", lugar_nacimiento="&amp;N493&amp;", entidad_federal="&amp;O493&amp;" WHERE cedula='"&amp;K493&amp;"';"</f>
        <v>UPDATE estudiantes SET fecha_nacimiento='2011-04-25', sexo='M', lugar_nacimiento='MARACAIBO', entidad_federal='ZU' WHERE cedula='34243363';</v>
      </c>
    </row>
    <row r="494" customFormat="false" ht="14.9" hidden="false" customHeight="false" outlineLevel="0" collapsed="false">
      <c r="A494" s="1" t="s">
        <v>15</v>
      </c>
      <c r="B494" s="1" t="s">
        <v>483</v>
      </c>
      <c r="C494" s="1" t="s">
        <v>53</v>
      </c>
      <c r="D494" s="1" t="s">
        <v>520</v>
      </c>
      <c r="E494" s="2" t="n">
        <v>45926</v>
      </c>
      <c r="F494" s="2" t="n">
        <f aca="false">IFERROR(VLOOKUP(TRIM($D494), Hoja4_2!$A$2:$L$10000, 4, 0), "Revisar")</f>
        <v>40451</v>
      </c>
      <c r="G494" s="7" t="str">
        <f aca="false">IFERROR(VLOOKUP(TRIM($D494), Hoja4_2!$A$2:$L$10000, 5, 0), "Revisar")</f>
        <v>FEMENINO</v>
      </c>
      <c r="H494" s="7" t="str">
        <f aca="false">IFERROR(VLOOKUP(TRIM($D494), Hoja4_2!$A$2:$L$10000, 7, 0), "Revisar")</f>
        <v>MARACAIBO</v>
      </c>
      <c r="I494" s="7" t="str">
        <f aca="false">IFERROR(VLOOKUP(TRIM($D494), Hoja4_2!$A$2:$L$10000, 9, 0), "Revisar")</f>
        <v>ZU</v>
      </c>
      <c r="J494" s="7" t="str">
        <f aca="false">IFERROR(VLOOKUP(TRIM($D494), Hoja4_2!$A$2:$L$10000, 12, 0), "Revisar")</f>
        <v>18662195</v>
      </c>
      <c r="K494" s="8" t="str">
        <f aca="false">TEXT(TRIM(D494),"0")</f>
        <v>34397382</v>
      </c>
      <c r="L494" s="1" t="str">
        <f aca="false">IF(F494="Revisar","NULL",CONCATENATE("'",TEXT(F494,"yyyy-mm-dd"),"'"))</f>
        <v>'2010-09-30'</v>
      </c>
      <c r="M494" s="9" t="str">
        <f aca="false">IF(G494="Revisar","NULL",CONCATENATE("'",MID(G494,1,1),"'"))</f>
        <v>'F'</v>
      </c>
      <c r="N494" s="9" t="str">
        <f aca="false">IF(H494="Revisar","NULL",CONCATENATE("'",H494,"'"))</f>
        <v>'MARACAIBO'</v>
      </c>
      <c r="O494" s="9" t="str">
        <f aca="false">IF(I494="Revisar","NULL",CONCATENATE("'",I494,"'"))</f>
        <v>'ZU'</v>
      </c>
      <c r="P494" s="1" t="str">
        <f aca="false">"UPDATE estudiantes SET fecha_nacimiento="&amp;L494&amp;", sexo="&amp;M494&amp;", lugar_nacimiento="&amp;N494&amp;", entidad_federal="&amp;O494&amp;" WHERE cedula='"&amp;K494&amp;"';"</f>
        <v>UPDATE estudiantes SET fecha_nacimiento='2010-09-30', sexo='F', lugar_nacimiento='MARACAIBO', entidad_federal='ZU' WHERE cedula='34397382';</v>
      </c>
    </row>
    <row r="495" customFormat="false" ht="14.9" hidden="false" customHeight="false" outlineLevel="0" collapsed="false">
      <c r="A495" s="1" t="s">
        <v>15</v>
      </c>
      <c r="B495" s="1" t="s">
        <v>483</v>
      </c>
      <c r="C495" s="1" t="s">
        <v>53</v>
      </c>
      <c r="D495" s="1" t="s">
        <v>521</v>
      </c>
      <c r="E495" s="2" t="n">
        <v>45926</v>
      </c>
      <c r="F495" s="2" t="n">
        <f aca="false">IFERROR(VLOOKUP(TRIM($D495), Hoja4_2!$A$2:$L$10000, 4, 0), "Revisar")</f>
        <v>40887</v>
      </c>
      <c r="G495" s="7" t="str">
        <f aca="false">IFERROR(VLOOKUP(TRIM($D495), Hoja4_2!$A$2:$L$10000, 5, 0), "Revisar")</f>
        <v>FEMENINO</v>
      </c>
      <c r="H495" s="7" t="str">
        <f aca="false">IFERROR(VLOOKUP(TRIM($D495), Hoja4_2!$A$2:$L$10000, 7, 0), "Revisar")</f>
        <v>MARACAIBO</v>
      </c>
      <c r="I495" s="7" t="str">
        <f aca="false">IFERROR(VLOOKUP(TRIM($D495), Hoja4_2!$A$2:$L$10000, 9, 0), "Revisar")</f>
        <v>ZU</v>
      </c>
      <c r="J495" s="7" t="str">
        <f aca="false">IFERROR(VLOOKUP(TRIM($D495), Hoja4_2!$A$2:$L$10000, 12, 0), "Revisar")</f>
        <v>21510679</v>
      </c>
      <c r="K495" s="8" t="str">
        <f aca="false">TEXT(TRIM(D495),"0")</f>
        <v>34408101</v>
      </c>
      <c r="L495" s="1" t="str">
        <f aca="false">IF(F495="Revisar","NULL",CONCATENATE("'",TEXT(F495,"yyyy-mm-dd"),"'"))</f>
        <v>'2011-12-10'</v>
      </c>
      <c r="M495" s="9" t="str">
        <f aca="false">IF(G495="Revisar","NULL",CONCATENATE("'",MID(G495,1,1),"'"))</f>
        <v>'F'</v>
      </c>
      <c r="N495" s="9" t="str">
        <f aca="false">IF(H495="Revisar","NULL",CONCATENATE("'",H495,"'"))</f>
        <v>'MARACAIBO'</v>
      </c>
      <c r="O495" s="9" t="str">
        <f aca="false">IF(I495="Revisar","NULL",CONCATENATE("'",I495,"'"))</f>
        <v>'ZU'</v>
      </c>
      <c r="P495" s="1" t="str">
        <f aca="false">"UPDATE estudiantes SET fecha_nacimiento="&amp;L495&amp;", sexo="&amp;M495&amp;", lugar_nacimiento="&amp;N495&amp;", entidad_federal="&amp;O495&amp;" WHERE cedula='"&amp;K495&amp;"';"</f>
        <v>UPDATE estudiantes SET fecha_nacimiento='2011-12-10', sexo='F', lugar_nacimiento='MARACAIBO', entidad_federal='ZU' WHERE cedula='34408101';</v>
      </c>
    </row>
    <row r="496" customFormat="false" ht="14.9" hidden="false" customHeight="false" outlineLevel="0" collapsed="false">
      <c r="A496" s="1" t="s">
        <v>15</v>
      </c>
      <c r="B496" s="1" t="s">
        <v>483</v>
      </c>
      <c r="C496" s="1" t="s">
        <v>53</v>
      </c>
      <c r="D496" s="1" t="s">
        <v>522</v>
      </c>
      <c r="E496" s="2" t="n">
        <v>45926</v>
      </c>
      <c r="F496" s="2" t="n">
        <f aca="false">IFERROR(VLOOKUP(TRIM($D496), Hoja4_2!$A$2:$L$10000, 4, 0), "Revisar")</f>
        <v>40793</v>
      </c>
      <c r="G496" s="7" t="str">
        <f aca="false">IFERROR(VLOOKUP(TRIM($D496), Hoja4_2!$A$2:$L$10000, 5, 0), "Revisar")</f>
        <v>FEMENINO</v>
      </c>
      <c r="H496" s="7" t="str">
        <f aca="false">IFERROR(VLOOKUP(TRIM($D496), Hoja4_2!$A$2:$L$10000, 7, 0), "Revisar")</f>
        <v>MARACAIBO</v>
      </c>
      <c r="I496" s="7" t="str">
        <f aca="false">IFERROR(VLOOKUP(TRIM($D496), Hoja4_2!$A$2:$L$10000, 9, 0), "Revisar")</f>
        <v>ZU</v>
      </c>
      <c r="J496" s="7" t="str">
        <f aca="false">IFERROR(VLOOKUP(TRIM($D496), Hoja4_2!$A$2:$L$10000, 12, 0), "Revisar")</f>
        <v>12513742</v>
      </c>
      <c r="K496" s="8" t="str">
        <f aca="false">TEXT(TRIM(D496),"0")</f>
        <v>34414686</v>
      </c>
      <c r="L496" s="1" t="str">
        <f aca="false">IF(F496="Revisar","NULL",CONCATENATE("'",TEXT(F496,"yyyy-mm-dd"),"'"))</f>
        <v>'2011-09-07'</v>
      </c>
      <c r="M496" s="9" t="str">
        <f aca="false">IF(G496="Revisar","NULL",CONCATENATE("'",MID(G496,1,1),"'"))</f>
        <v>'F'</v>
      </c>
      <c r="N496" s="9" t="str">
        <f aca="false">IF(H496="Revisar","NULL",CONCATENATE("'",H496,"'"))</f>
        <v>'MARACAIBO'</v>
      </c>
      <c r="O496" s="9" t="str">
        <f aca="false">IF(I496="Revisar","NULL",CONCATENATE("'",I496,"'"))</f>
        <v>'ZU'</v>
      </c>
      <c r="P496" s="1" t="str">
        <f aca="false">"UPDATE estudiantes SET fecha_nacimiento="&amp;L496&amp;", sexo="&amp;M496&amp;", lugar_nacimiento="&amp;N496&amp;", entidad_federal="&amp;O496&amp;" WHERE cedula='"&amp;K496&amp;"';"</f>
        <v>UPDATE estudiantes SET fecha_nacimiento='2011-09-07', sexo='F', lugar_nacimiento='MARACAIBO', entidad_federal='ZU' WHERE cedula='34414686';</v>
      </c>
    </row>
    <row r="497" customFormat="false" ht="14.9" hidden="false" customHeight="false" outlineLevel="0" collapsed="false">
      <c r="A497" s="1" t="s">
        <v>15</v>
      </c>
      <c r="B497" s="1" t="s">
        <v>483</v>
      </c>
      <c r="C497" s="1" t="s">
        <v>53</v>
      </c>
      <c r="D497" s="1" t="s">
        <v>523</v>
      </c>
      <c r="E497" s="2" t="n">
        <v>45926</v>
      </c>
      <c r="F497" s="2" t="n">
        <f aca="false">IFERROR(VLOOKUP(TRIM($D497), Hoja4_2!$A$2:$L$10000, 4, 0), "Revisar")</f>
        <v>40647</v>
      </c>
      <c r="G497" s="7" t="str">
        <f aca="false">IFERROR(VLOOKUP(TRIM($D497), Hoja4_2!$A$2:$L$10000, 5, 0), "Revisar")</f>
        <v>FEMENINO</v>
      </c>
      <c r="H497" s="7" t="str">
        <f aca="false">IFERROR(VLOOKUP(TRIM($D497), Hoja4_2!$A$2:$L$10000, 7, 0), "Revisar")</f>
        <v>MARACAIBO</v>
      </c>
      <c r="I497" s="7" t="str">
        <f aca="false">IFERROR(VLOOKUP(TRIM($D497), Hoja4_2!$A$2:$L$10000, 9, 0), "Revisar")</f>
        <v>ZU</v>
      </c>
      <c r="J497" s="7" t="str">
        <f aca="false">IFERROR(VLOOKUP(TRIM($D497), Hoja4_2!$A$2:$L$10000, 12, 0), "Revisar")</f>
        <v>14458717</v>
      </c>
      <c r="K497" s="8" t="str">
        <f aca="false">TEXT(TRIM(D497),"0")</f>
        <v>34576914</v>
      </c>
      <c r="L497" s="1" t="str">
        <f aca="false">IF(F497="Revisar","NULL",CONCATENATE("'",TEXT(F497,"yyyy-mm-dd"),"'"))</f>
        <v>'2011-04-14'</v>
      </c>
      <c r="M497" s="9" t="str">
        <f aca="false">IF(G497="Revisar","NULL",CONCATENATE("'",MID(G497,1,1),"'"))</f>
        <v>'F'</v>
      </c>
      <c r="N497" s="9" t="str">
        <f aca="false">IF(H497="Revisar","NULL",CONCATENATE("'",H497,"'"))</f>
        <v>'MARACAIBO'</v>
      </c>
      <c r="O497" s="9" t="str">
        <f aca="false">IF(I497="Revisar","NULL",CONCATENATE("'",I497,"'"))</f>
        <v>'ZU'</v>
      </c>
      <c r="P497" s="1" t="str">
        <f aca="false">"UPDATE estudiantes SET fecha_nacimiento="&amp;L497&amp;", sexo="&amp;M497&amp;", lugar_nacimiento="&amp;N497&amp;", entidad_federal="&amp;O497&amp;" WHERE cedula='"&amp;K497&amp;"';"</f>
        <v>UPDATE estudiantes SET fecha_nacimiento='2011-04-14', sexo='F', lugar_nacimiento='MARACAIBO', entidad_federal='ZU' WHERE cedula='34576914';</v>
      </c>
    </row>
    <row r="498" customFormat="false" ht="14.9" hidden="false" customHeight="false" outlineLevel="0" collapsed="false">
      <c r="A498" s="1" t="s">
        <v>15</v>
      </c>
      <c r="B498" s="1" t="s">
        <v>483</v>
      </c>
      <c r="C498" s="1" t="s">
        <v>53</v>
      </c>
      <c r="D498" s="1" t="s">
        <v>524</v>
      </c>
      <c r="E498" s="2" t="n">
        <v>45926</v>
      </c>
      <c r="F498" s="2" t="n">
        <f aca="false">IFERROR(VLOOKUP(TRIM($D498), Hoja4_2!$A$2:$L$10000, 4, 0), "Revisar")</f>
        <v>40356</v>
      </c>
      <c r="G498" s="7" t="str">
        <f aca="false">IFERROR(VLOOKUP(TRIM($D498), Hoja4_2!$A$2:$L$10000, 5, 0), "Revisar")</f>
        <v>FEMENINO</v>
      </c>
      <c r="H498" s="7" t="str">
        <f aca="false">IFERROR(VLOOKUP(TRIM($D498), Hoja4_2!$A$2:$L$10000, 7, 0), "Revisar")</f>
        <v>MARACAIBO</v>
      </c>
      <c r="I498" s="7" t="str">
        <f aca="false">IFERROR(VLOOKUP(TRIM($D498), Hoja4_2!$A$2:$L$10000, 9, 0), "Revisar")</f>
        <v>ZU</v>
      </c>
      <c r="J498" s="7" t="str">
        <f aca="false">IFERROR(VLOOKUP(TRIM($D498), Hoja4_2!$A$2:$L$10000, 12, 0), "Revisar")</f>
        <v>19811183</v>
      </c>
      <c r="K498" s="8" t="str">
        <f aca="false">TEXT(TRIM(D498),"0")</f>
        <v>34576930</v>
      </c>
      <c r="L498" s="1" t="str">
        <f aca="false">IF(F498="Revisar","NULL",CONCATENATE("'",TEXT(F498,"yyyy-mm-dd"),"'"))</f>
        <v>'2010-06-27'</v>
      </c>
      <c r="M498" s="9" t="str">
        <f aca="false">IF(G498="Revisar","NULL",CONCATENATE("'",MID(G498,1,1),"'"))</f>
        <v>'F'</v>
      </c>
      <c r="N498" s="9" t="str">
        <f aca="false">IF(H498="Revisar","NULL",CONCATENATE("'",H498,"'"))</f>
        <v>'MARACAIBO'</v>
      </c>
      <c r="O498" s="9" t="str">
        <f aca="false">IF(I498="Revisar","NULL",CONCATENATE("'",I498,"'"))</f>
        <v>'ZU'</v>
      </c>
      <c r="P498" s="1" t="str">
        <f aca="false">"UPDATE estudiantes SET fecha_nacimiento="&amp;L498&amp;", sexo="&amp;M498&amp;", lugar_nacimiento="&amp;N498&amp;", entidad_federal="&amp;O498&amp;" WHERE cedula='"&amp;K498&amp;"';"</f>
        <v>UPDATE estudiantes SET fecha_nacimiento='2010-06-27', sexo='F', lugar_nacimiento='MARACAIBO', entidad_federal='ZU' WHERE cedula='34576930';</v>
      </c>
    </row>
    <row r="499" customFormat="false" ht="14.9" hidden="false" customHeight="false" outlineLevel="0" collapsed="false">
      <c r="A499" s="1" t="s">
        <v>15</v>
      </c>
      <c r="B499" s="1" t="s">
        <v>483</v>
      </c>
      <c r="C499" s="1" t="s">
        <v>53</v>
      </c>
      <c r="D499" s="1" t="s">
        <v>525</v>
      </c>
      <c r="E499" s="2" t="n">
        <v>45926</v>
      </c>
      <c r="F499" s="2" t="n">
        <f aca="false">IFERROR(VLOOKUP(TRIM($D499), Hoja4_2!$A$2:$L$10000, 4, 0), "Revisar")</f>
        <v>40365</v>
      </c>
      <c r="G499" s="7" t="str">
        <f aca="false">IFERROR(VLOOKUP(TRIM($D499), Hoja4_2!$A$2:$L$10000, 5, 0), "Revisar")</f>
        <v>FEMENINO</v>
      </c>
      <c r="H499" s="7" t="str">
        <f aca="false">IFERROR(VLOOKUP(TRIM($D499), Hoja4_2!$A$2:$L$10000, 7, 0), "Revisar")</f>
        <v>MARACAIBO</v>
      </c>
      <c r="I499" s="7" t="str">
        <f aca="false">IFERROR(VLOOKUP(TRIM($D499), Hoja4_2!$A$2:$L$10000, 9, 0), "Revisar")</f>
        <v>ZU</v>
      </c>
      <c r="J499" s="7" t="str">
        <f aca="false">IFERROR(VLOOKUP(TRIM($D499), Hoja4_2!$A$2:$L$10000, 12, 0), "Revisar")</f>
        <v>16687464</v>
      </c>
      <c r="K499" s="8" t="str">
        <f aca="false">TEXT(TRIM(D499),"0")</f>
        <v>34620634</v>
      </c>
      <c r="L499" s="1" t="str">
        <f aca="false">IF(F499="Revisar","NULL",CONCATENATE("'",TEXT(F499,"yyyy-mm-dd"),"'"))</f>
        <v>'2010-07-06'</v>
      </c>
      <c r="M499" s="9" t="str">
        <f aca="false">IF(G499="Revisar","NULL",CONCATENATE("'",MID(G499,1,1),"'"))</f>
        <v>'F'</v>
      </c>
      <c r="N499" s="9" t="str">
        <f aca="false">IF(H499="Revisar","NULL",CONCATENATE("'",H499,"'"))</f>
        <v>'MARACAIBO'</v>
      </c>
      <c r="O499" s="9" t="str">
        <f aca="false">IF(I499="Revisar","NULL",CONCATENATE("'",I499,"'"))</f>
        <v>'ZU'</v>
      </c>
      <c r="P499" s="1" t="str">
        <f aca="false">"UPDATE estudiantes SET fecha_nacimiento="&amp;L499&amp;", sexo="&amp;M499&amp;", lugar_nacimiento="&amp;N499&amp;", entidad_federal="&amp;O499&amp;" WHERE cedula='"&amp;K499&amp;"';"</f>
        <v>UPDATE estudiantes SET fecha_nacimiento='2010-07-06', sexo='F', lugar_nacimiento='MARACAIBO', entidad_federal='ZU' WHERE cedula='34620634';</v>
      </c>
    </row>
    <row r="500" customFormat="false" ht="14.9" hidden="false" customHeight="false" outlineLevel="0" collapsed="false">
      <c r="A500" s="1" t="s">
        <v>15</v>
      </c>
      <c r="B500" s="1" t="s">
        <v>483</v>
      </c>
      <c r="C500" s="1" t="s">
        <v>53</v>
      </c>
      <c r="D500" s="1" t="s">
        <v>526</v>
      </c>
      <c r="E500" s="2" t="n">
        <v>45926</v>
      </c>
      <c r="F500" s="2" t="n">
        <f aca="false">IFERROR(VLOOKUP(TRIM($D500), Hoja4_2!$A$2:$L$10000, 4, 0), "Revisar")</f>
        <v>40450</v>
      </c>
      <c r="G500" s="7" t="str">
        <f aca="false">IFERROR(VLOOKUP(TRIM($D500), Hoja4_2!$A$2:$L$10000, 5, 0), "Revisar")</f>
        <v>MASCULINO</v>
      </c>
      <c r="H500" s="7" t="str">
        <f aca="false">IFERROR(VLOOKUP(TRIM($D500), Hoja4_2!$A$2:$L$10000, 7, 0), "Revisar")</f>
        <v>MARACAIBO</v>
      </c>
      <c r="I500" s="7" t="str">
        <f aca="false">IFERROR(VLOOKUP(TRIM($D500), Hoja4_2!$A$2:$L$10000, 9, 0), "Revisar")</f>
        <v>ZU</v>
      </c>
      <c r="J500" s="7" t="str">
        <f aca="false">IFERROR(VLOOKUP(TRIM($D500), Hoja4_2!$A$2:$L$10000, 12, 0), "Revisar")</f>
        <v>17294679</v>
      </c>
      <c r="K500" s="8" t="str">
        <f aca="false">TEXT(TRIM(D500),"0")</f>
        <v>34620636</v>
      </c>
      <c r="L500" s="1" t="str">
        <f aca="false">IF(F500="Revisar","NULL",CONCATENATE("'",TEXT(F500,"yyyy-mm-dd"),"'"))</f>
        <v>'2010-09-29'</v>
      </c>
      <c r="M500" s="9" t="str">
        <f aca="false">IF(G500="Revisar","NULL",CONCATENATE("'",MID(G500,1,1),"'"))</f>
        <v>'M'</v>
      </c>
      <c r="N500" s="9" t="str">
        <f aca="false">IF(H500="Revisar","NULL",CONCATENATE("'",H500,"'"))</f>
        <v>'MARACAIBO'</v>
      </c>
      <c r="O500" s="9" t="str">
        <f aca="false">IF(I500="Revisar","NULL",CONCATENATE("'",I500,"'"))</f>
        <v>'ZU'</v>
      </c>
      <c r="P500" s="1" t="str">
        <f aca="false">"UPDATE estudiantes SET fecha_nacimiento="&amp;L500&amp;", sexo="&amp;M500&amp;", lugar_nacimiento="&amp;N500&amp;", entidad_federal="&amp;O500&amp;" WHERE cedula='"&amp;K500&amp;"';"</f>
        <v>UPDATE estudiantes SET fecha_nacimiento='2010-09-29', sexo='M', lugar_nacimiento='MARACAIBO', entidad_federal='ZU' WHERE cedula='34620636';</v>
      </c>
    </row>
    <row r="501" customFormat="false" ht="14.9" hidden="false" customHeight="false" outlineLevel="0" collapsed="false">
      <c r="A501" s="1" t="s">
        <v>15</v>
      </c>
      <c r="B501" s="1" t="s">
        <v>483</v>
      </c>
      <c r="C501" s="1" t="s">
        <v>53</v>
      </c>
      <c r="D501" s="1" t="s">
        <v>527</v>
      </c>
      <c r="E501" s="2" t="n">
        <v>45926</v>
      </c>
      <c r="F501" s="2" t="n">
        <f aca="false">IFERROR(VLOOKUP(TRIM($D501), Hoja4_2!$A$2:$L$10000, 4, 0), "Revisar")</f>
        <v>40227</v>
      </c>
      <c r="G501" s="7" t="str">
        <f aca="false">IFERROR(VLOOKUP(TRIM($D501), Hoja4_2!$A$2:$L$10000, 5, 0), "Revisar")</f>
        <v>FEMENINO</v>
      </c>
      <c r="H501" s="7" t="str">
        <f aca="false">IFERROR(VLOOKUP(TRIM($D501), Hoja4_2!$A$2:$L$10000, 7, 0), "Revisar")</f>
        <v>MARACAIBO</v>
      </c>
      <c r="I501" s="7" t="str">
        <f aca="false">IFERROR(VLOOKUP(TRIM($D501), Hoja4_2!$A$2:$L$10000, 9, 0), "Revisar")</f>
        <v>ZU</v>
      </c>
      <c r="J501" s="7" t="str">
        <f aca="false">IFERROR(VLOOKUP(TRIM($D501), Hoja4_2!$A$2:$L$10000, 12, 0), "Revisar")</f>
        <v>15405107</v>
      </c>
      <c r="K501" s="8" t="str">
        <f aca="false">TEXT(TRIM(D501),"0")</f>
        <v>34620641</v>
      </c>
      <c r="L501" s="1" t="str">
        <f aca="false">IF(F501="Revisar","NULL",CONCATENATE("'",TEXT(F501,"yyyy-mm-dd"),"'"))</f>
        <v>'2010-02-18'</v>
      </c>
      <c r="M501" s="9" t="str">
        <f aca="false">IF(G501="Revisar","NULL",CONCATENATE("'",MID(G501,1,1),"'"))</f>
        <v>'F'</v>
      </c>
      <c r="N501" s="9" t="str">
        <f aca="false">IF(H501="Revisar","NULL",CONCATENATE("'",H501,"'"))</f>
        <v>'MARACAIBO'</v>
      </c>
      <c r="O501" s="9" t="str">
        <f aca="false">IF(I501="Revisar","NULL",CONCATENATE("'",I501,"'"))</f>
        <v>'ZU'</v>
      </c>
      <c r="P501" s="1" t="str">
        <f aca="false">"UPDATE estudiantes SET fecha_nacimiento="&amp;L501&amp;", sexo="&amp;M501&amp;", lugar_nacimiento="&amp;N501&amp;", entidad_federal="&amp;O501&amp;" WHERE cedula='"&amp;K501&amp;"';"</f>
        <v>UPDATE estudiantes SET fecha_nacimiento='2010-02-18', sexo='F', lugar_nacimiento='MARACAIBO', entidad_federal='ZU' WHERE cedula='34620641';</v>
      </c>
    </row>
    <row r="502" customFormat="false" ht="14.9" hidden="false" customHeight="false" outlineLevel="0" collapsed="false">
      <c r="A502" s="1" t="s">
        <v>15</v>
      </c>
      <c r="B502" s="1" t="s">
        <v>483</v>
      </c>
      <c r="C502" s="1" t="s">
        <v>53</v>
      </c>
      <c r="D502" s="1" t="s">
        <v>528</v>
      </c>
      <c r="E502" s="2" t="n">
        <v>45926</v>
      </c>
      <c r="F502" s="2" t="n">
        <f aca="false">IFERROR(VLOOKUP(TRIM($D502), Hoja4_2!$A$2:$L$10000, 4, 0), "Revisar")</f>
        <v>40330</v>
      </c>
      <c r="G502" s="7" t="str">
        <f aca="false">IFERROR(VLOOKUP(TRIM($D502), Hoja4_2!$A$2:$L$10000, 5, 0), "Revisar")</f>
        <v>FEMENINO</v>
      </c>
      <c r="H502" s="7" t="str">
        <f aca="false">IFERROR(VLOOKUP(TRIM($D502), Hoja4_2!$A$2:$L$10000, 7, 0), "Revisar")</f>
        <v>MARACAIBO</v>
      </c>
      <c r="I502" s="7" t="str">
        <f aca="false">IFERROR(VLOOKUP(TRIM($D502), Hoja4_2!$A$2:$L$10000, 9, 0), "Revisar")</f>
        <v>ZU</v>
      </c>
      <c r="J502" s="7" t="str">
        <f aca="false">IFERROR(VLOOKUP(TRIM($D502), Hoja4_2!$A$2:$L$10000, 12, 0), "Revisar")</f>
        <v>16689297</v>
      </c>
      <c r="K502" s="8" t="str">
        <f aca="false">TEXT(TRIM(D502),"0")</f>
        <v>34620849</v>
      </c>
      <c r="L502" s="1" t="str">
        <f aca="false">IF(F502="Revisar","NULL",CONCATENATE("'",TEXT(F502,"yyyy-mm-dd"),"'"))</f>
        <v>'2010-06-01'</v>
      </c>
      <c r="M502" s="9" t="str">
        <f aca="false">IF(G502="Revisar","NULL",CONCATENATE("'",MID(G502,1,1),"'"))</f>
        <v>'F'</v>
      </c>
      <c r="N502" s="9" t="str">
        <f aca="false">IF(H502="Revisar","NULL",CONCATENATE("'",H502,"'"))</f>
        <v>'MARACAIBO'</v>
      </c>
      <c r="O502" s="9" t="str">
        <f aca="false">IF(I502="Revisar","NULL",CONCATENATE("'",I502,"'"))</f>
        <v>'ZU'</v>
      </c>
      <c r="P502" s="1" t="str">
        <f aca="false">"UPDATE estudiantes SET fecha_nacimiento="&amp;L502&amp;", sexo="&amp;M502&amp;", lugar_nacimiento="&amp;N502&amp;", entidad_federal="&amp;O502&amp;" WHERE cedula='"&amp;K502&amp;"';"</f>
        <v>UPDATE estudiantes SET fecha_nacimiento='2010-06-01', sexo='F', lugar_nacimiento='MARACAIBO', entidad_federal='ZU' WHERE cedula='34620849';</v>
      </c>
    </row>
    <row r="503" customFormat="false" ht="14.9" hidden="false" customHeight="false" outlineLevel="0" collapsed="false">
      <c r="A503" s="1" t="s">
        <v>15</v>
      </c>
      <c r="B503" s="1" t="s">
        <v>483</v>
      </c>
      <c r="C503" s="1" t="s">
        <v>53</v>
      </c>
      <c r="D503" s="1" t="s">
        <v>529</v>
      </c>
      <c r="E503" s="2" t="n">
        <v>45926</v>
      </c>
      <c r="F503" s="2" t="n">
        <f aca="false">IFERROR(VLOOKUP(TRIM($D503), Hoja4_2!$A$2:$L$10000, 4, 0), "Revisar")</f>
        <v>40878</v>
      </c>
      <c r="G503" s="7" t="str">
        <f aca="false">IFERROR(VLOOKUP(TRIM($D503), Hoja4_2!$A$2:$L$10000, 5, 0), "Revisar")</f>
        <v>FEMENINO</v>
      </c>
      <c r="H503" s="7" t="str">
        <f aca="false">IFERROR(VLOOKUP(TRIM($D503), Hoja4_2!$A$2:$L$10000, 7, 0), "Revisar")</f>
        <v>MARACAIBO</v>
      </c>
      <c r="I503" s="7" t="str">
        <f aca="false">IFERROR(VLOOKUP(TRIM($D503), Hoja4_2!$A$2:$L$10000, 9, 0), "Revisar")</f>
        <v>ZU</v>
      </c>
      <c r="J503" s="7" t="str">
        <f aca="false">IFERROR(VLOOKUP(TRIM($D503), Hoja4_2!$A$2:$L$10000, 12, 0), "Revisar")</f>
        <v>24250428</v>
      </c>
      <c r="K503" s="8" t="str">
        <f aca="false">TEXT(TRIM(D503),"0")</f>
        <v>34620857</v>
      </c>
      <c r="L503" s="1" t="str">
        <f aca="false">IF(F503="Revisar","NULL",CONCATENATE("'",TEXT(F503,"yyyy-mm-dd"),"'"))</f>
        <v>'2011-12-01'</v>
      </c>
      <c r="M503" s="9" t="str">
        <f aca="false">IF(G503="Revisar","NULL",CONCATENATE("'",MID(G503,1,1),"'"))</f>
        <v>'F'</v>
      </c>
      <c r="N503" s="9" t="str">
        <f aca="false">IF(H503="Revisar","NULL",CONCATENATE("'",H503,"'"))</f>
        <v>'MARACAIBO'</v>
      </c>
      <c r="O503" s="9" t="str">
        <f aca="false">IF(I503="Revisar","NULL",CONCATENATE("'",I503,"'"))</f>
        <v>'ZU'</v>
      </c>
      <c r="P503" s="1" t="str">
        <f aca="false">"UPDATE estudiantes SET fecha_nacimiento="&amp;L503&amp;", sexo="&amp;M503&amp;", lugar_nacimiento="&amp;N503&amp;", entidad_federal="&amp;O503&amp;" WHERE cedula='"&amp;K503&amp;"';"</f>
        <v>UPDATE estudiantes SET fecha_nacimiento='2011-12-01', sexo='F', lugar_nacimiento='MARACAIBO', entidad_federal='ZU' WHERE cedula='34620857';</v>
      </c>
    </row>
    <row r="504" customFormat="false" ht="14.9" hidden="false" customHeight="false" outlineLevel="0" collapsed="false">
      <c r="A504" s="1" t="s">
        <v>15</v>
      </c>
      <c r="B504" s="1" t="s">
        <v>483</v>
      </c>
      <c r="C504" s="1" t="s">
        <v>53</v>
      </c>
      <c r="D504" s="1" t="s">
        <v>530</v>
      </c>
      <c r="E504" s="2" t="n">
        <v>45926</v>
      </c>
      <c r="F504" s="2" t="n">
        <f aca="false">IFERROR(VLOOKUP(TRIM($D504), Hoja4_2!$A$2:$L$10000, 4, 0), "Revisar")</f>
        <v>40865</v>
      </c>
      <c r="G504" s="7" t="str">
        <f aca="false">IFERROR(VLOOKUP(TRIM($D504), Hoja4_2!$A$2:$L$10000, 5, 0), "Revisar")</f>
        <v>FEMENINO</v>
      </c>
      <c r="H504" s="7" t="str">
        <f aca="false">IFERROR(VLOOKUP(TRIM($D504), Hoja4_2!$A$2:$L$10000, 7, 0), "Revisar")</f>
        <v>MARACAIBO</v>
      </c>
      <c r="I504" s="7" t="str">
        <f aca="false">IFERROR(VLOOKUP(TRIM($D504), Hoja4_2!$A$2:$L$10000, 9, 0), "Revisar")</f>
        <v>ZU</v>
      </c>
      <c r="J504" s="7" t="str">
        <f aca="false">IFERROR(VLOOKUP(TRIM($D504), Hoja4_2!$A$2:$L$10000, 12, 0), "Revisar")</f>
        <v>18319334</v>
      </c>
      <c r="K504" s="8" t="str">
        <f aca="false">TEXT(TRIM(D504),"0")</f>
        <v>34718996</v>
      </c>
      <c r="L504" s="1" t="str">
        <f aca="false">IF(F504="Revisar","NULL",CONCATENATE("'",TEXT(F504,"yyyy-mm-dd"),"'"))</f>
        <v>'2011-11-18'</v>
      </c>
      <c r="M504" s="9" t="str">
        <f aca="false">IF(G504="Revisar","NULL",CONCATENATE("'",MID(G504,1,1),"'"))</f>
        <v>'F'</v>
      </c>
      <c r="N504" s="9" t="str">
        <f aca="false">IF(H504="Revisar","NULL",CONCATENATE("'",H504,"'"))</f>
        <v>'MARACAIBO'</v>
      </c>
      <c r="O504" s="9" t="str">
        <f aca="false">IF(I504="Revisar","NULL",CONCATENATE("'",I504,"'"))</f>
        <v>'ZU'</v>
      </c>
      <c r="P504" s="1" t="str">
        <f aca="false">"UPDATE estudiantes SET fecha_nacimiento="&amp;L504&amp;", sexo="&amp;M504&amp;", lugar_nacimiento="&amp;N504&amp;", entidad_federal="&amp;O504&amp;" WHERE cedula='"&amp;K504&amp;"';"</f>
        <v>UPDATE estudiantes SET fecha_nacimiento='2011-11-18', sexo='F', lugar_nacimiento='MARACAIBO', entidad_federal='ZU' WHERE cedula='34718996';</v>
      </c>
    </row>
    <row r="505" customFormat="false" ht="14.9" hidden="false" customHeight="false" outlineLevel="0" collapsed="false">
      <c r="A505" s="1" t="s">
        <v>15</v>
      </c>
      <c r="B505" s="1" t="s">
        <v>483</v>
      </c>
      <c r="C505" s="1" t="s">
        <v>53</v>
      </c>
      <c r="D505" s="1" t="s">
        <v>531</v>
      </c>
      <c r="E505" s="2" t="n">
        <v>45926</v>
      </c>
      <c r="F505" s="2" t="n">
        <f aca="false">IFERROR(VLOOKUP(TRIM($D505), Hoja4_2!$A$2:$L$10000, 4, 0), "Revisar")</f>
        <v>40182</v>
      </c>
      <c r="G505" s="7" t="str">
        <f aca="false">IFERROR(VLOOKUP(TRIM($D505), Hoja4_2!$A$2:$L$10000, 5, 0), "Revisar")</f>
        <v>MASCULINO</v>
      </c>
      <c r="H505" s="7" t="str">
        <f aca="false">IFERROR(VLOOKUP(TRIM($D505), Hoja4_2!$A$2:$L$10000, 7, 0), "Revisar")</f>
        <v>MARACAIBO</v>
      </c>
      <c r="I505" s="7" t="str">
        <f aca="false">IFERROR(VLOOKUP(TRIM($D505), Hoja4_2!$A$2:$L$10000, 9, 0), "Revisar")</f>
        <v>ZU</v>
      </c>
      <c r="J505" s="7" t="str">
        <f aca="false">IFERROR(VLOOKUP(TRIM($D505), Hoja4_2!$A$2:$L$10000, 12, 0), "Revisar")</f>
        <v>19811168</v>
      </c>
      <c r="K505" s="8" t="str">
        <f aca="false">TEXT(TRIM(D505),"0")</f>
        <v>36111072</v>
      </c>
      <c r="L505" s="1" t="str">
        <f aca="false">IF(F505="Revisar","NULL",CONCATENATE("'",TEXT(F505,"yyyy-mm-dd"),"'"))</f>
        <v>'2010-01-04'</v>
      </c>
      <c r="M505" s="9" t="str">
        <f aca="false">IF(G505="Revisar","NULL",CONCATENATE("'",MID(G505,1,1),"'"))</f>
        <v>'M'</v>
      </c>
      <c r="N505" s="9" t="str">
        <f aca="false">IF(H505="Revisar","NULL",CONCATENATE("'",H505,"'"))</f>
        <v>'MARACAIBO'</v>
      </c>
      <c r="O505" s="9" t="str">
        <f aca="false">IF(I505="Revisar","NULL",CONCATENATE("'",I505,"'"))</f>
        <v>'ZU'</v>
      </c>
      <c r="P505" s="1" t="str">
        <f aca="false">"UPDATE estudiantes SET fecha_nacimiento="&amp;L505&amp;", sexo="&amp;M505&amp;", lugar_nacimiento="&amp;N505&amp;", entidad_federal="&amp;O505&amp;" WHERE cedula='"&amp;K505&amp;"';"</f>
        <v>UPDATE estudiantes SET fecha_nacimiento='2010-01-04', sexo='M', lugar_nacimiento='MARACAIBO', entidad_federal='ZU' WHERE cedula='36111072';</v>
      </c>
    </row>
    <row r="506" customFormat="false" ht="14.9" hidden="false" customHeight="false" outlineLevel="0" collapsed="false">
      <c r="A506" s="1" t="s">
        <v>15</v>
      </c>
      <c r="B506" s="1" t="s">
        <v>483</v>
      </c>
      <c r="C506" s="1" t="s">
        <v>53</v>
      </c>
      <c r="D506" s="1" t="s">
        <v>532</v>
      </c>
      <c r="E506" s="2" t="n">
        <v>45926</v>
      </c>
      <c r="F506" s="2" t="n">
        <f aca="false">IFERROR(VLOOKUP(TRIM($D506), Hoja4_2!$A$2:$L$10000, 4, 0), "Revisar")</f>
        <v>40485</v>
      </c>
      <c r="G506" s="7" t="str">
        <f aca="false">IFERROR(VLOOKUP(TRIM($D506), Hoja4_2!$A$2:$L$10000, 5, 0), "Revisar")</f>
        <v>FEMENINO</v>
      </c>
      <c r="H506" s="7" t="str">
        <f aca="false">IFERROR(VLOOKUP(TRIM($D506), Hoja4_2!$A$2:$L$10000, 7, 0), "Revisar")</f>
        <v>MARACAIBO</v>
      </c>
      <c r="I506" s="7" t="str">
        <f aca="false">IFERROR(VLOOKUP(TRIM($D506), Hoja4_2!$A$2:$L$10000, 9, 0), "Revisar")</f>
        <v>ZU</v>
      </c>
      <c r="J506" s="7" t="str">
        <f aca="false">IFERROR(VLOOKUP(TRIM($D506), Hoja4_2!$A$2:$L$10000, 12, 0), "Revisar")</f>
        <v>20686019</v>
      </c>
      <c r="K506" s="8" t="str">
        <f aca="false">TEXT(TRIM(D506),"0")</f>
        <v>36658847</v>
      </c>
      <c r="L506" s="1" t="str">
        <f aca="false">IF(F506="Revisar","NULL",CONCATENATE("'",TEXT(F506,"yyyy-mm-dd"),"'"))</f>
        <v>'2010-11-03'</v>
      </c>
      <c r="M506" s="9" t="str">
        <f aca="false">IF(G506="Revisar","NULL",CONCATENATE("'",MID(G506,1,1),"'"))</f>
        <v>'F'</v>
      </c>
      <c r="N506" s="9" t="str">
        <f aca="false">IF(H506="Revisar","NULL",CONCATENATE("'",H506,"'"))</f>
        <v>'MARACAIBO'</v>
      </c>
      <c r="O506" s="9" t="str">
        <f aca="false">IF(I506="Revisar","NULL",CONCATENATE("'",I506,"'"))</f>
        <v>'ZU'</v>
      </c>
      <c r="P506" s="1" t="str">
        <f aca="false">"UPDATE estudiantes SET fecha_nacimiento="&amp;L506&amp;", sexo="&amp;M506&amp;", lugar_nacimiento="&amp;N506&amp;", entidad_federal="&amp;O506&amp;" WHERE cedula='"&amp;K506&amp;"';"</f>
        <v>UPDATE estudiantes SET fecha_nacimiento='2010-11-03', sexo='F', lugar_nacimiento='MARACAIBO', entidad_federal='ZU' WHERE cedula='36658847';</v>
      </c>
    </row>
    <row r="507" customFormat="false" ht="14.9" hidden="false" customHeight="false" outlineLevel="0" collapsed="false">
      <c r="A507" s="1" t="s">
        <v>15</v>
      </c>
      <c r="B507" s="1" t="s">
        <v>483</v>
      </c>
      <c r="C507" s="1" t="s">
        <v>53</v>
      </c>
      <c r="D507" s="1" t="s">
        <v>533</v>
      </c>
      <c r="E507" s="2" t="n">
        <v>45926</v>
      </c>
      <c r="F507" s="2" t="n">
        <f aca="false">IFERROR(VLOOKUP(TRIM($D507), Hoja4_2!$A$2:$L$10000, 4, 0), "Revisar")</f>
        <v>40579</v>
      </c>
      <c r="G507" s="7" t="str">
        <f aca="false">IFERROR(VLOOKUP(TRIM($D507), Hoja4_2!$A$2:$L$10000, 5, 0), "Revisar")</f>
        <v>MASCULINO</v>
      </c>
      <c r="H507" s="7" t="str">
        <f aca="false">IFERROR(VLOOKUP(TRIM($D507), Hoja4_2!$A$2:$L$10000, 7, 0), "Revisar")</f>
        <v>MARACAIBO</v>
      </c>
      <c r="I507" s="7" t="str">
        <f aca="false">IFERROR(VLOOKUP(TRIM($D507), Hoja4_2!$A$2:$L$10000, 9, 0), "Revisar")</f>
        <v>ZU</v>
      </c>
      <c r="J507" s="7" t="str">
        <f aca="false">IFERROR(VLOOKUP(TRIM($D507), Hoja4_2!$A$2:$L$10000, 12, 0), "Revisar")</f>
        <v>21228181</v>
      </c>
      <c r="K507" s="8" t="str">
        <f aca="false">TEXT(TRIM(D507),"0")</f>
        <v>36936202</v>
      </c>
      <c r="L507" s="1" t="str">
        <f aca="false">IF(F507="Revisar","NULL",CONCATENATE("'",TEXT(F507,"yyyy-mm-dd"),"'"))</f>
        <v>'2011-02-05'</v>
      </c>
      <c r="M507" s="9" t="str">
        <f aca="false">IF(G507="Revisar","NULL",CONCATENATE("'",MID(G507,1,1),"'"))</f>
        <v>'M'</v>
      </c>
      <c r="N507" s="9" t="str">
        <f aca="false">IF(H507="Revisar","NULL",CONCATENATE("'",H507,"'"))</f>
        <v>'MARACAIBO'</v>
      </c>
      <c r="O507" s="9" t="str">
        <f aca="false">IF(I507="Revisar","NULL",CONCATENATE("'",I507,"'"))</f>
        <v>'ZU'</v>
      </c>
      <c r="P507" s="1" t="str">
        <f aca="false">"UPDATE estudiantes SET fecha_nacimiento="&amp;L507&amp;", sexo="&amp;M507&amp;", lugar_nacimiento="&amp;N507&amp;", entidad_federal="&amp;O507&amp;" WHERE cedula='"&amp;K507&amp;"';"</f>
        <v>UPDATE estudiantes SET fecha_nacimiento='2011-02-05', sexo='M', lugar_nacimiento='MARACAIBO', entidad_federal='ZU' WHERE cedula='36936202';</v>
      </c>
    </row>
    <row r="508" customFormat="false" ht="14.9" hidden="false" customHeight="false" outlineLevel="0" collapsed="false">
      <c r="A508" s="1" t="s">
        <v>15</v>
      </c>
      <c r="B508" s="1" t="s">
        <v>483</v>
      </c>
      <c r="C508" s="1" t="s">
        <v>53</v>
      </c>
      <c r="D508" s="1" t="s">
        <v>534</v>
      </c>
      <c r="E508" s="2" t="n">
        <v>45926</v>
      </c>
      <c r="F508" s="2" t="n">
        <f aca="false">IFERROR(VLOOKUP(TRIM($D508), Hoja4_2!$A$2:$L$10000, 4, 0), "Revisar")</f>
        <v>39756</v>
      </c>
      <c r="G508" s="7" t="str">
        <f aca="false">IFERROR(VLOOKUP(TRIM($D508), Hoja4_2!$A$2:$L$10000, 5, 0), "Revisar")</f>
        <v>MASCULINO</v>
      </c>
      <c r="H508" s="7" t="str">
        <f aca="false">IFERROR(VLOOKUP(TRIM($D508), Hoja4_2!$A$2:$L$10000, 7, 0), "Revisar")</f>
        <v>MARACAIBO</v>
      </c>
      <c r="I508" s="7" t="str">
        <f aca="false">IFERROR(VLOOKUP(TRIM($D508), Hoja4_2!$A$2:$L$10000, 9, 0), "Revisar")</f>
        <v>ZU</v>
      </c>
      <c r="J508" s="7" t="str">
        <f aca="false">IFERROR(VLOOKUP(TRIM($D508), Hoja4_2!$A$2:$L$10000, 12, 0), "Revisar")</f>
        <v>15625020</v>
      </c>
      <c r="K508" s="8" t="str">
        <f aca="false">TEXT(TRIM(D508),"0")</f>
        <v>36990890</v>
      </c>
      <c r="L508" s="1" t="str">
        <f aca="false">IF(F508="Revisar","NULL",CONCATENATE("'",TEXT(F508,"yyyy-mm-dd"),"'"))</f>
        <v>'2008-11-04'</v>
      </c>
      <c r="M508" s="9" t="str">
        <f aca="false">IF(G508="Revisar","NULL",CONCATENATE("'",MID(G508,1,1),"'"))</f>
        <v>'M'</v>
      </c>
      <c r="N508" s="9" t="str">
        <f aca="false">IF(H508="Revisar","NULL",CONCATENATE("'",H508,"'"))</f>
        <v>'MARACAIBO'</v>
      </c>
      <c r="O508" s="9" t="str">
        <f aca="false">IF(I508="Revisar","NULL",CONCATENATE("'",I508,"'"))</f>
        <v>'ZU'</v>
      </c>
      <c r="P508" s="1" t="str">
        <f aca="false">"UPDATE estudiantes SET fecha_nacimiento="&amp;L508&amp;", sexo="&amp;M508&amp;", lugar_nacimiento="&amp;N508&amp;", entidad_federal="&amp;O508&amp;" WHERE cedula='"&amp;K508&amp;"';"</f>
        <v>UPDATE estudiantes SET fecha_nacimiento='2008-11-04', sexo='M', lugar_nacimiento='MARACAIBO', entidad_federal='ZU' WHERE cedula='36990890';</v>
      </c>
    </row>
    <row r="509" customFormat="false" ht="14.9" hidden="false" customHeight="false" outlineLevel="0" collapsed="false">
      <c r="A509" s="1" t="s">
        <v>15</v>
      </c>
      <c r="B509" s="1" t="s">
        <v>483</v>
      </c>
      <c r="C509" s="1" t="s">
        <v>53</v>
      </c>
      <c r="D509" s="1" t="s">
        <v>535</v>
      </c>
      <c r="E509" s="2" t="n">
        <v>45926</v>
      </c>
      <c r="F509" s="2" t="n">
        <f aca="false">IFERROR(VLOOKUP(TRIM($D509), Hoja4_2!$A$2:$L$10000, 4, 0), "Revisar")</f>
        <v>40003</v>
      </c>
      <c r="G509" s="7" t="str">
        <f aca="false">IFERROR(VLOOKUP(TRIM($D509), Hoja4_2!$A$2:$L$10000, 5, 0), "Revisar")</f>
        <v>FEMENINO</v>
      </c>
      <c r="H509" s="7" t="str">
        <f aca="false">IFERROR(VLOOKUP(TRIM($D509), Hoja4_2!$A$2:$L$10000, 7, 0), "Revisar")</f>
        <v>MARACAIBO</v>
      </c>
      <c r="I509" s="7" t="str">
        <f aca="false">IFERROR(VLOOKUP(TRIM($D509), Hoja4_2!$A$2:$L$10000, 9, 0), "Revisar")</f>
        <v>ZU</v>
      </c>
      <c r="J509" s="7" t="str">
        <f aca="false">IFERROR(VLOOKUP(TRIM($D509), Hoja4_2!$A$2:$L$10000, 12, 0), "Revisar")</f>
        <v>20778232</v>
      </c>
      <c r="K509" s="8" t="str">
        <f aca="false">TEXT(TRIM(D509),"0")</f>
        <v>10920778232</v>
      </c>
      <c r="L509" s="1" t="str">
        <f aca="false">IF(F509="Revisar","NULL",CONCATENATE("'",TEXT(F509,"yyyy-mm-dd"),"'"))</f>
        <v>'2009-07-09'</v>
      </c>
      <c r="M509" s="9" t="str">
        <f aca="false">IF(G509="Revisar","NULL",CONCATENATE("'",MID(G509,1,1),"'"))</f>
        <v>'F'</v>
      </c>
      <c r="N509" s="9" t="str">
        <f aca="false">IF(H509="Revisar","NULL",CONCATENATE("'",H509,"'"))</f>
        <v>'MARACAIBO'</v>
      </c>
      <c r="O509" s="9" t="str">
        <f aca="false">IF(I509="Revisar","NULL",CONCATENATE("'",I509,"'"))</f>
        <v>'ZU'</v>
      </c>
      <c r="P509" s="1" t="str">
        <f aca="false">"UPDATE estudiantes SET fecha_nacimiento="&amp;L509&amp;", sexo="&amp;M509&amp;", lugar_nacimiento="&amp;N509&amp;", entidad_federal="&amp;O509&amp;" WHERE cedula='"&amp;K509&amp;"';"</f>
        <v>UPDATE estudiantes SET fecha_nacimiento='2009-07-09', sexo='F', lugar_nacimiento='MARACAIBO', entidad_federal='ZU' WHERE cedula='10920778232';</v>
      </c>
    </row>
    <row r="510" customFormat="false" ht="14.9" hidden="false" customHeight="false" outlineLevel="0" collapsed="false">
      <c r="A510" s="1" t="s">
        <v>15</v>
      </c>
      <c r="B510" s="1" t="s">
        <v>483</v>
      </c>
      <c r="C510" s="1" t="s">
        <v>53</v>
      </c>
      <c r="D510" s="1" t="s">
        <v>536</v>
      </c>
      <c r="E510" s="2" t="n">
        <v>45926</v>
      </c>
      <c r="F510" s="2" t="n">
        <f aca="false">IFERROR(VLOOKUP(TRIM($D510), Hoja4_2!$A$2:$L$10000, 4, 0), "Revisar")</f>
        <v>40583</v>
      </c>
      <c r="G510" s="7" t="str">
        <f aca="false">IFERROR(VLOOKUP(TRIM($D510), Hoja4_2!$A$2:$L$10000, 5, 0), "Revisar")</f>
        <v>MASCULINO</v>
      </c>
      <c r="H510" s="7" t="str">
        <f aca="false">IFERROR(VLOOKUP(TRIM($D510), Hoja4_2!$A$2:$L$10000, 7, 0), "Revisar")</f>
        <v>MARACAIBO</v>
      </c>
      <c r="I510" s="7" t="str">
        <f aca="false">IFERROR(VLOOKUP(TRIM($D510), Hoja4_2!$A$2:$L$10000, 9, 0), "Revisar")</f>
        <v>ZU</v>
      </c>
      <c r="J510" s="7" t="str">
        <f aca="false">IFERROR(VLOOKUP(TRIM($D510), Hoja4_2!$A$2:$L$10000, 12, 0), "Revisar")</f>
        <v>14256016</v>
      </c>
      <c r="K510" s="8" t="str">
        <f aca="false">TEXT(TRIM(D510),"0")</f>
        <v>11114256016</v>
      </c>
      <c r="L510" s="1" t="str">
        <f aca="false">IF(F510="Revisar","NULL",CONCATENATE("'",TEXT(F510,"yyyy-mm-dd"),"'"))</f>
        <v>'2011-02-09'</v>
      </c>
      <c r="M510" s="9" t="str">
        <f aca="false">IF(G510="Revisar","NULL",CONCATENATE("'",MID(G510,1,1),"'"))</f>
        <v>'M'</v>
      </c>
      <c r="N510" s="9" t="str">
        <f aca="false">IF(H510="Revisar","NULL",CONCATENATE("'",H510,"'"))</f>
        <v>'MARACAIBO'</v>
      </c>
      <c r="O510" s="9" t="str">
        <f aca="false">IF(I510="Revisar","NULL",CONCATENATE("'",I510,"'"))</f>
        <v>'ZU'</v>
      </c>
      <c r="P510" s="1" t="str">
        <f aca="false">"UPDATE estudiantes SET fecha_nacimiento="&amp;L510&amp;", sexo="&amp;M510&amp;", lugar_nacimiento="&amp;N510&amp;", entidad_federal="&amp;O510&amp;" WHERE cedula='"&amp;K510&amp;"';"</f>
        <v>UPDATE estudiantes SET fecha_nacimiento='2011-02-09', sexo='M', lugar_nacimiento='MARACAIBO', entidad_federal='ZU' WHERE cedula='11114256016';</v>
      </c>
    </row>
    <row r="511" customFormat="false" ht="14.9" hidden="false" customHeight="false" outlineLevel="0" collapsed="false">
      <c r="A511" s="1" t="s">
        <v>15</v>
      </c>
      <c r="B511" s="1" t="s">
        <v>483</v>
      </c>
      <c r="C511" s="1" t="s">
        <v>53</v>
      </c>
      <c r="D511" s="1" t="s">
        <v>537</v>
      </c>
      <c r="E511" s="2" t="n">
        <v>45925</v>
      </c>
      <c r="F511" s="2" t="n">
        <f aca="false">IFERROR(VLOOKUP(TRIM($D511), Hoja4_2!$A$2:$L$10000, 4, 0), "Revisar")</f>
        <v>40601</v>
      </c>
      <c r="G511" s="7" t="str">
        <f aca="false">IFERROR(VLOOKUP(TRIM($D511), Hoja4_2!$A$2:$L$10000, 5, 0), "Revisar")</f>
        <v>FEMENINO</v>
      </c>
      <c r="H511" s="7" t="str">
        <f aca="false">IFERROR(VLOOKUP(TRIM($D511), Hoja4_2!$A$2:$L$10000, 7, 0), "Revisar")</f>
        <v>MARACAIBO</v>
      </c>
      <c r="I511" s="7" t="str">
        <f aca="false">IFERROR(VLOOKUP(TRIM($D511), Hoja4_2!$A$2:$L$10000, 9, 0), "Revisar")</f>
        <v>ZU</v>
      </c>
      <c r="J511" s="7" t="str">
        <f aca="false">IFERROR(VLOOKUP(TRIM($D511), Hoja4_2!$A$2:$L$10000, 12, 0), "Revisar")</f>
        <v>17567023</v>
      </c>
      <c r="K511" s="8" t="str">
        <f aca="false">TEXT(TRIM(D511),"0")</f>
        <v>11117567023</v>
      </c>
      <c r="L511" s="1" t="str">
        <f aca="false">IF(F511="Revisar","NULL",CONCATENATE("'",TEXT(F511,"yyyy-mm-dd"),"'"))</f>
        <v>'2011-02-27'</v>
      </c>
      <c r="M511" s="9" t="str">
        <f aca="false">IF(G511="Revisar","NULL",CONCATENATE("'",MID(G511,1,1),"'"))</f>
        <v>'F'</v>
      </c>
      <c r="N511" s="9" t="str">
        <f aca="false">IF(H511="Revisar","NULL",CONCATENATE("'",H511,"'"))</f>
        <v>'MARACAIBO'</v>
      </c>
      <c r="O511" s="9" t="str">
        <f aca="false">IF(I511="Revisar","NULL",CONCATENATE("'",I511,"'"))</f>
        <v>'ZU'</v>
      </c>
      <c r="P511" s="1" t="str">
        <f aca="false">"UPDATE estudiantes SET fecha_nacimiento="&amp;L511&amp;", sexo="&amp;M511&amp;", lugar_nacimiento="&amp;N511&amp;", entidad_federal="&amp;O511&amp;" WHERE cedula='"&amp;K511&amp;"';"</f>
        <v>UPDATE estudiantes SET fecha_nacimiento='2011-02-27', sexo='F', lugar_nacimiento='MARACAIBO', entidad_federal='ZU' WHERE cedula='11117567023';</v>
      </c>
    </row>
    <row r="512" customFormat="false" ht="14.9" hidden="false" customHeight="false" outlineLevel="0" collapsed="false">
      <c r="A512" s="1" t="s">
        <v>15</v>
      </c>
      <c r="B512" s="1" t="s">
        <v>483</v>
      </c>
      <c r="C512" s="1" t="s">
        <v>53</v>
      </c>
      <c r="D512" s="1" t="s">
        <v>538</v>
      </c>
      <c r="E512" s="2" t="n">
        <v>45926</v>
      </c>
      <c r="F512" s="2" t="n">
        <f aca="false">IFERROR(VLOOKUP(TRIM($D512), Hoja4_2!$A$2:$L$10000, 4, 0), "Revisar")</f>
        <v>40565</v>
      </c>
      <c r="G512" s="7" t="str">
        <f aca="false">IFERROR(VLOOKUP(TRIM($D512), Hoja4_2!$A$2:$L$10000, 5, 0), "Revisar")</f>
        <v>MASCULINO</v>
      </c>
      <c r="H512" s="7" t="str">
        <f aca="false">IFERROR(VLOOKUP(TRIM($D512), Hoja4_2!$A$2:$L$10000, 7, 0), "Revisar")</f>
        <v>MARACAIBO</v>
      </c>
      <c r="I512" s="7" t="str">
        <f aca="false">IFERROR(VLOOKUP(TRIM($D512), Hoja4_2!$A$2:$L$10000, 9, 0), "Revisar")</f>
        <v>ZU</v>
      </c>
      <c r="J512" s="7" t="str">
        <f aca="false">IFERROR(VLOOKUP(TRIM($D512), Hoja4_2!$A$2:$L$10000, 12, 0), "Revisar")</f>
        <v>19017548</v>
      </c>
      <c r="K512" s="8" t="str">
        <f aca="false">TEXT(TRIM(D512),"0")</f>
        <v>11119017548</v>
      </c>
      <c r="L512" s="1" t="str">
        <f aca="false">IF(F512="Revisar","NULL",CONCATENATE("'",TEXT(F512,"yyyy-mm-dd"),"'"))</f>
        <v>'2011-01-22'</v>
      </c>
      <c r="M512" s="9" t="str">
        <f aca="false">IF(G512="Revisar","NULL",CONCATENATE("'",MID(G512,1,1),"'"))</f>
        <v>'M'</v>
      </c>
      <c r="N512" s="9" t="str">
        <f aca="false">IF(H512="Revisar","NULL",CONCATENATE("'",H512,"'"))</f>
        <v>'MARACAIBO'</v>
      </c>
      <c r="O512" s="9" t="str">
        <f aca="false">IF(I512="Revisar","NULL",CONCATENATE("'",I512,"'"))</f>
        <v>'ZU'</v>
      </c>
      <c r="P512" s="1" t="str">
        <f aca="false">"UPDATE estudiantes SET fecha_nacimiento="&amp;L512&amp;", sexo="&amp;M512&amp;", lugar_nacimiento="&amp;N512&amp;", entidad_federal="&amp;O512&amp;" WHERE cedula='"&amp;K512&amp;"';"</f>
        <v>UPDATE estudiantes SET fecha_nacimiento='2011-01-22', sexo='M', lugar_nacimiento='MARACAIBO', entidad_federal='ZU' WHERE cedula='11119017548';</v>
      </c>
    </row>
    <row r="513" customFormat="false" ht="14.9" hidden="false" customHeight="false" outlineLevel="0" collapsed="false">
      <c r="A513" s="1" t="s">
        <v>15</v>
      </c>
      <c r="B513" s="1" t="s">
        <v>483</v>
      </c>
      <c r="C513" s="1" t="s">
        <v>89</v>
      </c>
      <c r="D513" s="1" t="s">
        <v>539</v>
      </c>
      <c r="E513" s="2" t="n">
        <v>45926</v>
      </c>
      <c r="F513" s="2" t="n">
        <f aca="false">IFERROR(VLOOKUP(TRIM($D513), Hoja4_2!$A$2:$L$10000, 4, 0), "Revisar")</f>
        <v>39816</v>
      </c>
      <c r="G513" s="7" t="str">
        <f aca="false">IFERROR(VLOOKUP(TRIM($D513), Hoja4_2!$A$2:$L$10000, 5, 0), "Revisar")</f>
        <v>FEMENINO</v>
      </c>
      <c r="H513" s="7" t="str">
        <f aca="false">IFERROR(VLOOKUP(TRIM($D513), Hoja4_2!$A$2:$L$10000, 7, 0), "Revisar")</f>
        <v>JESUS ENRIQUE LOSSADA</v>
      </c>
      <c r="I513" s="7" t="str">
        <f aca="false">IFERROR(VLOOKUP(TRIM($D513), Hoja4_2!$A$2:$L$10000, 9, 0), "Revisar")</f>
        <v>ZU</v>
      </c>
      <c r="J513" s="7" t="str">
        <f aca="false">IFERROR(VLOOKUP(TRIM($D513), Hoja4_2!$A$2:$L$10000, 12, 0), "Revisar")</f>
        <v>12620394</v>
      </c>
      <c r="K513" s="8" t="str">
        <f aca="false">TEXT(TRIM(D513),"0")</f>
        <v>32783353</v>
      </c>
      <c r="L513" s="1" t="str">
        <f aca="false">IF(F513="Revisar","NULL",CONCATENATE("'",TEXT(F513,"yyyy-mm-dd"),"'"))</f>
        <v>'2009-01-03'</v>
      </c>
      <c r="M513" s="9" t="str">
        <f aca="false">IF(G513="Revisar","NULL",CONCATENATE("'",MID(G513,1,1),"'"))</f>
        <v>'F'</v>
      </c>
      <c r="N513" s="9" t="str">
        <f aca="false">IF(H513="Revisar","NULL",CONCATENATE("'",H513,"'"))</f>
        <v>'JESUS ENRIQUE LOSSADA'</v>
      </c>
      <c r="O513" s="9" t="str">
        <f aca="false">IF(I513="Revisar","NULL",CONCATENATE("'",I513,"'"))</f>
        <v>'ZU'</v>
      </c>
      <c r="P513" s="1" t="str">
        <f aca="false">"UPDATE estudiantes SET fecha_nacimiento="&amp;L513&amp;", sexo="&amp;M513&amp;", lugar_nacimiento="&amp;N513&amp;", entidad_federal="&amp;O513&amp;" WHERE cedula='"&amp;K513&amp;"';"</f>
        <v>UPDATE estudiantes SET fecha_nacimiento='2009-01-03', sexo='F', lugar_nacimiento='JESUS ENRIQUE LOSSADA', entidad_federal='ZU' WHERE cedula='32783353';</v>
      </c>
    </row>
    <row r="514" customFormat="false" ht="14.9" hidden="false" customHeight="false" outlineLevel="0" collapsed="false">
      <c r="A514" s="1" t="s">
        <v>15</v>
      </c>
      <c r="B514" s="1" t="s">
        <v>483</v>
      </c>
      <c r="C514" s="1" t="s">
        <v>89</v>
      </c>
      <c r="D514" s="1" t="s">
        <v>540</v>
      </c>
      <c r="E514" s="2" t="n">
        <v>45926</v>
      </c>
      <c r="F514" s="2" t="n">
        <f aca="false">IFERROR(VLOOKUP(TRIM($D514), Hoja4_2!$A$2:$L$10000, 4, 0), "Revisar")</f>
        <v>40398</v>
      </c>
      <c r="G514" s="7" t="str">
        <f aca="false">IFERROR(VLOOKUP(TRIM($D514), Hoja4_2!$A$2:$L$10000, 5, 0), "Revisar")</f>
        <v>MASCULINO</v>
      </c>
      <c r="H514" s="7" t="str">
        <f aca="false">IFERROR(VLOOKUP(TRIM($D514), Hoja4_2!$A$2:$L$10000, 7, 0), "Revisar")</f>
        <v>MARACAIBO</v>
      </c>
      <c r="I514" s="7" t="str">
        <f aca="false">IFERROR(VLOOKUP(TRIM($D514), Hoja4_2!$A$2:$L$10000, 9, 0), "Revisar")</f>
        <v>ZU</v>
      </c>
      <c r="J514" s="7" t="str">
        <f aca="false">IFERROR(VLOOKUP(TRIM($D514), Hoja4_2!$A$2:$L$10000, 12, 0), "Revisar")</f>
        <v>20370250</v>
      </c>
      <c r="K514" s="8" t="str">
        <f aca="false">TEXT(TRIM(D514),"0")</f>
        <v>33723986</v>
      </c>
      <c r="L514" s="1" t="str">
        <f aca="false">IF(F514="Revisar","NULL",CONCATENATE("'",TEXT(F514,"yyyy-mm-dd"),"'"))</f>
        <v>'2010-08-08'</v>
      </c>
      <c r="M514" s="9" t="str">
        <f aca="false">IF(G514="Revisar","NULL",CONCATENATE("'",MID(G514,1,1),"'"))</f>
        <v>'M'</v>
      </c>
      <c r="N514" s="9" t="str">
        <f aca="false">IF(H514="Revisar","NULL",CONCATENATE("'",H514,"'"))</f>
        <v>'MARACAIBO'</v>
      </c>
      <c r="O514" s="9" t="str">
        <f aca="false">IF(I514="Revisar","NULL",CONCATENATE("'",I514,"'"))</f>
        <v>'ZU'</v>
      </c>
      <c r="P514" s="1" t="str">
        <f aca="false">"UPDATE estudiantes SET fecha_nacimiento="&amp;L514&amp;", sexo="&amp;M514&amp;", lugar_nacimiento="&amp;N514&amp;", entidad_federal="&amp;O514&amp;" WHERE cedula='"&amp;K514&amp;"';"</f>
        <v>UPDATE estudiantes SET fecha_nacimiento='2010-08-08', sexo='M', lugar_nacimiento='MARACAIBO', entidad_federal='ZU' WHERE cedula='33723986';</v>
      </c>
    </row>
    <row r="515" customFormat="false" ht="14.9" hidden="false" customHeight="false" outlineLevel="0" collapsed="false">
      <c r="A515" s="1" t="s">
        <v>15</v>
      </c>
      <c r="B515" s="1" t="s">
        <v>483</v>
      </c>
      <c r="C515" s="1" t="s">
        <v>89</v>
      </c>
      <c r="D515" s="1" t="s">
        <v>541</v>
      </c>
      <c r="E515" s="2" t="n">
        <v>45926</v>
      </c>
      <c r="F515" s="2" t="n">
        <f aca="false">IFERROR(VLOOKUP(TRIM($D515), Hoja4_2!$A$2:$L$10000, 4, 0), "Revisar")</f>
        <v>39640</v>
      </c>
      <c r="G515" s="7" t="str">
        <f aca="false">IFERROR(VLOOKUP(TRIM($D515), Hoja4_2!$A$2:$L$10000, 5, 0), "Revisar")</f>
        <v>MASCULINO</v>
      </c>
      <c r="H515" s="7" t="str">
        <f aca="false">IFERROR(VLOOKUP(TRIM($D515), Hoja4_2!$A$2:$L$10000, 7, 0), "Revisar")</f>
        <v>MARACAIBO</v>
      </c>
      <c r="I515" s="7" t="str">
        <f aca="false">IFERROR(VLOOKUP(TRIM($D515), Hoja4_2!$A$2:$L$10000, 9, 0), "Revisar")</f>
        <v>ZU</v>
      </c>
      <c r="J515" s="7" t="str">
        <f aca="false">IFERROR(VLOOKUP(TRIM($D515), Hoja4_2!$A$2:$L$10000, 12, 0), "Revisar")</f>
        <v>20987921</v>
      </c>
      <c r="K515" s="8" t="str">
        <f aca="false">TEXT(TRIM(D515),"0")</f>
        <v>33724040</v>
      </c>
      <c r="L515" s="1" t="str">
        <f aca="false">IF(F515="Revisar","NULL",CONCATENATE("'",TEXT(F515,"yyyy-mm-dd"),"'"))</f>
        <v>'2008-07-11'</v>
      </c>
      <c r="M515" s="9" t="str">
        <f aca="false">IF(G515="Revisar","NULL",CONCATENATE("'",MID(G515,1,1),"'"))</f>
        <v>'M'</v>
      </c>
      <c r="N515" s="9" t="str">
        <f aca="false">IF(H515="Revisar","NULL",CONCATENATE("'",H515,"'"))</f>
        <v>'MARACAIBO'</v>
      </c>
      <c r="O515" s="9" t="str">
        <f aca="false">IF(I515="Revisar","NULL",CONCATENATE("'",I515,"'"))</f>
        <v>'ZU'</v>
      </c>
      <c r="P515" s="1" t="str">
        <f aca="false">"UPDATE estudiantes SET fecha_nacimiento="&amp;L515&amp;", sexo="&amp;M515&amp;", lugar_nacimiento="&amp;N515&amp;", entidad_federal="&amp;O515&amp;" WHERE cedula='"&amp;K515&amp;"';"</f>
        <v>UPDATE estudiantes SET fecha_nacimiento='2008-07-11', sexo='M', lugar_nacimiento='MARACAIBO', entidad_federal='ZU' WHERE cedula='33724040';</v>
      </c>
    </row>
    <row r="516" customFormat="false" ht="14.9" hidden="false" customHeight="false" outlineLevel="0" collapsed="false">
      <c r="A516" s="1" t="s">
        <v>15</v>
      </c>
      <c r="B516" s="1" t="s">
        <v>483</v>
      </c>
      <c r="C516" s="1" t="s">
        <v>89</v>
      </c>
      <c r="D516" s="1" t="s">
        <v>542</v>
      </c>
      <c r="E516" s="2" t="n">
        <v>45926</v>
      </c>
      <c r="F516" s="2" t="n">
        <f aca="false">IFERROR(VLOOKUP(TRIM($D516), Hoja4_2!$A$2:$L$10000, 4, 0), "Revisar")</f>
        <v>40275</v>
      </c>
      <c r="G516" s="7" t="str">
        <f aca="false">IFERROR(VLOOKUP(TRIM($D516), Hoja4_2!$A$2:$L$10000, 5, 0), "Revisar")</f>
        <v>FEMENINO</v>
      </c>
      <c r="H516" s="7" t="str">
        <f aca="false">IFERROR(VLOOKUP(TRIM($D516), Hoja4_2!$A$2:$L$10000, 7, 0), "Revisar")</f>
        <v>MARACAIBO</v>
      </c>
      <c r="I516" s="7" t="str">
        <f aca="false">IFERROR(VLOOKUP(TRIM($D516), Hoja4_2!$A$2:$L$10000, 9, 0), "Revisar")</f>
        <v>ZU</v>
      </c>
      <c r="J516" s="7" t="str">
        <f aca="false">IFERROR(VLOOKUP(TRIM($D516), Hoja4_2!$A$2:$L$10000, 12, 0), "Revisar")</f>
        <v>13414449</v>
      </c>
      <c r="K516" s="8" t="str">
        <f aca="false">TEXT(TRIM(D516),"0")</f>
        <v>33724690</v>
      </c>
      <c r="L516" s="1" t="str">
        <f aca="false">IF(F516="Revisar","NULL",CONCATENATE("'",TEXT(F516,"yyyy-mm-dd"),"'"))</f>
        <v>'2010-04-07'</v>
      </c>
      <c r="M516" s="9" t="str">
        <f aca="false">IF(G516="Revisar","NULL",CONCATENATE("'",MID(G516,1,1),"'"))</f>
        <v>'F'</v>
      </c>
      <c r="N516" s="9" t="str">
        <f aca="false">IF(H516="Revisar","NULL",CONCATENATE("'",H516,"'"))</f>
        <v>'MARACAIBO'</v>
      </c>
      <c r="O516" s="9" t="str">
        <f aca="false">IF(I516="Revisar","NULL",CONCATENATE("'",I516,"'"))</f>
        <v>'ZU'</v>
      </c>
      <c r="P516" s="1" t="str">
        <f aca="false">"UPDATE estudiantes SET fecha_nacimiento="&amp;L516&amp;", sexo="&amp;M516&amp;", lugar_nacimiento="&amp;N516&amp;", entidad_federal="&amp;O516&amp;" WHERE cedula='"&amp;K516&amp;"';"</f>
        <v>UPDATE estudiantes SET fecha_nacimiento='2010-04-07', sexo='F', lugar_nacimiento='MARACAIBO', entidad_federal='ZU' WHERE cedula='33724690';</v>
      </c>
    </row>
    <row r="517" customFormat="false" ht="14.9" hidden="false" customHeight="false" outlineLevel="0" collapsed="false">
      <c r="A517" s="1" t="s">
        <v>15</v>
      </c>
      <c r="B517" s="1" t="s">
        <v>483</v>
      </c>
      <c r="C517" s="1" t="s">
        <v>89</v>
      </c>
      <c r="D517" s="1" t="s">
        <v>543</v>
      </c>
      <c r="E517" s="2" t="n">
        <v>45926</v>
      </c>
      <c r="F517" s="2" t="n">
        <f aca="false">IFERROR(VLOOKUP(TRIM($D517), Hoja4_2!$A$2:$L$10000, 4, 0), "Revisar")</f>
        <v>40273</v>
      </c>
      <c r="G517" s="7" t="str">
        <f aca="false">IFERROR(VLOOKUP(TRIM($D517), Hoja4_2!$A$2:$L$10000, 5, 0), "Revisar")</f>
        <v>MASCULINO</v>
      </c>
      <c r="H517" s="7" t="str">
        <f aca="false">IFERROR(VLOOKUP(TRIM($D517), Hoja4_2!$A$2:$L$10000, 7, 0), "Revisar")</f>
        <v>MARACAIBO</v>
      </c>
      <c r="I517" s="7" t="str">
        <f aca="false">IFERROR(VLOOKUP(TRIM($D517), Hoja4_2!$A$2:$L$10000, 9, 0), "Revisar")</f>
        <v>ZU</v>
      </c>
      <c r="J517" s="7" t="str">
        <f aca="false">IFERROR(VLOOKUP(TRIM($D517), Hoja4_2!$A$2:$L$10000, 12, 0), "Revisar")</f>
        <v>17566760</v>
      </c>
      <c r="K517" s="8" t="str">
        <f aca="false">TEXT(TRIM(D517),"0")</f>
        <v>33729244</v>
      </c>
      <c r="L517" s="1" t="str">
        <f aca="false">IF(F517="Revisar","NULL",CONCATENATE("'",TEXT(F517,"yyyy-mm-dd"),"'"))</f>
        <v>'2010-04-05'</v>
      </c>
      <c r="M517" s="9" t="str">
        <f aca="false">IF(G517="Revisar","NULL",CONCATENATE("'",MID(G517,1,1),"'"))</f>
        <v>'M'</v>
      </c>
      <c r="N517" s="9" t="str">
        <f aca="false">IF(H517="Revisar","NULL",CONCATENATE("'",H517,"'"))</f>
        <v>'MARACAIBO'</v>
      </c>
      <c r="O517" s="9" t="str">
        <f aca="false">IF(I517="Revisar","NULL",CONCATENATE("'",I517,"'"))</f>
        <v>'ZU'</v>
      </c>
      <c r="P517" s="1" t="str">
        <f aca="false">"UPDATE estudiantes SET fecha_nacimiento="&amp;L517&amp;", sexo="&amp;M517&amp;", lugar_nacimiento="&amp;N517&amp;", entidad_federal="&amp;O517&amp;" WHERE cedula='"&amp;K517&amp;"';"</f>
        <v>UPDATE estudiantes SET fecha_nacimiento='2010-04-05', sexo='M', lugar_nacimiento='MARACAIBO', entidad_federal='ZU' WHERE cedula='33729244';</v>
      </c>
    </row>
    <row r="518" customFormat="false" ht="14.9" hidden="false" customHeight="false" outlineLevel="0" collapsed="false">
      <c r="A518" s="1" t="s">
        <v>15</v>
      </c>
      <c r="B518" s="1" t="s">
        <v>483</v>
      </c>
      <c r="C518" s="1" t="s">
        <v>89</v>
      </c>
      <c r="D518" s="1" t="s">
        <v>544</v>
      </c>
      <c r="E518" s="2" t="n">
        <v>45926</v>
      </c>
      <c r="F518" s="2" t="n">
        <f aca="false">IFERROR(VLOOKUP(TRIM($D518), Hoja4_2!$A$2:$L$10000, 4, 0), "Revisar")</f>
        <v>40441</v>
      </c>
      <c r="G518" s="7" t="str">
        <f aca="false">IFERROR(VLOOKUP(TRIM($D518), Hoja4_2!$A$2:$L$10000, 5, 0), "Revisar")</f>
        <v>MASCULINO</v>
      </c>
      <c r="H518" s="7" t="str">
        <f aca="false">IFERROR(VLOOKUP(TRIM($D518), Hoja4_2!$A$2:$L$10000, 7, 0), "Revisar")</f>
        <v>MARACAIBO</v>
      </c>
      <c r="I518" s="7" t="str">
        <f aca="false">IFERROR(VLOOKUP(TRIM($D518), Hoja4_2!$A$2:$L$10000, 9, 0), "Revisar")</f>
        <v>ZU</v>
      </c>
      <c r="J518" s="7" t="str">
        <f aca="false">IFERROR(VLOOKUP(TRIM($D518), Hoja4_2!$A$2:$L$10000, 12, 0), "Revisar")</f>
        <v>20778378</v>
      </c>
      <c r="K518" s="8" t="str">
        <f aca="false">TEXT(TRIM(D518),"0")</f>
        <v>33809213</v>
      </c>
      <c r="L518" s="1" t="str">
        <f aca="false">IF(F518="Revisar","NULL",CONCATENATE("'",TEXT(F518,"yyyy-mm-dd"),"'"))</f>
        <v>'2010-09-20'</v>
      </c>
      <c r="M518" s="9" t="str">
        <f aca="false">IF(G518="Revisar","NULL",CONCATENATE("'",MID(G518,1,1),"'"))</f>
        <v>'M'</v>
      </c>
      <c r="N518" s="9" t="str">
        <f aca="false">IF(H518="Revisar","NULL",CONCATENATE("'",H518,"'"))</f>
        <v>'MARACAIBO'</v>
      </c>
      <c r="O518" s="9" t="str">
        <f aca="false">IF(I518="Revisar","NULL",CONCATENATE("'",I518,"'"))</f>
        <v>'ZU'</v>
      </c>
      <c r="P518" s="1" t="str">
        <f aca="false">"UPDATE estudiantes SET fecha_nacimiento="&amp;L518&amp;", sexo="&amp;M518&amp;", lugar_nacimiento="&amp;N518&amp;", entidad_federal="&amp;O518&amp;" WHERE cedula='"&amp;K518&amp;"';"</f>
        <v>UPDATE estudiantes SET fecha_nacimiento='2010-09-20', sexo='M', lugar_nacimiento='MARACAIBO', entidad_federal='ZU' WHERE cedula='33809213';</v>
      </c>
    </row>
    <row r="519" customFormat="false" ht="14.9" hidden="false" customHeight="false" outlineLevel="0" collapsed="false">
      <c r="A519" s="1" t="s">
        <v>15</v>
      </c>
      <c r="B519" s="1" t="s">
        <v>483</v>
      </c>
      <c r="C519" s="1" t="s">
        <v>89</v>
      </c>
      <c r="D519" s="1" t="s">
        <v>545</v>
      </c>
      <c r="E519" s="2" t="n">
        <v>45926</v>
      </c>
      <c r="F519" s="2" t="n">
        <f aca="false">IFERROR(VLOOKUP(TRIM($D519), Hoja4_2!$A$2:$L$10000, 4, 0), "Revisar")</f>
        <v>40359</v>
      </c>
      <c r="G519" s="7" t="str">
        <f aca="false">IFERROR(VLOOKUP(TRIM($D519), Hoja4_2!$A$2:$L$10000, 5, 0), "Revisar")</f>
        <v>MASCULINO</v>
      </c>
      <c r="H519" s="7" t="str">
        <f aca="false">IFERROR(VLOOKUP(TRIM($D519), Hoja4_2!$A$2:$L$10000, 7, 0), "Revisar")</f>
        <v>MARACAIBO</v>
      </c>
      <c r="I519" s="7" t="str">
        <f aca="false">IFERROR(VLOOKUP(TRIM($D519), Hoja4_2!$A$2:$L$10000, 9, 0), "Revisar")</f>
        <v>ZU</v>
      </c>
      <c r="J519" s="7" t="str">
        <f aca="false">IFERROR(VLOOKUP(TRIM($D519), Hoja4_2!$A$2:$L$10000, 12, 0), "Revisar")</f>
        <v>19837648</v>
      </c>
      <c r="K519" s="8" t="str">
        <f aca="false">TEXT(TRIM(D519),"0")</f>
        <v>33809239</v>
      </c>
      <c r="L519" s="1" t="str">
        <f aca="false">IF(F519="Revisar","NULL",CONCATENATE("'",TEXT(F519,"yyyy-mm-dd"),"'"))</f>
        <v>'2010-06-30'</v>
      </c>
      <c r="M519" s="9" t="str">
        <f aca="false">IF(G519="Revisar","NULL",CONCATENATE("'",MID(G519,1,1),"'"))</f>
        <v>'M'</v>
      </c>
      <c r="N519" s="9" t="str">
        <f aca="false">IF(H519="Revisar","NULL",CONCATENATE("'",H519,"'"))</f>
        <v>'MARACAIBO'</v>
      </c>
      <c r="O519" s="9" t="str">
        <f aca="false">IF(I519="Revisar","NULL",CONCATENATE("'",I519,"'"))</f>
        <v>'ZU'</v>
      </c>
      <c r="P519" s="1" t="str">
        <f aca="false">"UPDATE estudiantes SET fecha_nacimiento="&amp;L519&amp;", sexo="&amp;M519&amp;", lugar_nacimiento="&amp;N519&amp;", entidad_federal="&amp;O519&amp;" WHERE cedula='"&amp;K519&amp;"';"</f>
        <v>UPDATE estudiantes SET fecha_nacimiento='2010-06-30', sexo='M', lugar_nacimiento='MARACAIBO', entidad_federal='ZU' WHERE cedula='33809239';</v>
      </c>
    </row>
    <row r="520" customFormat="false" ht="14.9" hidden="false" customHeight="false" outlineLevel="0" collapsed="false">
      <c r="A520" s="1" t="s">
        <v>15</v>
      </c>
      <c r="B520" s="1" t="s">
        <v>483</v>
      </c>
      <c r="C520" s="1" t="s">
        <v>89</v>
      </c>
      <c r="D520" s="1" t="s">
        <v>546</v>
      </c>
      <c r="E520" s="2" t="n">
        <v>45926</v>
      </c>
      <c r="F520" s="2" t="n">
        <f aca="false">IFERROR(VLOOKUP(TRIM($D520), Hoja4_2!$A$2:$L$10000, 4, 0), "Revisar")</f>
        <v>40585</v>
      </c>
      <c r="G520" s="7" t="str">
        <f aca="false">IFERROR(VLOOKUP(TRIM($D520), Hoja4_2!$A$2:$L$10000, 5, 0), "Revisar")</f>
        <v>MASCULINO</v>
      </c>
      <c r="H520" s="7" t="str">
        <f aca="false">IFERROR(VLOOKUP(TRIM($D520), Hoja4_2!$A$2:$L$10000, 7, 0), "Revisar")</f>
        <v>MARACAIBO</v>
      </c>
      <c r="I520" s="7" t="str">
        <f aca="false">IFERROR(VLOOKUP(TRIM($D520), Hoja4_2!$A$2:$L$10000, 9, 0), "Revisar")</f>
        <v>ZU</v>
      </c>
      <c r="J520" s="7" t="str">
        <f aca="false">IFERROR(VLOOKUP(TRIM($D520), Hoja4_2!$A$2:$L$10000, 12, 0), "Revisar")</f>
        <v>09728537</v>
      </c>
      <c r="K520" s="8" t="str">
        <f aca="false">TEXT(TRIM(D520),"0")</f>
        <v>33892229</v>
      </c>
      <c r="L520" s="1" t="str">
        <f aca="false">IF(F520="Revisar","NULL",CONCATENATE("'",TEXT(F520,"yyyy-mm-dd"),"'"))</f>
        <v>'2011-02-11'</v>
      </c>
      <c r="M520" s="9" t="str">
        <f aca="false">IF(G520="Revisar","NULL",CONCATENATE("'",MID(G520,1,1),"'"))</f>
        <v>'M'</v>
      </c>
      <c r="N520" s="9" t="str">
        <f aca="false">IF(H520="Revisar","NULL",CONCATENATE("'",H520,"'"))</f>
        <v>'MARACAIBO'</v>
      </c>
      <c r="O520" s="9" t="str">
        <f aca="false">IF(I520="Revisar","NULL",CONCATENATE("'",I520,"'"))</f>
        <v>'ZU'</v>
      </c>
      <c r="P520" s="1" t="str">
        <f aca="false">"UPDATE estudiantes SET fecha_nacimiento="&amp;L520&amp;", sexo="&amp;M520&amp;", lugar_nacimiento="&amp;N520&amp;", entidad_federal="&amp;O520&amp;" WHERE cedula='"&amp;K520&amp;"';"</f>
        <v>UPDATE estudiantes SET fecha_nacimiento='2011-02-11', sexo='M', lugar_nacimiento='MARACAIBO', entidad_federal='ZU' WHERE cedula='33892229';</v>
      </c>
    </row>
    <row r="521" customFormat="false" ht="14.9" hidden="false" customHeight="false" outlineLevel="0" collapsed="false">
      <c r="A521" s="1" t="s">
        <v>15</v>
      </c>
      <c r="B521" s="1" t="s">
        <v>483</v>
      </c>
      <c r="C521" s="1" t="s">
        <v>89</v>
      </c>
      <c r="D521" s="1" t="s">
        <v>547</v>
      </c>
      <c r="E521" s="2" t="n">
        <v>45926</v>
      </c>
      <c r="F521" s="2" t="n">
        <f aca="false">IFERROR(VLOOKUP(TRIM($D521), Hoja4_2!$A$2:$L$10000, 4, 0), "Revisar")</f>
        <v>40256</v>
      </c>
      <c r="G521" s="7" t="str">
        <f aca="false">IFERROR(VLOOKUP(TRIM($D521), Hoja4_2!$A$2:$L$10000, 5, 0), "Revisar")</f>
        <v>FEMENINO</v>
      </c>
      <c r="H521" s="7" t="str">
        <f aca="false">IFERROR(VLOOKUP(TRIM($D521), Hoja4_2!$A$2:$L$10000, 7, 0), "Revisar")</f>
        <v>MARACAIBO</v>
      </c>
      <c r="I521" s="7" t="str">
        <f aca="false">IFERROR(VLOOKUP(TRIM($D521), Hoja4_2!$A$2:$L$10000, 9, 0), "Revisar")</f>
        <v>ZU</v>
      </c>
      <c r="J521" s="7" t="str">
        <f aca="false">IFERROR(VLOOKUP(TRIM($D521), Hoja4_2!$A$2:$L$10000, 12, 0), "Revisar")</f>
        <v>26872294</v>
      </c>
      <c r="K521" s="8" t="str">
        <f aca="false">TEXT(TRIM(D521),"0")</f>
        <v>34069980</v>
      </c>
      <c r="L521" s="1" t="str">
        <f aca="false">IF(F521="Revisar","NULL",CONCATENATE("'",TEXT(F521,"yyyy-mm-dd"),"'"))</f>
        <v>'2010-03-19'</v>
      </c>
      <c r="M521" s="9" t="str">
        <f aca="false">IF(G521="Revisar","NULL",CONCATENATE("'",MID(G521,1,1),"'"))</f>
        <v>'F'</v>
      </c>
      <c r="N521" s="9" t="str">
        <f aca="false">IF(H521="Revisar","NULL",CONCATENATE("'",H521,"'"))</f>
        <v>'MARACAIBO'</v>
      </c>
      <c r="O521" s="9" t="str">
        <f aca="false">IF(I521="Revisar","NULL",CONCATENATE("'",I521,"'"))</f>
        <v>'ZU'</v>
      </c>
      <c r="P521" s="1" t="str">
        <f aca="false">"UPDATE estudiantes SET fecha_nacimiento="&amp;L521&amp;", sexo="&amp;M521&amp;", lugar_nacimiento="&amp;N521&amp;", entidad_federal="&amp;O521&amp;" WHERE cedula='"&amp;K521&amp;"';"</f>
        <v>UPDATE estudiantes SET fecha_nacimiento='2010-03-19', sexo='F', lugar_nacimiento='MARACAIBO', entidad_federal='ZU' WHERE cedula='34069980';</v>
      </c>
    </row>
    <row r="522" customFormat="false" ht="14.9" hidden="false" customHeight="false" outlineLevel="0" collapsed="false">
      <c r="A522" s="1" t="s">
        <v>15</v>
      </c>
      <c r="B522" s="1" t="s">
        <v>483</v>
      </c>
      <c r="C522" s="1" t="s">
        <v>89</v>
      </c>
      <c r="D522" s="1" t="s">
        <v>548</v>
      </c>
      <c r="E522" s="2" t="n">
        <v>45926</v>
      </c>
      <c r="F522" s="2" t="n">
        <f aca="false">IFERROR(VLOOKUP(TRIM($D522), Hoja4_2!$A$2:$L$10000, 4, 0), "Revisar")</f>
        <v>40423</v>
      </c>
      <c r="G522" s="7" t="str">
        <f aca="false">IFERROR(VLOOKUP(TRIM($D522), Hoja4_2!$A$2:$L$10000, 5, 0), "Revisar")</f>
        <v>FEMENINO</v>
      </c>
      <c r="H522" s="7" t="str">
        <f aca="false">IFERROR(VLOOKUP(TRIM($D522), Hoja4_2!$A$2:$L$10000, 7, 0), "Revisar")</f>
        <v>MARACAIBO</v>
      </c>
      <c r="I522" s="7" t="str">
        <f aca="false">IFERROR(VLOOKUP(TRIM($D522), Hoja4_2!$A$2:$L$10000, 9, 0), "Revisar")</f>
        <v>ZU</v>
      </c>
      <c r="J522" s="7" t="str">
        <f aca="false">IFERROR(VLOOKUP(TRIM($D522), Hoja4_2!$A$2:$L$10000, 12, 0), "Revisar")</f>
        <v>11294013</v>
      </c>
      <c r="K522" s="8" t="str">
        <f aca="false">TEXT(TRIM(D522),"0")</f>
        <v>34242732</v>
      </c>
      <c r="L522" s="1" t="str">
        <f aca="false">IF(F522="Revisar","NULL",CONCATENATE("'",TEXT(F522,"yyyy-mm-dd"),"'"))</f>
        <v>'2010-09-02'</v>
      </c>
      <c r="M522" s="9" t="str">
        <f aca="false">IF(G522="Revisar","NULL",CONCATENATE("'",MID(G522,1,1),"'"))</f>
        <v>'F'</v>
      </c>
      <c r="N522" s="9" t="str">
        <f aca="false">IF(H522="Revisar","NULL",CONCATENATE("'",H522,"'"))</f>
        <v>'MARACAIBO'</v>
      </c>
      <c r="O522" s="9" t="str">
        <f aca="false">IF(I522="Revisar","NULL",CONCATENATE("'",I522,"'"))</f>
        <v>'ZU'</v>
      </c>
      <c r="P522" s="1" t="str">
        <f aca="false">"UPDATE estudiantes SET fecha_nacimiento="&amp;L522&amp;", sexo="&amp;M522&amp;", lugar_nacimiento="&amp;N522&amp;", entidad_federal="&amp;O522&amp;" WHERE cedula='"&amp;K522&amp;"';"</f>
        <v>UPDATE estudiantes SET fecha_nacimiento='2010-09-02', sexo='F', lugar_nacimiento='MARACAIBO', entidad_federal='ZU' WHERE cedula='34242732';</v>
      </c>
    </row>
    <row r="523" customFormat="false" ht="14.9" hidden="false" customHeight="false" outlineLevel="0" collapsed="false">
      <c r="A523" s="1" t="s">
        <v>15</v>
      </c>
      <c r="B523" s="1" t="s">
        <v>483</v>
      </c>
      <c r="C523" s="1" t="s">
        <v>89</v>
      </c>
      <c r="D523" s="1" t="s">
        <v>549</v>
      </c>
      <c r="E523" s="2" t="n">
        <v>45926</v>
      </c>
      <c r="F523" s="2" t="n">
        <f aca="false">IFERROR(VLOOKUP(TRIM($D523), Hoja4_2!$A$2:$L$10000, 4, 0), "Revisar")</f>
        <v>40289</v>
      </c>
      <c r="G523" s="7" t="str">
        <f aca="false">IFERROR(VLOOKUP(TRIM($D523), Hoja4_2!$A$2:$L$10000, 5, 0), "Revisar")</f>
        <v>MASCULINO</v>
      </c>
      <c r="H523" s="7" t="str">
        <f aca="false">IFERROR(VLOOKUP(TRIM($D523), Hoja4_2!$A$2:$L$10000, 7, 0), "Revisar")</f>
        <v>JESUS ENRIQUE LOSSADA</v>
      </c>
      <c r="I523" s="7" t="str">
        <f aca="false">IFERROR(VLOOKUP(TRIM($D523), Hoja4_2!$A$2:$L$10000, 9, 0), "Revisar")</f>
        <v>ZU</v>
      </c>
      <c r="J523" s="7" t="str">
        <f aca="false">IFERROR(VLOOKUP(TRIM($D523), Hoja4_2!$A$2:$L$10000, 12, 0), "Revisar")</f>
        <v>18394487</v>
      </c>
      <c r="K523" s="8" t="str">
        <f aca="false">TEXT(TRIM(D523),"0")</f>
        <v>34400584</v>
      </c>
      <c r="L523" s="1" t="str">
        <f aca="false">IF(F523="Revisar","NULL",CONCATENATE("'",TEXT(F523,"yyyy-mm-dd"),"'"))</f>
        <v>'2010-04-21'</v>
      </c>
      <c r="M523" s="9" t="str">
        <f aca="false">IF(G523="Revisar","NULL",CONCATENATE("'",MID(G523,1,1),"'"))</f>
        <v>'M'</v>
      </c>
      <c r="N523" s="9" t="str">
        <f aca="false">IF(H523="Revisar","NULL",CONCATENATE("'",H523,"'"))</f>
        <v>'JESUS ENRIQUE LOSSADA'</v>
      </c>
      <c r="O523" s="9" t="str">
        <f aca="false">IF(I523="Revisar","NULL",CONCATENATE("'",I523,"'"))</f>
        <v>'ZU'</v>
      </c>
      <c r="P523" s="1" t="str">
        <f aca="false">"UPDATE estudiantes SET fecha_nacimiento="&amp;L523&amp;", sexo="&amp;M523&amp;", lugar_nacimiento="&amp;N523&amp;", entidad_federal="&amp;O523&amp;" WHERE cedula='"&amp;K523&amp;"';"</f>
        <v>UPDATE estudiantes SET fecha_nacimiento='2010-04-21', sexo='M', lugar_nacimiento='JESUS ENRIQUE LOSSADA', entidad_federal='ZU' WHERE cedula='34400584';</v>
      </c>
    </row>
    <row r="524" customFormat="false" ht="14.9" hidden="false" customHeight="false" outlineLevel="0" collapsed="false">
      <c r="A524" s="1" t="s">
        <v>15</v>
      </c>
      <c r="B524" s="1" t="s">
        <v>483</v>
      </c>
      <c r="C524" s="1" t="s">
        <v>89</v>
      </c>
      <c r="D524" s="1" t="s">
        <v>550</v>
      </c>
      <c r="E524" s="2" t="n">
        <v>45926</v>
      </c>
      <c r="F524" s="2" t="n">
        <f aca="false">IFERROR(VLOOKUP(TRIM($D524), Hoja4_2!$A$2:$L$10000, 4, 0), "Revisar")</f>
        <v>40518</v>
      </c>
      <c r="G524" s="7" t="str">
        <f aca="false">IFERROR(VLOOKUP(TRIM($D524), Hoja4_2!$A$2:$L$10000, 5, 0), "Revisar")</f>
        <v>MASCULINO</v>
      </c>
      <c r="H524" s="7" t="str">
        <f aca="false">IFERROR(VLOOKUP(TRIM($D524), Hoja4_2!$A$2:$L$10000, 7, 0), "Revisar")</f>
        <v>MARACAIBO</v>
      </c>
      <c r="I524" s="7" t="str">
        <f aca="false">IFERROR(VLOOKUP(TRIM($D524), Hoja4_2!$A$2:$L$10000, 9, 0), "Revisar")</f>
        <v>ZU</v>
      </c>
      <c r="J524" s="7" t="str">
        <f aca="false">IFERROR(VLOOKUP(TRIM($D524), Hoja4_2!$A$2:$L$10000, 12, 0), "Revisar")</f>
        <v>16607084</v>
      </c>
      <c r="K524" s="8" t="str">
        <f aca="false">TEXT(TRIM(D524),"0")</f>
        <v>34407011</v>
      </c>
      <c r="L524" s="1" t="str">
        <f aca="false">IF(F524="Revisar","NULL",CONCATENATE("'",TEXT(F524,"yyyy-mm-dd"),"'"))</f>
        <v>'2010-12-06'</v>
      </c>
      <c r="M524" s="9" t="str">
        <f aca="false">IF(G524="Revisar","NULL",CONCATENATE("'",MID(G524,1,1),"'"))</f>
        <v>'M'</v>
      </c>
      <c r="N524" s="9" t="str">
        <f aca="false">IF(H524="Revisar","NULL",CONCATENATE("'",H524,"'"))</f>
        <v>'MARACAIBO'</v>
      </c>
      <c r="O524" s="9" t="str">
        <f aca="false">IF(I524="Revisar","NULL",CONCATENATE("'",I524,"'"))</f>
        <v>'ZU'</v>
      </c>
      <c r="P524" s="1" t="str">
        <f aca="false">"UPDATE estudiantes SET fecha_nacimiento="&amp;L524&amp;", sexo="&amp;M524&amp;", lugar_nacimiento="&amp;N524&amp;", entidad_federal="&amp;O524&amp;" WHERE cedula='"&amp;K524&amp;"';"</f>
        <v>UPDATE estudiantes SET fecha_nacimiento='2010-12-06', sexo='M', lugar_nacimiento='MARACAIBO', entidad_federal='ZU' WHERE cedula='34407011';</v>
      </c>
    </row>
    <row r="525" customFormat="false" ht="14.9" hidden="false" customHeight="false" outlineLevel="0" collapsed="false">
      <c r="A525" s="1" t="s">
        <v>15</v>
      </c>
      <c r="B525" s="1" t="s">
        <v>483</v>
      </c>
      <c r="C525" s="1" t="s">
        <v>89</v>
      </c>
      <c r="D525" s="1" t="s">
        <v>551</v>
      </c>
      <c r="E525" s="2" t="n">
        <v>45926</v>
      </c>
      <c r="F525" s="2" t="n">
        <f aca="false">IFERROR(VLOOKUP(TRIM($D525), Hoja4_2!$A$2:$L$10000, 4, 0), "Revisar")</f>
        <v>40451</v>
      </c>
      <c r="G525" s="7" t="str">
        <f aca="false">IFERROR(VLOOKUP(TRIM($D525), Hoja4_2!$A$2:$L$10000, 5, 0), "Revisar")</f>
        <v>FEMENINO</v>
      </c>
      <c r="H525" s="7" t="str">
        <f aca="false">IFERROR(VLOOKUP(TRIM($D525), Hoja4_2!$A$2:$L$10000, 7, 0), "Revisar")</f>
        <v>MARACAIBO</v>
      </c>
      <c r="I525" s="7" t="str">
        <f aca="false">IFERROR(VLOOKUP(TRIM($D525), Hoja4_2!$A$2:$L$10000, 9, 0), "Revisar")</f>
        <v>ZU</v>
      </c>
      <c r="J525" s="7" t="str">
        <f aca="false">IFERROR(VLOOKUP(TRIM($D525), Hoja4_2!$A$2:$L$10000, 12, 0), "Revisar")</f>
        <v>20059356</v>
      </c>
      <c r="K525" s="8" t="str">
        <f aca="false">TEXT(TRIM(D525),"0")</f>
        <v>34407754</v>
      </c>
      <c r="L525" s="1" t="str">
        <f aca="false">IF(F525="Revisar","NULL",CONCATENATE("'",TEXT(F525,"yyyy-mm-dd"),"'"))</f>
        <v>'2010-09-30'</v>
      </c>
      <c r="M525" s="9" t="str">
        <f aca="false">IF(G525="Revisar","NULL",CONCATENATE("'",MID(G525,1,1),"'"))</f>
        <v>'F'</v>
      </c>
      <c r="N525" s="9" t="str">
        <f aca="false">IF(H525="Revisar","NULL",CONCATENATE("'",H525,"'"))</f>
        <v>'MARACAIBO'</v>
      </c>
      <c r="O525" s="9" t="str">
        <f aca="false">IF(I525="Revisar","NULL",CONCATENATE("'",I525,"'"))</f>
        <v>'ZU'</v>
      </c>
      <c r="P525" s="1" t="str">
        <f aca="false">"UPDATE estudiantes SET fecha_nacimiento="&amp;L525&amp;", sexo="&amp;M525&amp;", lugar_nacimiento="&amp;N525&amp;", entidad_federal="&amp;O525&amp;" WHERE cedula='"&amp;K525&amp;"';"</f>
        <v>UPDATE estudiantes SET fecha_nacimiento='2010-09-30', sexo='F', lugar_nacimiento='MARACAIBO', entidad_federal='ZU' WHERE cedula='34407754';</v>
      </c>
    </row>
    <row r="526" customFormat="false" ht="14.9" hidden="false" customHeight="false" outlineLevel="0" collapsed="false">
      <c r="A526" s="1" t="s">
        <v>15</v>
      </c>
      <c r="B526" s="1" t="s">
        <v>483</v>
      </c>
      <c r="C526" s="1" t="s">
        <v>89</v>
      </c>
      <c r="D526" s="1" t="s">
        <v>552</v>
      </c>
      <c r="E526" s="2" t="n">
        <v>45926</v>
      </c>
      <c r="F526" s="2" t="n">
        <f aca="false">IFERROR(VLOOKUP(TRIM($D526), Hoja4_2!$A$2:$L$10000, 4, 0), "Revisar")</f>
        <v>40501</v>
      </c>
      <c r="G526" s="7" t="str">
        <f aca="false">IFERROR(VLOOKUP(TRIM($D526), Hoja4_2!$A$2:$L$10000, 5, 0), "Revisar")</f>
        <v>FEMENINO</v>
      </c>
      <c r="H526" s="7" t="str">
        <f aca="false">IFERROR(VLOOKUP(TRIM($D526), Hoja4_2!$A$2:$L$10000, 7, 0), "Revisar")</f>
        <v>MARACAIBO</v>
      </c>
      <c r="I526" s="7" t="str">
        <f aca="false">IFERROR(VLOOKUP(TRIM($D526), Hoja4_2!$A$2:$L$10000, 9, 0), "Revisar")</f>
        <v>ZU</v>
      </c>
      <c r="J526" s="7" t="str">
        <f aca="false">IFERROR(VLOOKUP(TRIM($D526), Hoja4_2!$A$2:$L$10000, 12, 0), "Revisar")</f>
        <v>22455102</v>
      </c>
      <c r="K526" s="8" t="str">
        <f aca="false">TEXT(TRIM(D526),"0")</f>
        <v>34408110</v>
      </c>
      <c r="L526" s="1" t="str">
        <f aca="false">IF(F526="Revisar","NULL",CONCATENATE("'",TEXT(F526,"yyyy-mm-dd"),"'"))</f>
        <v>'2010-11-19'</v>
      </c>
      <c r="M526" s="9" t="str">
        <f aca="false">IF(G526="Revisar","NULL",CONCATENATE("'",MID(G526,1,1),"'"))</f>
        <v>'F'</v>
      </c>
      <c r="N526" s="9" t="str">
        <f aca="false">IF(H526="Revisar","NULL",CONCATENATE("'",H526,"'"))</f>
        <v>'MARACAIBO'</v>
      </c>
      <c r="O526" s="9" t="str">
        <f aca="false">IF(I526="Revisar","NULL",CONCATENATE("'",I526,"'"))</f>
        <v>'ZU'</v>
      </c>
      <c r="P526" s="1" t="str">
        <f aca="false">"UPDATE estudiantes SET fecha_nacimiento="&amp;L526&amp;", sexo="&amp;M526&amp;", lugar_nacimiento="&amp;N526&amp;", entidad_federal="&amp;O526&amp;" WHERE cedula='"&amp;K526&amp;"';"</f>
        <v>UPDATE estudiantes SET fecha_nacimiento='2010-11-19', sexo='F', lugar_nacimiento='MARACAIBO', entidad_federal='ZU' WHERE cedula='34408110';</v>
      </c>
    </row>
    <row r="527" customFormat="false" ht="14.9" hidden="false" customHeight="false" outlineLevel="0" collapsed="false">
      <c r="A527" s="1" t="s">
        <v>15</v>
      </c>
      <c r="B527" s="1" t="s">
        <v>483</v>
      </c>
      <c r="C527" s="1" t="s">
        <v>89</v>
      </c>
      <c r="D527" s="1" t="s">
        <v>553</v>
      </c>
      <c r="E527" s="2" t="n">
        <v>45926</v>
      </c>
      <c r="F527" s="2" t="n">
        <f aca="false">IFERROR(VLOOKUP(TRIM($D527), Hoja4_2!$A$2:$L$10000, 4, 0), "Revisar")</f>
        <v>40444</v>
      </c>
      <c r="G527" s="7" t="str">
        <f aca="false">IFERROR(VLOOKUP(TRIM($D527), Hoja4_2!$A$2:$L$10000, 5, 0), "Revisar")</f>
        <v>FEMENINO</v>
      </c>
      <c r="H527" s="7" t="str">
        <f aca="false">IFERROR(VLOOKUP(TRIM($D527), Hoja4_2!$A$2:$L$10000, 7, 0), "Revisar")</f>
        <v>MARACAIBO</v>
      </c>
      <c r="I527" s="7" t="str">
        <f aca="false">IFERROR(VLOOKUP(TRIM($D527), Hoja4_2!$A$2:$L$10000, 9, 0), "Revisar")</f>
        <v>ZU</v>
      </c>
      <c r="J527" s="7" t="str">
        <f aca="false">IFERROR(VLOOKUP(TRIM($D527), Hoja4_2!$A$2:$L$10000, 12, 0), "Revisar")</f>
        <v>14137652</v>
      </c>
      <c r="K527" s="8" t="str">
        <f aca="false">TEXT(TRIM(D527),"0")</f>
        <v>34609402</v>
      </c>
      <c r="L527" s="1" t="str">
        <f aca="false">IF(F527="Revisar","NULL",CONCATENATE("'",TEXT(F527,"yyyy-mm-dd"),"'"))</f>
        <v>'2010-09-23'</v>
      </c>
      <c r="M527" s="9" t="str">
        <f aca="false">IF(G527="Revisar","NULL",CONCATENATE("'",MID(G527,1,1),"'"))</f>
        <v>'F'</v>
      </c>
      <c r="N527" s="9" t="str">
        <f aca="false">IF(H527="Revisar","NULL",CONCATENATE("'",H527,"'"))</f>
        <v>'MARACAIBO'</v>
      </c>
      <c r="O527" s="9" t="str">
        <f aca="false">IF(I527="Revisar","NULL",CONCATENATE("'",I527,"'"))</f>
        <v>'ZU'</v>
      </c>
      <c r="P527" s="1" t="str">
        <f aca="false">"UPDATE estudiantes SET fecha_nacimiento="&amp;L527&amp;", sexo="&amp;M527&amp;", lugar_nacimiento="&amp;N527&amp;", entidad_federal="&amp;O527&amp;" WHERE cedula='"&amp;K527&amp;"';"</f>
        <v>UPDATE estudiantes SET fecha_nacimiento='2010-09-23', sexo='F', lugar_nacimiento='MARACAIBO', entidad_federal='ZU' WHERE cedula='34609402';</v>
      </c>
    </row>
    <row r="528" customFormat="false" ht="14.9" hidden="false" customHeight="false" outlineLevel="0" collapsed="false">
      <c r="A528" s="1" t="s">
        <v>15</v>
      </c>
      <c r="B528" s="1" t="s">
        <v>483</v>
      </c>
      <c r="C528" s="1" t="s">
        <v>89</v>
      </c>
      <c r="D528" s="1" t="s">
        <v>554</v>
      </c>
      <c r="E528" s="2" t="n">
        <v>45926</v>
      </c>
      <c r="F528" s="2" t="n">
        <f aca="false">IFERROR(VLOOKUP(TRIM($D528), Hoja4_2!$A$2:$L$10000, 4, 0), "Revisar")</f>
        <v>40798</v>
      </c>
      <c r="G528" s="7" t="str">
        <f aca="false">IFERROR(VLOOKUP(TRIM($D528), Hoja4_2!$A$2:$L$10000, 5, 0), "Revisar")</f>
        <v>MASCULINO</v>
      </c>
      <c r="H528" s="7" t="str">
        <f aca="false">IFERROR(VLOOKUP(TRIM($D528), Hoja4_2!$A$2:$L$10000, 7, 0), "Revisar")</f>
        <v>MARACAIBO</v>
      </c>
      <c r="I528" s="7" t="str">
        <f aca="false">IFERROR(VLOOKUP(TRIM($D528), Hoja4_2!$A$2:$L$10000, 9, 0), "Revisar")</f>
        <v>ZU</v>
      </c>
      <c r="J528" s="7" t="str">
        <f aca="false">IFERROR(VLOOKUP(TRIM($D528), Hoja4_2!$A$2:$L$10000, 12, 0), "Revisar")</f>
        <v>19459272</v>
      </c>
      <c r="K528" s="8" t="str">
        <f aca="false">TEXT(TRIM(D528),"0")</f>
        <v>34620640</v>
      </c>
      <c r="L528" s="1" t="str">
        <f aca="false">IF(F528="Revisar","NULL",CONCATENATE("'",TEXT(F528,"yyyy-mm-dd"),"'"))</f>
        <v>'2011-09-12'</v>
      </c>
      <c r="M528" s="9" t="str">
        <f aca="false">IF(G528="Revisar","NULL",CONCATENATE("'",MID(G528,1,1),"'"))</f>
        <v>'M'</v>
      </c>
      <c r="N528" s="9" t="str">
        <f aca="false">IF(H528="Revisar","NULL",CONCATENATE("'",H528,"'"))</f>
        <v>'MARACAIBO'</v>
      </c>
      <c r="O528" s="9" t="str">
        <f aca="false">IF(I528="Revisar","NULL",CONCATENATE("'",I528,"'"))</f>
        <v>'ZU'</v>
      </c>
      <c r="P528" s="1" t="str">
        <f aca="false">"UPDATE estudiantes SET fecha_nacimiento="&amp;L528&amp;", sexo="&amp;M528&amp;", lugar_nacimiento="&amp;N528&amp;", entidad_federal="&amp;O528&amp;" WHERE cedula='"&amp;K528&amp;"';"</f>
        <v>UPDATE estudiantes SET fecha_nacimiento='2011-09-12', sexo='M', lugar_nacimiento='MARACAIBO', entidad_federal='ZU' WHERE cedula='34620640';</v>
      </c>
    </row>
    <row r="529" customFormat="false" ht="14.9" hidden="false" customHeight="false" outlineLevel="0" collapsed="false">
      <c r="A529" s="1" t="s">
        <v>15</v>
      </c>
      <c r="B529" s="1" t="s">
        <v>483</v>
      </c>
      <c r="C529" s="1" t="s">
        <v>89</v>
      </c>
      <c r="D529" s="1" t="s">
        <v>555</v>
      </c>
      <c r="E529" s="2" t="n">
        <v>45926</v>
      </c>
      <c r="F529" s="2" t="n">
        <f aca="false">IFERROR(VLOOKUP(TRIM($D529), Hoja4_2!$A$2:$L$10000, 4, 0), "Revisar")</f>
        <v>40642</v>
      </c>
      <c r="G529" s="7" t="str">
        <f aca="false">IFERROR(VLOOKUP(TRIM($D529), Hoja4_2!$A$2:$L$10000, 5, 0), "Revisar")</f>
        <v>MASCULINO</v>
      </c>
      <c r="H529" s="7" t="str">
        <f aca="false">IFERROR(VLOOKUP(TRIM($D529), Hoja4_2!$A$2:$L$10000, 7, 0), "Revisar")</f>
        <v>MARACAIBO</v>
      </c>
      <c r="I529" s="7" t="str">
        <f aca="false">IFERROR(VLOOKUP(TRIM($D529), Hoja4_2!$A$2:$L$10000, 9, 0), "Revisar")</f>
        <v>ZU</v>
      </c>
      <c r="J529" s="7" t="str">
        <f aca="false">IFERROR(VLOOKUP(TRIM($D529), Hoja4_2!$A$2:$L$10000, 12, 0), "Revisar")</f>
        <v>20146118</v>
      </c>
      <c r="K529" s="8" t="str">
        <f aca="false">TEXT(TRIM(D529),"0")</f>
        <v>34620848</v>
      </c>
      <c r="L529" s="1" t="str">
        <f aca="false">IF(F529="Revisar","NULL",CONCATENATE("'",TEXT(F529,"yyyy-mm-dd"),"'"))</f>
        <v>'2011-04-09'</v>
      </c>
      <c r="M529" s="9" t="str">
        <f aca="false">IF(G529="Revisar","NULL",CONCATENATE("'",MID(G529,1,1),"'"))</f>
        <v>'M'</v>
      </c>
      <c r="N529" s="9" t="str">
        <f aca="false">IF(H529="Revisar","NULL",CONCATENATE("'",H529,"'"))</f>
        <v>'MARACAIBO'</v>
      </c>
      <c r="O529" s="9" t="str">
        <f aca="false">IF(I529="Revisar","NULL",CONCATENATE("'",I529,"'"))</f>
        <v>'ZU'</v>
      </c>
      <c r="P529" s="1" t="str">
        <f aca="false">"UPDATE estudiantes SET fecha_nacimiento="&amp;L529&amp;", sexo="&amp;M529&amp;", lugar_nacimiento="&amp;N529&amp;", entidad_federal="&amp;O529&amp;" WHERE cedula='"&amp;K529&amp;"';"</f>
        <v>UPDATE estudiantes SET fecha_nacimiento='2011-04-09', sexo='M', lugar_nacimiento='MARACAIBO', entidad_federal='ZU' WHERE cedula='34620848';</v>
      </c>
    </row>
    <row r="530" customFormat="false" ht="14.9" hidden="false" customHeight="false" outlineLevel="0" collapsed="false">
      <c r="A530" s="1" t="s">
        <v>15</v>
      </c>
      <c r="B530" s="1" t="s">
        <v>483</v>
      </c>
      <c r="C530" s="1" t="s">
        <v>89</v>
      </c>
      <c r="D530" s="1" t="s">
        <v>556</v>
      </c>
      <c r="E530" s="2" t="n">
        <v>45926</v>
      </c>
      <c r="F530" s="2" t="n">
        <f aca="false">IFERROR(VLOOKUP(TRIM($D530), Hoja4_2!$A$2:$L$10000, 4, 0), "Revisar")</f>
        <v>40371</v>
      </c>
      <c r="G530" s="7" t="str">
        <f aca="false">IFERROR(VLOOKUP(TRIM($D530), Hoja4_2!$A$2:$L$10000, 5, 0), "Revisar")</f>
        <v>MASCULINO</v>
      </c>
      <c r="H530" s="7" t="str">
        <f aca="false">IFERROR(VLOOKUP(TRIM($D530), Hoja4_2!$A$2:$L$10000, 7, 0), "Revisar")</f>
        <v>MARACAIBO</v>
      </c>
      <c r="I530" s="7" t="str">
        <f aca="false">IFERROR(VLOOKUP(TRIM($D530), Hoja4_2!$A$2:$L$10000, 9, 0), "Revisar")</f>
        <v>ZU</v>
      </c>
      <c r="J530" s="7" t="str">
        <f aca="false">IFERROR(VLOOKUP(TRIM($D530), Hoja4_2!$A$2:$L$10000, 12, 0), "Revisar")</f>
        <v>21354520</v>
      </c>
      <c r="K530" s="8" t="str">
        <f aca="false">TEXT(TRIM(D530),"0")</f>
        <v>34743560</v>
      </c>
      <c r="L530" s="1" t="str">
        <f aca="false">IF(F530="Revisar","NULL",CONCATENATE("'",TEXT(F530,"yyyy-mm-dd"),"'"))</f>
        <v>'2010-07-12'</v>
      </c>
      <c r="M530" s="9" t="str">
        <f aca="false">IF(G530="Revisar","NULL",CONCATENATE("'",MID(G530,1,1),"'"))</f>
        <v>'M'</v>
      </c>
      <c r="N530" s="9" t="str">
        <f aca="false">IF(H530="Revisar","NULL",CONCATENATE("'",H530,"'"))</f>
        <v>'MARACAIBO'</v>
      </c>
      <c r="O530" s="9" t="str">
        <f aca="false">IF(I530="Revisar","NULL",CONCATENATE("'",I530,"'"))</f>
        <v>'ZU'</v>
      </c>
      <c r="P530" s="1" t="str">
        <f aca="false">"UPDATE estudiantes SET fecha_nacimiento="&amp;L530&amp;", sexo="&amp;M530&amp;", lugar_nacimiento="&amp;N530&amp;", entidad_federal="&amp;O530&amp;" WHERE cedula='"&amp;K530&amp;"';"</f>
        <v>UPDATE estudiantes SET fecha_nacimiento='2010-07-12', sexo='M', lugar_nacimiento='MARACAIBO', entidad_federal='ZU' WHERE cedula='34743560';</v>
      </c>
    </row>
    <row r="531" customFormat="false" ht="14.9" hidden="false" customHeight="false" outlineLevel="0" collapsed="false">
      <c r="A531" s="1" t="s">
        <v>15</v>
      </c>
      <c r="B531" s="1" t="s">
        <v>483</v>
      </c>
      <c r="C531" s="1" t="s">
        <v>89</v>
      </c>
      <c r="D531" s="1" t="s">
        <v>557</v>
      </c>
      <c r="E531" s="2" t="n">
        <v>45926</v>
      </c>
      <c r="F531" s="2" t="n">
        <f aca="false">IFERROR(VLOOKUP(TRIM($D531), Hoja4_2!$A$2:$L$10000, 4, 0), "Revisar")</f>
        <v>40290</v>
      </c>
      <c r="G531" s="7" t="str">
        <f aca="false">IFERROR(VLOOKUP(TRIM($D531), Hoja4_2!$A$2:$L$10000, 5, 0), "Revisar")</f>
        <v>FEMENINO</v>
      </c>
      <c r="H531" s="7" t="str">
        <f aca="false">IFERROR(VLOOKUP(TRIM($D531), Hoja4_2!$A$2:$L$10000, 7, 0), "Revisar")</f>
        <v>MARACAIBO</v>
      </c>
      <c r="I531" s="7" t="str">
        <f aca="false">IFERROR(VLOOKUP(TRIM($D531), Hoja4_2!$A$2:$L$10000, 9, 0), "Revisar")</f>
        <v>ZU</v>
      </c>
      <c r="J531" s="7" t="str">
        <f aca="false">IFERROR(VLOOKUP(TRIM($D531), Hoja4_2!$A$2:$L$10000, 12, 0), "Revisar")</f>
        <v>15889490</v>
      </c>
      <c r="K531" s="8" t="str">
        <f aca="false">TEXT(TRIM(D531),"0")</f>
        <v>34755554</v>
      </c>
      <c r="L531" s="1" t="str">
        <f aca="false">IF(F531="Revisar","NULL",CONCATENATE("'",TEXT(F531,"yyyy-mm-dd"),"'"))</f>
        <v>'2010-04-22'</v>
      </c>
      <c r="M531" s="9" t="str">
        <f aca="false">IF(G531="Revisar","NULL",CONCATENATE("'",MID(G531,1,1),"'"))</f>
        <v>'F'</v>
      </c>
      <c r="N531" s="9" t="str">
        <f aca="false">IF(H531="Revisar","NULL",CONCATENATE("'",H531,"'"))</f>
        <v>'MARACAIBO'</v>
      </c>
      <c r="O531" s="9" t="str">
        <f aca="false">IF(I531="Revisar","NULL",CONCATENATE("'",I531,"'"))</f>
        <v>'ZU'</v>
      </c>
      <c r="P531" s="1" t="str">
        <f aca="false">"UPDATE estudiantes SET fecha_nacimiento="&amp;L531&amp;", sexo="&amp;M531&amp;", lugar_nacimiento="&amp;N531&amp;", entidad_federal="&amp;O531&amp;" WHERE cedula='"&amp;K531&amp;"';"</f>
        <v>UPDATE estudiantes SET fecha_nacimiento='2010-04-22', sexo='F', lugar_nacimiento='MARACAIBO', entidad_federal='ZU' WHERE cedula='34755554';</v>
      </c>
    </row>
    <row r="532" customFormat="false" ht="14.9" hidden="false" customHeight="false" outlineLevel="0" collapsed="false">
      <c r="A532" s="1" t="s">
        <v>15</v>
      </c>
      <c r="B532" s="1" t="s">
        <v>483</v>
      </c>
      <c r="C532" s="1" t="s">
        <v>89</v>
      </c>
      <c r="D532" s="1" t="s">
        <v>558</v>
      </c>
      <c r="E532" s="2" t="n">
        <v>45926</v>
      </c>
      <c r="F532" s="2" t="n">
        <f aca="false">IFERROR(VLOOKUP(TRIM($D532), Hoja4_2!$A$2:$L$10000, 4, 0), "Revisar")</f>
        <v>40180</v>
      </c>
      <c r="G532" s="7" t="str">
        <f aca="false">IFERROR(VLOOKUP(TRIM($D532), Hoja4_2!$A$2:$L$10000, 5, 0), "Revisar")</f>
        <v>FEMENINO</v>
      </c>
      <c r="H532" s="7" t="str">
        <f aca="false">IFERROR(VLOOKUP(TRIM($D532), Hoja4_2!$A$2:$L$10000, 7, 0), "Revisar")</f>
        <v>MARACAIBO</v>
      </c>
      <c r="I532" s="7" t="str">
        <f aca="false">IFERROR(VLOOKUP(TRIM($D532), Hoja4_2!$A$2:$L$10000, 9, 0), "Revisar")</f>
        <v>ZU</v>
      </c>
      <c r="J532" s="7" t="str">
        <f aca="false">IFERROR(VLOOKUP(TRIM($D532), Hoja4_2!$A$2:$L$10000, 12, 0), "Revisar")</f>
        <v>23466542</v>
      </c>
      <c r="K532" s="8" t="str">
        <f aca="false">TEXT(TRIM(D532),"0")</f>
        <v>34804310</v>
      </c>
      <c r="L532" s="1" t="str">
        <f aca="false">IF(F532="Revisar","NULL",CONCATENATE("'",TEXT(F532,"yyyy-mm-dd"),"'"))</f>
        <v>'2010-01-02'</v>
      </c>
      <c r="M532" s="9" t="str">
        <f aca="false">IF(G532="Revisar","NULL",CONCATENATE("'",MID(G532,1,1),"'"))</f>
        <v>'F'</v>
      </c>
      <c r="N532" s="9" t="str">
        <f aca="false">IF(H532="Revisar","NULL",CONCATENATE("'",H532,"'"))</f>
        <v>'MARACAIBO'</v>
      </c>
      <c r="O532" s="9" t="str">
        <f aca="false">IF(I532="Revisar","NULL",CONCATENATE("'",I532,"'"))</f>
        <v>'ZU'</v>
      </c>
      <c r="P532" s="1" t="str">
        <f aca="false">"UPDATE estudiantes SET fecha_nacimiento="&amp;L532&amp;", sexo="&amp;M532&amp;", lugar_nacimiento="&amp;N532&amp;", entidad_federal="&amp;O532&amp;" WHERE cedula='"&amp;K532&amp;"';"</f>
        <v>UPDATE estudiantes SET fecha_nacimiento='2010-01-02', sexo='F', lugar_nacimiento='MARACAIBO', entidad_federal='ZU' WHERE cedula='34804310';</v>
      </c>
    </row>
    <row r="533" customFormat="false" ht="14.9" hidden="false" customHeight="false" outlineLevel="0" collapsed="false">
      <c r="A533" s="1" t="s">
        <v>15</v>
      </c>
      <c r="B533" s="1" t="s">
        <v>483</v>
      </c>
      <c r="C533" s="1" t="s">
        <v>89</v>
      </c>
      <c r="D533" s="1" t="s">
        <v>559</v>
      </c>
      <c r="E533" s="2" t="n">
        <v>45926</v>
      </c>
      <c r="F533" s="2" t="n">
        <f aca="false">IFERROR(VLOOKUP(TRIM($D533), Hoja4_2!$A$2:$L$10000, 4, 0), "Revisar")</f>
        <v>40466</v>
      </c>
      <c r="G533" s="7" t="str">
        <f aca="false">IFERROR(VLOOKUP(TRIM($D533), Hoja4_2!$A$2:$L$10000, 5, 0), "Revisar")</f>
        <v>FEMENINO</v>
      </c>
      <c r="H533" s="7" t="str">
        <f aca="false">IFERROR(VLOOKUP(TRIM($D533), Hoja4_2!$A$2:$L$10000, 7, 0), "Revisar")</f>
        <v>MARACAIBO</v>
      </c>
      <c r="I533" s="7" t="str">
        <f aca="false">IFERROR(VLOOKUP(TRIM($D533), Hoja4_2!$A$2:$L$10000, 9, 0), "Revisar")</f>
        <v>ZU</v>
      </c>
      <c r="J533" s="7" t="str">
        <f aca="false">IFERROR(VLOOKUP(TRIM($D533), Hoja4_2!$A$2:$L$10000, 12, 0), "Revisar")</f>
        <v>15193788</v>
      </c>
      <c r="K533" s="8" t="str">
        <f aca="false">TEXT(TRIM(D533),"0")</f>
        <v>34850856</v>
      </c>
      <c r="L533" s="1" t="str">
        <f aca="false">IF(F533="Revisar","NULL",CONCATENATE("'",TEXT(F533,"yyyy-mm-dd"),"'"))</f>
        <v>'2010-10-15'</v>
      </c>
      <c r="M533" s="9" t="str">
        <f aca="false">IF(G533="Revisar","NULL",CONCATENATE("'",MID(G533,1,1),"'"))</f>
        <v>'F'</v>
      </c>
      <c r="N533" s="9" t="str">
        <f aca="false">IF(H533="Revisar","NULL",CONCATENATE("'",H533,"'"))</f>
        <v>'MARACAIBO'</v>
      </c>
      <c r="O533" s="9" t="str">
        <f aca="false">IF(I533="Revisar","NULL",CONCATENATE("'",I533,"'"))</f>
        <v>'ZU'</v>
      </c>
      <c r="P533" s="1" t="str">
        <f aca="false">"UPDATE estudiantes SET fecha_nacimiento="&amp;L533&amp;", sexo="&amp;M533&amp;", lugar_nacimiento="&amp;N533&amp;", entidad_federal="&amp;O533&amp;" WHERE cedula='"&amp;K533&amp;"';"</f>
        <v>UPDATE estudiantes SET fecha_nacimiento='2010-10-15', sexo='F', lugar_nacimiento='MARACAIBO', entidad_federal='ZU' WHERE cedula='34850856';</v>
      </c>
    </row>
    <row r="534" customFormat="false" ht="14.9" hidden="false" customHeight="false" outlineLevel="0" collapsed="false">
      <c r="A534" s="1" t="s">
        <v>15</v>
      </c>
      <c r="B534" s="1" t="s">
        <v>483</v>
      </c>
      <c r="C534" s="1" t="s">
        <v>89</v>
      </c>
      <c r="D534" s="1" t="s">
        <v>560</v>
      </c>
      <c r="E534" s="2" t="n">
        <v>45926</v>
      </c>
      <c r="F534" s="2" t="n">
        <f aca="false">IFERROR(VLOOKUP(TRIM($D534), Hoja4_2!$A$2:$L$10000, 4, 0), "Revisar")</f>
        <v>40512</v>
      </c>
      <c r="G534" s="7" t="str">
        <f aca="false">IFERROR(VLOOKUP(TRIM($D534), Hoja4_2!$A$2:$L$10000, 5, 0), "Revisar")</f>
        <v>MASCULINO</v>
      </c>
      <c r="H534" s="7" t="str">
        <f aca="false">IFERROR(VLOOKUP(TRIM($D534), Hoja4_2!$A$2:$L$10000, 7, 0), "Revisar")</f>
        <v>MARACAIBO</v>
      </c>
      <c r="I534" s="7" t="str">
        <f aca="false">IFERROR(VLOOKUP(TRIM($D534), Hoja4_2!$A$2:$L$10000, 9, 0), "Revisar")</f>
        <v>ZU</v>
      </c>
      <c r="J534" s="7" t="str">
        <f aca="false">IFERROR(VLOOKUP(TRIM($D534), Hoja4_2!$A$2:$L$10000, 12, 0), "Revisar")</f>
        <v>17565202</v>
      </c>
      <c r="K534" s="8" t="str">
        <f aca="false">TEXT(TRIM(D534),"0")</f>
        <v>34920952</v>
      </c>
      <c r="L534" s="1" t="str">
        <f aca="false">IF(F534="Revisar","NULL",CONCATENATE("'",TEXT(F534,"yyyy-mm-dd"),"'"))</f>
        <v>'2010-11-30'</v>
      </c>
      <c r="M534" s="9" t="str">
        <f aca="false">IF(G534="Revisar","NULL",CONCATENATE("'",MID(G534,1,1),"'"))</f>
        <v>'M'</v>
      </c>
      <c r="N534" s="9" t="str">
        <f aca="false">IF(H534="Revisar","NULL",CONCATENATE("'",H534,"'"))</f>
        <v>'MARACAIBO'</v>
      </c>
      <c r="O534" s="9" t="str">
        <f aca="false">IF(I534="Revisar","NULL",CONCATENATE("'",I534,"'"))</f>
        <v>'ZU'</v>
      </c>
      <c r="P534" s="1" t="str">
        <f aca="false">"UPDATE estudiantes SET fecha_nacimiento="&amp;L534&amp;", sexo="&amp;M534&amp;", lugar_nacimiento="&amp;N534&amp;", entidad_federal="&amp;O534&amp;" WHERE cedula='"&amp;K534&amp;"';"</f>
        <v>UPDATE estudiantes SET fecha_nacimiento='2010-11-30', sexo='M', lugar_nacimiento='MARACAIBO', entidad_federal='ZU' WHERE cedula='34920952';</v>
      </c>
    </row>
    <row r="535" customFormat="false" ht="14.9" hidden="false" customHeight="false" outlineLevel="0" collapsed="false">
      <c r="A535" s="1" t="s">
        <v>15</v>
      </c>
      <c r="B535" s="1" t="s">
        <v>483</v>
      </c>
      <c r="C535" s="1" t="s">
        <v>89</v>
      </c>
      <c r="D535" s="1" t="s">
        <v>561</v>
      </c>
      <c r="E535" s="2" t="n">
        <v>45926</v>
      </c>
      <c r="F535" s="2" t="n">
        <f aca="false">IFERROR(VLOOKUP(TRIM($D535), Hoja4_2!$A$2:$L$10000, 4, 0), "Revisar")</f>
        <v>40012</v>
      </c>
      <c r="G535" s="7" t="str">
        <f aca="false">IFERROR(VLOOKUP(TRIM($D535), Hoja4_2!$A$2:$L$10000, 5, 0), "Revisar")</f>
        <v>FEMENINO</v>
      </c>
      <c r="H535" s="7" t="str">
        <f aca="false">IFERROR(VLOOKUP(TRIM($D535), Hoja4_2!$A$2:$L$10000, 7, 0), "Revisar")</f>
        <v>MARACAIBO</v>
      </c>
      <c r="I535" s="7" t="str">
        <f aca="false">IFERROR(VLOOKUP(TRIM($D535), Hoja4_2!$A$2:$L$10000, 9, 0), "Revisar")</f>
        <v>ZU</v>
      </c>
      <c r="J535" s="7" t="str">
        <f aca="false">IFERROR(VLOOKUP(TRIM($D535), Hoja4_2!$A$2:$L$10000, 12, 0), "Revisar")</f>
        <v>13879716</v>
      </c>
      <c r="K535" s="8" t="str">
        <f aca="false">TEXT(TRIM(D535),"0")</f>
        <v>35065480</v>
      </c>
      <c r="L535" s="1" t="str">
        <f aca="false">IF(F535="Revisar","NULL",CONCATENATE("'",TEXT(F535,"yyyy-mm-dd"),"'"))</f>
        <v>'2009-07-18'</v>
      </c>
      <c r="M535" s="9" t="str">
        <f aca="false">IF(G535="Revisar","NULL",CONCATENATE("'",MID(G535,1,1),"'"))</f>
        <v>'F'</v>
      </c>
      <c r="N535" s="9" t="str">
        <f aca="false">IF(H535="Revisar","NULL",CONCATENATE("'",H535,"'"))</f>
        <v>'MARACAIBO'</v>
      </c>
      <c r="O535" s="9" t="str">
        <f aca="false">IF(I535="Revisar","NULL",CONCATENATE("'",I535,"'"))</f>
        <v>'ZU'</v>
      </c>
      <c r="P535" s="1" t="str">
        <f aca="false">"UPDATE estudiantes SET fecha_nacimiento="&amp;L535&amp;", sexo="&amp;M535&amp;", lugar_nacimiento="&amp;N535&amp;", entidad_federal="&amp;O535&amp;" WHERE cedula='"&amp;K535&amp;"';"</f>
        <v>UPDATE estudiantes SET fecha_nacimiento='2009-07-18', sexo='F', lugar_nacimiento='MARACAIBO', entidad_federal='ZU' WHERE cedula='35065480';</v>
      </c>
    </row>
    <row r="536" customFormat="false" ht="14.9" hidden="false" customHeight="false" outlineLevel="0" collapsed="false">
      <c r="A536" s="1" t="s">
        <v>15</v>
      </c>
      <c r="B536" s="1" t="s">
        <v>483</v>
      </c>
      <c r="C536" s="1" t="s">
        <v>89</v>
      </c>
      <c r="D536" s="1" t="s">
        <v>562</v>
      </c>
      <c r="E536" s="2" t="n">
        <v>45926</v>
      </c>
      <c r="F536" s="2" t="n">
        <f aca="false">IFERROR(VLOOKUP(TRIM($D536), Hoja4_2!$A$2:$L$10000, 4, 0), "Revisar")</f>
        <v>40281</v>
      </c>
      <c r="G536" s="7" t="str">
        <f aca="false">IFERROR(VLOOKUP(TRIM($D536), Hoja4_2!$A$2:$L$10000, 5, 0), "Revisar")</f>
        <v>FEMENINO</v>
      </c>
      <c r="H536" s="7" t="str">
        <f aca="false">IFERROR(VLOOKUP(TRIM($D536), Hoja4_2!$A$2:$L$10000, 7, 0), "Revisar")</f>
        <v>MARACAIBO</v>
      </c>
      <c r="I536" s="7" t="str">
        <f aca="false">IFERROR(VLOOKUP(TRIM($D536), Hoja4_2!$A$2:$L$10000, 9, 0), "Revisar")</f>
        <v>ZU</v>
      </c>
      <c r="J536" s="7" t="str">
        <f aca="false">IFERROR(VLOOKUP(TRIM($D536), Hoja4_2!$A$2:$L$10000, 12, 0), "Revisar")</f>
        <v>19810133</v>
      </c>
      <c r="K536" s="8" t="str">
        <f aca="false">TEXT(TRIM(D536),"0")</f>
        <v>36371651</v>
      </c>
      <c r="L536" s="1" t="str">
        <f aca="false">IF(F536="Revisar","NULL",CONCATENATE("'",TEXT(F536,"yyyy-mm-dd"),"'"))</f>
        <v>'2010-04-13'</v>
      </c>
      <c r="M536" s="9" t="str">
        <f aca="false">IF(G536="Revisar","NULL",CONCATENATE("'",MID(G536,1,1),"'"))</f>
        <v>'F'</v>
      </c>
      <c r="N536" s="9" t="str">
        <f aca="false">IF(H536="Revisar","NULL",CONCATENATE("'",H536,"'"))</f>
        <v>'MARACAIBO'</v>
      </c>
      <c r="O536" s="9" t="str">
        <f aca="false">IF(I536="Revisar","NULL",CONCATENATE("'",I536,"'"))</f>
        <v>'ZU'</v>
      </c>
      <c r="P536" s="1" t="str">
        <f aca="false">"UPDATE estudiantes SET fecha_nacimiento="&amp;L536&amp;", sexo="&amp;M536&amp;", lugar_nacimiento="&amp;N536&amp;", entidad_federal="&amp;O536&amp;" WHERE cedula='"&amp;K536&amp;"';"</f>
        <v>UPDATE estudiantes SET fecha_nacimiento='2010-04-13', sexo='F', lugar_nacimiento='MARACAIBO', entidad_federal='ZU' WHERE cedula='36371651';</v>
      </c>
    </row>
    <row r="537" customFormat="false" ht="14.9" hidden="false" customHeight="false" outlineLevel="0" collapsed="false">
      <c r="A537" s="1" t="s">
        <v>15</v>
      </c>
      <c r="B537" s="1" t="s">
        <v>483</v>
      </c>
      <c r="C537" s="1" t="s">
        <v>89</v>
      </c>
      <c r="D537" s="1" t="s">
        <v>563</v>
      </c>
      <c r="E537" s="2" t="n">
        <v>45926</v>
      </c>
      <c r="F537" s="2" t="n">
        <f aca="false">IFERROR(VLOOKUP(TRIM($D537), Hoja4_2!$A$2:$L$10000, 4, 0), "Revisar")</f>
        <v>39522</v>
      </c>
      <c r="G537" s="7" t="str">
        <f aca="false">IFERROR(VLOOKUP(TRIM($D537), Hoja4_2!$A$2:$L$10000, 5, 0), "Revisar")</f>
        <v>FEMENINO</v>
      </c>
      <c r="H537" s="7" t="str">
        <f aca="false">IFERROR(VLOOKUP(TRIM($D537), Hoja4_2!$A$2:$L$10000, 7, 0), "Revisar")</f>
        <v>MARACAIBO</v>
      </c>
      <c r="I537" s="7" t="str">
        <f aca="false">IFERROR(VLOOKUP(TRIM($D537), Hoja4_2!$A$2:$L$10000, 9, 0), "Revisar")</f>
        <v>ZU</v>
      </c>
      <c r="J537" s="7" t="str">
        <f aca="false">IFERROR(VLOOKUP(TRIM($D537), Hoja4_2!$A$2:$L$10000, 12, 0), "Revisar")</f>
        <v>17940543</v>
      </c>
      <c r="K537" s="8" t="str">
        <f aca="false">TEXT(TRIM(D537),"0")</f>
        <v>10817940543</v>
      </c>
      <c r="L537" s="1" t="str">
        <f aca="false">IF(F537="Revisar","NULL",CONCATENATE("'",TEXT(F537,"yyyy-mm-dd"),"'"))</f>
        <v>'2008-03-15'</v>
      </c>
      <c r="M537" s="9" t="str">
        <f aca="false">IF(G537="Revisar","NULL",CONCATENATE("'",MID(G537,1,1),"'"))</f>
        <v>'F'</v>
      </c>
      <c r="N537" s="9" t="str">
        <f aca="false">IF(H537="Revisar","NULL",CONCATENATE("'",H537,"'"))</f>
        <v>'MARACAIBO'</v>
      </c>
      <c r="O537" s="9" t="str">
        <f aca="false">IF(I537="Revisar","NULL",CONCATENATE("'",I537,"'"))</f>
        <v>'ZU'</v>
      </c>
      <c r="P537" s="1" t="str">
        <f aca="false">"UPDATE estudiantes SET fecha_nacimiento="&amp;L537&amp;", sexo="&amp;M537&amp;", lugar_nacimiento="&amp;N537&amp;", entidad_federal="&amp;O537&amp;" WHERE cedula='"&amp;K537&amp;"';"</f>
        <v>UPDATE estudiantes SET fecha_nacimiento='2008-03-15', sexo='F', lugar_nacimiento='MARACAIBO', entidad_federal='ZU' WHERE cedula='10817940543';</v>
      </c>
    </row>
    <row r="538" customFormat="false" ht="14.9" hidden="false" customHeight="false" outlineLevel="0" collapsed="false">
      <c r="A538" s="1" t="s">
        <v>15</v>
      </c>
      <c r="B538" s="1" t="s">
        <v>483</v>
      </c>
      <c r="C538" s="1" t="s">
        <v>89</v>
      </c>
      <c r="D538" s="1" t="s">
        <v>564</v>
      </c>
      <c r="E538" s="2" t="n">
        <v>45926</v>
      </c>
      <c r="F538" s="2" t="n">
        <f aca="false">IFERROR(VLOOKUP(TRIM($D538), Hoja4_2!$A$2:$L$10000, 4, 0), "Revisar")</f>
        <v>40150</v>
      </c>
      <c r="G538" s="7" t="str">
        <f aca="false">IFERROR(VLOOKUP(TRIM($D538), Hoja4_2!$A$2:$L$10000, 5, 0), "Revisar")</f>
        <v>MASCULINO</v>
      </c>
      <c r="H538" s="7" t="str">
        <f aca="false">IFERROR(VLOOKUP(TRIM($D538), Hoja4_2!$A$2:$L$10000, 7, 0), "Revisar")</f>
        <v>MARACAIBO</v>
      </c>
      <c r="I538" s="7" t="str">
        <f aca="false">IFERROR(VLOOKUP(TRIM($D538), Hoja4_2!$A$2:$L$10000, 9, 0), "Revisar")</f>
        <v>ZU</v>
      </c>
      <c r="J538" s="7" t="str">
        <f aca="false">IFERROR(VLOOKUP(TRIM($D538), Hoja4_2!$A$2:$L$10000, 12, 0), "Revisar")</f>
        <v>17940543</v>
      </c>
      <c r="K538" s="8" t="str">
        <f aca="false">TEXT(TRIM(D538),"0")</f>
        <v>10917940543</v>
      </c>
      <c r="L538" s="1" t="str">
        <f aca="false">IF(F538="Revisar","NULL",CONCATENATE("'",TEXT(F538,"yyyy-mm-dd"),"'"))</f>
        <v>'2009-12-03'</v>
      </c>
      <c r="M538" s="9" t="str">
        <f aca="false">IF(G538="Revisar","NULL",CONCATENATE("'",MID(G538,1,1),"'"))</f>
        <v>'M'</v>
      </c>
      <c r="N538" s="9" t="str">
        <f aca="false">IF(H538="Revisar","NULL",CONCATENATE("'",H538,"'"))</f>
        <v>'MARACAIBO'</v>
      </c>
      <c r="O538" s="9" t="str">
        <f aca="false">IF(I538="Revisar","NULL",CONCATENATE("'",I538,"'"))</f>
        <v>'ZU'</v>
      </c>
      <c r="P538" s="1" t="str">
        <f aca="false">"UPDATE estudiantes SET fecha_nacimiento="&amp;L538&amp;", sexo="&amp;M538&amp;", lugar_nacimiento="&amp;N538&amp;", entidad_federal="&amp;O538&amp;" WHERE cedula='"&amp;K538&amp;"';"</f>
        <v>UPDATE estudiantes SET fecha_nacimiento='2009-12-03', sexo='M', lugar_nacimiento='MARACAIBO', entidad_federal='ZU' WHERE cedula='10917940543';</v>
      </c>
    </row>
    <row r="539" customFormat="false" ht="14.9" hidden="false" customHeight="false" outlineLevel="0" collapsed="false">
      <c r="A539" s="1" t="s">
        <v>15</v>
      </c>
      <c r="B539" s="1" t="s">
        <v>483</v>
      </c>
      <c r="C539" s="1" t="s">
        <v>89</v>
      </c>
      <c r="D539" s="1" t="s">
        <v>565</v>
      </c>
      <c r="E539" s="2" t="n">
        <v>45926</v>
      </c>
      <c r="F539" s="2" t="n">
        <f aca="false">IFERROR(VLOOKUP(TRIM($D539), Hoja4_2!$A$2:$L$10000, 4, 0), "Revisar")</f>
        <v>39872</v>
      </c>
      <c r="G539" s="7" t="str">
        <f aca="false">IFERROR(VLOOKUP(TRIM($D539), Hoja4_2!$A$2:$L$10000, 5, 0), "Revisar")</f>
        <v>MASCULINO</v>
      </c>
      <c r="H539" s="7" t="str">
        <f aca="false">IFERROR(VLOOKUP(TRIM($D539), Hoja4_2!$A$2:$L$10000, 7, 0), "Revisar")</f>
        <v>MARACAIBO</v>
      </c>
      <c r="I539" s="7" t="str">
        <f aca="false">IFERROR(VLOOKUP(TRIM($D539), Hoja4_2!$A$2:$L$10000, 9, 0), "Revisar")</f>
        <v>ZU</v>
      </c>
      <c r="J539" s="7" t="str">
        <f aca="false">IFERROR(VLOOKUP(TRIM($D539), Hoja4_2!$A$2:$L$10000, 12, 0), "Revisar")</f>
        <v>20204594</v>
      </c>
      <c r="K539" s="8" t="str">
        <f aca="false">TEXT(TRIM(D539),"0")</f>
        <v>10920204594</v>
      </c>
      <c r="L539" s="1" t="str">
        <f aca="false">IF(F539="Revisar","NULL",CONCATENATE("'",TEXT(F539,"yyyy-mm-dd"),"'"))</f>
        <v>'2009-02-28'</v>
      </c>
      <c r="M539" s="9" t="str">
        <f aca="false">IF(G539="Revisar","NULL",CONCATENATE("'",MID(G539,1,1),"'"))</f>
        <v>'M'</v>
      </c>
      <c r="N539" s="9" t="str">
        <f aca="false">IF(H539="Revisar","NULL",CONCATENATE("'",H539,"'"))</f>
        <v>'MARACAIBO'</v>
      </c>
      <c r="O539" s="9" t="str">
        <f aca="false">IF(I539="Revisar","NULL",CONCATENATE("'",I539,"'"))</f>
        <v>'ZU'</v>
      </c>
      <c r="P539" s="1" t="str">
        <f aca="false">"UPDATE estudiantes SET fecha_nacimiento="&amp;L539&amp;", sexo="&amp;M539&amp;", lugar_nacimiento="&amp;N539&amp;", entidad_federal="&amp;O539&amp;" WHERE cedula='"&amp;K539&amp;"';"</f>
        <v>UPDATE estudiantes SET fecha_nacimiento='2009-02-28', sexo='M', lugar_nacimiento='MARACAIBO', entidad_federal='ZU' WHERE cedula='10920204594';</v>
      </c>
    </row>
    <row r="540" customFormat="false" ht="14.9" hidden="false" customHeight="false" outlineLevel="0" collapsed="false">
      <c r="A540" s="1" t="s">
        <v>15</v>
      </c>
      <c r="B540" s="1" t="s">
        <v>483</v>
      </c>
      <c r="C540" s="1" t="s">
        <v>89</v>
      </c>
      <c r="D540" s="1" t="s">
        <v>566</v>
      </c>
      <c r="E540" s="2" t="n">
        <v>45926</v>
      </c>
      <c r="F540" s="2" t="n">
        <f aca="false">IFERROR(VLOOKUP(TRIM($D540), Hoja4_2!$A$2:$L$10000, 4, 0), "Revisar")</f>
        <v>40375</v>
      </c>
      <c r="G540" s="7" t="str">
        <f aca="false">IFERROR(VLOOKUP(TRIM($D540), Hoja4_2!$A$2:$L$10000, 5, 0), "Revisar")</f>
        <v>FEMENINO</v>
      </c>
      <c r="H540" s="7" t="str">
        <f aca="false">IFERROR(VLOOKUP(TRIM($D540), Hoja4_2!$A$2:$L$10000, 7, 0), "Revisar")</f>
        <v>JESUS ENRIQUE LOSSADA</v>
      </c>
      <c r="I540" s="7" t="str">
        <f aca="false">IFERROR(VLOOKUP(TRIM($D540), Hoja4_2!$A$2:$L$10000, 9, 0), "Revisar")</f>
        <v>ZU</v>
      </c>
      <c r="J540" s="7" t="str">
        <f aca="false">IFERROR(VLOOKUP(TRIM($D540), Hoja4_2!$A$2:$L$10000, 12, 0), "Revisar")</f>
        <v>15280159</v>
      </c>
      <c r="K540" s="8" t="str">
        <f aca="false">TEXT(TRIM(D540),"0")</f>
        <v>11015280159</v>
      </c>
      <c r="L540" s="1" t="str">
        <f aca="false">IF(F540="Revisar","NULL",CONCATENATE("'",TEXT(F540,"yyyy-mm-dd"),"'"))</f>
        <v>'2010-07-16'</v>
      </c>
      <c r="M540" s="9" t="str">
        <f aca="false">IF(G540="Revisar","NULL",CONCATENATE("'",MID(G540,1,1),"'"))</f>
        <v>'F'</v>
      </c>
      <c r="N540" s="9" t="str">
        <f aca="false">IF(H540="Revisar","NULL",CONCATENATE("'",H540,"'"))</f>
        <v>'JESUS ENRIQUE LOSSADA'</v>
      </c>
      <c r="O540" s="9" t="str">
        <f aca="false">IF(I540="Revisar","NULL",CONCATENATE("'",I540,"'"))</f>
        <v>'ZU'</v>
      </c>
      <c r="P540" s="1" t="str">
        <f aca="false">"UPDATE estudiantes SET fecha_nacimiento="&amp;L540&amp;", sexo="&amp;M540&amp;", lugar_nacimiento="&amp;N540&amp;", entidad_federal="&amp;O540&amp;" WHERE cedula='"&amp;K540&amp;"';"</f>
        <v>UPDATE estudiantes SET fecha_nacimiento='2010-07-16', sexo='F', lugar_nacimiento='JESUS ENRIQUE LOSSADA', entidad_federal='ZU' WHERE cedula='11015280159';</v>
      </c>
    </row>
    <row r="541" customFormat="false" ht="14.9" hidden="false" customHeight="false" outlineLevel="0" collapsed="false">
      <c r="A541" s="1" t="s">
        <v>15</v>
      </c>
      <c r="B541" s="1" t="s">
        <v>483</v>
      </c>
      <c r="C541" s="1" t="s">
        <v>89</v>
      </c>
      <c r="D541" s="1" t="s">
        <v>567</v>
      </c>
      <c r="E541" s="2" t="n">
        <v>45926</v>
      </c>
      <c r="F541" s="2" t="n">
        <f aca="false">IFERROR(VLOOKUP(TRIM($D541), Hoja4_2!$A$2:$L$10000, 4, 0), "Revisar")</f>
        <v>40503</v>
      </c>
      <c r="G541" s="7" t="str">
        <f aca="false">IFERROR(VLOOKUP(TRIM($D541), Hoja4_2!$A$2:$L$10000, 5, 0), "Revisar")</f>
        <v>MASCULINO</v>
      </c>
      <c r="H541" s="7" t="str">
        <f aca="false">IFERROR(VLOOKUP(TRIM($D541), Hoja4_2!$A$2:$L$10000, 7, 0), "Revisar")</f>
        <v>MARACAIBO</v>
      </c>
      <c r="I541" s="7" t="str">
        <f aca="false">IFERROR(VLOOKUP(TRIM($D541), Hoja4_2!$A$2:$L$10000, 9, 0), "Revisar")</f>
        <v>ZU</v>
      </c>
      <c r="J541" s="7" t="str">
        <f aca="false">IFERROR(VLOOKUP(TRIM($D541), Hoja4_2!$A$2:$L$10000, 12, 0), "Revisar")</f>
        <v>19989803</v>
      </c>
      <c r="K541" s="8" t="str">
        <f aca="false">TEXT(TRIM(D541),"0")</f>
        <v>11019989803</v>
      </c>
      <c r="L541" s="1" t="str">
        <f aca="false">IF(F541="Revisar","NULL",CONCATENATE("'",TEXT(F541,"yyyy-mm-dd"),"'"))</f>
        <v>'2010-11-21'</v>
      </c>
      <c r="M541" s="9" t="str">
        <f aca="false">IF(G541="Revisar","NULL",CONCATENATE("'",MID(G541,1,1),"'"))</f>
        <v>'M'</v>
      </c>
      <c r="N541" s="9" t="str">
        <f aca="false">IF(H541="Revisar","NULL",CONCATENATE("'",H541,"'"))</f>
        <v>'MARACAIBO'</v>
      </c>
      <c r="O541" s="9" t="str">
        <f aca="false">IF(I541="Revisar","NULL",CONCATENATE("'",I541,"'"))</f>
        <v>'ZU'</v>
      </c>
      <c r="P541" s="1" t="str">
        <f aca="false">"UPDATE estudiantes SET fecha_nacimiento="&amp;L541&amp;", sexo="&amp;M541&amp;", lugar_nacimiento="&amp;N541&amp;", entidad_federal="&amp;O541&amp;" WHERE cedula='"&amp;K541&amp;"';"</f>
        <v>UPDATE estudiantes SET fecha_nacimiento='2010-11-21', sexo='M', lugar_nacimiento='MARACAIBO', entidad_federal='ZU' WHERE cedula='11019989803';</v>
      </c>
    </row>
    <row r="542" customFormat="false" ht="14.9" hidden="false" customHeight="false" outlineLevel="0" collapsed="false">
      <c r="A542" s="1" t="s">
        <v>15</v>
      </c>
      <c r="B542" s="1" t="s">
        <v>483</v>
      </c>
      <c r="C542" s="1" t="s">
        <v>89</v>
      </c>
      <c r="D542" s="1" t="s">
        <v>568</v>
      </c>
      <c r="E542" s="2" t="n">
        <v>45926</v>
      </c>
      <c r="F542" s="2" t="n">
        <f aca="false">IFERROR(VLOOKUP(TRIM($D542), Hoja4_2!$A$2:$L$10000, 4, 0), "Revisar")</f>
        <v>40484</v>
      </c>
      <c r="G542" s="7" t="str">
        <f aca="false">IFERROR(VLOOKUP(TRIM($D542), Hoja4_2!$A$2:$L$10000, 5, 0), "Revisar")</f>
        <v>FEMENINO</v>
      </c>
      <c r="H542" s="7" t="str">
        <f aca="false">IFERROR(VLOOKUP(TRIM($D542), Hoja4_2!$A$2:$L$10000, 7, 0), "Revisar")</f>
        <v>MARACAIBO</v>
      </c>
      <c r="I542" s="7" t="str">
        <f aca="false">IFERROR(VLOOKUP(TRIM($D542), Hoja4_2!$A$2:$L$10000, 9, 0), "Revisar")</f>
        <v>ZU</v>
      </c>
      <c r="J542" s="7" t="str">
        <f aca="false">IFERROR(VLOOKUP(TRIM($D542), Hoja4_2!$A$2:$L$10000, 12, 0), "Revisar")</f>
        <v>25680354</v>
      </c>
      <c r="K542" s="8" t="str">
        <f aca="false">TEXT(TRIM(D542),"0")</f>
        <v>11025680354</v>
      </c>
      <c r="L542" s="1" t="str">
        <f aca="false">IF(F542="Revisar","NULL",CONCATENATE("'",TEXT(F542,"yyyy-mm-dd"),"'"))</f>
        <v>'2010-11-02'</v>
      </c>
      <c r="M542" s="9" t="str">
        <f aca="false">IF(G542="Revisar","NULL",CONCATENATE("'",MID(G542,1,1),"'"))</f>
        <v>'F'</v>
      </c>
      <c r="N542" s="9" t="str">
        <f aca="false">IF(H542="Revisar","NULL",CONCATENATE("'",H542,"'"))</f>
        <v>'MARACAIBO'</v>
      </c>
      <c r="O542" s="9" t="str">
        <f aca="false">IF(I542="Revisar","NULL",CONCATENATE("'",I542,"'"))</f>
        <v>'ZU'</v>
      </c>
      <c r="P542" s="1" t="str">
        <f aca="false">"UPDATE estudiantes SET fecha_nacimiento="&amp;L542&amp;", sexo="&amp;M542&amp;", lugar_nacimiento="&amp;N542&amp;", entidad_federal="&amp;O542&amp;" WHERE cedula='"&amp;K542&amp;"';"</f>
        <v>UPDATE estudiantes SET fecha_nacimiento='2010-11-02', sexo='F', lugar_nacimiento='MARACAIBO', entidad_federal='ZU' WHERE cedula='11025680354';</v>
      </c>
    </row>
    <row r="543" customFormat="false" ht="14.9" hidden="false" customHeight="false" outlineLevel="0" collapsed="false">
      <c r="A543" s="1" t="s">
        <v>15</v>
      </c>
      <c r="B543" s="1" t="s">
        <v>483</v>
      </c>
      <c r="C543" s="1" t="s">
        <v>89</v>
      </c>
      <c r="D543" s="1" t="s">
        <v>569</v>
      </c>
      <c r="E543" s="2" t="n">
        <v>45926</v>
      </c>
      <c r="F543" s="2" t="n">
        <f aca="false">IFERROR(VLOOKUP(TRIM($D543), Hoja4_2!$A$2:$L$10000, 4, 0), "Revisar")</f>
        <v>39928</v>
      </c>
      <c r="G543" s="7" t="str">
        <f aca="false">IFERROR(VLOOKUP(TRIM($D543), Hoja4_2!$A$2:$L$10000, 5, 0), "Revisar")</f>
        <v>MASCULINO</v>
      </c>
      <c r="H543" s="7" t="str">
        <f aca="false">IFERROR(VLOOKUP(TRIM($D543), Hoja4_2!$A$2:$L$10000, 7, 0), "Revisar")</f>
        <v>MARACAIBO</v>
      </c>
      <c r="I543" s="7" t="str">
        <f aca="false">IFERROR(VLOOKUP(TRIM($D543), Hoja4_2!$A$2:$L$10000, 9, 0), "Revisar")</f>
        <v>ZU</v>
      </c>
      <c r="J543" s="7" t="str">
        <f aca="false">IFERROR(VLOOKUP(TRIM($D543), Hoja4_2!$A$2:$L$10000, 12, 0), "Revisar")</f>
        <v>10424340</v>
      </c>
      <c r="K543" s="8" t="str">
        <f aca="false">TEXT(TRIM(D543),"0")</f>
        <v>104104243403</v>
      </c>
      <c r="L543" s="1" t="str">
        <f aca="false">IF(F543="Revisar","NULL",CONCATENATE("'",TEXT(F543,"yyyy-mm-dd"),"'"))</f>
        <v>'2009-04-25'</v>
      </c>
      <c r="M543" s="9" t="str">
        <f aca="false">IF(G543="Revisar","NULL",CONCATENATE("'",MID(G543,1,1),"'"))</f>
        <v>'M'</v>
      </c>
      <c r="N543" s="9" t="str">
        <f aca="false">IF(H543="Revisar","NULL",CONCATENATE("'",H543,"'"))</f>
        <v>'MARACAIBO'</v>
      </c>
      <c r="O543" s="9" t="str">
        <f aca="false">IF(I543="Revisar","NULL",CONCATENATE("'",I543,"'"))</f>
        <v>'ZU'</v>
      </c>
      <c r="P543" s="1" t="str">
        <f aca="false">"UPDATE estudiantes SET fecha_nacimiento="&amp;L543&amp;", sexo="&amp;M543&amp;", lugar_nacimiento="&amp;N543&amp;", entidad_federal="&amp;O543&amp;" WHERE cedula='"&amp;K543&amp;"';"</f>
        <v>UPDATE estudiantes SET fecha_nacimiento='2009-04-25', sexo='M', lugar_nacimiento='MARACAIBO', entidad_federal='ZU' WHERE cedula='104104243403';</v>
      </c>
    </row>
    <row r="544" customFormat="false" ht="14.9" hidden="false" customHeight="false" outlineLevel="0" collapsed="false">
      <c r="A544" s="1" t="s">
        <v>15</v>
      </c>
      <c r="B544" s="1" t="s">
        <v>483</v>
      </c>
      <c r="C544" s="1" t="s">
        <v>89</v>
      </c>
      <c r="D544" s="1" t="s">
        <v>570</v>
      </c>
      <c r="E544" s="2" t="n">
        <v>45926</v>
      </c>
      <c r="F544" s="2" t="n">
        <f aca="false">IFERROR(VLOOKUP(TRIM($D544), Hoja4_2!$A$2:$L$10000, 4, 0), "Revisar")</f>
        <v>40211</v>
      </c>
      <c r="G544" s="7" t="str">
        <f aca="false">IFERROR(VLOOKUP(TRIM($D544), Hoja4_2!$A$2:$L$10000, 5, 0), "Revisar")</f>
        <v>MASCULINO</v>
      </c>
      <c r="H544" s="7" t="str">
        <f aca="false">IFERROR(VLOOKUP(TRIM($D544), Hoja4_2!$A$2:$L$10000, 7, 0), "Revisar")</f>
        <v>MARACAIBO</v>
      </c>
      <c r="I544" s="7" t="str">
        <f aca="false">IFERROR(VLOOKUP(TRIM($D544), Hoja4_2!$A$2:$L$10000, 9, 0), "Revisar")</f>
        <v>ZU</v>
      </c>
      <c r="J544" s="7" t="str">
        <f aca="false">IFERROR(VLOOKUP(TRIM($D544), Hoja4_2!$A$2:$L$10000, 12, 0), "Revisar")</f>
        <v>11626444</v>
      </c>
      <c r="K544" s="8" t="str">
        <f aca="false">TEXT(TRIM(D544),"0")</f>
        <v>110112624442</v>
      </c>
      <c r="L544" s="1" t="str">
        <f aca="false">IF(F544="Revisar","NULL",CONCATENATE("'",TEXT(F544,"yyyy-mm-dd"),"'"))</f>
        <v>'2010-02-02'</v>
      </c>
      <c r="M544" s="9" t="str">
        <f aca="false">IF(G544="Revisar","NULL",CONCATENATE("'",MID(G544,1,1),"'"))</f>
        <v>'M'</v>
      </c>
      <c r="N544" s="9" t="str">
        <f aca="false">IF(H544="Revisar","NULL",CONCATENATE("'",H544,"'"))</f>
        <v>'MARACAIBO'</v>
      </c>
      <c r="O544" s="9" t="str">
        <f aca="false">IF(I544="Revisar","NULL",CONCATENATE("'",I544,"'"))</f>
        <v>'ZU'</v>
      </c>
      <c r="P544" s="1" t="str">
        <f aca="false">"UPDATE estudiantes SET fecha_nacimiento="&amp;L544&amp;", sexo="&amp;M544&amp;", lugar_nacimiento="&amp;N544&amp;", entidad_federal="&amp;O544&amp;" WHERE cedula='"&amp;K544&amp;"';"</f>
        <v>UPDATE estudiantes SET fecha_nacimiento='2010-02-02', sexo='M', lugar_nacimiento='MARACAIBO', entidad_federal='ZU' WHERE cedula='110112624442';</v>
      </c>
    </row>
    <row r="545" customFormat="false" ht="14.9" hidden="false" customHeight="false" outlineLevel="0" collapsed="false">
      <c r="A545" s="1" t="s">
        <v>15</v>
      </c>
      <c r="B545" s="1" t="s">
        <v>483</v>
      </c>
      <c r="C545" s="1" t="s">
        <v>129</v>
      </c>
      <c r="D545" s="1" t="s">
        <v>571</v>
      </c>
      <c r="E545" s="2" t="n">
        <v>46048</v>
      </c>
      <c r="F545" s="2" t="n">
        <f aca="false">IFERROR(VLOOKUP(TRIM($D545), Hoja4_2!$A$2:$L$10000, 4, 0), "Revisar")</f>
        <v>39973</v>
      </c>
      <c r="G545" s="7" t="str">
        <f aca="false">IFERROR(VLOOKUP(TRIM($D545), Hoja4_2!$A$2:$L$10000, 5, 0), "Revisar")</f>
        <v>MASCULINO</v>
      </c>
      <c r="H545" s="7" t="str">
        <f aca="false">IFERROR(VLOOKUP(TRIM($D545), Hoja4_2!$A$2:$L$10000, 7, 0), "Revisar")</f>
        <v>MARACAIBO</v>
      </c>
      <c r="I545" s="7" t="str">
        <f aca="false">IFERROR(VLOOKUP(TRIM($D545), Hoja4_2!$A$2:$L$10000, 9, 0), "Revisar")</f>
        <v>ZU</v>
      </c>
      <c r="J545" s="7" t="str">
        <f aca="false">IFERROR(VLOOKUP(TRIM($D545), Hoja4_2!$A$2:$L$10000, 12, 0), "Revisar")</f>
        <v>10580005</v>
      </c>
      <c r="K545" s="8" t="str">
        <f aca="false">TEXT(TRIM(D545),"0")</f>
        <v>33152266</v>
      </c>
      <c r="L545" s="1" t="str">
        <f aca="false">IF(F545="Revisar","NULL",CONCATENATE("'",TEXT(F545,"yyyy-mm-dd"),"'"))</f>
        <v>'2009-06-09'</v>
      </c>
      <c r="M545" s="9" t="str">
        <f aca="false">IF(G545="Revisar","NULL",CONCATENATE("'",MID(G545,1,1),"'"))</f>
        <v>'M'</v>
      </c>
      <c r="N545" s="9" t="str">
        <f aca="false">IF(H545="Revisar","NULL",CONCATENATE("'",H545,"'"))</f>
        <v>'MARACAIBO'</v>
      </c>
      <c r="O545" s="9" t="str">
        <f aca="false">IF(I545="Revisar","NULL",CONCATENATE("'",I545,"'"))</f>
        <v>'ZU'</v>
      </c>
      <c r="P545" s="1" t="str">
        <f aca="false">"UPDATE estudiantes SET fecha_nacimiento="&amp;L545&amp;", sexo="&amp;M545&amp;", lugar_nacimiento="&amp;N545&amp;", entidad_federal="&amp;O545&amp;" WHERE cedula='"&amp;K545&amp;"';"</f>
        <v>UPDATE estudiantes SET fecha_nacimiento='2009-06-09', sexo='M', lugar_nacimiento='MARACAIBO', entidad_federal='ZU' WHERE cedula='33152266';</v>
      </c>
    </row>
    <row r="546" customFormat="false" ht="14.9" hidden="false" customHeight="false" outlineLevel="0" collapsed="false">
      <c r="A546" s="1" t="s">
        <v>15</v>
      </c>
      <c r="B546" s="1" t="s">
        <v>483</v>
      </c>
      <c r="C546" s="1" t="s">
        <v>129</v>
      </c>
      <c r="D546" s="1" t="s">
        <v>572</v>
      </c>
      <c r="E546" s="2" t="n">
        <v>45926</v>
      </c>
      <c r="F546" s="2" t="n">
        <f aca="false">IFERROR(VLOOKUP(TRIM($D546), Hoja4_2!$A$2:$L$10000, 4, 0), "Revisar")</f>
        <v>39832</v>
      </c>
      <c r="G546" s="7" t="str">
        <f aca="false">IFERROR(VLOOKUP(TRIM($D546), Hoja4_2!$A$2:$L$10000, 5, 0), "Revisar")</f>
        <v>FEMENINO</v>
      </c>
      <c r="H546" s="7" t="str">
        <f aca="false">IFERROR(VLOOKUP(TRIM($D546), Hoja4_2!$A$2:$L$10000, 7, 0), "Revisar")</f>
        <v>MARACAIBO</v>
      </c>
      <c r="I546" s="7" t="str">
        <f aca="false">IFERROR(VLOOKUP(TRIM($D546), Hoja4_2!$A$2:$L$10000, 9, 0), "Revisar")</f>
        <v>ZU</v>
      </c>
      <c r="J546" s="7" t="str">
        <f aca="false">IFERROR(VLOOKUP(TRIM($D546), Hoja4_2!$A$2:$L$10000, 12, 0), "Revisar")</f>
        <v>16919877</v>
      </c>
      <c r="K546" s="8" t="str">
        <f aca="false">TEXT(TRIM(D546),"0")</f>
        <v>33458559</v>
      </c>
      <c r="L546" s="1" t="str">
        <f aca="false">IF(F546="Revisar","NULL",CONCATENATE("'",TEXT(F546,"yyyy-mm-dd"),"'"))</f>
        <v>'2009-01-19'</v>
      </c>
      <c r="M546" s="9" t="str">
        <f aca="false">IF(G546="Revisar","NULL",CONCATENATE("'",MID(G546,1,1),"'"))</f>
        <v>'F'</v>
      </c>
      <c r="N546" s="9" t="str">
        <f aca="false">IF(H546="Revisar","NULL",CONCATENATE("'",H546,"'"))</f>
        <v>'MARACAIBO'</v>
      </c>
      <c r="O546" s="9" t="str">
        <f aca="false">IF(I546="Revisar","NULL",CONCATENATE("'",I546,"'"))</f>
        <v>'ZU'</v>
      </c>
      <c r="P546" s="1" t="str">
        <f aca="false">"UPDATE estudiantes SET fecha_nacimiento="&amp;L546&amp;", sexo="&amp;M546&amp;", lugar_nacimiento="&amp;N546&amp;", entidad_federal="&amp;O546&amp;" WHERE cedula='"&amp;K546&amp;"';"</f>
        <v>UPDATE estudiantes SET fecha_nacimiento='2009-01-19', sexo='F', lugar_nacimiento='MARACAIBO', entidad_federal='ZU' WHERE cedula='33458559';</v>
      </c>
    </row>
    <row r="547" customFormat="false" ht="14.9" hidden="false" customHeight="false" outlineLevel="0" collapsed="false">
      <c r="A547" s="1" t="s">
        <v>15</v>
      </c>
      <c r="B547" s="1" t="s">
        <v>483</v>
      </c>
      <c r="C547" s="1" t="s">
        <v>129</v>
      </c>
      <c r="D547" s="1" t="s">
        <v>573</v>
      </c>
      <c r="E547" s="2" t="n">
        <v>45926</v>
      </c>
      <c r="F547" s="2" t="n">
        <f aca="false">IFERROR(VLOOKUP(TRIM($D547), Hoja4_2!$A$2:$L$10000, 4, 0), "Revisar")</f>
        <v>39797</v>
      </c>
      <c r="G547" s="7" t="str">
        <f aca="false">IFERROR(VLOOKUP(TRIM($D547), Hoja4_2!$A$2:$L$10000, 5, 0), "Revisar")</f>
        <v>MASCULINO</v>
      </c>
      <c r="H547" s="7" t="str">
        <f aca="false">IFERROR(VLOOKUP(TRIM($D547), Hoja4_2!$A$2:$L$10000, 7, 0), "Revisar")</f>
        <v>MARACAIBO</v>
      </c>
      <c r="I547" s="7" t="str">
        <f aca="false">IFERROR(VLOOKUP(TRIM($D547), Hoja4_2!$A$2:$L$10000, 9, 0), "Revisar")</f>
        <v>ZU</v>
      </c>
      <c r="J547" s="7" t="str">
        <f aca="false">IFERROR(VLOOKUP(TRIM($D547), Hoja4_2!$A$2:$L$10000, 12, 0), "Revisar")</f>
        <v>21511040</v>
      </c>
      <c r="K547" s="8" t="str">
        <f aca="false">TEXT(TRIM(D547),"0")</f>
        <v>33597363</v>
      </c>
      <c r="L547" s="1" t="str">
        <f aca="false">IF(F547="Revisar","NULL",CONCATENATE("'",TEXT(F547,"yyyy-mm-dd"),"'"))</f>
        <v>'2008-12-15'</v>
      </c>
      <c r="M547" s="9" t="str">
        <f aca="false">IF(G547="Revisar","NULL",CONCATENATE("'",MID(G547,1,1),"'"))</f>
        <v>'M'</v>
      </c>
      <c r="N547" s="9" t="str">
        <f aca="false">IF(H547="Revisar","NULL",CONCATENATE("'",H547,"'"))</f>
        <v>'MARACAIBO'</v>
      </c>
      <c r="O547" s="9" t="str">
        <f aca="false">IF(I547="Revisar","NULL",CONCATENATE("'",I547,"'"))</f>
        <v>'ZU'</v>
      </c>
      <c r="P547" s="1" t="str">
        <f aca="false">"UPDATE estudiantes SET fecha_nacimiento="&amp;L547&amp;", sexo="&amp;M547&amp;", lugar_nacimiento="&amp;N547&amp;", entidad_federal="&amp;O547&amp;" WHERE cedula='"&amp;K547&amp;"';"</f>
        <v>UPDATE estudiantes SET fecha_nacimiento='2008-12-15', sexo='M', lugar_nacimiento='MARACAIBO', entidad_federal='ZU' WHERE cedula='33597363';</v>
      </c>
    </row>
    <row r="548" customFormat="false" ht="14.9" hidden="false" customHeight="false" outlineLevel="0" collapsed="false">
      <c r="A548" s="1" t="s">
        <v>15</v>
      </c>
      <c r="B548" s="1" t="s">
        <v>483</v>
      </c>
      <c r="C548" s="1" t="s">
        <v>129</v>
      </c>
      <c r="D548" s="1" t="s">
        <v>574</v>
      </c>
      <c r="E548" s="2" t="n">
        <v>45926</v>
      </c>
      <c r="F548" s="2" t="n">
        <f aca="false">IFERROR(VLOOKUP(TRIM($D548), Hoja4_2!$A$2:$L$10000, 4, 0), "Revisar")</f>
        <v>40419</v>
      </c>
      <c r="G548" s="7" t="str">
        <f aca="false">IFERROR(VLOOKUP(TRIM($D548), Hoja4_2!$A$2:$L$10000, 5, 0), "Revisar")</f>
        <v>MASCULINO</v>
      </c>
      <c r="H548" s="7" t="str">
        <f aca="false">IFERROR(VLOOKUP(TRIM($D548), Hoja4_2!$A$2:$L$10000, 7, 0), "Revisar")</f>
        <v>MARACAIBO</v>
      </c>
      <c r="I548" s="7" t="str">
        <f aca="false">IFERROR(VLOOKUP(TRIM($D548), Hoja4_2!$A$2:$L$10000, 9, 0), "Revisar")</f>
        <v>ZU</v>
      </c>
      <c r="J548" s="7" t="str">
        <f aca="false">IFERROR(VLOOKUP(TRIM($D548), Hoja4_2!$A$2:$L$10000, 12, 0), "Revisar")</f>
        <v>15747320</v>
      </c>
      <c r="K548" s="8" t="str">
        <f aca="false">TEXT(TRIM(D548),"0")</f>
        <v>33811172</v>
      </c>
      <c r="L548" s="1" t="str">
        <f aca="false">IF(F548="Revisar","NULL",CONCATENATE("'",TEXT(F548,"yyyy-mm-dd"),"'"))</f>
        <v>'2010-08-29'</v>
      </c>
      <c r="M548" s="9" t="str">
        <f aca="false">IF(G548="Revisar","NULL",CONCATENATE("'",MID(G548,1,1),"'"))</f>
        <v>'M'</v>
      </c>
      <c r="N548" s="9" t="str">
        <f aca="false">IF(H548="Revisar","NULL",CONCATENATE("'",H548,"'"))</f>
        <v>'MARACAIBO'</v>
      </c>
      <c r="O548" s="9" t="str">
        <f aca="false">IF(I548="Revisar","NULL",CONCATENATE("'",I548,"'"))</f>
        <v>'ZU'</v>
      </c>
      <c r="P548" s="1" t="str">
        <f aca="false">"UPDATE estudiantes SET fecha_nacimiento="&amp;L548&amp;", sexo="&amp;M548&amp;", lugar_nacimiento="&amp;N548&amp;", entidad_federal="&amp;O548&amp;" WHERE cedula='"&amp;K548&amp;"';"</f>
        <v>UPDATE estudiantes SET fecha_nacimiento='2010-08-29', sexo='M', lugar_nacimiento='MARACAIBO', entidad_federal='ZU' WHERE cedula='33811172';</v>
      </c>
    </row>
    <row r="549" customFormat="false" ht="14.9" hidden="false" customHeight="false" outlineLevel="0" collapsed="false">
      <c r="A549" s="1" t="s">
        <v>15</v>
      </c>
      <c r="B549" s="1" t="s">
        <v>483</v>
      </c>
      <c r="C549" s="1" t="s">
        <v>129</v>
      </c>
      <c r="D549" s="1" t="s">
        <v>575</v>
      </c>
      <c r="E549" s="2" t="n">
        <v>45926</v>
      </c>
      <c r="F549" s="2" t="n">
        <f aca="false">IFERROR(VLOOKUP(TRIM($D549), Hoja4_2!$A$2:$L$10000, 4, 0), "Revisar")</f>
        <v>41170</v>
      </c>
      <c r="G549" s="7" t="str">
        <f aca="false">IFERROR(VLOOKUP(TRIM($D549), Hoja4_2!$A$2:$L$10000, 5, 0), "Revisar")</f>
        <v>MASCULINO</v>
      </c>
      <c r="H549" s="7" t="str">
        <f aca="false">IFERROR(VLOOKUP(TRIM($D549), Hoja4_2!$A$2:$L$10000, 7, 0), "Revisar")</f>
        <v>JESUS ENRIQUE LOSSADA</v>
      </c>
      <c r="I549" s="7" t="str">
        <f aca="false">IFERROR(VLOOKUP(TRIM($D549), Hoja4_2!$A$2:$L$10000, 9, 0), "Revisar")</f>
        <v>ZU</v>
      </c>
      <c r="J549" s="7" t="str">
        <f aca="false">IFERROR(VLOOKUP(TRIM($D549), Hoja4_2!$A$2:$L$10000, 12, 0), "Revisar")</f>
        <v>15260613</v>
      </c>
      <c r="K549" s="8" t="str">
        <f aca="false">TEXT(TRIM(D549),"0")</f>
        <v>34295482</v>
      </c>
      <c r="L549" s="1" t="str">
        <f aca="false">IF(F549="Revisar","NULL",CONCATENATE("'",TEXT(F549,"yyyy-mm-dd"),"'"))</f>
        <v>'2012-09-18'</v>
      </c>
      <c r="M549" s="9" t="str">
        <f aca="false">IF(G549="Revisar","NULL",CONCATENATE("'",MID(G549,1,1),"'"))</f>
        <v>'M'</v>
      </c>
      <c r="N549" s="9" t="str">
        <f aca="false">IF(H549="Revisar","NULL",CONCATENATE("'",H549,"'"))</f>
        <v>'JESUS ENRIQUE LOSSADA'</v>
      </c>
      <c r="O549" s="9" t="str">
        <f aca="false">IF(I549="Revisar","NULL",CONCATENATE("'",I549,"'"))</f>
        <v>'ZU'</v>
      </c>
      <c r="P549" s="1" t="str">
        <f aca="false">"UPDATE estudiantes SET fecha_nacimiento="&amp;L549&amp;", sexo="&amp;M549&amp;", lugar_nacimiento="&amp;N549&amp;", entidad_federal="&amp;O549&amp;" WHERE cedula='"&amp;K549&amp;"';"</f>
        <v>UPDATE estudiantes SET fecha_nacimiento='2012-09-18', sexo='M', lugar_nacimiento='JESUS ENRIQUE LOSSADA', entidad_federal='ZU' WHERE cedula='34295482';</v>
      </c>
    </row>
    <row r="550" customFormat="false" ht="14.9" hidden="false" customHeight="false" outlineLevel="0" collapsed="false">
      <c r="A550" s="1" t="s">
        <v>15</v>
      </c>
      <c r="B550" s="1" t="s">
        <v>483</v>
      </c>
      <c r="C550" s="1" t="s">
        <v>129</v>
      </c>
      <c r="D550" s="1" t="s">
        <v>576</v>
      </c>
      <c r="E550" s="2" t="n">
        <v>45926</v>
      </c>
      <c r="F550" s="2" t="n">
        <f aca="false">IFERROR(VLOOKUP(TRIM($D550), Hoja4_2!$A$2:$L$10000, 4, 0), "Revisar")</f>
        <v>40524</v>
      </c>
      <c r="G550" s="7" t="str">
        <f aca="false">IFERROR(VLOOKUP(TRIM($D550), Hoja4_2!$A$2:$L$10000, 5, 0), "Revisar")</f>
        <v>MASCULINO</v>
      </c>
      <c r="H550" s="7" t="str">
        <f aca="false">IFERROR(VLOOKUP(TRIM($D550), Hoja4_2!$A$2:$L$10000, 7, 0), "Revisar")</f>
        <v>MARACAIBO</v>
      </c>
      <c r="I550" s="7" t="str">
        <f aca="false">IFERROR(VLOOKUP(TRIM($D550), Hoja4_2!$A$2:$L$10000, 9, 0), "Revisar")</f>
        <v>ZU</v>
      </c>
      <c r="J550" s="7" t="str">
        <f aca="false">IFERROR(VLOOKUP(TRIM($D550), Hoja4_2!$A$2:$L$10000, 12, 0), "Revisar")</f>
        <v>20508654</v>
      </c>
      <c r="K550" s="8" t="str">
        <f aca="false">TEXT(TRIM(D550),"0")</f>
        <v>34463382</v>
      </c>
      <c r="L550" s="1" t="str">
        <f aca="false">IF(F550="Revisar","NULL",CONCATENATE("'",TEXT(F550,"yyyy-mm-dd"),"'"))</f>
        <v>'2010-12-12'</v>
      </c>
      <c r="M550" s="9" t="str">
        <f aca="false">IF(G550="Revisar","NULL",CONCATENATE("'",MID(G550,1,1),"'"))</f>
        <v>'M'</v>
      </c>
      <c r="N550" s="9" t="str">
        <f aca="false">IF(H550="Revisar","NULL",CONCATENATE("'",H550,"'"))</f>
        <v>'MARACAIBO'</v>
      </c>
      <c r="O550" s="9" t="str">
        <f aca="false">IF(I550="Revisar","NULL",CONCATENATE("'",I550,"'"))</f>
        <v>'ZU'</v>
      </c>
      <c r="P550" s="1" t="str">
        <f aca="false">"UPDATE estudiantes SET fecha_nacimiento="&amp;L550&amp;", sexo="&amp;M550&amp;", lugar_nacimiento="&amp;N550&amp;", entidad_federal="&amp;O550&amp;" WHERE cedula='"&amp;K550&amp;"';"</f>
        <v>UPDATE estudiantes SET fecha_nacimiento='2010-12-12', sexo='M', lugar_nacimiento='MARACAIBO', entidad_federal='ZU' WHERE cedula='34463382';</v>
      </c>
    </row>
    <row r="551" customFormat="false" ht="14.9" hidden="false" customHeight="false" outlineLevel="0" collapsed="false">
      <c r="A551" s="1" t="s">
        <v>15</v>
      </c>
      <c r="B551" s="1" t="s">
        <v>483</v>
      </c>
      <c r="C551" s="1" t="s">
        <v>129</v>
      </c>
      <c r="D551" s="1" t="s">
        <v>577</v>
      </c>
      <c r="E551" s="2" t="n">
        <v>45926</v>
      </c>
      <c r="F551" s="2" t="n">
        <f aca="false">IFERROR(VLOOKUP(TRIM($D551), Hoja4_2!$A$2:$L$10000, 4, 0), "Revisar")</f>
        <v>40457</v>
      </c>
      <c r="G551" s="7" t="str">
        <f aca="false">IFERROR(VLOOKUP(TRIM($D551), Hoja4_2!$A$2:$L$10000, 5, 0), "Revisar")</f>
        <v>MASCULINO</v>
      </c>
      <c r="H551" s="7" t="str">
        <f aca="false">IFERROR(VLOOKUP(TRIM($D551), Hoja4_2!$A$2:$L$10000, 7, 0), "Revisar")</f>
        <v>MARACAIBO</v>
      </c>
      <c r="I551" s="7" t="str">
        <f aca="false">IFERROR(VLOOKUP(TRIM($D551), Hoja4_2!$A$2:$L$10000, 9, 0), "Revisar")</f>
        <v>ZU</v>
      </c>
      <c r="J551" s="7" t="str">
        <f aca="false">IFERROR(VLOOKUP(TRIM($D551), Hoja4_2!$A$2:$L$10000, 12, 0), "Revisar")</f>
        <v>16918603</v>
      </c>
      <c r="K551" s="8" t="str">
        <f aca="false">TEXT(TRIM(D551),"0")</f>
        <v>34616104</v>
      </c>
      <c r="L551" s="1" t="str">
        <f aca="false">IF(F551="Revisar","NULL",CONCATENATE("'",TEXT(F551,"yyyy-mm-dd"),"'"))</f>
        <v>'2010-10-06'</v>
      </c>
      <c r="M551" s="9" t="str">
        <f aca="false">IF(G551="Revisar","NULL",CONCATENATE("'",MID(G551,1,1),"'"))</f>
        <v>'M'</v>
      </c>
      <c r="N551" s="9" t="str">
        <f aca="false">IF(H551="Revisar","NULL",CONCATENATE("'",H551,"'"))</f>
        <v>'MARACAIBO'</v>
      </c>
      <c r="O551" s="9" t="str">
        <f aca="false">IF(I551="Revisar","NULL",CONCATENATE("'",I551,"'"))</f>
        <v>'ZU'</v>
      </c>
      <c r="P551" s="1" t="str">
        <f aca="false">"UPDATE estudiantes SET fecha_nacimiento="&amp;L551&amp;", sexo="&amp;M551&amp;", lugar_nacimiento="&amp;N551&amp;", entidad_federal="&amp;O551&amp;" WHERE cedula='"&amp;K551&amp;"';"</f>
        <v>UPDATE estudiantes SET fecha_nacimiento='2010-10-06', sexo='M', lugar_nacimiento='MARACAIBO', entidad_federal='ZU' WHERE cedula='34616104';</v>
      </c>
    </row>
    <row r="552" customFormat="false" ht="14.9" hidden="false" customHeight="false" outlineLevel="0" collapsed="false">
      <c r="A552" s="1" t="s">
        <v>15</v>
      </c>
      <c r="B552" s="1" t="s">
        <v>483</v>
      </c>
      <c r="C552" s="1" t="s">
        <v>129</v>
      </c>
      <c r="D552" s="1" t="s">
        <v>578</v>
      </c>
      <c r="E552" s="2" t="n">
        <v>45926</v>
      </c>
      <c r="F552" s="2" t="n">
        <f aca="false">IFERROR(VLOOKUP(TRIM($D552), Hoja4_2!$A$2:$L$10000, 4, 0), "Revisar")</f>
        <v>40391</v>
      </c>
      <c r="G552" s="7" t="str">
        <f aca="false">IFERROR(VLOOKUP(TRIM($D552), Hoja4_2!$A$2:$L$10000, 5, 0), "Revisar")</f>
        <v>MASCULINO</v>
      </c>
      <c r="H552" s="7" t="str">
        <f aca="false">IFERROR(VLOOKUP(TRIM($D552), Hoja4_2!$A$2:$L$10000, 7, 0), "Revisar")</f>
        <v>JESUS ENRIQUE LOSSADA</v>
      </c>
      <c r="I552" s="7" t="str">
        <f aca="false">IFERROR(VLOOKUP(TRIM($D552), Hoja4_2!$A$2:$L$10000, 9, 0), "Revisar")</f>
        <v>ZU</v>
      </c>
      <c r="J552" s="7" t="str">
        <f aca="false">IFERROR(VLOOKUP(TRIM($D552), Hoja4_2!$A$2:$L$10000, 12, 0), "Revisar")</f>
        <v>17634630</v>
      </c>
      <c r="K552" s="8" t="str">
        <f aca="false">TEXT(TRIM(D552),"0")</f>
        <v>34696160</v>
      </c>
      <c r="L552" s="1" t="str">
        <f aca="false">IF(F552="Revisar","NULL",CONCATENATE("'",TEXT(F552,"yyyy-mm-dd"),"'"))</f>
        <v>'2010-08-01'</v>
      </c>
      <c r="M552" s="9" t="str">
        <f aca="false">IF(G552="Revisar","NULL",CONCATENATE("'",MID(G552,1,1),"'"))</f>
        <v>'M'</v>
      </c>
      <c r="N552" s="9" t="str">
        <f aca="false">IF(H552="Revisar","NULL",CONCATENATE("'",H552,"'"))</f>
        <v>'JESUS ENRIQUE LOSSADA'</v>
      </c>
      <c r="O552" s="9" t="str">
        <f aca="false">IF(I552="Revisar","NULL",CONCATENATE("'",I552,"'"))</f>
        <v>'ZU'</v>
      </c>
      <c r="P552" s="1" t="str">
        <f aca="false">"UPDATE estudiantes SET fecha_nacimiento="&amp;L552&amp;", sexo="&amp;M552&amp;", lugar_nacimiento="&amp;N552&amp;", entidad_federal="&amp;O552&amp;" WHERE cedula='"&amp;K552&amp;"';"</f>
        <v>UPDATE estudiantes SET fecha_nacimiento='2010-08-01', sexo='M', lugar_nacimiento='JESUS ENRIQUE LOSSADA', entidad_federal='ZU' WHERE cedula='34696160';</v>
      </c>
    </row>
    <row r="553" customFormat="false" ht="14.9" hidden="false" customHeight="false" outlineLevel="0" collapsed="false">
      <c r="A553" s="1" t="s">
        <v>15</v>
      </c>
      <c r="B553" s="1" t="s">
        <v>483</v>
      </c>
      <c r="C553" s="1" t="s">
        <v>129</v>
      </c>
      <c r="D553" s="1" t="s">
        <v>579</v>
      </c>
      <c r="E553" s="2" t="n">
        <v>45926</v>
      </c>
      <c r="F553" s="2" t="n">
        <f aca="false">IFERROR(VLOOKUP(TRIM($D553), Hoja4_2!$A$2:$L$10000, 4, 0), "Revisar")</f>
        <v>39584</v>
      </c>
      <c r="G553" s="7" t="str">
        <f aca="false">IFERROR(VLOOKUP(TRIM($D553), Hoja4_2!$A$2:$L$10000, 5, 0), "Revisar")</f>
        <v>FEMENINO</v>
      </c>
      <c r="H553" s="7" t="str">
        <f aca="false">IFERROR(VLOOKUP(TRIM($D553), Hoja4_2!$A$2:$L$10000, 7, 0), "Revisar")</f>
        <v>MARACAIBO</v>
      </c>
      <c r="I553" s="7" t="str">
        <f aca="false">IFERROR(VLOOKUP(TRIM($D553), Hoja4_2!$A$2:$L$10000, 9, 0), "Revisar")</f>
        <v>ZU</v>
      </c>
      <c r="J553" s="7" t="str">
        <f aca="false">IFERROR(VLOOKUP(TRIM($D553), Hoja4_2!$A$2:$L$10000, 12, 0), "Revisar")</f>
        <v>15405976</v>
      </c>
      <c r="K553" s="8" t="str">
        <f aca="false">TEXT(TRIM(D553),"0")</f>
        <v>34718983</v>
      </c>
      <c r="L553" s="1" t="str">
        <f aca="false">IF(F553="Revisar","NULL",CONCATENATE("'",TEXT(F553,"yyyy-mm-dd"),"'"))</f>
        <v>'2008-05-16'</v>
      </c>
      <c r="M553" s="9" t="str">
        <f aca="false">IF(G553="Revisar","NULL",CONCATENATE("'",MID(G553,1,1),"'"))</f>
        <v>'F'</v>
      </c>
      <c r="N553" s="9" t="str">
        <f aca="false">IF(H553="Revisar","NULL",CONCATENATE("'",H553,"'"))</f>
        <v>'MARACAIBO'</v>
      </c>
      <c r="O553" s="9" t="str">
        <f aca="false">IF(I553="Revisar","NULL",CONCATENATE("'",I553,"'"))</f>
        <v>'ZU'</v>
      </c>
      <c r="P553" s="1" t="str">
        <f aca="false">"UPDATE estudiantes SET fecha_nacimiento="&amp;L553&amp;", sexo="&amp;M553&amp;", lugar_nacimiento="&amp;N553&amp;", entidad_federal="&amp;O553&amp;" WHERE cedula='"&amp;K553&amp;"';"</f>
        <v>UPDATE estudiantes SET fecha_nacimiento='2008-05-16', sexo='F', lugar_nacimiento='MARACAIBO', entidad_federal='ZU' WHERE cedula='34718983';</v>
      </c>
    </row>
    <row r="554" customFormat="false" ht="14.9" hidden="false" customHeight="false" outlineLevel="0" collapsed="false">
      <c r="A554" s="1" t="s">
        <v>15</v>
      </c>
      <c r="B554" s="1" t="s">
        <v>483</v>
      </c>
      <c r="C554" s="1" t="s">
        <v>129</v>
      </c>
      <c r="D554" s="1" t="s">
        <v>580</v>
      </c>
      <c r="E554" s="2" t="n">
        <v>45926</v>
      </c>
      <c r="F554" s="2" t="n">
        <f aca="false">IFERROR(VLOOKUP(TRIM($D554), Hoja4_2!$A$2:$L$10000, 4, 0), "Revisar")</f>
        <v>40495</v>
      </c>
      <c r="G554" s="7" t="str">
        <f aca="false">IFERROR(VLOOKUP(TRIM($D554), Hoja4_2!$A$2:$L$10000, 5, 0), "Revisar")</f>
        <v>MASCULINO</v>
      </c>
      <c r="H554" s="7" t="str">
        <f aca="false">IFERROR(VLOOKUP(TRIM($D554), Hoja4_2!$A$2:$L$10000, 7, 0), "Revisar")</f>
        <v>MARACAIBO</v>
      </c>
      <c r="I554" s="7" t="str">
        <f aca="false">IFERROR(VLOOKUP(TRIM($D554), Hoja4_2!$A$2:$L$10000, 9, 0), "Revisar")</f>
        <v>ZU</v>
      </c>
      <c r="J554" s="7" t="str">
        <f aca="false">IFERROR(VLOOKUP(TRIM($D554), Hoja4_2!$A$2:$L$10000, 12, 0), "Revisar")</f>
        <v>99999999</v>
      </c>
      <c r="K554" s="8" t="str">
        <f aca="false">TEXT(TRIM(D554),"0")</f>
        <v>34765323</v>
      </c>
      <c r="L554" s="1" t="str">
        <f aca="false">IF(F554="Revisar","NULL",CONCATENATE("'",TEXT(F554,"yyyy-mm-dd"),"'"))</f>
        <v>'2010-11-13'</v>
      </c>
      <c r="M554" s="9" t="str">
        <f aca="false">IF(G554="Revisar","NULL",CONCATENATE("'",MID(G554,1,1),"'"))</f>
        <v>'M'</v>
      </c>
      <c r="N554" s="9" t="str">
        <f aca="false">IF(H554="Revisar","NULL",CONCATENATE("'",H554,"'"))</f>
        <v>'MARACAIBO'</v>
      </c>
      <c r="O554" s="9" t="str">
        <f aca="false">IF(I554="Revisar","NULL",CONCATENATE("'",I554,"'"))</f>
        <v>'ZU'</v>
      </c>
      <c r="P554" s="1" t="str">
        <f aca="false">"UPDATE estudiantes SET fecha_nacimiento="&amp;L554&amp;", sexo="&amp;M554&amp;", lugar_nacimiento="&amp;N554&amp;", entidad_federal="&amp;O554&amp;" WHERE cedula='"&amp;K554&amp;"';"</f>
        <v>UPDATE estudiantes SET fecha_nacimiento='2010-11-13', sexo='M', lugar_nacimiento='MARACAIBO', entidad_federal='ZU' WHERE cedula='34765323';</v>
      </c>
    </row>
    <row r="555" customFormat="false" ht="14.9" hidden="false" customHeight="false" outlineLevel="0" collapsed="false">
      <c r="A555" s="1" t="s">
        <v>15</v>
      </c>
      <c r="B555" s="1" t="s">
        <v>483</v>
      </c>
      <c r="C555" s="1" t="s">
        <v>129</v>
      </c>
      <c r="D555" s="1" t="s">
        <v>581</v>
      </c>
      <c r="E555" s="2" t="n">
        <v>45926</v>
      </c>
      <c r="F555" s="2" t="n">
        <f aca="false">IFERROR(VLOOKUP(TRIM($D555), Hoja4_2!$A$2:$L$10000, 4, 0), "Revisar")</f>
        <v>40447</v>
      </c>
      <c r="G555" s="7" t="str">
        <f aca="false">IFERROR(VLOOKUP(TRIM($D555), Hoja4_2!$A$2:$L$10000, 5, 0), "Revisar")</f>
        <v>MASCULINO</v>
      </c>
      <c r="H555" s="7" t="str">
        <f aca="false">IFERROR(VLOOKUP(TRIM($D555), Hoja4_2!$A$2:$L$10000, 7, 0), "Revisar")</f>
        <v>MARACAIBO</v>
      </c>
      <c r="I555" s="7" t="str">
        <f aca="false">IFERROR(VLOOKUP(TRIM($D555), Hoja4_2!$A$2:$L$10000, 9, 0), "Revisar")</f>
        <v>ZU</v>
      </c>
      <c r="J555" s="7" t="str">
        <f aca="false">IFERROR(VLOOKUP(TRIM($D555), Hoja4_2!$A$2:$L$10000, 12, 0), "Revisar")</f>
        <v>17938300</v>
      </c>
      <c r="K555" s="8" t="str">
        <f aca="false">TEXT(TRIM(D555),"0")</f>
        <v>34827865</v>
      </c>
      <c r="L555" s="1" t="str">
        <f aca="false">IF(F555="Revisar","NULL",CONCATENATE("'",TEXT(F555,"yyyy-mm-dd"),"'"))</f>
        <v>'2010-09-26'</v>
      </c>
      <c r="M555" s="9" t="str">
        <f aca="false">IF(G555="Revisar","NULL",CONCATENATE("'",MID(G555,1,1),"'"))</f>
        <v>'M'</v>
      </c>
      <c r="N555" s="9" t="str">
        <f aca="false">IF(H555="Revisar","NULL",CONCATENATE("'",H555,"'"))</f>
        <v>'MARACAIBO'</v>
      </c>
      <c r="O555" s="9" t="str">
        <f aca="false">IF(I555="Revisar","NULL",CONCATENATE("'",I555,"'"))</f>
        <v>'ZU'</v>
      </c>
      <c r="P555" s="1" t="str">
        <f aca="false">"UPDATE estudiantes SET fecha_nacimiento="&amp;L555&amp;", sexo="&amp;M555&amp;", lugar_nacimiento="&amp;N555&amp;", entidad_federal="&amp;O555&amp;" WHERE cedula='"&amp;K555&amp;"';"</f>
        <v>UPDATE estudiantes SET fecha_nacimiento='2010-09-26', sexo='M', lugar_nacimiento='MARACAIBO', entidad_federal='ZU' WHERE cedula='34827865';</v>
      </c>
    </row>
    <row r="556" customFormat="false" ht="14.9" hidden="false" customHeight="false" outlineLevel="0" collapsed="false">
      <c r="A556" s="1" t="s">
        <v>15</v>
      </c>
      <c r="B556" s="1" t="s">
        <v>483</v>
      </c>
      <c r="C556" s="1" t="s">
        <v>129</v>
      </c>
      <c r="D556" s="1" t="s">
        <v>582</v>
      </c>
      <c r="E556" s="2" t="n">
        <v>45926</v>
      </c>
      <c r="F556" s="2" t="n">
        <f aca="false">IFERROR(VLOOKUP(TRIM($D556), Hoja4_2!$A$2:$L$10000, 4, 0), "Revisar")</f>
        <v>40808</v>
      </c>
      <c r="G556" s="7" t="str">
        <f aca="false">IFERROR(VLOOKUP(TRIM($D556), Hoja4_2!$A$2:$L$10000, 5, 0), "Revisar")</f>
        <v>FEMENINO</v>
      </c>
      <c r="H556" s="7" t="str">
        <f aca="false">IFERROR(VLOOKUP(TRIM($D556), Hoja4_2!$A$2:$L$10000, 7, 0), "Revisar")</f>
        <v>MARACAIBO</v>
      </c>
      <c r="I556" s="7" t="str">
        <f aca="false">IFERROR(VLOOKUP(TRIM($D556), Hoja4_2!$A$2:$L$10000, 9, 0), "Revisar")</f>
        <v>ZU</v>
      </c>
      <c r="J556" s="7" t="str">
        <f aca="false">IFERROR(VLOOKUP(TRIM($D556), Hoja4_2!$A$2:$L$10000, 12, 0), "Revisar")</f>
        <v>21511030</v>
      </c>
      <c r="K556" s="8" t="str">
        <f aca="false">TEXT(TRIM(D556),"0")</f>
        <v>35065503</v>
      </c>
      <c r="L556" s="1" t="str">
        <f aca="false">IF(F556="Revisar","NULL",CONCATENATE("'",TEXT(F556,"yyyy-mm-dd"),"'"))</f>
        <v>'2011-09-22'</v>
      </c>
      <c r="M556" s="9" t="str">
        <f aca="false">IF(G556="Revisar","NULL",CONCATENATE("'",MID(G556,1,1),"'"))</f>
        <v>'F'</v>
      </c>
      <c r="N556" s="9" t="str">
        <f aca="false">IF(H556="Revisar","NULL",CONCATENATE("'",H556,"'"))</f>
        <v>'MARACAIBO'</v>
      </c>
      <c r="O556" s="9" t="str">
        <f aca="false">IF(I556="Revisar","NULL",CONCATENATE("'",I556,"'"))</f>
        <v>'ZU'</v>
      </c>
      <c r="P556" s="1" t="str">
        <f aca="false">"UPDATE estudiantes SET fecha_nacimiento="&amp;L556&amp;", sexo="&amp;M556&amp;", lugar_nacimiento="&amp;N556&amp;", entidad_federal="&amp;O556&amp;" WHERE cedula='"&amp;K556&amp;"';"</f>
        <v>UPDATE estudiantes SET fecha_nacimiento='2011-09-22', sexo='F', lugar_nacimiento='MARACAIBO', entidad_federal='ZU' WHERE cedula='35065503';</v>
      </c>
    </row>
    <row r="557" customFormat="false" ht="14.9" hidden="false" customHeight="false" outlineLevel="0" collapsed="false">
      <c r="A557" s="1" t="s">
        <v>15</v>
      </c>
      <c r="B557" s="1" t="s">
        <v>483</v>
      </c>
      <c r="C557" s="1" t="s">
        <v>129</v>
      </c>
      <c r="D557" s="1" t="s">
        <v>583</v>
      </c>
      <c r="E557" s="2" t="n">
        <v>45926</v>
      </c>
      <c r="F557" s="2" t="n">
        <f aca="false">IFERROR(VLOOKUP(TRIM($D557), Hoja4_2!$A$2:$L$10000, 4, 0), "Revisar")</f>
        <v>40430</v>
      </c>
      <c r="G557" s="7" t="str">
        <f aca="false">IFERROR(VLOOKUP(TRIM($D557), Hoja4_2!$A$2:$L$10000, 5, 0), "Revisar")</f>
        <v>FEMENINO</v>
      </c>
      <c r="H557" s="7" t="str">
        <f aca="false">IFERROR(VLOOKUP(TRIM($D557), Hoja4_2!$A$2:$L$10000, 7, 0), "Revisar")</f>
        <v>MARACAIBO</v>
      </c>
      <c r="I557" s="7" t="str">
        <f aca="false">IFERROR(VLOOKUP(TRIM($D557), Hoja4_2!$A$2:$L$10000, 9, 0), "Revisar")</f>
        <v>ZU</v>
      </c>
      <c r="J557" s="7" t="str">
        <f aca="false">IFERROR(VLOOKUP(TRIM($D557), Hoja4_2!$A$2:$L$10000, 12, 0), "Revisar")</f>
        <v>14207623</v>
      </c>
      <c r="K557" s="8" t="str">
        <f aca="false">TEXT(TRIM(D557),"0")</f>
        <v>35147228</v>
      </c>
      <c r="L557" s="1" t="str">
        <f aca="false">IF(F557="Revisar","NULL",CONCATENATE("'",TEXT(F557,"yyyy-mm-dd"),"'"))</f>
        <v>'2010-09-09'</v>
      </c>
      <c r="M557" s="9" t="str">
        <f aca="false">IF(G557="Revisar","NULL",CONCATENATE("'",MID(G557,1,1),"'"))</f>
        <v>'F'</v>
      </c>
      <c r="N557" s="9" t="str">
        <f aca="false">IF(H557="Revisar","NULL",CONCATENATE("'",H557,"'"))</f>
        <v>'MARACAIBO'</v>
      </c>
      <c r="O557" s="9" t="str">
        <f aca="false">IF(I557="Revisar","NULL",CONCATENATE("'",I557,"'"))</f>
        <v>'ZU'</v>
      </c>
      <c r="P557" s="1" t="str">
        <f aca="false">"UPDATE estudiantes SET fecha_nacimiento="&amp;L557&amp;", sexo="&amp;M557&amp;", lugar_nacimiento="&amp;N557&amp;", entidad_federal="&amp;O557&amp;" WHERE cedula='"&amp;K557&amp;"';"</f>
        <v>UPDATE estudiantes SET fecha_nacimiento='2010-09-09', sexo='F', lugar_nacimiento='MARACAIBO', entidad_federal='ZU' WHERE cedula='35147228';</v>
      </c>
    </row>
    <row r="558" customFormat="false" ht="14.9" hidden="false" customHeight="false" outlineLevel="0" collapsed="false">
      <c r="A558" s="1" t="s">
        <v>15</v>
      </c>
      <c r="B558" s="1" t="s">
        <v>483</v>
      </c>
      <c r="C558" s="1" t="s">
        <v>129</v>
      </c>
      <c r="D558" s="1" t="s">
        <v>584</v>
      </c>
      <c r="E558" s="2" t="n">
        <v>45926</v>
      </c>
      <c r="F558" s="2" t="n">
        <f aca="false">IFERROR(VLOOKUP(TRIM($D558), Hoja4_2!$A$2:$L$10000, 4, 0), "Revisar")</f>
        <v>39795</v>
      </c>
      <c r="G558" s="7" t="str">
        <f aca="false">IFERROR(VLOOKUP(TRIM($D558), Hoja4_2!$A$2:$L$10000, 5, 0), "Revisar")</f>
        <v>MASCULINO</v>
      </c>
      <c r="H558" s="7" t="str">
        <f aca="false">IFERROR(VLOOKUP(TRIM($D558), Hoja4_2!$A$2:$L$10000, 7, 0), "Revisar")</f>
        <v>MARACAIBO</v>
      </c>
      <c r="I558" s="7" t="str">
        <f aca="false">IFERROR(VLOOKUP(TRIM($D558), Hoja4_2!$A$2:$L$10000, 9, 0), "Revisar")</f>
        <v>ZU</v>
      </c>
      <c r="J558" s="7" t="str">
        <f aca="false">IFERROR(VLOOKUP(TRIM($D558), Hoja4_2!$A$2:$L$10000, 12, 0), "Revisar")</f>
        <v>12945688</v>
      </c>
      <c r="K558" s="8" t="str">
        <f aca="false">TEXT(TRIM(D558),"0")</f>
        <v>10812945683</v>
      </c>
      <c r="L558" s="1" t="str">
        <f aca="false">IF(F558="Revisar","NULL",CONCATENATE("'",TEXT(F558,"yyyy-mm-dd"),"'"))</f>
        <v>'2008-12-13'</v>
      </c>
      <c r="M558" s="9" t="str">
        <f aca="false">IF(G558="Revisar","NULL",CONCATENATE("'",MID(G558,1,1),"'"))</f>
        <v>'M'</v>
      </c>
      <c r="N558" s="9" t="str">
        <f aca="false">IF(H558="Revisar","NULL",CONCATENATE("'",H558,"'"))</f>
        <v>'MARACAIBO'</v>
      </c>
      <c r="O558" s="9" t="str">
        <f aca="false">IF(I558="Revisar","NULL",CONCATENATE("'",I558,"'"))</f>
        <v>'ZU'</v>
      </c>
      <c r="P558" s="1" t="str">
        <f aca="false">"UPDATE estudiantes SET fecha_nacimiento="&amp;L558&amp;", sexo="&amp;M558&amp;", lugar_nacimiento="&amp;N558&amp;", entidad_federal="&amp;O558&amp;" WHERE cedula='"&amp;K558&amp;"';"</f>
        <v>UPDATE estudiantes SET fecha_nacimiento='2008-12-13', sexo='M', lugar_nacimiento='MARACAIBO', entidad_federal='ZU' WHERE cedula='10812945683';</v>
      </c>
    </row>
    <row r="559" customFormat="false" ht="14.9" hidden="false" customHeight="false" outlineLevel="0" collapsed="false">
      <c r="A559" s="1" t="s">
        <v>15</v>
      </c>
      <c r="B559" s="1" t="s">
        <v>483</v>
      </c>
      <c r="C559" s="1" t="s">
        <v>129</v>
      </c>
      <c r="D559" s="1" t="s">
        <v>585</v>
      </c>
      <c r="E559" s="2" t="n">
        <v>45926</v>
      </c>
      <c r="F559" s="2" t="n">
        <f aca="false">IFERROR(VLOOKUP(TRIM($D559), Hoja4_2!$A$2:$L$10000, 4, 0), "Revisar")</f>
        <v>39772</v>
      </c>
      <c r="G559" s="7" t="str">
        <f aca="false">IFERROR(VLOOKUP(TRIM($D559), Hoja4_2!$A$2:$L$10000, 5, 0), "Revisar")</f>
        <v>MASCULINO</v>
      </c>
      <c r="H559" s="7" t="str">
        <f aca="false">IFERROR(VLOOKUP(TRIM($D559), Hoja4_2!$A$2:$L$10000, 7, 0), "Revisar")</f>
        <v>MARACAIBO</v>
      </c>
      <c r="I559" s="7" t="str">
        <f aca="false">IFERROR(VLOOKUP(TRIM($D559), Hoja4_2!$A$2:$L$10000, 9, 0), "Revisar")</f>
        <v>ZU</v>
      </c>
      <c r="J559" s="7" t="str">
        <f aca="false">IFERROR(VLOOKUP(TRIM($D559), Hoja4_2!$A$2:$L$10000, 12, 0), "Revisar")</f>
        <v>15053986</v>
      </c>
      <c r="K559" s="8" t="str">
        <f aca="false">TEXT(TRIM(D559),"0")</f>
        <v>10818053986</v>
      </c>
      <c r="L559" s="1" t="str">
        <f aca="false">IF(F559="Revisar","NULL",CONCATENATE("'",TEXT(F559,"yyyy-mm-dd"),"'"))</f>
        <v>'2008-11-20'</v>
      </c>
      <c r="M559" s="9" t="str">
        <f aca="false">IF(G559="Revisar","NULL",CONCATENATE("'",MID(G559,1,1),"'"))</f>
        <v>'M'</v>
      </c>
      <c r="N559" s="9" t="str">
        <f aca="false">IF(H559="Revisar","NULL",CONCATENATE("'",H559,"'"))</f>
        <v>'MARACAIBO'</v>
      </c>
      <c r="O559" s="9" t="str">
        <f aca="false">IF(I559="Revisar","NULL",CONCATENATE("'",I559,"'"))</f>
        <v>'ZU'</v>
      </c>
      <c r="P559" s="1" t="str">
        <f aca="false">"UPDATE estudiantes SET fecha_nacimiento="&amp;L559&amp;", sexo="&amp;M559&amp;", lugar_nacimiento="&amp;N559&amp;", entidad_federal="&amp;O559&amp;" WHERE cedula='"&amp;K559&amp;"';"</f>
        <v>UPDATE estudiantes SET fecha_nacimiento='2008-11-20', sexo='M', lugar_nacimiento='MARACAIBO', entidad_federal='ZU' WHERE cedula='10818053986';</v>
      </c>
    </row>
    <row r="560" customFormat="false" ht="14.9" hidden="false" customHeight="false" outlineLevel="0" collapsed="false">
      <c r="A560" s="1" t="s">
        <v>15</v>
      </c>
      <c r="B560" s="1" t="s">
        <v>483</v>
      </c>
      <c r="C560" s="1" t="s">
        <v>129</v>
      </c>
      <c r="D560" s="1" t="s">
        <v>586</v>
      </c>
      <c r="E560" s="2" t="n">
        <v>45926</v>
      </c>
      <c r="F560" s="2" t="n">
        <f aca="false">IFERROR(VLOOKUP(TRIM($D560), Hoja4_2!$A$2:$L$10000, 4, 0), "Revisar")</f>
        <v>40084</v>
      </c>
      <c r="G560" s="7" t="str">
        <f aca="false">IFERROR(VLOOKUP(TRIM($D560), Hoja4_2!$A$2:$L$10000, 5, 0), "Revisar")</f>
        <v>MASCULINO</v>
      </c>
      <c r="H560" s="7" t="str">
        <f aca="false">IFERROR(VLOOKUP(TRIM($D560), Hoja4_2!$A$2:$L$10000, 7, 0), "Revisar")</f>
        <v>MARACAIBO</v>
      </c>
      <c r="I560" s="7" t="str">
        <f aca="false">IFERROR(VLOOKUP(TRIM($D560), Hoja4_2!$A$2:$L$10000, 9, 0), "Revisar")</f>
        <v>ZU</v>
      </c>
      <c r="J560" s="7" t="str">
        <f aca="false">IFERROR(VLOOKUP(TRIM($D560), Hoja4_2!$A$2:$L$10000, 12, 0), "Revisar")</f>
        <v>17293826</v>
      </c>
      <c r="K560" s="8" t="str">
        <f aca="false">TEXT(TRIM(D560),"0")</f>
        <v>10917293826</v>
      </c>
      <c r="L560" s="1" t="str">
        <f aca="false">IF(F560="Revisar","NULL",CONCATENATE("'",TEXT(F560,"yyyy-mm-dd"),"'"))</f>
        <v>'2009-09-28'</v>
      </c>
      <c r="M560" s="9" t="str">
        <f aca="false">IF(G560="Revisar","NULL",CONCATENATE("'",MID(G560,1,1),"'"))</f>
        <v>'M'</v>
      </c>
      <c r="N560" s="9" t="str">
        <f aca="false">IF(H560="Revisar","NULL",CONCATENATE("'",H560,"'"))</f>
        <v>'MARACAIBO'</v>
      </c>
      <c r="O560" s="9" t="str">
        <f aca="false">IF(I560="Revisar","NULL",CONCATENATE("'",I560,"'"))</f>
        <v>'ZU'</v>
      </c>
      <c r="P560" s="1" t="str">
        <f aca="false">"UPDATE estudiantes SET fecha_nacimiento="&amp;L560&amp;", sexo="&amp;M560&amp;", lugar_nacimiento="&amp;N560&amp;", entidad_federal="&amp;O560&amp;" WHERE cedula='"&amp;K560&amp;"';"</f>
        <v>UPDATE estudiantes SET fecha_nacimiento='2009-09-28', sexo='M', lugar_nacimiento='MARACAIBO', entidad_federal='ZU' WHERE cedula='10917293826';</v>
      </c>
    </row>
    <row r="561" customFormat="false" ht="14.9" hidden="false" customHeight="false" outlineLevel="0" collapsed="false">
      <c r="A561" s="1" t="s">
        <v>15</v>
      </c>
      <c r="B561" s="1" t="s">
        <v>483</v>
      </c>
      <c r="C561" s="1" t="s">
        <v>129</v>
      </c>
      <c r="D561" s="1" t="s">
        <v>587</v>
      </c>
      <c r="E561" s="2" t="n">
        <v>45926</v>
      </c>
      <c r="F561" s="2" t="n">
        <f aca="false">IFERROR(VLOOKUP(TRIM($D561), Hoja4_2!$A$2:$L$10000, 4, 0), "Revisar")</f>
        <v>39934</v>
      </c>
      <c r="G561" s="7" t="str">
        <f aca="false">IFERROR(VLOOKUP(TRIM($D561), Hoja4_2!$A$2:$L$10000, 5, 0), "Revisar")</f>
        <v>FEMENINO</v>
      </c>
      <c r="H561" s="7" t="str">
        <f aca="false">IFERROR(VLOOKUP(TRIM($D561), Hoja4_2!$A$2:$L$10000, 7, 0), "Revisar")</f>
        <v>MARACAIBO</v>
      </c>
      <c r="I561" s="7" t="str">
        <f aca="false">IFERROR(VLOOKUP(TRIM($D561), Hoja4_2!$A$2:$L$10000, 9, 0), "Revisar")</f>
        <v>ZU</v>
      </c>
      <c r="J561" s="7" t="str">
        <f aca="false">IFERROR(VLOOKUP(TRIM($D561), Hoja4_2!$A$2:$L$10000, 12, 0), "Revisar")</f>
        <v>20508293</v>
      </c>
      <c r="K561" s="8" t="str">
        <f aca="false">TEXT(TRIM(D561),"0")</f>
        <v>10920508293</v>
      </c>
      <c r="L561" s="1" t="str">
        <f aca="false">IF(F561="Revisar","NULL",CONCATENATE("'",TEXT(F561,"yyyy-mm-dd"),"'"))</f>
        <v>'2009-05-01'</v>
      </c>
      <c r="M561" s="9" t="str">
        <f aca="false">IF(G561="Revisar","NULL",CONCATENATE("'",MID(G561,1,1),"'"))</f>
        <v>'F'</v>
      </c>
      <c r="N561" s="9" t="str">
        <f aca="false">IF(H561="Revisar","NULL",CONCATENATE("'",H561,"'"))</f>
        <v>'MARACAIBO'</v>
      </c>
      <c r="O561" s="9" t="str">
        <f aca="false">IF(I561="Revisar","NULL",CONCATENATE("'",I561,"'"))</f>
        <v>'ZU'</v>
      </c>
      <c r="P561" s="1" t="str">
        <f aca="false">"UPDATE estudiantes SET fecha_nacimiento="&amp;L561&amp;", sexo="&amp;M561&amp;", lugar_nacimiento="&amp;N561&amp;", entidad_federal="&amp;O561&amp;" WHERE cedula='"&amp;K561&amp;"';"</f>
        <v>UPDATE estudiantes SET fecha_nacimiento='2009-05-01', sexo='F', lugar_nacimiento='MARACAIBO', entidad_federal='ZU' WHERE cedula='10920508293';</v>
      </c>
    </row>
    <row r="562" customFormat="false" ht="14.9" hidden="false" customHeight="false" outlineLevel="0" collapsed="false">
      <c r="A562" s="1" t="s">
        <v>15</v>
      </c>
      <c r="B562" s="1" t="s">
        <v>483</v>
      </c>
      <c r="C562" s="1" t="s">
        <v>129</v>
      </c>
      <c r="D562" s="1" t="s">
        <v>588</v>
      </c>
      <c r="E562" s="2" t="n">
        <v>45926</v>
      </c>
      <c r="F562" s="2" t="n">
        <f aca="false">IFERROR(VLOOKUP(TRIM($D562), Hoja4_2!$A$2:$L$10000, 4, 0), "Revisar")</f>
        <v>40048</v>
      </c>
      <c r="G562" s="7" t="str">
        <f aca="false">IFERROR(VLOOKUP(TRIM($D562), Hoja4_2!$A$2:$L$10000, 5, 0), "Revisar")</f>
        <v>FEMENINO</v>
      </c>
      <c r="H562" s="7" t="str">
        <f aca="false">IFERROR(VLOOKUP(TRIM($D562), Hoja4_2!$A$2:$L$10000, 7, 0), "Revisar")</f>
        <v>MARACAIBO</v>
      </c>
      <c r="I562" s="7" t="str">
        <f aca="false">IFERROR(VLOOKUP(TRIM($D562), Hoja4_2!$A$2:$L$10000, 9, 0), "Revisar")</f>
        <v>ZU</v>
      </c>
      <c r="J562" s="7" t="str">
        <f aca="false">IFERROR(VLOOKUP(TRIM($D562), Hoja4_2!$A$2:$L$10000, 12, 0), "Revisar")</f>
        <v>20778206</v>
      </c>
      <c r="K562" s="8" t="str">
        <f aca="false">TEXT(TRIM(D562),"0")</f>
        <v>10920778206</v>
      </c>
      <c r="L562" s="1" t="str">
        <f aca="false">IF(F562="Revisar","NULL",CONCATENATE("'",TEXT(F562,"yyyy-mm-dd"),"'"))</f>
        <v>'2009-08-23'</v>
      </c>
      <c r="M562" s="9" t="str">
        <f aca="false">IF(G562="Revisar","NULL",CONCATENATE("'",MID(G562,1,1),"'"))</f>
        <v>'F'</v>
      </c>
      <c r="N562" s="9" t="str">
        <f aca="false">IF(H562="Revisar","NULL",CONCATENATE("'",H562,"'"))</f>
        <v>'MARACAIBO'</v>
      </c>
      <c r="O562" s="9" t="str">
        <f aca="false">IF(I562="Revisar","NULL",CONCATENATE("'",I562,"'"))</f>
        <v>'ZU'</v>
      </c>
      <c r="P562" s="1" t="str">
        <f aca="false">"UPDATE estudiantes SET fecha_nacimiento="&amp;L562&amp;", sexo="&amp;M562&amp;", lugar_nacimiento="&amp;N562&amp;", entidad_federal="&amp;O562&amp;" WHERE cedula='"&amp;K562&amp;"';"</f>
        <v>UPDATE estudiantes SET fecha_nacimiento='2009-08-23', sexo='F', lugar_nacimiento='MARACAIBO', entidad_federal='ZU' WHERE cedula='10920778206';</v>
      </c>
    </row>
    <row r="563" customFormat="false" ht="14.9" hidden="false" customHeight="false" outlineLevel="0" collapsed="false">
      <c r="A563" s="1" t="s">
        <v>15</v>
      </c>
      <c r="B563" s="1" t="s">
        <v>483</v>
      </c>
      <c r="C563" s="1" t="s">
        <v>129</v>
      </c>
      <c r="D563" s="1" t="s">
        <v>589</v>
      </c>
      <c r="E563" s="2" t="n">
        <v>45926</v>
      </c>
      <c r="F563" s="2" t="n">
        <f aca="false">IFERROR(VLOOKUP(TRIM($D563), Hoja4_2!$A$2:$L$10000, 4, 0), "Revisar")</f>
        <v>40285</v>
      </c>
      <c r="G563" s="7" t="str">
        <f aca="false">IFERROR(VLOOKUP(TRIM($D563), Hoja4_2!$A$2:$L$10000, 5, 0), "Revisar")</f>
        <v>MASCULINO</v>
      </c>
      <c r="H563" s="7" t="str">
        <f aca="false">IFERROR(VLOOKUP(TRIM($D563), Hoja4_2!$A$2:$L$10000, 7, 0), "Revisar")</f>
        <v>MARACAIBO</v>
      </c>
      <c r="I563" s="7" t="str">
        <f aca="false">IFERROR(VLOOKUP(TRIM($D563), Hoja4_2!$A$2:$L$10000, 9, 0), "Revisar")</f>
        <v>ZU</v>
      </c>
      <c r="J563" s="7" t="str">
        <f aca="false">IFERROR(VLOOKUP(TRIM($D563), Hoja4_2!$A$2:$L$10000, 12, 0), "Revisar")</f>
        <v>17566956</v>
      </c>
      <c r="K563" s="8" t="str">
        <f aca="false">TEXT(TRIM(D563),"0")</f>
        <v>11017566956</v>
      </c>
      <c r="L563" s="1" t="str">
        <f aca="false">IF(F563="Revisar","NULL",CONCATENATE("'",TEXT(F563,"yyyy-mm-dd"),"'"))</f>
        <v>'2010-04-17'</v>
      </c>
      <c r="M563" s="9" t="str">
        <f aca="false">IF(G563="Revisar","NULL",CONCATENATE("'",MID(G563,1,1),"'"))</f>
        <v>'M'</v>
      </c>
      <c r="N563" s="9" t="str">
        <f aca="false">IF(H563="Revisar","NULL",CONCATENATE("'",H563,"'"))</f>
        <v>'MARACAIBO'</v>
      </c>
      <c r="O563" s="9" t="str">
        <f aca="false">IF(I563="Revisar","NULL",CONCATENATE("'",I563,"'"))</f>
        <v>'ZU'</v>
      </c>
      <c r="P563" s="1" t="str">
        <f aca="false">"UPDATE estudiantes SET fecha_nacimiento="&amp;L563&amp;", sexo="&amp;M563&amp;", lugar_nacimiento="&amp;N563&amp;", entidad_federal="&amp;O563&amp;" WHERE cedula='"&amp;K563&amp;"';"</f>
        <v>UPDATE estudiantes SET fecha_nacimiento='2010-04-17', sexo='M', lugar_nacimiento='MARACAIBO', entidad_federal='ZU' WHERE cedula='11017566956';</v>
      </c>
    </row>
    <row r="564" customFormat="false" ht="14.9" hidden="false" customHeight="false" outlineLevel="0" collapsed="false">
      <c r="A564" s="1" t="s">
        <v>15</v>
      </c>
      <c r="B564" s="1" t="s">
        <v>483</v>
      </c>
      <c r="C564" s="1" t="s">
        <v>129</v>
      </c>
      <c r="D564" s="1" t="s">
        <v>590</v>
      </c>
      <c r="E564" s="2" t="n">
        <v>45926</v>
      </c>
      <c r="F564" s="2" t="n">
        <f aca="false">IFERROR(VLOOKUP(TRIM($D564), Hoja4_2!$A$2:$L$10000, 4, 0), "Revisar")</f>
        <v>40466</v>
      </c>
      <c r="G564" s="7" t="str">
        <f aca="false">IFERROR(VLOOKUP(TRIM($D564), Hoja4_2!$A$2:$L$10000, 5, 0), "Revisar")</f>
        <v>FEMENINO</v>
      </c>
      <c r="H564" s="7" t="str">
        <f aca="false">IFERROR(VLOOKUP(TRIM($D564), Hoja4_2!$A$2:$L$10000, 7, 0), "Revisar")</f>
        <v>MARACAIBO</v>
      </c>
      <c r="I564" s="7" t="str">
        <f aca="false">IFERROR(VLOOKUP(TRIM($D564), Hoja4_2!$A$2:$L$10000, 9, 0), "Revisar")</f>
        <v>ZU</v>
      </c>
      <c r="J564" s="7" t="str">
        <f aca="false">IFERROR(VLOOKUP(TRIM($D564), Hoja4_2!$A$2:$L$10000, 12, 0), "Revisar")</f>
        <v>24738808</v>
      </c>
      <c r="K564" s="8" t="str">
        <f aca="false">TEXT(TRIM(D564),"0")</f>
        <v>11024738808</v>
      </c>
      <c r="L564" s="1" t="str">
        <f aca="false">IF(F564="Revisar","NULL",CONCATENATE("'",TEXT(F564,"yyyy-mm-dd"),"'"))</f>
        <v>'2010-10-15'</v>
      </c>
      <c r="M564" s="9" t="str">
        <f aca="false">IF(G564="Revisar","NULL",CONCATENATE("'",MID(G564,1,1),"'"))</f>
        <v>'F'</v>
      </c>
      <c r="N564" s="9" t="str">
        <f aca="false">IF(H564="Revisar","NULL",CONCATENATE("'",H564,"'"))</f>
        <v>'MARACAIBO'</v>
      </c>
      <c r="O564" s="9" t="str">
        <f aca="false">IF(I564="Revisar","NULL",CONCATENATE("'",I564,"'"))</f>
        <v>'ZU'</v>
      </c>
      <c r="P564" s="1" t="str">
        <f aca="false">"UPDATE estudiantes SET fecha_nacimiento="&amp;L564&amp;", sexo="&amp;M564&amp;", lugar_nacimiento="&amp;N564&amp;", entidad_federal="&amp;O564&amp;" WHERE cedula='"&amp;K564&amp;"';"</f>
        <v>UPDATE estudiantes SET fecha_nacimiento='2010-10-15', sexo='F', lugar_nacimiento='MARACAIBO', entidad_federal='ZU' WHERE cedula='11024738808';</v>
      </c>
    </row>
    <row r="565" customFormat="false" ht="14.9" hidden="false" customHeight="false" outlineLevel="0" collapsed="false">
      <c r="A565" s="1" t="s">
        <v>15</v>
      </c>
      <c r="B565" s="1" t="s">
        <v>483</v>
      </c>
      <c r="C565" s="1" t="s">
        <v>129</v>
      </c>
      <c r="D565" s="1" t="s">
        <v>591</v>
      </c>
      <c r="E565" s="2" t="n">
        <v>45926</v>
      </c>
      <c r="F565" s="2" t="n">
        <f aca="false">IFERROR(VLOOKUP(TRIM($D565), Hoja4_2!$A$2:$L$10000, 4, 0), "Revisar")</f>
        <v>40584</v>
      </c>
      <c r="G565" s="7" t="str">
        <f aca="false">IFERROR(VLOOKUP(TRIM($D565), Hoja4_2!$A$2:$L$10000, 5, 0), "Revisar")</f>
        <v>MASCULINO</v>
      </c>
      <c r="H565" s="7" t="str">
        <f aca="false">IFERROR(VLOOKUP(TRIM($D565), Hoja4_2!$A$2:$L$10000, 7, 0), "Revisar")</f>
        <v>JESUS ENRIQUE LOSSADA</v>
      </c>
      <c r="I565" s="7" t="str">
        <f aca="false">IFERROR(VLOOKUP(TRIM($D565), Hoja4_2!$A$2:$L$10000, 9, 0), "Revisar")</f>
        <v>ZU</v>
      </c>
      <c r="J565" s="7" t="str">
        <f aca="false">IFERROR(VLOOKUP(TRIM($D565), Hoja4_2!$A$2:$L$10000, 12, 0), "Revisar")</f>
        <v>15766186</v>
      </c>
      <c r="K565" s="8" t="str">
        <f aca="false">TEXT(TRIM(D565),"0")</f>
        <v>11115766186</v>
      </c>
      <c r="L565" s="1" t="str">
        <f aca="false">IF(F565="Revisar","NULL",CONCATENATE("'",TEXT(F565,"yyyy-mm-dd"),"'"))</f>
        <v>'2011-02-10'</v>
      </c>
      <c r="M565" s="9" t="str">
        <f aca="false">IF(G565="Revisar","NULL",CONCATENATE("'",MID(G565,1,1),"'"))</f>
        <v>'M'</v>
      </c>
      <c r="N565" s="9" t="str">
        <f aca="false">IF(H565="Revisar","NULL",CONCATENATE("'",H565,"'"))</f>
        <v>'JESUS ENRIQUE LOSSADA'</v>
      </c>
      <c r="O565" s="9" t="str">
        <f aca="false">IF(I565="Revisar","NULL",CONCATENATE("'",I565,"'"))</f>
        <v>'ZU'</v>
      </c>
      <c r="P565" s="1" t="str">
        <f aca="false">"UPDATE estudiantes SET fecha_nacimiento="&amp;L565&amp;", sexo="&amp;M565&amp;", lugar_nacimiento="&amp;N565&amp;", entidad_federal="&amp;O565&amp;" WHERE cedula='"&amp;K565&amp;"';"</f>
        <v>UPDATE estudiantes SET fecha_nacimiento='2011-02-10', sexo='M', lugar_nacimiento='JESUS ENRIQUE LOSSADA', entidad_federal='ZU' WHERE cedula='11115766186';</v>
      </c>
    </row>
    <row r="566" customFormat="false" ht="14.9" hidden="false" customHeight="false" outlineLevel="0" collapsed="false">
      <c r="A566" s="1" t="s">
        <v>15</v>
      </c>
      <c r="B566" s="1" t="s">
        <v>483</v>
      </c>
      <c r="C566" s="1" t="s">
        <v>129</v>
      </c>
      <c r="D566" s="1" t="s">
        <v>592</v>
      </c>
      <c r="E566" s="2" t="n">
        <v>45926</v>
      </c>
      <c r="F566" s="2" t="n">
        <f aca="false">IFERROR(VLOOKUP(TRIM($D566), Hoja4_2!$A$2:$L$10000, 4, 0), "Revisar")</f>
        <v>41193</v>
      </c>
      <c r="G566" s="7" t="str">
        <f aca="false">IFERROR(VLOOKUP(TRIM($D566), Hoja4_2!$A$2:$L$10000, 5, 0), "Revisar")</f>
        <v>MASCULINO</v>
      </c>
      <c r="H566" s="7" t="str">
        <f aca="false">IFERROR(VLOOKUP(TRIM($D566), Hoja4_2!$A$2:$L$10000, 7, 0), "Revisar")</f>
        <v>MARACAIBO</v>
      </c>
      <c r="I566" s="7" t="str">
        <f aca="false">IFERROR(VLOOKUP(TRIM($D566), Hoja4_2!$A$2:$L$10000, 9, 0), "Revisar")</f>
        <v>ZU</v>
      </c>
      <c r="J566" s="7" t="str">
        <f aca="false">IFERROR(VLOOKUP(TRIM($D566), Hoja4_2!$A$2:$L$10000, 12, 0), "Revisar")</f>
        <v>24250015</v>
      </c>
      <c r="K566" s="8" t="str">
        <f aca="false">TEXT(TRIM(D566),"0")</f>
        <v>11224250015</v>
      </c>
      <c r="L566" s="1" t="str">
        <f aca="false">IF(F566="Revisar","NULL",CONCATENATE("'",TEXT(F566,"yyyy-mm-dd"),"'"))</f>
        <v>'2012-10-11'</v>
      </c>
      <c r="M566" s="9" t="str">
        <f aca="false">IF(G566="Revisar","NULL",CONCATENATE("'",MID(G566,1,1),"'"))</f>
        <v>'M'</v>
      </c>
      <c r="N566" s="9" t="str">
        <f aca="false">IF(H566="Revisar","NULL",CONCATENATE("'",H566,"'"))</f>
        <v>'MARACAIBO'</v>
      </c>
      <c r="O566" s="9" t="str">
        <f aca="false">IF(I566="Revisar","NULL",CONCATENATE("'",I566,"'"))</f>
        <v>'ZU'</v>
      </c>
      <c r="P566" s="1" t="str">
        <f aca="false">"UPDATE estudiantes SET fecha_nacimiento="&amp;L566&amp;", sexo="&amp;M566&amp;", lugar_nacimiento="&amp;N566&amp;", entidad_federal="&amp;O566&amp;" WHERE cedula='"&amp;K566&amp;"';"</f>
        <v>UPDATE estudiantes SET fecha_nacimiento='2012-10-11', sexo='M', lugar_nacimiento='MARACAIBO', entidad_federal='ZU' WHERE cedula='11224250015';</v>
      </c>
    </row>
    <row r="567" customFormat="false" ht="14.9" hidden="false" customHeight="false" outlineLevel="0" collapsed="false">
      <c r="A567" s="1" t="s">
        <v>15</v>
      </c>
      <c r="B567" s="1" t="s">
        <v>593</v>
      </c>
      <c r="C567" s="1" t="s">
        <v>17</v>
      </c>
      <c r="D567" s="1" t="s">
        <v>594</v>
      </c>
      <c r="E567" s="2" t="n">
        <v>45932</v>
      </c>
      <c r="F567" s="2" t="n">
        <f aca="false">IFERROR(VLOOKUP(TRIM($D567), Hoja4_2!$A$2:$L$10000, 4, 0), "Revisar")</f>
        <v>39907</v>
      </c>
      <c r="G567" s="7" t="str">
        <f aca="false">IFERROR(VLOOKUP(TRIM($D567), Hoja4_2!$A$2:$L$10000, 5, 0), "Revisar")</f>
        <v>MASCULINO</v>
      </c>
      <c r="H567" s="7" t="str">
        <f aca="false">IFERROR(VLOOKUP(TRIM($D567), Hoja4_2!$A$2:$L$10000, 7, 0), "Revisar")</f>
        <v>MARACAIBO</v>
      </c>
      <c r="I567" s="7" t="str">
        <f aca="false">IFERROR(VLOOKUP(TRIM($D567), Hoja4_2!$A$2:$L$10000, 9, 0), "Revisar")</f>
        <v>ZU</v>
      </c>
      <c r="J567" s="7" t="str">
        <f aca="false">IFERROR(VLOOKUP(TRIM($D567), Hoja4_2!$A$2:$L$10000, 12, 0), "Revisar")</f>
        <v>18005368</v>
      </c>
      <c r="K567" s="8" t="str">
        <f aca="false">TEXT(TRIM(D567),"0")</f>
        <v>33152404</v>
      </c>
      <c r="L567" s="1" t="str">
        <f aca="false">IF(F567="Revisar","NULL",CONCATENATE("'",TEXT(F567,"yyyy-mm-dd"),"'"))</f>
        <v>'2009-04-04'</v>
      </c>
      <c r="M567" s="9" t="str">
        <f aca="false">IF(G567="Revisar","NULL",CONCATENATE("'",MID(G567,1,1),"'"))</f>
        <v>'M'</v>
      </c>
      <c r="N567" s="9" t="str">
        <f aca="false">IF(H567="Revisar","NULL",CONCATENATE("'",H567,"'"))</f>
        <v>'MARACAIBO'</v>
      </c>
      <c r="O567" s="9" t="str">
        <f aca="false">IF(I567="Revisar","NULL",CONCATENATE("'",I567,"'"))</f>
        <v>'ZU'</v>
      </c>
      <c r="P567" s="1" t="str">
        <f aca="false">"UPDATE estudiantes SET fecha_nacimiento="&amp;L567&amp;", sexo="&amp;M567&amp;", lugar_nacimiento="&amp;N567&amp;", entidad_federal="&amp;O567&amp;" WHERE cedula='"&amp;K567&amp;"';"</f>
        <v>UPDATE estudiantes SET fecha_nacimiento='2009-04-04', sexo='M', lugar_nacimiento='MARACAIBO', entidad_federal='ZU' WHERE cedula='33152404';</v>
      </c>
    </row>
    <row r="568" customFormat="false" ht="14.9" hidden="false" customHeight="false" outlineLevel="0" collapsed="false">
      <c r="A568" s="1" t="s">
        <v>15</v>
      </c>
      <c r="B568" s="1" t="s">
        <v>593</v>
      </c>
      <c r="C568" s="1" t="s">
        <v>17</v>
      </c>
      <c r="D568" s="1" t="s">
        <v>595</v>
      </c>
      <c r="E568" s="2" t="n">
        <v>45926</v>
      </c>
      <c r="F568" s="2" t="n">
        <f aca="false">IFERROR(VLOOKUP(TRIM($D568), Hoja4_2!$A$2:$L$10000, 4, 0), "Revisar")</f>
        <v>40137</v>
      </c>
      <c r="G568" s="7" t="str">
        <f aca="false">IFERROR(VLOOKUP(TRIM($D568), Hoja4_2!$A$2:$L$10000, 5, 0), "Revisar")</f>
        <v>MASCULINO</v>
      </c>
      <c r="H568" s="7" t="str">
        <f aca="false">IFERROR(VLOOKUP(TRIM($D568), Hoja4_2!$A$2:$L$10000, 7, 0), "Revisar")</f>
        <v>MARACAIBO</v>
      </c>
      <c r="I568" s="7" t="str">
        <f aca="false">IFERROR(VLOOKUP(TRIM($D568), Hoja4_2!$A$2:$L$10000, 9, 0), "Revisar")</f>
        <v>ZU</v>
      </c>
      <c r="J568" s="7" t="str">
        <f aca="false">IFERROR(VLOOKUP(TRIM($D568), Hoja4_2!$A$2:$L$10000, 12, 0), "Revisar")</f>
        <v>15887769</v>
      </c>
      <c r="K568" s="8" t="str">
        <f aca="false">TEXT(TRIM(D568),"0")</f>
        <v>33152597</v>
      </c>
      <c r="L568" s="1" t="str">
        <f aca="false">IF(F568="Revisar","NULL",CONCATENATE("'",TEXT(F568,"yyyy-mm-dd"),"'"))</f>
        <v>'2009-11-20'</v>
      </c>
      <c r="M568" s="9" t="str">
        <f aca="false">IF(G568="Revisar","NULL",CONCATENATE("'",MID(G568,1,1),"'"))</f>
        <v>'M'</v>
      </c>
      <c r="N568" s="9" t="str">
        <f aca="false">IF(H568="Revisar","NULL",CONCATENATE("'",H568,"'"))</f>
        <v>'MARACAIBO'</v>
      </c>
      <c r="O568" s="9" t="str">
        <f aca="false">IF(I568="Revisar","NULL",CONCATENATE("'",I568,"'"))</f>
        <v>'ZU'</v>
      </c>
      <c r="P568" s="1" t="str">
        <f aca="false">"UPDATE estudiantes SET fecha_nacimiento="&amp;L568&amp;", sexo="&amp;M568&amp;", lugar_nacimiento="&amp;N568&amp;", entidad_federal="&amp;O568&amp;" WHERE cedula='"&amp;K568&amp;"';"</f>
        <v>UPDATE estudiantes SET fecha_nacimiento='2009-11-20', sexo='M', lugar_nacimiento='MARACAIBO', entidad_federal='ZU' WHERE cedula='33152597';</v>
      </c>
    </row>
    <row r="569" customFormat="false" ht="14.9" hidden="false" customHeight="false" outlineLevel="0" collapsed="false">
      <c r="A569" s="1" t="s">
        <v>15</v>
      </c>
      <c r="B569" s="1" t="s">
        <v>593</v>
      </c>
      <c r="C569" s="1" t="s">
        <v>17</v>
      </c>
      <c r="D569" s="1" t="s">
        <v>596</v>
      </c>
      <c r="E569" s="2" t="n">
        <v>45926</v>
      </c>
      <c r="F569" s="2" t="n">
        <f aca="false">IFERROR(VLOOKUP(TRIM($D569), Hoja4_2!$A$2:$L$10000, 4, 0), "Revisar")</f>
        <v>39997</v>
      </c>
      <c r="G569" s="7" t="str">
        <f aca="false">IFERROR(VLOOKUP(TRIM($D569), Hoja4_2!$A$2:$L$10000, 5, 0), "Revisar")</f>
        <v>MASCULINO</v>
      </c>
      <c r="H569" s="7" t="str">
        <f aca="false">IFERROR(VLOOKUP(TRIM($D569), Hoja4_2!$A$2:$L$10000, 7, 0), "Revisar")</f>
        <v>MARACAIBO</v>
      </c>
      <c r="I569" s="7" t="str">
        <f aca="false">IFERROR(VLOOKUP(TRIM($D569), Hoja4_2!$A$2:$L$10000, 9, 0), "Revisar")</f>
        <v>ZU</v>
      </c>
      <c r="J569" s="7" t="str">
        <f aca="false">IFERROR(VLOOKUP(TRIM($D569), Hoja4_2!$A$2:$L$10000, 12, 0), "Revisar")</f>
        <v>20508352</v>
      </c>
      <c r="K569" s="8" t="str">
        <f aca="false">TEXT(TRIM(D569),"0")</f>
        <v>33431508</v>
      </c>
      <c r="L569" s="1" t="str">
        <f aca="false">IF(F569="Revisar","NULL",CONCATENATE("'",TEXT(F569,"yyyy-mm-dd"),"'"))</f>
        <v>'2009-07-03'</v>
      </c>
      <c r="M569" s="9" t="str">
        <f aca="false">IF(G569="Revisar","NULL",CONCATENATE("'",MID(G569,1,1),"'"))</f>
        <v>'M'</v>
      </c>
      <c r="N569" s="9" t="str">
        <f aca="false">IF(H569="Revisar","NULL",CONCATENATE("'",H569,"'"))</f>
        <v>'MARACAIBO'</v>
      </c>
      <c r="O569" s="9" t="str">
        <f aca="false">IF(I569="Revisar","NULL",CONCATENATE("'",I569,"'"))</f>
        <v>'ZU'</v>
      </c>
      <c r="P569" s="1" t="str">
        <f aca="false">"UPDATE estudiantes SET fecha_nacimiento="&amp;L569&amp;", sexo="&amp;M569&amp;", lugar_nacimiento="&amp;N569&amp;", entidad_federal="&amp;O569&amp;" WHERE cedula='"&amp;K569&amp;"';"</f>
        <v>UPDATE estudiantes SET fecha_nacimiento='2009-07-03', sexo='M', lugar_nacimiento='MARACAIBO', entidad_federal='ZU' WHERE cedula='33431508';</v>
      </c>
    </row>
    <row r="570" customFormat="false" ht="14.9" hidden="false" customHeight="false" outlineLevel="0" collapsed="false">
      <c r="A570" s="1" t="s">
        <v>15</v>
      </c>
      <c r="B570" s="1" t="s">
        <v>593</v>
      </c>
      <c r="C570" s="1" t="s">
        <v>17</v>
      </c>
      <c r="D570" s="1" t="s">
        <v>597</v>
      </c>
      <c r="E570" s="2" t="n">
        <v>45926</v>
      </c>
      <c r="F570" s="2" t="n">
        <f aca="false">IFERROR(VLOOKUP(TRIM($D570), Hoja4_2!$A$2:$L$10000, 4, 0), "Revisar")</f>
        <v>40057</v>
      </c>
      <c r="G570" s="7" t="str">
        <f aca="false">IFERROR(VLOOKUP(TRIM($D570), Hoja4_2!$A$2:$L$10000, 5, 0), "Revisar")</f>
        <v>MASCULINO</v>
      </c>
      <c r="H570" s="7" t="str">
        <f aca="false">IFERROR(VLOOKUP(TRIM($D570), Hoja4_2!$A$2:$L$10000, 7, 0), "Revisar")</f>
        <v>MARACAIBO</v>
      </c>
      <c r="I570" s="7" t="str">
        <f aca="false">IFERROR(VLOOKUP(TRIM($D570), Hoja4_2!$A$2:$L$10000, 9, 0), "Revisar")</f>
        <v>ZU</v>
      </c>
      <c r="J570" s="7" t="str">
        <f aca="false">IFERROR(VLOOKUP(TRIM($D570), Hoja4_2!$A$2:$L$10000, 12, 0), "Revisar")</f>
        <v>18384547</v>
      </c>
      <c r="K570" s="8" t="str">
        <f aca="false">TEXT(TRIM(D570),"0")</f>
        <v>33431580</v>
      </c>
      <c r="L570" s="1" t="str">
        <f aca="false">IF(F570="Revisar","NULL",CONCATENATE("'",TEXT(F570,"yyyy-mm-dd"),"'"))</f>
        <v>'2009-09-01'</v>
      </c>
      <c r="M570" s="9" t="str">
        <f aca="false">IF(G570="Revisar","NULL",CONCATENATE("'",MID(G570,1,1),"'"))</f>
        <v>'M'</v>
      </c>
      <c r="N570" s="9" t="str">
        <f aca="false">IF(H570="Revisar","NULL",CONCATENATE("'",H570,"'"))</f>
        <v>'MARACAIBO'</v>
      </c>
      <c r="O570" s="9" t="str">
        <f aca="false">IF(I570="Revisar","NULL",CONCATENATE("'",I570,"'"))</f>
        <v>'ZU'</v>
      </c>
      <c r="P570" s="1" t="str">
        <f aca="false">"UPDATE estudiantes SET fecha_nacimiento="&amp;L570&amp;", sexo="&amp;M570&amp;", lugar_nacimiento="&amp;N570&amp;", entidad_federal="&amp;O570&amp;" WHERE cedula='"&amp;K570&amp;"';"</f>
        <v>UPDATE estudiantes SET fecha_nacimiento='2009-09-01', sexo='M', lugar_nacimiento='MARACAIBO', entidad_federal='ZU' WHERE cedula='33431580';</v>
      </c>
    </row>
    <row r="571" customFormat="false" ht="14.9" hidden="false" customHeight="false" outlineLevel="0" collapsed="false">
      <c r="A571" s="1" t="s">
        <v>15</v>
      </c>
      <c r="B571" s="1" t="s">
        <v>593</v>
      </c>
      <c r="C571" s="1" t="s">
        <v>17</v>
      </c>
      <c r="D571" s="1" t="s">
        <v>598</v>
      </c>
      <c r="E571" s="2" t="n">
        <v>45926</v>
      </c>
      <c r="F571" s="2" t="n">
        <f aca="false">IFERROR(VLOOKUP(TRIM($D571), Hoja4_2!$A$2:$L$10000, 4, 0), "Revisar")</f>
        <v>40156</v>
      </c>
      <c r="G571" s="7" t="str">
        <f aca="false">IFERROR(VLOOKUP(TRIM($D571), Hoja4_2!$A$2:$L$10000, 5, 0), "Revisar")</f>
        <v>FEMENINO</v>
      </c>
      <c r="H571" s="7" t="str">
        <f aca="false">IFERROR(VLOOKUP(TRIM($D571), Hoja4_2!$A$2:$L$10000, 7, 0), "Revisar")</f>
        <v>MARACAIBO</v>
      </c>
      <c r="I571" s="7" t="str">
        <f aca="false">IFERROR(VLOOKUP(TRIM($D571), Hoja4_2!$A$2:$L$10000, 9, 0), "Revisar")</f>
        <v>ZU</v>
      </c>
      <c r="J571" s="7" t="str">
        <f aca="false">IFERROR(VLOOKUP(TRIM($D571), Hoja4_2!$A$2:$L$10000, 12, 0), "Revisar")</f>
        <v>20032555</v>
      </c>
      <c r="K571" s="8" t="str">
        <f aca="false">TEXT(TRIM(D571),"0")</f>
        <v>33599989</v>
      </c>
      <c r="L571" s="1" t="str">
        <f aca="false">IF(F571="Revisar","NULL",CONCATENATE("'",TEXT(F571,"yyyy-mm-dd"),"'"))</f>
        <v>'2009-12-09'</v>
      </c>
      <c r="M571" s="9" t="str">
        <f aca="false">IF(G571="Revisar","NULL",CONCATENATE("'",MID(G571,1,1),"'"))</f>
        <v>'F'</v>
      </c>
      <c r="N571" s="9" t="str">
        <f aca="false">IF(H571="Revisar","NULL",CONCATENATE("'",H571,"'"))</f>
        <v>'MARACAIBO'</v>
      </c>
      <c r="O571" s="9" t="str">
        <f aca="false">IF(I571="Revisar","NULL",CONCATENATE("'",I571,"'"))</f>
        <v>'ZU'</v>
      </c>
      <c r="P571" s="1" t="str">
        <f aca="false">"UPDATE estudiantes SET fecha_nacimiento="&amp;L571&amp;", sexo="&amp;M571&amp;", lugar_nacimiento="&amp;N571&amp;", entidad_federal="&amp;O571&amp;" WHERE cedula='"&amp;K571&amp;"';"</f>
        <v>UPDATE estudiantes SET fecha_nacimiento='2009-12-09', sexo='F', lugar_nacimiento='MARACAIBO', entidad_federal='ZU' WHERE cedula='33599989';</v>
      </c>
    </row>
    <row r="572" customFormat="false" ht="14.9" hidden="false" customHeight="false" outlineLevel="0" collapsed="false">
      <c r="A572" s="1" t="s">
        <v>15</v>
      </c>
      <c r="B572" s="1" t="s">
        <v>593</v>
      </c>
      <c r="C572" s="1" t="s">
        <v>17</v>
      </c>
      <c r="D572" s="1" t="s">
        <v>599</v>
      </c>
      <c r="E572" s="2" t="n">
        <v>45926</v>
      </c>
      <c r="F572" s="2" t="n">
        <f aca="false">IFERROR(VLOOKUP(TRIM($D572), Hoja4_2!$A$2:$L$10000, 4, 0), "Revisar")</f>
        <v>40192</v>
      </c>
      <c r="G572" s="7" t="str">
        <f aca="false">IFERROR(VLOOKUP(TRIM($D572), Hoja4_2!$A$2:$L$10000, 5, 0), "Revisar")</f>
        <v>FEMENINO</v>
      </c>
      <c r="H572" s="7" t="str">
        <f aca="false">IFERROR(VLOOKUP(TRIM($D572), Hoja4_2!$A$2:$L$10000, 7, 0), "Revisar")</f>
        <v>MARACAIBO</v>
      </c>
      <c r="I572" s="7" t="str">
        <f aca="false">IFERROR(VLOOKUP(TRIM($D572), Hoja4_2!$A$2:$L$10000, 9, 0), "Revisar")</f>
        <v>ZU</v>
      </c>
      <c r="J572" s="7" t="str">
        <f aca="false">IFERROR(VLOOKUP(TRIM($D572), Hoja4_2!$A$2:$L$10000, 12, 0), "Revisar")</f>
        <v>14305962</v>
      </c>
      <c r="K572" s="8" t="str">
        <f aca="false">TEXT(TRIM(D572),"0")</f>
        <v>33607940</v>
      </c>
      <c r="L572" s="1" t="str">
        <f aca="false">IF(F572="Revisar","NULL",CONCATENATE("'",TEXT(F572,"yyyy-mm-dd"),"'"))</f>
        <v>'2010-01-14'</v>
      </c>
      <c r="M572" s="9" t="str">
        <f aca="false">IF(G572="Revisar","NULL",CONCATENATE("'",MID(G572,1,1),"'"))</f>
        <v>'F'</v>
      </c>
      <c r="N572" s="9" t="str">
        <f aca="false">IF(H572="Revisar","NULL",CONCATENATE("'",H572,"'"))</f>
        <v>'MARACAIBO'</v>
      </c>
      <c r="O572" s="9" t="str">
        <f aca="false">IF(I572="Revisar","NULL",CONCATENATE("'",I572,"'"))</f>
        <v>'ZU'</v>
      </c>
      <c r="P572" s="1" t="str">
        <f aca="false">"UPDATE estudiantes SET fecha_nacimiento="&amp;L572&amp;", sexo="&amp;M572&amp;", lugar_nacimiento="&amp;N572&amp;", entidad_federal="&amp;O572&amp;" WHERE cedula='"&amp;K572&amp;"';"</f>
        <v>UPDATE estudiantes SET fecha_nacimiento='2010-01-14', sexo='F', lugar_nacimiento='MARACAIBO', entidad_federal='ZU' WHERE cedula='33607940';</v>
      </c>
    </row>
    <row r="573" customFormat="false" ht="14.9" hidden="false" customHeight="false" outlineLevel="0" collapsed="false">
      <c r="A573" s="1" t="s">
        <v>15</v>
      </c>
      <c r="B573" s="1" t="s">
        <v>593</v>
      </c>
      <c r="C573" s="1" t="s">
        <v>17</v>
      </c>
      <c r="D573" s="1" t="s">
        <v>600</v>
      </c>
      <c r="E573" s="2" t="n">
        <v>45926</v>
      </c>
      <c r="F573" s="2" t="n">
        <f aca="false">IFERROR(VLOOKUP(TRIM($D573), Hoja4_2!$A$2:$L$10000, 4, 0), "Revisar")</f>
        <v>40134</v>
      </c>
      <c r="G573" s="7" t="str">
        <f aca="false">IFERROR(VLOOKUP(TRIM($D573), Hoja4_2!$A$2:$L$10000, 5, 0), "Revisar")</f>
        <v>FEMENINO</v>
      </c>
      <c r="H573" s="7" t="str">
        <f aca="false">IFERROR(VLOOKUP(TRIM($D573), Hoja4_2!$A$2:$L$10000, 7, 0), "Revisar")</f>
        <v>MARACAIBO</v>
      </c>
      <c r="I573" s="7" t="str">
        <f aca="false">IFERROR(VLOOKUP(TRIM($D573), Hoja4_2!$A$2:$L$10000, 9, 0), "Revisar")</f>
        <v>ZU</v>
      </c>
      <c r="J573" s="7" t="str">
        <f aca="false">IFERROR(VLOOKUP(TRIM($D573), Hoja4_2!$A$2:$L$10000, 12, 0), "Revisar")</f>
        <v>17565027</v>
      </c>
      <c r="K573" s="8" t="str">
        <f aca="false">TEXT(TRIM(D573),"0")</f>
        <v>33724409</v>
      </c>
      <c r="L573" s="1" t="str">
        <f aca="false">IF(F573="Revisar","NULL",CONCATENATE("'",TEXT(F573,"yyyy-mm-dd"),"'"))</f>
        <v>'2009-11-17'</v>
      </c>
      <c r="M573" s="9" t="str">
        <f aca="false">IF(G573="Revisar","NULL",CONCATENATE("'",MID(G573,1,1),"'"))</f>
        <v>'F'</v>
      </c>
      <c r="N573" s="9" t="str">
        <f aca="false">IF(H573="Revisar","NULL",CONCATENATE("'",H573,"'"))</f>
        <v>'MARACAIBO'</v>
      </c>
      <c r="O573" s="9" t="str">
        <f aca="false">IF(I573="Revisar","NULL",CONCATENATE("'",I573,"'"))</f>
        <v>'ZU'</v>
      </c>
      <c r="P573" s="1" t="str">
        <f aca="false">"UPDATE estudiantes SET fecha_nacimiento="&amp;L573&amp;", sexo="&amp;M573&amp;", lugar_nacimiento="&amp;N573&amp;", entidad_federal="&amp;O573&amp;" WHERE cedula='"&amp;K573&amp;"';"</f>
        <v>UPDATE estudiantes SET fecha_nacimiento='2009-11-17', sexo='F', lugar_nacimiento='MARACAIBO', entidad_federal='ZU' WHERE cedula='33724409';</v>
      </c>
    </row>
    <row r="574" customFormat="false" ht="14.9" hidden="false" customHeight="false" outlineLevel="0" collapsed="false">
      <c r="A574" s="1" t="s">
        <v>15</v>
      </c>
      <c r="B574" s="1" t="s">
        <v>593</v>
      </c>
      <c r="C574" s="1" t="s">
        <v>17</v>
      </c>
      <c r="D574" s="1" t="s">
        <v>601</v>
      </c>
      <c r="E574" s="2" t="n">
        <v>45926</v>
      </c>
      <c r="F574" s="2" t="n">
        <f aca="false">IFERROR(VLOOKUP(TRIM($D574), Hoja4_2!$A$2:$L$10000, 4, 0), "Revisar")</f>
        <v>40182</v>
      </c>
      <c r="G574" s="7" t="str">
        <f aca="false">IFERROR(VLOOKUP(TRIM($D574), Hoja4_2!$A$2:$L$10000, 5, 0), "Revisar")</f>
        <v>FEMENINO</v>
      </c>
      <c r="H574" s="7" t="str">
        <f aca="false">IFERROR(VLOOKUP(TRIM($D574), Hoja4_2!$A$2:$L$10000, 7, 0), "Revisar")</f>
        <v>MARACAIBO</v>
      </c>
      <c r="I574" s="7" t="str">
        <f aca="false">IFERROR(VLOOKUP(TRIM($D574), Hoja4_2!$A$2:$L$10000, 9, 0), "Revisar")</f>
        <v>ZU</v>
      </c>
      <c r="J574" s="7" t="str">
        <f aca="false">IFERROR(VLOOKUP(TRIM($D574), Hoja4_2!$A$2:$L$10000, 12, 0), "Revisar")</f>
        <v>14497413</v>
      </c>
      <c r="K574" s="8" t="str">
        <f aca="false">TEXT(TRIM(D574),"0")</f>
        <v>33724414</v>
      </c>
      <c r="L574" s="1" t="str">
        <f aca="false">IF(F574="Revisar","NULL",CONCATENATE("'",TEXT(F574,"yyyy-mm-dd"),"'"))</f>
        <v>'2010-01-04'</v>
      </c>
      <c r="M574" s="9" t="str">
        <f aca="false">IF(G574="Revisar","NULL",CONCATENATE("'",MID(G574,1,1),"'"))</f>
        <v>'F'</v>
      </c>
      <c r="N574" s="9" t="str">
        <f aca="false">IF(H574="Revisar","NULL",CONCATENATE("'",H574,"'"))</f>
        <v>'MARACAIBO'</v>
      </c>
      <c r="O574" s="9" t="str">
        <f aca="false">IF(I574="Revisar","NULL",CONCATENATE("'",I574,"'"))</f>
        <v>'ZU'</v>
      </c>
      <c r="P574" s="1" t="str">
        <f aca="false">"UPDATE estudiantes SET fecha_nacimiento="&amp;L574&amp;", sexo="&amp;M574&amp;", lugar_nacimiento="&amp;N574&amp;", entidad_federal="&amp;O574&amp;" WHERE cedula='"&amp;K574&amp;"';"</f>
        <v>UPDATE estudiantes SET fecha_nacimiento='2010-01-04', sexo='F', lugar_nacimiento='MARACAIBO', entidad_federal='ZU' WHERE cedula='33724414';</v>
      </c>
    </row>
    <row r="575" customFormat="false" ht="14.9" hidden="false" customHeight="false" outlineLevel="0" collapsed="false">
      <c r="A575" s="1" t="s">
        <v>15</v>
      </c>
      <c r="B575" s="1" t="s">
        <v>593</v>
      </c>
      <c r="C575" s="1" t="s">
        <v>17</v>
      </c>
      <c r="D575" s="1" t="s">
        <v>602</v>
      </c>
      <c r="E575" s="2" t="n">
        <v>45926</v>
      </c>
      <c r="F575" s="2" t="n">
        <f aca="false">IFERROR(VLOOKUP(TRIM($D575), Hoja4_2!$A$2:$L$10000, 4, 0), "Revisar")</f>
        <v>39832</v>
      </c>
      <c r="G575" s="7" t="str">
        <f aca="false">IFERROR(VLOOKUP(TRIM($D575), Hoja4_2!$A$2:$L$10000, 5, 0), "Revisar")</f>
        <v>MASCULINO</v>
      </c>
      <c r="H575" s="7" t="str">
        <f aca="false">IFERROR(VLOOKUP(TRIM($D575), Hoja4_2!$A$2:$L$10000, 7, 0), "Revisar")</f>
        <v>JESUS ENRIQUE LOSSADA</v>
      </c>
      <c r="I575" s="7" t="str">
        <f aca="false">IFERROR(VLOOKUP(TRIM($D575), Hoja4_2!$A$2:$L$10000, 9, 0), "Revisar")</f>
        <v>ZU</v>
      </c>
      <c r="J575" s="7" t="str">
        <f aca="false">IFERROR(VLOOKUP(TRIM($D575), Hoja4_2!$A$2:$L$10000, 12, 0), "Revisar")</f>
        <v>17953650</v>
      </c>
      <c r="K575" s="8" t="str">
        <f aca="false">TEXT(TRIM(D575),"0")</f>
        <v>33811169</v>
      </c>
      <c r="L575" s="1" t="str">
        <f aca="false">IF(F575="Revisar","NULL",CONCATENATE("'",TEXT(F575,"yyyy-mm-dd"),"'"))</f>
        <v>'2009-01-19'</v>
      </c>
      <c r="M575" s="9" t="str">
        <f aca="false">IF(G575="Revisar","NULL",CONCATENATE("'",MID(G575,1,1),"'"))</f>
        <v>'M'</v>
      </c>
      <c r="N575" s="9" t="str">
        <f aca="false">IF(H575="Revisar","NULL",CONCATENATE("'",H575,"'"))</f>
        <v>'JESUS ENRIQUE LOSSADA'</v>
      </c>
      <c r="O575" s="9" t="str">
        <f aca="false">IF(I575="Revisar","NULL",CONCATENATE("'",I575,"'"))</f>
        <v>'ZU'</v>
      </c>
      <c r="P575" s="1" t="str">
        <f aca="false">"UPDATE estudiantes SET fecha_nacimiento="&amp;L575&amp;", sexo="&amp;M575&amp;", lugar_nacimiento="&amp;N575&amp;", entidad_federal="&amp;O575&amp;" WHERE cedula='"&amp;K575&amp;"';"</f>
        <v>UPDATE estudiantes SET fecha_nacimiento='2009-01-19', sexo='M', lugar_nacimiento='JESUS ENRIQUE LOSSADA', entidad_federal='ZU' WHERE cedula='33811169';</v>
      </c>
    </row>
    <row r="576" customFormat="false" ht="14.9" hidden="false" customHeight="false" outlineLevel="0" collapsed="false">
      <c r="A576" s="1" t="s">
        <v>15</v>
      </c>
      <c r="B576" s="1" t="s">
        <v>593</v>
      </c>
      <c r="C576" s="1" t="s">
        <v>17</v>
      </c>
      <c r="D576" s="1" t="s">
        <v>603</v>
      </c>
      <c r="E576" s="2" t="n">
        <v>45926</v>
      </c>
      <c r="F576" s="2" t="n">
        <f aca="false">IFERROR(VLOOKUP(TRIM($D576), Hoja4_2!$A$2:$L$10000, 4, 0), "Revisar")</f>
        <v>39979</v>
      </c>
      <c r="G576" s="7" t="str">
        <f aca="false">IFERROR(VLOOKUP(TRIM($D576), Hoja4_2!$A$2:$L$10000, 5, 0), "Revisar")</f>
        <v>MASCULINO</v>
      </c>
      <c r="H576" s="7" t="str">
        <f aca="false">IFERROR(VLOOKUP(TRIM($D576), Hoja4_2!$A$2:$L$10000, 7, 0), "Revisar")</f>
        <v>MARACAIBO</v>
      </c>
      <c r="I576" s="7" t="str">
        <f aca="false">IFERROR(VLOOKUP(TRIM($D576), Hoja4_2!$A$2:$L$10000, 9, 0), "Revisar")</f>
        <v>ZU</v>
      </c>
      <c r="J576" s="7" t="str">
        <f aca="false">IFERROR(VLOOKUP(TRIM($D576), Hoja4_2!$A$2:$L$10000, 12, 0), "Revisar")</f>
        <v>23769204</v>
      </c>
      <c r="K576" s="8" t="str">
        <f aca="false">TEXT(TRIM(D576),"0")</f>
        <v>33860372</v>
      </c>
      <c r="L576" s="1" t="str">
        <f aca="false">IF(F576="Revisar","NULL",CONCATENATE("'",TEXT(F576,"yyyy-mm-dd"),"'"))</f>
        <v>'2009-06-15'</v>
      </c>
      <c r="M576" s="9" t="str">
        <f aca="false">IF(G576="Revisar","NULL",CONCATENATE("'",MID(G576,1,1),"'"))</f>
        <v>'M'</v>
      </c>
      <c r="N576" s="9" t="str">
        <f aca="false">IF(H576="Revisar","NULL",CONCATENATE("'",H576,"'"))</f>
        <v>'MARACAIBO'</v>
      </c>
      <c r="O576" s="9" t="str">
        <f aca="false">IF(I576="Revisar","NULL",CONCATENATE("'",I576,"'"))</f>
        <v>'ZU'</v>
      </c>
      <c r="P576" s="1" t="str">
        <f aca="false">"UPDATE estudiantes SET fecha_nacimiento="&amp;L576&amp;", sexo="&amp;M576&amp;", lugar_nacimiento="&amp;N576&amp;", entidad_federal="&amp;O576&amp;" WHERE cedula='"&amp;K576&amp;"';"</f>
        <v>UPDATE estudiantes SET fecha_nacimiento='2009-06-15', sexo='M', lugar_nacimiento='MARACAIBO', entidad_federal='ZU' WHERE cedula='33860372';</v>
      </c>
    </row>
    <row r="577" customFormat="false" ht="14.9" hidden="false" customHeight="false" outlineLevel="0" collapsed="false">
      <c r="A577" s="1" t="s">
        <v>15</v>
      </c>
      <c r="B577" s="1" t="s">
        <v>593</v>
      </c>
      <c r="C577" s="1" t="s">
        <v>17</v>
      </c>
      <c r="D577" s="1" t="s">
        <v>604</v>
      </c>
      <c r="E577" s="2" t="n">
        <v>45926</v>
      </c>
      <c r="F577" s="2" t="n">
        <f aca="false">IFERROR(VLOOKUP(TRIM($D577), Hoja4_2!$A$2:$L$10000, 4, 0), "Revisar")</f>
        <v>39605</v>
      </c>
      <c r="G577" s="7" t="str">
        <f aca="false">IFERROR(VLOOKUP(TRIM($D577), Hoja4_2!$A$2:$L$10000, 5, 0), "Revisar")</f>
        <v>FEMENINO</v>
      </c>
      <c r="H577" s="7" t="str">
        <f aca="false">IFERROR(VLOOKUP(TRIM($D577), Hoja4_2!$A$2:$L$10000, 7, 0), "Revisar")</f>
        <v>MARACAIBO</v>
      </c>
      <c r="I577" s="7" t="str">
        <f aca="false">IFERROR(VLOOKUP(TRIM($D577), Hoja4_2!$A$2:$L$10000, 9, 0), "Revisar")</f>
        <v>ZU</v>
      </c>
      <c r="J577" s="7" t="str">
        <f aca="false">IFERROR(VLOOKUP(TRIM($D577), Hoja4_2!$A$2:$L$10000, 12, 0), "Revisar")</f>
        <v>19016811</v>
      </c>
      <c r="K577" s="8" t="str">
        <f aca="false">TEXT(TRIM(D577),"0")</f>
        <v>34397360</v>
      </c>
      <c r="L577" s="1" t="str">
        <f aca="false">IF(F577="Revisar","NULL",CONCATENATE("'",TEXT(F577,"yyyy-mm-dd"),"'"))</f>
        <v>'2008-06-06'</v>
      </c>
      <c r="M577" s="9" t="str">
        <f aca="false">IF(G577="Revisar","NULL",CONCATENATE("'",MID(G577,1,1),"'"))</f>
        <v>'F'</v>
      </c>
      <c r="N577" s="9" t="str">
        <f aca="false">IF(H577="Revisar","NULL",CONCATENATE("'",H577,"'"))</f>
        <v>'MARACAIBO'</v>
      </c>
      <c r="O577" s="9" t="str">
        <f aca="false">IF(I577="Revisar","NULL",CONCATENATE("'",I577,"'"))</f>
        <v>'ZU'</v>
      </c>
      <c r="P577" s="1" t="str">
        <f aca="false">"UPDATE estudiantes SET fecha_nacimiento="&amp;L577&amp;", sexo="&amp;M577&amp;", lugar_nacimiento="&amp;N577&amp;", entidad_federal="&amp;O577&amp;" WHERE cedula='"&amp;K577&amp;"';"</f>
        <v>UPDATE estudiantes SET fecha_nacimiento='2008-06-06', sexo='F', lugar_nacimiento='MARACAIBO', entidad_federal='ZU' WHERE cedula='34397360';</v>
      </c>
    </row>
    <row r="578" customFormat="false" ht="14.9" hidden="false" customHeight="false" outlineLevel="0" collapsed="false">
      <c r="A578" s="1" t="s">
        <v>15</v>
      </c>
      <c r="B578" s="1" t="s">
        <v>593</v>
      </c>
      <c r="C578" s="1" t="s">
        <v>17</v>
      </c>
      <c r="D578" s="1" t="s">
        <v>605</v>
      </c>
      <c r="E578" s="2" t="n">
        <v>46034</v>
      </c>
      <c r="F578" s="2" t="n">
        <f aca="false">IFERROR(VLOOKUP(TRIM($D578), Hoja4_2!$A$2:$L$10000, 4, 0), "Revisar")</f>
        <v>39963</v>
      </c>
      <c r="G578" s="7" t="str">
        <f aca="false">IFERROR(VLOOKUP(TRIM($D578), Hoja4_2!$A$2:$L$10000, 5, 0), "Revisar")</f>
        <v>MASCULINO</v>
      </c>
      <c r="H578" s="7" t="str">
        <f aca="false">IFERROR(VLOOKUP(TRIM($D578), Hoja4_2!$A$2:$L$10000, 7, 0), "Revisar")</f>
        <v>MARACAIBO</v>
      </c>
      <c r="I578" s="7" t="str">
        <f aca="false">IFERROR(VLOOKUP(TRIM($D578), Hoja4_2!$A$2:$L$10000, 9, 0), "Revisar")</f>
        <v>ZU</v>
      </c>
      <c r="J578" s="7" t="str">
        <f aca="false">IFERROR(VLOOKUP(TRIM($D578), Hoja4_2!$A$2:$L$10000, 12, 0), "Revisar")</f>
        <v>05851418</v>
      </c>
      <c r="K578" s="8" t="str">
        <f aca="false">TEXT(TRIM(D578),"0")</f>
        <v>34407795</v>
      </c>
      <c r="L578" s="1" t="str">
        <f aca="false">IF(F578="Revisar","NULL",CONCATENATE("'",TEXT(F578,"yyyy-mm-dd"),"'"))</f>
        <v>'2009-05-30'</v>
      </c>
      <c r="M578" s="9" t="str">
        <f aca="false">IF(G578="Revisar","NULL",CONCATENATE("'",MID(G578,1,1),"'"))</f>
        <v>'M'</v>
      </c>
      <c r="N578" s="9" t="str">
        <f aca="false">IF(H578="Revisar","NULL",CONCATENATE("'",H578,"'"))</f>
        <v>'MARACAIBO'</v>
      </c>
      <c r="O578" s="9" t="str">
        <f aca="false">IF(I578="Revisar","NULL",CONCATENATE("'",I578,"'"))</f>
        <v>'ZU'</v>
      </c>
      <c r="P578" s="1" t="str">
        <f aca="false">"UPDATE estudiantes SET fecha_nacimiento="&amp;L578&amp;", sexo="&amp;M578&amp;", lugar_nacimiento="&amp;N578&amp;", entidad_federal="&amp;O578&amp;" WHERE cedula='"&amp;K578&amp;"';"</f>
        <v>UPDATE estudiantes SET fecha_nacimiento='2009-05-30', sexo='M', lugar_nacimiento='MARACAIBO', entidad_federal='ZU' WHERE cedula='34407795';</v>
      </c>
    </row>
    <row r="579" customFormat="false" ht="14.9" hidden="false" customHeight="false" outlineLevel="0" collapsed="false">
      <c r="A579" s="1" t="s">
        <v>15</v>
      </c>
      <c r="B579" s="1" t="s">
        <v>593</v>
      </c>
      <c r="C579" s="1" t="s">
        <v>17</v>
      </c>
      <c r="D579" s="1" t="s">
        <v>606</v>
      </c>
      <c r="E579" s="2" t="n">
        <v>45926</v>
      </c>
      <c r="F579" s="2" t="n">
        <f aca="false">IFERROR(VLOOKUP(TRIM($D579), Hoja4_2!$A$2:$L$10000, 4, 0), "Revisar")</f>
        <v>40152</v>
      </c>
      <c r="G579" s="7" t="str">
        <f aca="false">IFERROR(VLOOKUP(TRIM($D579), Hoja4_2!$A$2:$L$10000, 5, 0), "Revisar")</f>
        <v>MASCULINO</v>
      </c>
      <c r="H579" s="7" t="str">
        <f aca="false">IFERROR(VLOOKUP(TRIM($D579), Hoja4_2!$A$2:$L$10000, 7, 0), "Revisar")</f>
        <v>MARACAIBO</v>
      </c>
      <c r="I579" s="7" t="str">
        <f aca="false">IFERROR(VLOOKUP(TRIM($D579), Hoja4_2!$A$2:$L$10000, 9, 0), "Revisar")</f>
        <v>ZU</v>
      </c>
      <c r="J579" s="7" t="str">
        <f aca="false">IFERROR(VLOOKUP(TRIM($D579), Hoja4_2!$A$2:$L$10000, 12, 0), "Revisar")</f>
        <v>13005764</v>
      </c>
      <c r="K579" s="8" t="str">
        <f aca="false">TEXT(TRIM(D579),"0")</f>
        <v>34414625</v>
      </c>
      <c r="L579" s="1" t="str">
        <f aca="false">IF(F579="Revisar","NULL",CONCATENATE("'",TEXT(F579,"yyyy-mm-dd"),"'"))</f>
        <v>'2009-12-05'</v>
      </c>
      <c r="M579" s="9" t="str">
        <f aca="false">IF(G579="Revisar","NULL",CONCATENATE("'",MID(G579,1,1),"'"))</f>
        <v>'M'</v>
      </c>
      <c r="N579" s="9" t="str">
        <f aca="false">IF(H579="Revisar","NULL",CONCATENATE("'",H579,"'"))</f>
        <v>'MARACAIBO'</v>
      </c>
      <c r="O579" s="9" t="str">
        <f aca="false">IF(I579="Revisar","NULL",CONCATENATE("'",I579,"'"))</f>
        <v>'ZU'</v>
      </c>
      <c r="P579" s="1" t="str">
        <f aca="false">"UPDATE estudiantes SET fecha_nacimiento="&amp;L579&amp;", sexo="&amp;M579&amp;", lugar_nacimiento="&amp;N579&amp;", entidad_federal="&amp;O579&amp;" WHERE cedula='"&amp;K579&amp;"';"</f>
        <v>UPDATE estudiantes SET fecha_nacimiento='2009-12-05', sexo='M', lugar_nacimiento='MARACAIBO', entidad_federal='ZU' WHERE cedula='34414625';</v>
      </c>
    </row>
    <row r="580" customFormat="false" ht="14.9" hidden="false" customHeight="false" outlineLevel="0" collapsed="false">
      <c r="A580" s="1" t="s">
        <v>15</v>
      </c>
      <c r="B580" s="1" t="s">
        <v>593</v>
      </c>
      <c r="C580" s="1" t="s">
        <v>17</v>
      </c>
      <c r="D580" s="1" t="s">
        <v>607</v>
      </c>
      <c r="E580" s="2" t="n">
        <v>45926</v>
      </c>
      <c r="F580" s="2" t="n">
        <f aca="false">IFERROR(VLOOKUP(TRIM($D580), Hoja4_2!$A$2:$L$10000, 4, 0), "Revisar")</f>
        <v>40406</v>
      </c>
      <c r="G580" s="7" t="str">
        <f aca="false">IFERROR(VLOOKUP(TRIM($D580), Hoja4_2!$A$2:$L$10000, 5, 0), "Revisar")</f>
        <v>FEMENINO</v>
      </c>
      <c r="H580" s="7" t="str">
        <f aca="false">IFERROR(VLOOKUP(TRIM($D580), Hoja4_2!$A$2:$L$10000, 7, 0), "Revisar")</f>
        <v>MARACAIBO</v>
      </c>
      <c r="I580" s="7" t="str">
        <f aca="false">IFERROR(VLOOKUP(TRIM($D580), Hoja4_2!$A$2:$L$10000, 9, 0), "Revisar")</f>
        <v>ZU</v>
      </c>
      <c r="J580" s="7" t="str">
        <f aca="false">IFERROR(VLOOKUP(TRIM($D580), Hoja4_2!$A$2:$L$10000, 12, 0), "Revisar")</f>
        <v>24249416</v>
      </c>
      <c r="K580" s="8" t="str">
        <f aca="false">TEXT(TRIM(D580),"0")</f>
        <v>34845343</v>
      </c>
      <c r="L580" s="1" t="str">
        <f aca="false">IF(F580="Revisar","NULL",CONCATENATE("'",TEXT(F580,"yyyy-mm-dd"),"'"))</f>
        <v>'2010-08-16'</v>
      </c>
      <c r="M580" s="9" t="str">
        <f aca="false">IF(G580="Revisar","NULL",CONCATENATE("'",MID(G580,1,1),"'"))</f>
        <v>'F'</v>
      </c>
      <c r="N580" s="9" t="str">
        <f aca="false">IF(H580="Revisar","NULL",CONCATENATE("'",H580,"'"))</f>
        <v>'MARACAIBO'</v>
      </c>
      <c r="O580" s="9" t="str">
        <f aca="false">IF(I580="Revisar","NULL",CONCATENATE("'",I580,"'"))</f>
        <v>'ZU'</v>
      </c>
      <c r="P580" s="1" t="str">
        <f aca="false">"UPDATE estudiantes SET fecha_nacimiento="&amp;L580&amp;", sexo="&amp;M580&amp;", lugar_nacimiento="&amp;N580&amp;", entidad_federal="&amp;O580&amp;" WHERE cedula='"&amp;K580&amp;"';"</f>
        <v>UPDATE estudiantes SET fecha_nacimiento='2010-08-16', sexo='F', lugar_nacimiento='MARACAIBO', entidad_federal='ZU' WHERE cedula='34845343';</v>
      </c>
    </row>
    <row r="581" customFormat="false" ht="14.9" hidden="false" customHeight="false" outlineLevel="0" collapsed="false">
      <c r="A581" s="1" t="s">
        <v>15</v>
      </c>
      <c r="B581" s="1" t="s">
        <v>593</v>
      </c>
      <c r="C581" s="1" t="s">
        <v>17</v>
      </c>
      <c r="D581" s="1" t="s">
        <v>608</v>
      </c>
      <c r="E581" s="2" t="n">
        <v>45926</v>
      </c>
      <c r="F581" s="2" t="n">
        <f aca="false">IFERROR(VLOOKUP(TRIM($D581), Hoja4_2!$A$2:$L$10000, 4, 0), "Revisar")</f>
        <v>39563</v>
      </c>
      <c r="G581" s="7" t="str">
        <f aca="false">IFERROR(VLOOKUP(TRIM($D581), Hoja4_2!$A$2:$L$10000, 5, 0), "Revisar")</f>
        <v>MASCULINO</v>
      </c>
      <c r="H581" s="7" t="str">
        <f aca="false">IFERROR(VLOOKUP(TRIM($D581), Hoja4_2!$A$2:$L$10000, 7, 0), "Revisar")</f>
        <v>JESUS ENRIQUE LOSSADA</v>
      </c>
      <c r="I581" s="7" t="str">
        <f aca="false">IFERROR(VLOOKUP(TRIM($D581), Hoja4_2!$A$2:$L$10000, 9, 0), "Revisar")</f>
        <v>ZU</v>
      </c>
      <c r="J581" s="7" t="str">
        <f aca="false">IFERROR(VLOOKUP(TRIM($D581), Hoja4_2!$A$2:$L$10000, 12, 0), "Revisar")</f>
        <v>17634586</v>
      </c>
      <c r="K581" s="8" t="str">
        <f aca="false">TEXT(TRIM(D581),"0")</f>
        <v>34847547</v>
      </c>
      <c r="L581" s="1" t="str">
        <f aca="false">IF(F581="Revisar","NULL",CONCATENATE("'",TEXT(F581,"yyyy-mm-dd"),"'"))</f>
        <v>'2008-04-25'</v>
      </c>
      <c r="M581" s="9" t="str">
        <f aca="false">IF(G581="Revisar","NULL",CONCATENATE("'",MID(G581,1,1),"'"))</f>
        <v>'M'</v>
      </c>
      <c r="N581" s="9" t="str">
        <f aca="false">IF(H581="Revisar","NULL",CONCATENATE("'",H581,"'"))</f>
        <v>'JESUS ENRIQUE LOSSADA'</v>
      </c>
      <c r="O581" s="9" t="str">
        <f aca="false">IF(I581="Revisar","NULL",CONCATENATE("'",I581,"'"))</f>
        <v>'ZU'</v>
      </c>
      <c r="P581" s="1" t="str">
        <f aca="false">"UPDATE estudiantes SET fecha_nacimiento="&amp;L581&amp;", sexo="&amp;M581&amp;", lugar_nacimiento="&amp;N581&amp;", entidad_federal="&amp;O581&amp;" WHERE cedula='"&amp;K581&amp;"';"</f>
        <v>UPDATE estudiantes SET fecha_nacimiento='2008-04-25', sexo='M', lugar_nacimiento='JESUS ENRIQUE LOSSADA', entidad_federal='ZU' WHERE cedula='34847547';</v>
      </c>
    </row>
    <row r="582" customFormat="false" ht="14.9" hidden="false" customHeight="false" outlineLevel="0" collapsed="false">
      <c r="A582" s="1" t="s">
        <v>15</v>
      </c>
      <c r="B582" s="1" t="s">
        <v>593</v>
      </c>
      <c r="C582" s="1" t="s">
        <v>17</v>
      </c>
      <c r="D582" s="1" t="s">
        <v>609</v>
      </c>
      <c r="E582" s="2" t="n">
        <v>45926</v>
      </c>
      <c r="F582" s="2" t="n">
        <f aca="false">IFERROR(VLOOKUP(TRIM($D582), Hoja4_2!$A$2:$L$10000, 4, 0), "Revisar")</f>
        <v>40162</v>
      </c>
      <c r="G582" s="7" t="str">
        <f aca="false">IFERROR(VLOOKUP(TRIM($D582), Hoja4_2!$A$2:$L$10000, 5, 0), "Revisar")</f>
        <v>MASCULINO</v>
      </c>
      <c r="H582" s="7" t="str">
        <f aca="false">IFERROR(VLOOKUP(TRIM($D582), Hoja4_2!$A$2:$L$10000, 7, 0), "Revisar")</f>
        <v>MARACAIBO</v>
      </c>
      <c r="I582" s="7" t="str">
        <f aca="false">IFERROR(VLOOKUP(TRIM($D582), Hoja4_2!$A$2:$L$10000, 9, 0), "Revisar")</f>
        <v>ZU</v>
      </c>
      <c r="J582" s="7" t="str">
        <f aca="false">IFERROR(VLOOKUP(TRIM($D582), Hoja4_2!$A$2:$L$10000, 12, 0), "Revisar")</f>
        <v>17089707</v>
      </c>
      <c r="K582" s="8" t="str">
        <f aca="false">TEXT(TRIM(D582),"0")</f>
        <v>34920574</v>
      </c>
      <c r="L582" s="1" t="str">
        <f aca="false">IF(F582="Revisar","NULL",CONCATENATE("'",TEXT(F582,"yyyy-mm-dd"),"'"))</f>
        <v>'2009-12-15'</v>
      </c>
      <c r="M582" s="9" t="str">
        <f aca="false">IF(G582="Revisar","NULL",CONCATENATE("'",MID(G582,1,1),"'"))</f>
        <v>'M'</v>
      </c>
      <c r="N582" s="9" t="str">
        <f aca="false">IF(H582="Revisar","NULL",CONCATENATE("'",H582,"'"))</f>
        <v>'MARACAIBO'</v>
      </c>
      <c r="O582" s="9" t="str">
        <f aca="false">IF(I582="Revisar","NULL",CONCATENATE("'",I582,"'"))</f>
        <v>'ZU'</v>
      </c>
      <c r="P582" s="1" t="str">
        <f aca="false">"UPDATE estudiantes SET fecha_nacimiento="&amp;L582&amp;", sexo="&amp;M582&amp;", lugar_nacimiento="&amp;N582&amp;", entidad_federal="&amp;O582&amp;" WHERE cedula='"&amp;K582&amp;"';"</f>
        <v>UPDATE estudiantes SET fecha_nacimiento='2009-12-15', sexo='M', lugar_nacimiento='MARACAIBO', entidad_federal='ZU' WHERE cedula='34920574';</v>
      </c>
    </row>
    <row r="583" customFormat="false" ht="14.9" hidden="false" customHeight="false" outlineLevel="0" collapsed="false">
      <c r="A583" s="1" t="s">
        <v>15</v>
      </c>
      <c r="B583" s="1" t="s">
        <v>593</v>
      </c>
      <c r="C583" s="1" t="s">
        <v>17</v>
      </c>
      <c r="D583" s="1" t="s">
        <v>610</v>
      </c>
      <c r="E583" s="2" t="n">
        <v>45926</v>
      </c>
      <c r="F583" s="2" t="n">
        <f aca="false">IFERROR(VLOOKUP(TRIM($D583), Hoja4_2!$A$2:$L$10000, 4, 0), "Revisar")</f>
        <v>40045</v>
      </c>
      <c r="G583" s="7" t="str">
        <f aca="false">IFERROR(VLOOKUP(TRIM($D583), Hoja4_2!$A$2:$L$10000, 5, 0), "Revisar")</f>
        <v>MASCULINO</v>
      </c>
      <c r="H583" s="7" t="str">
        <f aca="false">IFERROR(VLOOKUP(TRIM($D583), Hoja4_2!$A$2:$L$10000, 7, 0), "Revisar")</f>
        <v>MARACAIBO</v>
      </c>
      <c r="I583" s="7" t="str">
        <f aca="false">IFERROR(VLOOKUP(TRIM($D583), Hoja4_2!$A$2:$L$10000, 9, 0), "Revisar")</f>
        <v>ZU</v>
      </c>
      <c r="J583" s="7" t="str">
        <f aca="false">IFERROR(VLOOKUP(TRIM($D583), Hoja4_2!$A$2:$L$10000, 12, 0), "Revisar")</f>
        <v>19225470</v>
      </c>
      <c r="K583" s="8" t="str">
        <f aca="false">TEXT(TRIM(D583),"0")</f>
        <v>35091353</v>
      </c>
      <c r="L583" s="1" t="str">
        <f aca="false">IF(F583="Revisar","NULL",CONCATENATE("'",TEXT(F583,"yyyy-mm-dd"),"'"))</f>
        <v>'2009-08-20'</v>
      </c>
      <c r="M583" s="9" t="str">
        <f aca="false">IF(G583="Revisar","NULL",CONCATENATE("'",MID(G583,1,1),"'"))</f>
        <v>'M'</v>
      </c>
      <c r="N583" s="9" t="str">
        <f aca="false">IF(H583="Revisar","NULL",CONCATENATE("'",H583,"'"))</f>
        <v>'MARACAIBO'</v>
      </c>
      <c r="O583" s="9" t="str">
        <f aca="false">IF(I583="Revisar","NULL",CONCATENATE("'",I583,"'"))</f>
        <v>'ZU'</v>
      </c>
      <c r="P583" s="1" t="str">
        <f aca="false">"UPDATE estudiantes SET fecha_nacimiento="&amp;L583&amp;", sexo="&amp;M583&amp;", lugar_nacimiento="&amp;N583&amp;", entidad_federal="&amp;O583&amp;" WHERE cedula='"&amp;K583&amp;"';"</f>
        <v>UPDATE estudiantes SET fecha_nacimiento='2009-08-20', sexo='M', lugar_nacimiento='MARACAIBO', entidad_federal='ZU' WHERE cedula='35091353';</v>
      </c>
    </row>
    <row r="584" customFormat="false" ht="14.9" hidden="false" customHeight="false" outlineLevel="0" collapsed="false">
      <c r="A584" s="1" t="s">
        <v>15</v>
      </c>
      <c r="B584" s="1" t="s">
        <v>593</v>
      </c>
      <c r="C584" s="1" t="s">
        <v>17</v>
      </c>
      <c r="D584" s="1" t="s">
        <v>611</v>
      </c>
      <c r="E584" s="2" t="n">
        <v>45926</v>
      </c>
      <c r="F584" s="2" t="n">
        <f aca="false">IFERROR(VLOOKUP(TRIM($D584), Hoja4_2!$A$2:$L$10000, 4, 0), "Revisar")</f>
        <v>39976</v>
      </c>
      <c r="G584" s="7" t="str">
        <f aca="false">IFERROR(VLOOKUP(TRIM($D584), Hoja4_2!$A$2:$L$10000, 5, 0), "Revisar")</f>
        <v>FEMENINO</v>
      </c>
      <c r="H584" s="7" t="str">
        <f aca="false">IFERROR(VLOOKUP(TRIM($D584), Hoja4_2!$A$2:$L$10000, 7, 0), "Revisar")</f>
        <v>MARACAIBO</v>
      </c>
      <c r="I584" s="7" t="str">
        <f aca="false">IFERROR(VLOOKUP(TRIM($D584), Hoja4_2!$A$2:$L$10000, 9, 0), "Revisar")</f>
        <v>ZU</v>
      </c>
      <c r="J584" s="7" t="str">
        <f aca="false">IFERROR(VLOOKUP(TRIM($D584), Hoja4_2!$A$2:$L$10000, 12, 0), "Revisar")</f>
        <v>20834413</v>
      </c>
      <c r="K584" s="8" t="str">
        <f aca="false">TEXT(TRIM(D584),"0")</f>
        <v>35095557</v>
      </c>
      <c r="L584" s="1" t="str">
        <f aca="false">IF(F584="Revisar","NULL",CONCATENATE("'",TEXT(F584,"yyyy-mm-dd"),"'"))</f>
        <v>'2009-06-12'</v>
      </c>
      <c r="M584" s="9" t="str">
        <f aca="false">IF(G584="Revisar","NULL",CONCATENATE("'",MID(G584,1,1),"'"))</f>
        <v>'F'</v>
      </c>
      <c r="N584" s="9" t="str">
        <f aca="false">IF(H584="Revisar","NULL",CONCATENATE("'",H584,"'"))</f>
        <v>'MARACAIBO'</v>
      </c>
      <c r="O584" s="9" t="str">
        <f aca="false">IF(I584="Revisar","NULL",CONCATENATE("'",I584,"'"))</f>
        <v>'ZU'</v>
      </c>
      <c r="P584" s="1" t="str">
        <f aca="false">"UPDATE estudiantes SET fecha_nacimiento="&amp;L584&amp;", sexo="&amp;M584&amp;", lugar_nacimiento="&amp;N584&amp;", entidad_federal="&amp;O584&amp;" WHERE cedula='"&amp;K584&amp;"';"</f>
        <v>UPDATE estudiantes SET fecha_nacimiento='2009-06-12', sexo='F', lugar_nacimiento='MARACAIBO', entidad_federal='ZU' WHERE cedula='35095557';</v>
      </c>
    </row>
    <row r="585" customFormat="false" ht="14.9" hidden="false" customHeight="false" outlineLevel="0" collapsed="false">
      <c r="A585" s="1" t="s">
        <v>15</v>
      </c>
      <c r="B585" s="1" t="s">
        <v>593</v>
      </c>
      <c r="C585" s="1" t="s">
        <v>17</v>
      </c>
      <c r="D585" s="1" t="s">
        <v>612</v>
      </c>
      <c r="E585" s="2" t="n">
        <v>45926</v>
      </c>
      <c r="F585" s="2" t="n">
        <f aca="false">IFERROR(VLOOKUP(TRIM($D585), Hoja4_2!$A$2:$L$10000, 4, 0), "Revisar")</f>
        <v>40136</v>
      </c>
      <c r="G585" s="7" t="str">
        <f aca="false">IFERROR(VLOOKUP(TRIM($D585), Hoja4_2!$A$2:$L$10000, 5, 0), "Revisar")</f>
        <v>FEMENINO</v>
      </c>
      <c r="H585" s="7" t="str">
        <f aca="false">IFERROR(VLOOKUP(TRIM($D585), Hoja4_2!$A$2:$L$10000, 7, 0), "Revisar")</f>
        <v>MARACAIBO</v>
      </c>
      <c r="I585" s="7" t="str">
        <f aca="false">IFERROR(VLOOKUP(TRIM($D585), Hoja4_2!$A$2:$L$10000, 9, 0), "Revisar")</f>
        <v>ZU</v>
      </c>
      <c r="J585" s="7" t="str">
        <f aca="false">IFERROR(VLOOKUP(TRIM($D585), Hoja4_2!$A$2:$L$10000, 12, 0), "Revisar")</f>
        <v>25439345</v>
      </c>
      <c r="K585" s="8" t="str">
        <f aca="false">TEXT(TRIM(D585),"0")</f>
        <v>36218291</v>
      </c>
      <c r="L585" s="1" t="str">
        <f aca="false">IF(F585="Revisar","NULL",CONCATENATE("'",TEXT(F585,"yyyy-mm-dd"),"'"))</f>
        <v>'2009-11-19'</v>
      </c>
      <c r="M585" s="9" t="str">
        <f aca="false">IF(G585="Revisar","NULL",CONCATENATE("'",MID(G585,1,1),"'"))</f>
        <v>'F'</v>
      </c>
      <c r="N585" s="9" t="str">
        <f aca="false">IF(H585="Revisar","NULL",CONCATENATE("'",H585,"'"))</f>
        <v>'MARACAIBO'</v>
      </c>
      <c r="O585" s="9" t="str">
        <f aca="false">IF(I585="Revisar","NULL",CONCATENATE("'",I585,"'"))</f>
        <v>'ZU'</v>
      </c>
      <c r="P585" s="1" t="str">
        <f aca="false">"UPDATE estudiantes SET fecha_nacimiento="&amp;L585&amp;", sexo="&amp;M585&amp;", lugar_nacimiento="&amp;N585&amp;", entidad_federal="&amp;O585&amp;" WHERE cedula='"&amp;K585&amp;"';"</f>
        <v>UPDATE estudiantes SET fecha_nacimiento='2009-11-19', sexo='F', lugar_nacimiento='MARACAIBO', entidad_federal='ZU' WHERE cedula='36218291';</v>
      </c>
    </row>
    <row r="586" customFormat="false" ht="14.9" hidden="false" customHeight="false" outlineLevel="0" collapsed="false">
      <c r="A586" s="1" t="s">
        <v>15</v>
      </c>
      <c r="B586" s="1" t="s">
        <v>593</v>
      </c>
      <c r="C586" s="1" t="s">
        <v>17</v>
      </c>
      <c r="D586" s="1" t="s">
        <v>613</v>
      </c>
      <c r="E586" s="2" t="n">
        <v>45926</v>
      </c>
      <c r="F586" s="2" t="n">
        <f aca="false">IFERROR(VLOOKUP(TRIM($D586), Hoja4_2!$A$2:$L$10000, 4, 0), "Revisar")</f>
        <v>39655</v>
      </c>
      <c r="G586" s="7" t="str">
        <f aca="false">IFERROR(VLOOKUP(TRIM($D586), Hoja4_2!$A$2:$L$10000, 5, 0), "Revisar")</f>
        <v>FEMENINO</v>
      </c>
      <c r="H586" s="7" t="str">
        <f aca="false">IFERROR(VLOOKUP(TRIM($D586), Hoja4_2!$A$2:$L$10000, 7, 0), "Revisar")</f>
        <v>MARACAIBO</v>
      </c>
      <c r="I586" s="7" t="str">
        <f aca="false">IFERROR(VLOOKUP(TRIM($D586), Hoja4_2!$A$2:$L$10000, 9, 0), "Revisar")</f>
        <v>ZU</v>
      </c>
      <c r="J586" s="7" t="str">
        <f aca="false">IFERROR(VLOOKUP(TRIM($D586), Hoja4_2!$A$2:$L$10000, 12, 0), "Revisar")</f>
        <v>25439345</v>
      </c>
      <c r="K586" s="8" t="str">
        <f aca="false">TEXT(TRIM(D586),"0")</f>
        <v>36218339</v>
      </c>
      <c r="L586" s="1" t="str">
        <f aca="false">IF(F586="Revisar","NULL",CONCATENATE("'",TEXT(F586,"yyyy-mm-dd"),"'"))</f>
        <v>'2008-07-26'</v>
      </c>
      <c r="M586" s="9" t="str">
        <f aca="false">IF(G586="Revisar","NULL",CONCATENATE("'",MID(G586,1,1),"'"))</f>
        <v>'F'</v>
      </c>
      <c r="N586" s="9" t="str">
        <f aca="false">IF(H586="Revisar","NULL",CONCATENATE("'",H586,"'"))</f>
        <v>'MARACAIBO'</v>
      </c>
      <c r="O586" s="9" t="str">
        <f aca="false">IF(I586="Revisar","NULL",CONCATENATE("'",I586,"'"))</f>
        <v>'ZU'</v>
      </c>
      <c r="P586" s="1" t="str">
        <f aca="false">"UPDATE estudiantes SET fecha_nacimiento="&amp;L586&amp;", sexo="&amp;M586&amp;", lugar_nacimiento="&amp;N586&amp;", entidad_federal="&amp;O586&amp;" WHERE cedula='"&amp;K586&amp;"';"</f>
        <v>UPDATE estudiantes SET fecha_nacimiento='2008-07-26', sexo='F', lugar_nacimiento='MARACAIBO', entidad_federal='ZU' WHERE cedula='36218339';</v>
      </c>
    </row>
    <row r="587" customFormat="false" ht="14.9" hidden="false" customHeight="false" outlineLevel="0" collapsed="false">
      <c r="A587" s="1" t="s">
        <v>15</v>
      </c>
      <c r="B587" s="1" t="s">
        <v>593</v>
      </c>
      <c r="C587" s="1" t="s">
        <v>17</v>
      </c>
      <c r="D587" s="1" t="s">
        <v>614</v>
      </c>
      <c r="E587" s="2" t="n">
        <v>45926</v>
      </c>
      <c r="F587" s="2" t="n">
        <f aca="false">IFERROR(VLOOKUP(TRIM($D587), Hoja4_2!$A$2:$L$10000, 4, 0), "Revisar")</f>
        <v>40108</v>
      </c>
      <c r="G587" s="7" t="str">
        <f aca="false">IFERROR(VLOOKUP(TRIM($D587), Hoja4_2!$A$2:$L$10000, 5, 0), "Revisar")</f>
        <v>FEMENINO</v>
      </c>
      <c r="H587" s="7" t="str">
        <f aca="false">IFERROR(VLOOKUP(TRIM($D587), Hoja4_2!$A$2:$L$10000, 7, 0), "Revisar")</f>
        <v>MARACAIBO</v>
      </c>
      <c r="I587" s="7" t="str">
        <f aca="false">IFERROR(VLOOKUP(TRIM($D587), Hoja4_2!$A$2:$L$10000, 9, 0), "Revisar")</f>
        <v>ZU</v>
      </c>
      <c r="J587" s="7" t="str">
        <f aca="false">IFERROR(VLOOKUP(TRIM($D587), Hoja4_2!$A$2:$L$10000, 12, 0), "Revisar")</f>
        <v>18833893</v>
      </c>
      <c r="K587" s="8" t="str">
        <f aca="false">TEXT(TRIM(D587),"0")</f>
        <v>36737210</v>
      </c>
      <c r="L587" s="1" t="str">
        <f aca="false">IF(F587="Revisar","NULL",CONCATENATE("'",TEXT(F587,"yyyy-mm-dd"),"'"))</f>
        <v>'2009-10-22'</v>
      </c>
      <c r="M587" s="9" t="str">
        <f aca="false">IF(G587="Revisar","NULL",CONCATENATE("'",MID(G587,1,1),"'"))</f>
        <v>'F'</v>
      </c>
      <c r="N587" s="9" t="str">
        <f aca="false">IF(H587="Revisar","NULL",CONCATENATE("'",H587,"'"))</f>
        <v>'MARACAIBO'</v>
      </c>
      <c r="O587" s="9" t="str">
        <f aca="false">IF(I587="Revisar","NULL",CONCATENATE("'",I587,"'"))</f>
        <v>'ZU'</v>
      </c>
      <c r="P587" s="1" t="str">
        <f aca="false">"UPDATE estudiantes SET fecha_nacimiento="&amp;L587&amp;", sexo="&amp;M587&amp;", lugar_nacimiento="&amp;N587&amp;", entidad_federal="&amp;O587&amp;" WHERE cedula='"&amp;K587&amp;"';"</f>
        <v>UPDATE estudiantes SET fecha_nacimiento='2009-10-22', sexo='F', lugar_nacimiento='MARACAIBO', entidad_federal='ZU' WHERE cedula='36737210';</v>
      </c>
    </row>
    <row r="588" customFormat="false" ht="14.9" hidden="false" customHeight="false" outlineLevel="0" collapsed="false">
      <c r="A588" s="1" t="s">
        <v>15</v>
      </c>
      <c r="B588" s="1" t="s">
        <v>593</v>
      </c>
      <c r="C588" s="1" t="s">
        <v>17</v>
      </c>
      <c r="D588" s="1" t="s">
        <v>615</v>
      </c>
      <c r="E588" s="2" t="n">
        <v>45926</v>
      </c>
      <c r="F588" s="2" t="n">
        <f aca="false">IFERROR(VLOOKUP(TRIM($D588), Hoja4_2!$A$2:$L$10000, 4, 0), "Revisar")</f>
        <v>40153</v>
      </c>
      <c r="G588" s="7" t="str">
        <f aca="false">IFERROR(VLOOKUP(TRIM($D588), Hoja4_2!$A$2:$L$10000, 5, 0), "Revisar")</f>
        <v>MASCULINO</v>
      </c>
      <c r="H588" s="7" t="str">
        <f aca="false">IFERROR(VLOOKUP(TRIM($D588), Hoja4_2!$A$2:$L$10000, 7, 0), "Revisar")</f>
        <v>MARACAIBO</v>
      </c>
      <c r="I588" s="7" t="str">
        <f aca="false">IFERROR(VLOOKUP(TRIM($D588), Hoja4_2!$A$2:$L$10000, 9, 0), "Revisar")</f>
        <v>ZU</v>
      </c>
      <c r="J588" s="7" t="str">
        <f aca="false">IFERROR(VLOOKUP(TRIM($D588), Hoja4_2!$A$2:$L$10000, 12, 0), "Revisar")</f>
        <v>10432180</v>
      </c>
      <c r="K588" s="8" t="str">
        <f aca="false">TEXT(TRIM(D588),"0")</f>
        <v>36988317</v>
      </c>
      <c r="L588" s="1" t="str">
        <f aca="false">IF(F588="Revisar","NULL",CONCATENATE("'",TEXT(F588,"yyyy-mm-dd"),"'"))</f>
        <v>'2009-12-06'</v>
      </c>
      <c r="M588" s="9" t="str">
        <f aca="false">IF(G588="Revisar","NULL",CONCATENATE("'",MID(G588,1,1),"'"))</f>
        <v>'M'</v>
      </c>
      <c r="N588" s="9" t="str">
        <f aca="false">IF(H588="Revisar","NULL",CONCATENATE("'",H588,"'"))</f>
        <v>'MARACAIBO'</v>
      </c>
      <c r="O588" s="9" t="str">
        <f aca="false">IF(I588="Revisar","NULL",CONCATENATE("'",I588,"'"))</f>
        <v>'ZU'</v>
      </c>
      <c r="P588" s="1" t="str">
        <f aca="false">"UPDATE estudiantes SET fecha_nacimiento="&amp;L588&amp;", sexo="&amp;M588&amp;", lugar_nacimiento="&amp;N588&amp;", entidad_federal="&amp;O588&amp;" WHERE cedula='"&amp;K588&amp;"';"</f>
        <v>UPDATE estudiantes SET fecha_nacimiento='2009-12-06', sexo='M', lugar_nacimiento='MARACAIBO', entidad_federal='ZU' WHERE cedula='36988317';</v>
      </c>
    </row>
    <row r="589" customFormat="false" ht="14.9" hidden="false" customHeight="false" outlineLevel="0" collapsed="false">
      <c r="A589" s="1" t="s">
        <v>15</v>
      </c>
      <c r="B589" s="1" t="s">
        <v>593</v>
      </c>
      <c r="C589" s="1" t="s">
        <v>17</v>
      </c>
      <c r="D589" s="1" t="s">
        <v>616</v>
      </c>
      <c r="E589" s="2" t="n">
        <v>45926</v>
      </c>
      <c r="F589" s="2" t="n">
        <f aca="false">IFERROR(VLOOKUP(TRIM($D589), Hoja4_2!$A$2:$L$10000, 4, 0), "Revisar")</f>
        <v>40147</v>
      </c>
      <c r="G589" s="7" t="str">
        <f aca="false">IFERROR(VLOOKUP(TRIM($D589), Hoja4_2!$A$2:$L$10000, 5, 0), "Revisar")</f>
        <v>FEMENINO</v>
      </c>
      <c r="H589" s="7" t="str">
        <f aca="false">IFERROR(VLOOKUP(TRIM($D589), Hoja4_2!$A$2:$L$10000, 7, 0), "Revisar")</f>
        <v>MARACAIBO</v>
      </c>
      <c r="I589" s="7" t="str">
        <f aca="false">IFERROR(VLOOKUP(TRIM($D589), Hoja4_2!$A$2:$L$10000, 9, 0), "Revisar")</f>
        <v>ZU</v>
      </c>
      <c r="J589" s="7" t="str">
        <f aca="false">IFERROR(VLOOKUP(TRIM($D589), Hoja4_2!$A$2:$L$10000, 12, 0), "Revisar")</f>
        <v>16919726</v>
      </c>
      <c r="K589" s="8" t="str">
        <f aca="false">TEXT(TRIM(D589),"0")</f>
        <v>37225219</v>
      </c>
      <c r="L589" s="1" t="str">
        <f aca="false">IF(F589="Revisar","NULL",CONCATENATE("'",TEXT(F589,"yyyy-mm-dd"),"'"))</f>
        <v>'2009-11-30'</v>
      </c>
      <c r="M589" s="9" t="str">
        <f aca="false">IF(G589="Revisar","NULL",CONCATENATE("'",MID(G589,1,1),"'"))</f>
        <v>'F'</v>
      </c>
      <c r="N589" s="9" t="str">
        <f aca="false">IF(H589="Revisar","NULL",CONCATENATE("'",H589,"'"))</f>
        <v>'MARACAIBO'</v>
      </c>
      <c r="O589" s="9" t="str">
        <f aca="false">IF(I589="Revisar","NULL",CONCATENATE("'",I589,"'"))</f>
        <v>'ZU'</v>
      </c>
      <c r="P589" s="1" t="str">
        <f aca="false">"UPDATE estudiantes SET fecha_nacimiento="&amp;L589&amp;", sexo="&amp;M589&amp;", lugar_nacimiento="&amp;N589&amp;", entidad_federal="&amp;O589&amp;" WHERE cedula='"&amp;K589&amp;"';"</f>
        <v>UPDATE estudiantes SET fecha_nacimiento='2009-11-30', sexo='F', lugar_nacimiento='MARACAIBO', entidad_federal='ZU' WHERE cedula='37225219';</v>
      </c>
    </row>
    <row r="590" customFormat="false" ht="14.9" hidden="false" customHeight="false" outlineLevel="0" collapsed="false">
      <c r="A590" s="1" t="s">
        <v>15</v>
      </c>
      <c r="B590" s="1" t="s">
        <v>593</v>
      </c>
      <c r="C590" s="1" t="s">
        <v>17</v>
      </c>
      <c r="D590" s="1" t="s">
        <v>617</v>
      </c>
      <c r="E590" s="2" t="n">
        <v>45926</v>
      </c>
      <c r="F590" s="2" t="n">
        <f aca="false">IFERROR(VLOOKUP(TRIM($D590), Hoja4_2!$A$2:$L$10000, 4, 0), "Revisar")</f>
        <v>39983</v>
      </c>
      <c r="G590" s="7" t="str">
        <f aca="false">IFERROR(VLOOKUP(TRIM($D590), Hoja4_2!$A$2:$L$10000, 5, 0), "Revisar")</f>
        <v>FEMENINO</v>
      </c>
      <c r="H590" s="7" t="str">
        <f aca="false">IFERROR(VLOOKUP(TRIM($D590), Hoja4_2!$A$2:$L$10000, 7, 0), "Revisar")</f>
        <v>MARACAIBO</v>
      </c>
      <c r="I590" s="7" t="str">
        <f aca="false">IFERROR(VLOOKUP(TRIM($D590), Hoja4_2!$A$2:$L$10000, 9, 0), "Revisar")</f>
        <v>ZU</v>
      </c>
      <c r="J590" s="7" t="str">
        <f aca="false">IFERROR(VLOOKUP(TRIM($D590), Hoja4_2!$A$2:$L$10000, 12, 0), "Revisar")</f>
        <v>29859855</v>
      </c>
      <c r="K590" s="8" t="str">
        <f aca="false">TEXT(TRIM(D590),"0")</f>
        <v>37430923</v>
      </c>
      <c r="L590" s="1" t="str">
        <f aca="false">IF(F590="Revisar","NULL",CONCATENATE("'",TEXT(F590,"yyyy-mm-dd"),"'"))</f>
        <v>'2009-06-19'</v>
      </c>
      <c r="M590" s="9" t="str">
        <f aca="false">IF(G590="Revisar","NULL",CONCATENATE("'",MID(G590,1,1),"'"))</f>
        <v>'F'</v>
      </c>
      <c r="N590" s="9" t="str">
        <f aca="false">IF(H590="Revisar","NULL",CONCATENATE("'",H590,"'"))</f>
        <v>'MARACAIBO'</v>
      </c>
      <c r="O590" s="9" t="str">
        <f aca="false">IF(I590="Revisar","NULL",CONCATENATE("'",I590,"'"))</f>
        <v>'ZU'</v>
      </c>
      <c r="P590" s="1" t="str">
        <f aca="false">"UPDATE estudiantes SET fecha_nacimiento="&amp;L590&amp;", sexo="&amp;M590&amp;", lugar_nacimiento="&amp;N590&amp;", entidad_federal="&amp;O590&amp;" WHERE cedula='"&amp;K590&amp;"';"</f>
        <v>UPDATE estudiantes SET fecha_nacimiento='2009-06-19', sexo='F', lugar_nacimiento='MARACAIBO', entidad_federal='ZU' WHERE cedula='37430923';</v>
      </c>
    </row>
    <row r="591" customFormat="false" ht="14.9" hidden="false" customHeight="false" outlineLevel="0" collapsed="false">
      <c r="A591" s="1" t="s">
        <v>15</v>
      </c>
      <c r="B591" s="1" t="s">
        <v>593</v>
      </c>
      <c r="C591" s="1" t="s">
        <v>17</v>
      </c>
      <c r="D591" s="1" t="s">
        <v>618</v>
      </c>
      <c r="E591" s="2" t="n">
        <v>45926</v>
      </c>
      <c r="F591" s="2" t="n">
        <f aca="false">IFERROR(VLOOKUP(TRIM($D591), Hoja4_2!$A$2:$L$10000, 4, 0), "Revisar")</f>
        <v>39919</v>
      </c>
      <c r="G591" s="7" t="str">
        <f aca="false">IFERROR(VLOOKUP(TRIM($D591), Hoja4_2!$A$2:$L$10000, 5, 0), "Revisar")</f>
        <v>FEMENINO</v>
      </c>
      <c r="H591" s="7" t="str">
        <f aca="false">IFERROR(VLOOKUP(TRIM($D591), Hoja4_2!$A$2:$L$10000, 7, 0), "Revisar")</f>
        <v>MARACAIBO</v>
      </c>
      <c r="I591" s="7" t="str">
        <f aca="false">IFERROR(VLOOKUP(TRIM($D591), Hoja4_2!$A$2:$L$10000, 9, 0), "Revisar")</f>
        <v>ZU</v>
      </c>
      <c r="J591" s="7" t="str">
        <f aca="false">IFERROR(VLOOKUP(TRIM($D591), Hoja4_2!$A$2:$L$10000, 12, 0), "Revisar")</f>
        <v>15260165</v>
      </c>
      <c r="K591" s="8" t="str">
        <f aca="false">TEXT(TRIM(D591),"0")</f>
        <v>10915260165</v>
      </c>
      <c r="L591" s="1" t="str">
        <f aca="false">IF(F591="Revisar","NULL",CONCATENATE("'",TEXT(F591,"yyyy-mm-dd"),"'"))</f>
        <v>'2009-04-16'</v>
      </c>
      <c r="M591" s="9" t="str">
        <f aca="false">IF(G591="Revisar","NULL",CONCATENATE("'",MID(G591,1,1),"'"))</f>
        <v>'F'</v>
      </c>
      <c r="N591" s="9" t="str">
        <f aca="false">IF(H591="Revisar","NULL",CONCATENATE("'",H591,"'"))</f>
        <v>'MARACAIBO'</v>
      </c>
      <c r="O591" s="9" t="str">
        <f aca="false">IF(I591="Revisar","NULL",CONCATENATE("'",I591,"'"))</f>
        <v>'ZU'</v>
      </c>
      <c r="P591" s="1" t="str">
        <f aca="false">"UPDATE estudiantes SET fecha_nacimiento="&amp;L591&amp;", sexo="&amp;M591&amp;", lugar_nacimiento="&amp;N591&amp;", entidad_federal="&amp;O591&amp;" WHERE cedula='"&amp;K591&amp;"';"</f>
        <v>UPDATE estudiantes SET fecha_nacimiento='2009-04-16', sexo='F', lugar_nacimiento='MARACAIBO', entidad_federal='ZU' WHERE cedula='10915260165';</v>
      </c>
    </row>
    <row r="592" customFormat="false" ht="14.9" hidden="false" customHeight="false" outlineLevel="0" collapsed="false">
      <c r="A592" s="1" t="s">
        <v>15</v>
      </c>
      <c r="B592" s="1" t="s">
        <v>593</v>
      </c>
      <c r="C592" s="1" t="s">
        <v>17</v>
      </c>
      <c r="D592" s="1" t="s">
        <v>619</v>
      </c>
      <c r="E592" s="2" t="n">
        <v>45926</v>
      </c>
      <c r="F592" s="2" t="n">
        <f aca="false">IFERROR(VLOOKUP(TRIM($D592), Hoja4_2!$A$2:$L$10000, 4, 0), "Revisar")</f>
        <v>40212</v>
      </c>
      <c r="G592" s="7" t="str">
        <f aca="false">IFERROR(VLOOKUP(TRIM($D592), Hoja4_2!$A$2:$L$10000, 5, 0), "Revisar")</f>
        <v>FEMENINO</v>
      </c>
      <c r="H592" s="7" t="str">
        <f aca="false">IFERROR(VLOOKUP(TRIM($D592), Hoja4_2!$A$2:$L$10000, 7, 0), "Revisar")</f>
        <v>MARACAIBO</v>
      </c>
      <c r="I592" s="7" t="str">
        <f aca="false">IFERROR(VLOOKUP(TRIM($D592), Hoja4_2!$A$2:$L$10000, 9, 0), "Revisar")</f>
        <v>ZU</v>
      </c>
      <c r="J592" s="7" t="str">
        <f aca="false">IFERROR(VLOOKUP(TRIM($D592), Hoja4_2!$A$2:$L$10000, 12, 0), "Revisar")</f>
        <v>25596408</v>
      </c>
      <c r="K592" s="8" t="str">
        <f aca="false">TEXT(TRIM(D592),"0")</f>
        <v>11025596408</v>
      </c>
      <c r="L592" s="1" t="str">
        <f aca="false">IF(F592="Revisar","NULL",CONCATENATE("'",TEXT(F592,"yyyy-mm-dd"),"'"))</f>
        <v>'2010-02-03'</v>
      </c>
      <c r="M592" s="9" t="str">
        <f aca="false">IF(G592="Revisar","NULL",CONCATENATE("'",MID(G592,1,1),"'"))</f>
        <v>'F'</v>
      </c>
      <c r="N592" s="9" t="str">
        <f aca="false">IF(H592="Revisar","NULL",CONCATENATE("'",H592,"'"))</f>
        <v>'MARACAIBO'</v>
      </c>
      <c r="O592" s="9" t="str">
        <f aca="false">IF(I592="Revisar","NULL",CONCATENATE("'",I592,"'"))</f>
        <v>'ZU'</v>
      </c>
      <c r="P592" s="1" t="str">
        <f aca="false">"UPDATE estudiantes SET fecha_nacimiento="&amp;L592&amp;", sexo="&amp;M592&amp;", lugar_nacimiento="&amp;N592&amp;", entidad_federal="&amp;O592&amp;" WHERE cedula='"&amp;K592&amp;"';"</f>
        <v>UPDATE estudiantes SET fecha_nacimiento='2010-02-03', sexo='F', lugar_nacimiento='MARACAIBO', entidad_federal='ZU' WHERE cedula='11025596408';</v>
      </c>
    </row>
    <row r="593" customFormat="false" ht="14.9" hidden="false" customHeight="false" outlineLevel="0" collapsed="false">
      <c r="A593" s="1" t="s">
        <v>15</v>
      </c>
      <c r="B593" s="1" t="s">
        <v>593</v>
      </c>
      <c r="C593" s="1" t="s">
        <v>53</v>
      </c>
      <c r="D593" s="1" t="s">
        <v>620</v>
      </c>
      <c r="E593" s="2" t="n">
        <v>45926</v>
      </c>
      <c r="F593" s="2" t="n">
        <f aca="false">IFERROR(VLOOKUP(TRIM($D593), Hoja4_2!$A$2:$L$10000, 4, 0), "Revisar")</f>
        <v>39894</v>
      </c>
      <c r="G593" s="7" t="str">
        <f aca="false">IFERROR(VLOOKUP(TRIM($D593), Hoja4_2!$A$2:$L$10000, 5, 0), "Revisar")</f>
        <v>FEMENINO</v>
      </c>
      <c r="H593" s="7" t="str">
        <f aca="false">IFERROR(VLOOKUP(TRIM($D593), Hoja4_2!$A$2:$L$10000, 7, 0), "Revisar")</f>
        <v>MARACAIBO</v>
      </c>
      <c r="I593" s="7" t="str">
        <f aca="false">IFERROR(VLOOKUP(TRIM($D593), Hoja4_2!$A$2:$L$10000, 9, 0), "Revisar")</f>
        <v>ZU</v>
      </c>
      <c r="J593" s="7" t="str">
        <f aca="false">IFERROR(VLOOKUP(TRIM($D593), Hoja4_2!$A$2:$L$10000, 12, 0), "Revisar")</f>
        <v>14208804</v>
      </c>
      <c r="K593" s="8" t="str">
        <f aca="false">TEXT(TRIM(D593),"0")</f>
        <v>32773024</v>
      </c>
      <c r="L593" s="1" t="str">
        <f aca="false">IF(F593="Revisar","NULL",CONCATENATE("'",TEXT(F593,"yyyy-mm-dd"),"'"))</f>
        <v>'2009-03-22'</v>
      </c>
      <c r="M593" s="9" t="str">
        <f aca="false">IF(G593="Revisar","NULL",CONCATENATE("'",MID(G593,1,1),"'"))</f>
        <v>'F'</v>
      </c>
      <c r="N593" s="9" t="str">
        <f aca="false">IF(H593="Revisar","NULL",CONCATENATE("'",H593,"'"))</f>
        <v>'MARACAIBO'</v>
      </c>
      <c r="O593" s="9" t="str">
        <f aca="false">IF(I593="Revisar","NULL",CONCATENATE("'",I593,"'"))</f>
        <v>'ZU'</v>
      </c>
      <c r="P593" s="1" t="str">
        <f aca="false">"UPDATE estudiantes SET fecha_nacimiento="&amp;L593&amp;", sexo="&amp;M593&amp;", lugar_nacimiento="&amp;N593&amp;", entidad_federal="&amp;O593&amp;" WHERE cedula='"&amp;K593&amp;"';"</f>
        <v>UPDATE estudiantes SET fecha_nacimiento='2009-03-22', sexo='F', lugar_nacimiento='MARACAIBO', entidad_federal='ZU' WHERE cedula='32773024';</v>
      </c>
    </row>
    <row r="594" customFormat="false" ht="14.9" hidden="false" customHeight="false" outlineLevel="0" collapsed="false">
      <c r="A594" s="1" t="s">
        <v>15</v>
      </c>
      <c r="B594" s="1" t="s">
        <v>593</v>
      </c>
      <c r="C594" s="1" t="s">
        <v>53</v>
      </c>
      <c r="D594" s="1" t="s">
        <v>621</v>
      </c>
      <c r="E594" s="2" t="n">
        <v>45926</v>
      </c>
      <c r="F594" s="2" t="n">
        <f aca="false">IFERROR(VLOOKUP(TRIM($D594), Hoja4_2!$A$2:$L$10000, 4, 0), "Revisar")</f>
        <v>39715</v>
      </c>
      <c r="G594" s="7" t="str">
        <f aca="false">IFERROR(VLOOKUP(TRIM($D594), Hoja4_2!$A$2:$L$10000, 5, 0), "Revisar")</f>
        <v>MASCULINO</v>
      </c>
      <c r="H594" s="7" t="str">
        <f aca="false">IFERROR(VLOOKUP(TRIM($D594), Hoja4_2!$A$2:$L$10000, 7, 0), "Revisar")</f>
        <v>MARACAIBO</v>
      </c>
      <c r="I594" s="7" t="str">
        <f aca="false">IFERROR(VLOOKUP(TRIM($D594), Hoja4_2!$A$2:$L$10000, 9, 0), "Revisar")</f>
        <v>ZU</v>
      </c>
      <c r="J594" s="7" t="str">
        <f aca="false">IFERROR(VLOOKUP(TRIM($D594), Hoja4_2!$A$2:$L$10000, 12, 0), "Revisar")</f>
        <v>14306904</v>
      </c>
      <c r="K594" s="8" t="str">
        <f aca="false">TEXT(TRIM(D594),"0")</f>
        <v>32839712</v>
      </c>
      <c r="L594" s="1" t="str">
        <f aca="false">IF(F594="Revisar","NULL",CONCATENATE("'",TEXT(F594,"yyyy-mm-dd"),"'"))</f>
        <v>'2008-09-24'</v>
      </c>
      <c r="M594" s="9" t="str">
        <f aca="false">IF(G594="Revisar","NULL",CONCATENATE("'",MID(G594,1,1),"'"))</f>
        <v>'M'</v>
      </c>
      <c r="N594" s="9" t="str">
        <f aca="false">IF(H594="Revisar","NULL",CONCATENATE("'",H594,"'"))</f>
        <v>'MARACAIBO'</v>
      </c>
      <c r="O594" s="9" t="str">
        <f aca="false">IF(I594="Revisar","NULL",CONCATENATE("'",I594,"'"))</f>
        <v>'ZU'</v>
      </c>
      <c r="P594" s="1" t="str">
        <f aca="false">"UPDATE estudiantes SET fecha_nacimiento="&amp;L594&amp;", sexo="&amp;M594&amp;", lugar_nacimiento="&amp;N594&amp;", entidad_federal="&amp;O594&amp;" WHERE cedula='"&amp;K594&amp;"';"</f>
        <v>UPDATE estudiantes SET fecha_nacimiento='2008-09-24', sexo='M', lugar_nacimiento='MARACAIBO', entidad_federal='ZU' WHERE cedula='32839712';</v>
      </c>
    </row>
    <row r="595" customFormat="false" ht="14.9" hidden="false" customHeight="false" outlineLevel="0" collapsed="false">
      <c r="A595" s="1" t="s">
        <v>15</v>
      </c>
      <c r="B595" s="1" t="s">
        <v>593</v>
      </c>
      <c r="C595" s="1" t="s">
        <v>53</v>
      </c>
      <c r="D595" s="1" t="s">
        <v>622</v>
      </c>
      <c r="E595" s="2" t="n">
        <v>45926</v>
      </c>
      <c r="F595" s="2" t="n">
        <f aca="false">IFERROR(VLOOKUP(TRIM($D595), Hoja4_2!$A$2:$L$10000, 4, 0), "Revisar")</f>
        <v>39312</v>
      </c>
      <c r="G595" s="7" t="str">
        <f aca="false">IFERROR(VLOOKUP(TRIM($D595), Hoja4_2!$A$2:$L$10000, 5, 0), "Revisar")</f>
        <v>FEMENINO</v>
      </c>
      <c r="H595" s="7" t="str">
        <f aca="false">IFERROR(VLOOKUP(TRIM($D595), Hoja4_2!$A$2:$L$10000, 7, 0), "Revisar")</f>
        <v>MARACAIBO</v>
      </c>
      <c r="I595" s="7" t="str">
        <f aca="false">IFERROR(VLOOKUP(TRIM($D595), Hoja4_2!$A$2:$L$10000, 9, 0), "Revisar")</f>
        <v>ZU</v>
      </c>
      <c r="J595" s="7" t="str">
        <f aca="false">IFERROR(VLOOKUP(TRIM($D595), Hoja4_2!$A$2:$L$10000, 12, 0), "Revisar")</f>
        <v>15889487</v>
      </c>
      <c r="K595" s="8" t="str">
        <f aca="false">TEXT(TRIM(D595),"0")</f>
        <v>33123562</v>
      </c>
      <c r="L595" s="1" t="str">
        <f aca="false">IF(F595="Revisar","NULL",CONCATENATE("'",TEXT(F595,"yyyy-mm-dd"),"'"))</f>
        <v>'2007-08-18'</v>
      </c>
      <c r="M595" s="9" t="str">
        <f aca="false">IF(G595="Revisar","NULL",CONCATENATE("'",MID(G595,1,1),"'"))</f>
        <v>'F'</v>
      </c>
      <c r="N595" s="9" t="str">
        <f aca="false">IF(H595="Revisar","NULL",CONCATENATE("'",H595,"'"))</f>
        <v>'MARACAIBO'</v>
      </c>
      <c r="O595" s="9" t="str">
        <f aca="false">IF(I595="Revisar","NULL",CONCATENATE("'",I595,"'"))</f>
        <v>'ZU'</v>
      </c>
      <c r="P595" s="1" t="str">
        <f aca="false">"UPDATE estudiantes SET fecha_nacimiento="&amp;L595&amp;", sexo="&amp;M595&amp;", lugar_nacimiento="&amp;N595&amp;", entidad_federal="&amp;O595&amp;" WHERE cedula='"&amp;K595&amp;"';"</f>
        <v>UPDATE estudiantes SET fecha_nacimiento='2007-08-18', sexo='F', lugar_nacimiento='MARACAIBO', entidad_federal='ZU' WHERE cedula='33123562';</v>
      </c>
    </row>
    <row r="596" customFormat="false" ht="14.9" hidden="false" customHeight="false" outlineLevel="0" collapsed="false">
      <c r="A596" s="1" t="s">
        <v>15</v>
      </c>
      <c r="B596" s="1" t="s">
        <v>593</v>
      </c>
      <c r="C596" s="1" t="s">
        <v>53</v>
      </c>
      <c r="D596" s="1" t="s">
        <v>623</v>
      </c>
      <c r="E596" s="2" t="n">
        <v>45926</v>
      </c>
      <c r="F596" s="2" t="n">
        <f aca="false">IFERROR(VLOOKUP(TRIM($D596), Hoja4_2!$A$2:$L$10000, 4, 0), "Revisar")</f>
        <v>40059</v>
      </c>
      <c r="G596" s="7" t="str">
        <f aca="false">IFERROR(VLOOKUP(TRIM($D596), Hoja4_2!$A$2:$L$10000, 5, 0), "Revisar")</f>
        <v>MASCULINO</v>
      </c>
      <c r="H596" s="7" t="str">
        <f aca="false">IFERROR(VLOOKUP(TRIM($D596), Hoja4_2!$A$2:$L$10000, 7, 0), "Revisar")</f>
        <v>MARACAIBO</v>
      </c>
      <c r="I596" s="7" t="str">
        <f aca="false">IFERROR(VLOOKUP(TRIM($D596), Hoja4_2!$A$2:$L$10000, 9, 0), "Revisar")</f>
        <v>ZU</v>
      </c>
      <c r="J596" s="7" t="str">
        <f aca="false">IFERROR(VLOOKUP(TRIM($D596), Hoja4_2!$A$2:$L$10000, 12, 0), "Revisar")</f>
        <v>18317900</v>
      </c>
      <c r="K596" s="8" t="str">
        <f aca="false">TEXT(TRIM(D596),"0")</f>
        <v>33316628</v>
      </c>
      <c r="L596" s="1" t="str">
        <f aca="false">IF(F596="Revisar","NULL",CONCATENATE("'",TEXT(F596,"yyyy-mm-dd"),"'"))</f>
        <v>'2009-09-03'</v>
      </c>
      <c r="M596" s="9" t="str">
        <f aca="false">IF(G596="Revisar","NULL",CONCATENATE("'",MID(G596,1,1),"'"))</f>
        <v>'M'</v>
      </c>
      <c r="N596" s="9" t="str">
        <f aca="false">IF(H596="Revisar","NULL",CONCATENATE("'",H596,"'"))</f>
        <v>'MARACAIBO'</v>
      </c>
      <c r="O596" s="9" t="str">
        <f aca="false">IF(I596="Revisar","NULL",CONCATENATE("'",I596,"'"))</f>
        <v>'ZU'</v>
      </c>
      <c r="P596" s="1" t="str">
        <f aca="false">"UPDATE estudiantes SET fecha_nacimiento="&amp;L596&amp;", sexo="&amp;M596&amp;", lugar_nacimiento="&amp;N596&amp;", entidad_federal="&amp;O596&amp;" WHERE cedula='"&amp;K596&amp;"';"</f>
        <v>UPDATE estudiantes SET fecha_nacimiento='2009-09-03', sexo='M', lugar_nacimiento='MARACAIBO', entidad_federal='ZU' WHERE cedula='33316628';</v>
      </c>
    </row>
    <row r="597" customFormat="false" ht="14.9" hidden="false" customHeight="false" outlineLevel="0" collapsed="false">
      <c r="A597" s="1" t="s">
        <v>15</v>
      </c>
      <c r="B597" s="1" t="s">
        <v>593</v>
      </c>
      <c r="C597" s="1" t="s">
        <v>53</v>
      </c>
      <c r="D597" s="1" t="s">
        <v>624</v>
      </c>
      <c r="E597" s="2" t="n">
        <v>45926</v>
      </c>
      <c r="F597" s="2" t="n">
        <f aca="false">IFERROR(VLOOKUP(TRIM($D597), Hoja4_2!$A$2:$L$10000, 4, 0), "Revisar")</f>
        <v>40036</v>
      </c>
      <c r="G597" s="7" t="str">
        <f aca="false">IFERROR(VLOOKUP(TRIM($D597), Hoja4_2!$A$2:$L$10000, 5, 0), "Revisar")</f>
        <v>FEMENINO</v>
      </c>
      <c r="H597" s="7" t="str">
        <f aca="false">IFERROR(VLOOKUP(TRIM($D597), Hoja4_2!$A$2:$L$10000, 7, 0), "Revisar")</f>
        <v>MARACAIBO</v>
      </c>
      <c r="I597" s="7" t="str">
        <f aca="false">IFERROR(VLOOKUP(TRIM($D597), Hoja4_2!$A$2:$L$10000, 9, 0), "Revisar")</f>
        <v>ZU</v>
      </c>
      <c r="J597" s="7" t="str">
        <f aca="false">IFERROR(VLOOKUP(TRIM($D597), Hoja4_2!$A$2:$L$10000, 12, 0), "Revisar")</f>
        <v>17566994</v>
      </c>
      <c r="K597" s="8" t="str">
        <f aca="false">TEXT(TRIM(D597),"0")</f>
        <v>33431534</v>
      </c>
      <c r="L597" s="1" t="str">
        <f aca="false">IF(F597="Revisar","NULL",CONCATENATE("'",TEXT(F597,"yyyy-mm-dd"),"'"))</f>
        <v>'2009-08-11'</v>
      </c>
      <c r="M597" s="9" t="str">
        <f aca="false">IF(G597="Revisar","NULL",CONCATENATE("'",MID(G597,1,1),"'"))</f>
        <v>'F'</v>
      </c>
      <c r="N597" s="9" t="str">
        <f aca="false">IF(H597="Revisar","NULL",CONCATENATE("'",H597,"'"))</f>
        <v>'MARACAIBO'</v>
      </c>
      <c r="O597" s="9" t="str">
        <f aca="false">IF(I597="Revisar","NULL",CONCATENATE("'",I597,"'"))</f>
        <v>'ZU'</v>
      </c>
      <c r="P597" s="1" t="str">
        <f aca="false">"UPDATE estudiantes SET fecha_nacimiento="&amp;L597&amp;", sexo="&amp;M597&amp;", lugar_nacimiento="&amp;N597&amp;", entidad_federal="&amp;O597&amp;" WHERE cedula='"&amp;K597&amp;"';"</f>
        <v>UPDATE estudiantes SET fecha_nacimiento='2009-08-11', sexo='F', lugar_nacimiento='MARACAIBO', entidad_federal='ZU' WHERE cedula='33431534';</v>
      </c>
    </row>
    <row r="598" customFormat="false" ht="14.9" hidden="false" customHeight="false" outlineLevel="0" collapsed="false">
      <c r="A598" s="1" t="s">
        <v>15</v>
      </c>
      <c r="B598" s="1" t="s">
        <v>593</v>
      </c>
      <c r="C598" s="1" t="s">
        <v>53</v>
      </c>
      <c r="D598" s="1" t="s">
        <v>625</v>
      </c>
      <c r="E598" s="2" t="n">
        <v>45926</v>
      </c>
      <c r="F598" s="2" t="n">
        <f aca="false">IFERROR(VLOOKUP(TRIM($D598), Hoja4_2!$A$2:$L$10000, 4, 0), "Revisar")</f>
        <v>40126</v>
      </c>
      <c r="G598" s="7" t="str">
        <f aca="false">IFERROR(VLOOKUP(TRIM($D598), Hoja4_2!$A$2:$L$10000, 5, 0), "Revisar")</f>
        <v>MASCULINO</v>
      </c>
      <c r="H598" s="7" t="str">
        <f aca="false">IFERROR(VLOOKUP(TRIM($D598), Hoja4_2!$A$2:$L$10000, 7, 0), "Revisar")</f>
        <v>MARACAIBO</v>
      </c>
      <c r="I598" s="7" t="str">
        <f aca="false">IFERROR(VLOOKUP(TRIM($D598), Hoja4_2!$A$2:$L$10000, 9, 0), "Revisar")</f>
        <v>ZU</v>
      </c>
      <c r="J598" s="7" t="str">
        <f aca="false">IFERROR(VLOOKUP(TRIM($D598), Hoja4_2!$A$2:$L$10000, 12, 0), "Revisar")</f>
        <v>18394101</v>
      </c>
      <c r="K598" s="8" t="str">
        <f aca="false">TEXT(TRIM(D598),"0")</f>
        <v>33500284</v>
      </c>
      <c r="L598" s="1" t="str">
        <f aca="false">IF(F598="Revisar","NULL",CONCATENATE("'",TEXT(F598,"yyyy-mm-dd"),"'"))</f>
        <v>'2009-11-09'</v>
      </c>
      <c r="M598" s="9" t="str">
        <f aca="false">IF(G598="Revisar","NULL",CONCATENATE("'",MID(G598,1,1),"'"))</f>
        <v>'M'</v>
      </c>
      <c r="N598" s="9" t="str">
        <f aca="false">IF(H598="Revisar","NULL",CONCATENATE("'",H598,"'"))</f>
        <v>'MARACAIBO'</v>
      </c>
      <c r="O598" s="9" t="str">
        <f aca="false">IF(I598="Revisar","NULL",CONCATENATE("'",I598,"'"))</f>
        <v>'ZU'</v>
      </c>
      <c r="P598" s="1" t="str">
        <f aca="false">"UPDATE estudiantes SET fecha_nacimiento="&amp;L598&amp;", sexo="&amp;M598&amp;", lugar_nacimiento="&amp;N598&amp;", entidad_federal="&amp;O598&amp;" WHERE cedula='"&amp;K598&amp;"';"</f>
        <v>UPDATE estudiantes SET fecha_nacimiento='2009-11-09', sexo='M', lugar_nacimiento='MARACAIBO', entidad_federal='ZU' WHERE cedula='33500284';</v>
      </c>
    </row>
    <row r="599" customFormat="false" ht="14.9" hidden="false" customHeight="false" outlineLevel="0" collapsed="false">
      <c r="A599" s="1" t="s">
        <v>15</v>
      </c>
      <c r="B599" s="1" t="s">
        <v>593</v>
      </c>
      <c r="C599" s="1" t="s">
        <v>53</v>
      </c>
      <c r="D599" s="1" t="s">
        <v>626</v>
      </c>
      <c r="E599" s="2" t="n">
        <v>45926</v>
      </c>
      <c r="F599" s="2" t="n">
        <f aca="false">IFERROR(VLOOKUP(TRIM($D599), Hoja4_2!$A$2:$L$10000, 4, 0), "Revisar")</f>
        <v>39751</v>
      </c>
      <c r="G599" s="7" t="str">
        <f aca="false">IFERROR(VLOOKUP(TRIM($D599), Hoja4_2!$A$2:$L$10000, 5, 0), "Revisar")</f>
        <v>FEMENINO</v>
      </c>
      <c r="H599" s="7" t="str">
        <f aca="false">IFERROR(VLOOKUP(TRIM($D599), Hoja4_2!$A$2:$L$10000, 7, 0), "Revisar")</f>
        <v>MARACAIBO</v>
      </c>
      <c r="I599" s="7" t="str">
        <f aca="false">IFERROR(VLOOKUP(TRIM($D599), Hoja4_2!$A$2:$L$10000, 9, 0), "Revisar")</f>
        <v>ZU</v>
      </c>
      <c r="J599" s="7" t="str">
        <f aca="false">IFERROR(VLOOKUP(TRIM($D599), Hoja4_2!$A$2:$L$10000, 12, 0), "Revisar")</f>
        <v>17543271</v>
      </c>
      <c r="K599" s="8" t="str">
        <f aca="false">TEXT(TRIM(D599),"0")</f>
        <v>33571210</v>
      </c>
      <c r="L599" s="1" t="str">
        <f aca="false">IF(F599="Revisar","NULL",CONCATENATE("'",TEXT(F599,"yyyy-mm-dd"),"'"))</f>
        <v>'2008-10-30'</v>
      </c>
      <c r="M599" s="9" t="str">
        <f aca="false">IF(G599="Revisar","NULL",CONCATENATE("'",MID(G599,1,1),"'"))</f>
        <v>'F'</v>
      </c>
      <c r="N599" s="9" t="str">
        <f aca="false">IF(H599="Revisar","NULL",CONCATENATE("'",H599,"'"))</f>
        <v>'MARACAIBO'</v>
      </c>
      <c r="O599" s="9" t="str">
        <f aca="false">IF(I599="Revisar","NULL",CONCATENATE("'",I599,"'"))</f>
        <v>'ZU'</v>
      </c>
      <c r="P599" s="1" t="str">
        <f aca="false">"UPDATE estudiantes SET fecha_nacimiento="&amp;L599&amp;", sexo="&amp;M599&amp;", lugar_nacimiento="&amp;N599&amp;", entidad_federal="&amp;O599&amp;" WHERE cedula='"&amp;K599&amp;"';"</f>
        <v>UPDATE estudiantes SET fecha_nacimiento='2008-10-30', sexo='F', lugar_nacimiento='MARACAIBO', entidad_federal='ZU' WHERE cedula='33571210';</v>
      </c>
    </row>
    <row r="600" customFormat="false" ht="14.9" hidden="false" customHeight="false" outlineLevel="0" collapsed="false">
      <c r="A600" s="1" t="s">
        <v>15</v>
      </c>
      <c r="B600" s="1" t="s">
        <v>593</v>
      </c>
      <c r="C600" s="1" t="s">
        <v>53</v>
      </c>
      <c r="D600" s="1" t="s">
        <v>627</v>
      </c>
      <c r="E600" s="2" t="n">
        <v>45926</v>
      </c>
      <c r="F600" s="2" t="n">
        <f aca="false">IFERROR(VLOOKUP(TRIM($D600), Hoja4_2!$A$2:$L$10000, 4, 0), "Revisar")</f>
        <v>40238</v>
      </c>
      <c r="G600" s="7" t="str">
        <f aca="false">IFERROR(VLOOKUP(TRIM($D600), Hoja4_2!$A$2:$L$10000, 5, 0), "Revisar")</f>
        <v>FEMENINO</v>
      </c>
      <c r="H600" s="7" t="str">
        <f aca="false">IFERROR(VLOOKUP(TRIM($D600), Hoja4_2!$A$2:$L$10000, 7, 0), "Revisar")</f>
        <v>MARACAIBO</v>
      </c>
      <c r="I600" s="7" t="str">
        <f aca="false">IFERROR(VLOOKUP(TRIM($D600), Hoja4_2!$A$2:$L$10000, 9, 0), "Revisar")</f>
        <v>ZU</v>
      </c>
      <c r="J600" s="7" t="str">
        <f aca="false">IFERROR(VLOOKUP(TRIM($D600), Hoja4_2!$A$2:$L$10000, 12, 0), "Revisar")</f>
        <v>17564999</v>
      </c>
      <c r="K600" s="8" t="str">
        <f aca="false">TEXT(TRIM(D600),"0")</f>
        <v>33576409</v>
      </c>
      <c r="L600" s="1" t="str">
        <f aca="false">IF(F600="Revisar","NULL",CONCATENATE("'",TEXT(F600,"yyyy-mm-dd"),"'"))</f>
        <v>'2010-03-01'</v>
      </c>
      <c r="M600" s="9" t="str">
        <f aca="false">IF(G600="Revisar","NULL",CONCATENATE("'",MID(G600,1,1),"'"))</f>
        <v>'F'</v>
      </c>
      <c r="N600" s="9" t="str">
        <f aca="false">IF(H600="Revisar","NULL",CONCATENATE("'",H600,"'"))</f>
        <v>'MARACAIBO'</v>
      </c>
      <c r="O600" s="9" t="str">
        <f aca="false">IF(I600="Revisar","NULL",CONCATENATE("'",I600,"'"))</f>
        <v>'ZU'</v>
      </c>
      <c r="P600" s="1" t="str">
        <f aca="false">"UPDATE estudiantes SET fecha_nacimiento="&amp;L600&amp;", sexo="&amp;M600&amp;", lugar_nacimiento="&amp;N600&amp;", entidad_federal="&amp;O600&amp;" WHERE cedula='"&amp;K600&amp;"';"</f>
        <v>UPDATE estudiantes SET fecha_nacimiento='2010-03-01', sexo='F', lugar_nacimiento='MARACAIBO', entidad_federal='ZU' WHERE cedula='33576409';</v>
      </c>
    </row>
    <row r="601" customFormat="false" ht="14.9" hidden="false" customHeight="false" outlineLevel="0" collapsed="false">
      <c r="A601" s="1" t="s">
        <v>15</v>
      </c>
      <c r="B601" s="1" t="s">
        <v>593</v>
      </c>
      <c r="C601" s="1" t="s">
        <v>53</v>
      </c>
      <c r="D601" s="1" t="s">
        <v>628</v>
      </c>
      <c r="E601" s="2" t="n">
        <v>45926</v>
      </c>
      <c r="F601" s="2" t="n">
        <f aca="false">IFERROR(VLOOKUP(TRIM($D601), Hoja4_2!$A$2:$L$10000, 4, 0), "Revisar")</f>
        <v>40019</v>
      </c>
      <c r="G601" s="7" t="str">
        <f aca="false">IFERROR(VLOOKUP(TRIM($D601), Hoja4_2!$A$2:$L$10000, 5, 0), "Revisar")</f>
        <v>FEMENINO</v>
      </c>
      <c r="H601" s="7" t="str">
        <f aca="false">IFERROR(VLOOKUP(TRIM($D601), Hoja4_2!$A$2:$L$10000, 7, 0), "Revisar")</f>
        <v>MARACAIBO</v>
      </c>
      <c r="I601" s="7" t="str">
        <f aca="false">IFERROR(VLOOKUP(TRIM($D601), Hoja4_2!$A$2:$L$10000, 9, 0), "Revisar")</f>
        <v>ZU</v>
      </c>
      <c r="J601" s="7" t="str">
        <f aca="false">IFERROR(VLOOKUP(TRIM($D601), Hoja4_2!$A$2:$L$10000, 12, 0), "Revisar")</f>
        <v>19906362</v>
      </c>
      <c r="K601" s="8" t="str">
        <f aca="false">TEXT(TRIM(D601),"0")</f>
        <v>33608341</v>
      </c>
      <c r="L601" s="1" t="str">
        <f aca="false">IF(F601="Revisar","NULL",CONCATENATE("'",TEXT(F601,"yyyy-mm-dd"),"'"))</f>
        <v>'2009-07-25'</v>
      </c>
      <c r="M601" s="9" t="str">
        <f aca="false">IF(G601="Revisar","NULL",CONCATENATE("'",MID(G601,1,1),"'"))</f>
        <v>'F'</v>
      </c>
      <c r="N601" s="9" t="str">
        <f aca="false">IF(H601="Revisar","NULL",CONCATENATE("'",H601,"'"))</f>
        <v>'MARACAIBO'</v>
      </c>
      <c r="O601" s="9" t="str">
        <f aca="false">IF(I601="Revisar","NULL",CONCATENATE("'",I601,"'"))</f>
        <v>'ZU'</v>
      </c>
      <c r="P601" s="1" t="str">
        <f aca="false">"UPDATE estudiantes SET fecha_nacimiento="&amp;L601&amp;", sexo="&amp;M601&amp;", lugar_nacimiento="&amp;N601&amp;", entidad_federal="&amp;O601&amp;" WHERE cedula='"&amp;K601&amp;"';"</f>
        <v>UPDATE estudiantes SET fecha_nacimiento='2009-07-25', sexo='F', lugar_nacimiento='MARACAIBO', entidad_federal='ZU' WHERE cedula='33608341';</v>
      </c>
    </row>
    <row r="602" customFormat="false" ht="14.9" hidden="false" customHeight="false" outlineLevel="0" collapsed="false">
      <c r="A602" s="1" t="s">
        <v>15</v>
      </c>
      <c r="B602" s="1" t="s">
        <v>593</v>
      </c>
      <c r="C602" s="1" t="s">
        <v>53</v>
      </c>
      <c r="D602" s="1" t="s">
        <v>629</v>
      </c>
      <c r="E602" s="2" t="n">
        <v>45932</v>
      </c>
      <c r="F602" s="2" t="n">
        <f aca="false">IFERROR(VLOOKUP(TRIM($D602), Hoja4_2!$A$2:$L$10000, 4, 0), "Revisar")</f>
        <v>40070</v>
      </c>
      <c r="G602" s="7" t="str">
        <f aca="false">IFERROR(VLOOKUP(TRIM($D602), Hoja4_2!$A$2:$L$10000, 5, 0), "Revisar")</f>
        <v>FEMENINO</v>
      </c>
      <c r="H602" s="7" t="str">
        <f aca="false">IFERROR(VLOOKUP(TRIM($D602), Hoja4_2!$A$2:$L$10000, 7, 0), "Revisar")</f>
        <v>MARACAIBO</v>
      </c>
      <c r="I602" s="7" t="str">
        <f aca="false">IFERROR(VLOOKUP(TRIM($D602), Hoja4_2!$A$2:$L$10000, 9, 0), "Revisar")</f>
        <v>ZU</v>
      </c>
      <c r="J602" s="7" t="str">
        <f aca="false">IFERROR(VLOOKUP(TRIM($D602), Hoja4_2!$A$2:$L$10000, 12, 0), "Revisar")</f>
        <v>11824969</v>
      </c>
      <c r="K602" s="8" t="str">
        <f aca="false">TEXT(TRIM(D602),"0")</f>
        <v>33724397</v>
      </c>
      <c r="L602" s="1" t="str">
        <f aca="false">IF(F602="Revisar","NULL",CONCATENATE("'",TEXT(F602,"yyyy-mm-dd"),"'"))</f>
        <v>'2009-09-14'</v>
      </c>
      <c r="M602" s="9" t="str">
        <f aca="false">IF(G602="Revisar","NULL",CONCATENATE("'",MID(G602,1,1),"'"))</f>
        <v>'F'</v>
      </c>
      <c r="N602" s="9" t="str">
        <f aca="false">IF(H602="Revisar","NULL",CONCATENATE("'",H602,"'"))</f>
        <v>'MARACAIBO'</v>
      </c>
      <c r="O602" s="9" t="str">
        <f aca="false">IF(I602="Revisar","NULL",CONCATENATE("'",I602,"'"))</f>
        <v>'ZU'</v>
      </c>
      <c r="P602" s="1" t="str">
        <f aca="false">"UPDATE estudiantes SET fecha_nacimiento="&amp;L602&amp;", sexo="&amp;M602&amp;", lugar_nacimiento="&amp;N602&amp;", entidad_federal="&amp;O602&amp;" WHERE cedula='"&amp;K602&amp;"';"</f>
        <v>UPDATE estudiantes SET fecha_nacimiento='2009-09-14', sexo='F', lugar_nacimiento='MARACAIBO', entidad_federal='ZU' WHERE cedula='33724397';</v>
      </c>
    </row>
    <row r="603" customFormat="false" ht="14.9" hidden="false" customHeight="false" outlineLevel="0" collapsed="false">
      <c r="A603" s="1" t="s">
        <v>15</v>
      </c>
      <c r="B603" s="1" t="s">
        <v>593</v>
      </c>
      <c r="C603" s="1" t="s">
        <v>53</v>
      </c>
      <c r="D603" s="1" t="s">
        <v>630</v>
      </c>
      <c r="E603" s="2" t="n">
        <v>45926</v>
      </c>
      <c r="F603" s="2" t="n">
        <f aca="false">IFERROR(VLOOKUP(TRIM($D603), Hoja4_2!$A$2:$L$10000, 4, 0), "Revisar")</f>
        <v>40360</v>
      </c>
      <c r="G603" s="7" t="str">
        <f aca="false">IFERROR(VLOOKUP(TRIM($D603), Hoja4_2!$A$2:$L$10000, 5, 0), "Revisar")</f>
        <v>FEMENINO</v>
      </c>
      <c r="H603" s="7" t="str">
        <f aca="false">IFERROR(VLOOKUP(TRIM($D603), Hoja4_2!$A$2:$L$10000, 7, 0), "Revisar")</f>
        <v>MARACAIBO</v>
      </c>
      <c r="I603" s="7" t="str">
        <f aca="false">IFERROR(VLOOKUP(TRIM($D603), Hoja4_2!$A$2:$L$10000, 9, 0), "Revisar")</f>
        <v>ZU</v>
      </c>
      <c r="J603" s="7" t="str">
        <f aca="false">IFERROR(VLOOKUP(TRIM($D603), Hoja4_2!$A$2:$L$10000, 12, 0), "Revisar")</f>
        <v>26906339</v>
      </c>
      <c r="K603" s="8" t="str">
        <f aca="false">TEXT(TRIM(D603),"0")</f>
        <v>33724795</v>
      </c>
      <c r="L603" s="1" t="str">
        <f aca="false">IF(F603="Revisar","NULL",CONCATENATE("'",TEXT(F603,"yyyy-mm-dd"),"'"))</f>
        <v>'2010-07-01'</v>
      </c>
      <c r="M603" s="9" t="str">
        <f aca="false">IF(G603="Revisar","NULL",CONCATENATE("'",MID(G603,1,1),"'"))</f>
        <v>'F'</v>
      </c>
      <c r="N603" s="9" t="str">
        <f aca="false">IF(H603="Revisar","NULL",CONCATENATE("'",H603,"'"))</f>
        <v>'MARACAIBO'</v>
      </c>
      <c r="O603" s="9" t="str">
        <f aca="false">IF(I603="Revisar","NULL",CONCATENATE("'",I603,"'"))</f>
        <v>'ZU'</v>
      </c>
      <c r="P603" s="1" t="str">
        <f aca="false">"UPDATE estudiantes SET fecha_nacimiento="&amp;L603&amp;", sexo="&amp;M603&amp;", lugar_nacimiento="&amp;N603&amp;", entidad_federal="&amp;O603&amp;" WHERE cedula='"&amp;K603&amp;"';"</f>
        <v>UPDATE estudiantes SET fecha_nacimiento='2010-07-01', sexo='F', lugar_nacimiento='MARACAIBO', entidad_federal='ZU' WHERE cedula='33724795';</v>
      </c>
    </row>
    <row r="604" customFormat="false" ht="14.9" hidden="false" customHeight="false" outlineLevel="0" collapsed="false">
      <c r="A604" s="1" t="s">
        <v>15</v>
      </c>
      <c r="B604" s="1" t="s">
        <v>593</v>
      </c>
      <c r="C604" s="1" t="s">
        <v>53</v>
      </c>
      <c r="D604" s="1" t="s">
        <v>631</v>
      </c>
      <c r="E604" s="2" t="n">
        <v>45926</v>
      </c>
      <c r="F604" s="2" t="n">
        <f aca="false">IFERROR(VLOOKUP(TRIM($D604), Hoja4_2!$A$2:$L$10000, 4, 0), "Revisar")</f>
        <v>39973</v>
      </c>
      <c r="G604" s="7" t="str">
        <f aca="false">IFERROR(VLOOKUP(TRIM($D604), Hoja4_2!$A$2:$L$10000, 5, 0), "Revisar")</f>
        <v>FEMENINO</v>
      </c>
      <c r="H604" s="7" t="str">
        <f aca="false">IFERROR(VLOOKUP(TRIM($D604), Hoja4_2!$A$2:$L$10000, 7, 0), "Revisar")</f>
        <v>MARACAIBO</v>
      </c>
      <c r="I604" s="7" t="str">
        <f aca="false">IFERROR(VLOOKUP(TRIM($D604), Hoja4_2!$A$2:$L$10000, 9, 0), "Revisar")</f>
        <v>ZU</v>
      </c>
      <c r="J604" s="7" t="str">
        <f aca="false">IFERROR(VLOOKUP(TRIM($D604), Hoja4_2!$A$2:$L$10000, 12, 0), "Revisar")</f>
        <v>17565205</v>
      </c>
      <c r="K604" s="8" t="str">
        <f aca="false">TEXT(TRIM(D604),"0")</f>
        <v>33729396</v>
      </c>
      <c r="L604" s="1" t="str">
        <f aca="false">IF(F604="Revisar","NULL",CONCATENATE("'",TEXT(F604,"yyyy-mm-dd"),"'"))</f>
        <v>'2009-06-09'</v>
      </c>
      <c r="M604" s="9" t="str">
        <f aca="false">IF(G604="Revisar","NULL",CONCATENATE("'",MID(G604,1,1),"'"))</f>
        <v>'F'</v>
      </c>
      <c r="N604" s="9" t="str">
        <f aca="false">IF(H604="Revisar","NULL",CONCATENATE("'",H604,"'"))</f>
        <v>'MARACAIBO'</v>
      </c>
      <c r="O604" s="9" t="str">
        <f aca="false">IF(I604="Revisar","NULL",CONCATENATE("'",I604,"'"))</f>
        <v>'ZU'</v>
      </c>
      <c r="P604" s="1" t="str">
        <f aca="false">"UPDATE estudiantes SET fecha_nacimiento="&amp;L604&amp;", sexo="&amp;M604&amp;", lugar_nacimiento="&amp;N604&amp;", entidad_federal="&amp;O604&amp;" WHERE cedula='"&amp;K604&amp;"';"</f>
        <v>UPDATE estudiantes SET fecha_nacimiento='2009-06-09', sexo='F', lugar_nacimiento='MARACAIBO', entidad_federal='ZU' WHERE cedula='33729396';</v>
      </c>
    </row>
    <row r="605" customFormat="false" ht="14.9" hidden="false" customHeight="false" outlineLevel="0" collapsed="false">
      <c r="A605" s="1" t="s">
        <v>15</v>
      </c>
      <c r="B605" s="1" t="s">
        <v>593</v>
      </c>
      <c r="C605" s="1" t="s">
        <v>53</v>
      </c>
      <c r="D605" s="1" t="s">
        <v>632</v>
      </c>
      <c r="E605" s="2" t="n">
        <v>45926</v>
      </c>
      <c r="F605" s="2" t="n">
        <f aca="false">IFERROR(VLOOKUP(TRIM($D605), Hoja4_2!$A$2:$L$10000, 4, 0), "Revisar")</f>
        <v>40284</v>
      </c>
      <c r="G605" s="7" t="str">
        <f aca="false">IFERROR(VLOOKUP(TRIM($D605), Hoja4_2!$A$2:$L$10000, 5, 0), "Revisar")</f>
        <v>FEMENINO</v>
      </c>
      <c r="H605" s="7" t="str">
        <f aca="false">IFERROR(VLOOKUP(TRIM($D605), Hoja4_2!$A$2:$L$10000, 7, 0), "Revisar")</f>
        <v>MARACAIBO</v>
      </c>
      <c r="I605" s="7" t="str">
        <f aca="false">IFERROR(VLOOKUP(TRIM($D605), Hoja4_2!$A$2:$L$10000, 9, 0), "Revisar")</f>
        <v>ZU</v>
      </c>
      <c r="J605" s="7" t="str">
        <f aca="false">IFERROR(VLOOKUP(TRIM($D605), Hoja4_2!$A$2:$L$10000, 12, 0), "Revisar")</f>
        <v>19989570</v>
      </c>
      <c r="K605" s="8" t="str">
        <f aca="false">TEXT(TRIM(D605),"0")</f>
        <v>33809229</v>
      </c>
      <c r="L605" s="1" t="str">
        <f aca="false">IF(F605="Revisar","NULL",CONCATENATE("'",TEXT(F605,"yyyy-mm-dd"),"'"))</f>
        <v>'2010-04-16'</v>
      </c>
      <c r="M605" s="9" t="str">
        <f aca="false">IF(G605="Revisar","NULL",CONCATENATE("'",MID(G605,1,1),"'"))</f>
        <v>'F'</v>
      </c>
      <c r="N605" s="9" t="str">
        <f aca="false">IF(H605="Revisar","NULL",CONCATENATE("'",H605,"'"))</f>
        <v>'MARACAIBO'</v>
      </c>
      <c r="O605" s="9" t="str">
        <f aca="false">IF(I605="Revisar","NULL",CONCATENATE("'",I605,"'"))</f>
        <v>'ZU'</v>
      </c>
      <c r="P605" s="1" t="str">
        <f aca="false">"UPDATE estudiantes SET fecha_nacimiento="&amp;L605&amp;", sexo="&amp;M605&amp;", lugar_nacimiento="&amp;N605&amp;", entidad_federal="&amp;O605&amp;" WHERE cedula='"&amp;K605&amp;"';"</f>
        <v>UPDATE estudiantes SET fecha_nacimiento='2010-04-16', sexo='F', lugar_nacimiento='MARACAIBO', entidad_federal='ZU' WHERE cedula='33809229';</v>
      </c>
    </row>
    <row r="606" customFormat="false" ht="14.9" hidden="false" customHeight="false" outlineLevel="0" collapsed="false">
      <c r="A606" s="1" t="s">
        <v>15</v>
      </c>
      <c r="B606" s="1" t="s">
        <v>593</v>
      </c>
      <c r="C606" s="1" t="s">
        <v>53</v>
      </c>
      <c r="D606" s="1" t="s">
        <v>633</v>
      </c>
      <c r="E606" s="2" t="n">
        <v>45926</v>
      </c>
      <c r="F606" s="2" t="n">
        <f aca="false">IFERROR(VLOOKUP(TRIM($D606), Hoja4_2!$A$2:$L$10000, 4, 0), "Revisar")</f>
        <v>39818</v>
      </c>
      <c r="G606" s="7" t="str">
        <f aca="false">IFERROR(VLOOKUP(TRIM($D606), Hoja4_2!$A$2:$L$10000, 5, 0), "Revisar")</f>
        <v>MASCULINO</v>
      </c>
      <c r="H606" s="7" t="str">
        <f aca="false">IFERROR(VLOOKUP(TRIM($D606), Hoja4_2!$A$2:$L$10000, 7, 0), "Revisar")</f>
        <v>MARACAIBO</v>
      </c>
      <c r="I606" s="7" t="str">
        <f aca="false">IFERROR(VLOOKUP(TRIM($D606), Hoja4_2!$A$2:$L$10000, 9, 0), "Revisar")</f>
        <v>ZU</v>
      </c>
      <c r="J606" s="7" t="str">
        <f aca="false">IFERROR(VLOOKUP(TRIM($D606), Hoja4_2!$A$2:$L$10000, 12, 0), "Revisar")</f>
        <v>23466481</v>
      </c>
      <c r="K606" s="8" t="str">
        <f aca="false">TEXT(TRIM(D606),"0")</f>
        <v>34414692</v>
      </c>
      <c r="L606" s="1" t="str">
        <f aca="false">IF(F606="Revisar","NULL",CONCATENATE("'",TEXT(F606,"yyyy-mm-dd"),"'"))</f>
        <v>'2009-01-05'</v>
      </c>
      <c r="M606" s="9" t="str">
        <f aca="false">IF(G606="Revisar","NULL",CONCATENATE("'",MID(G606,1,1),"'"))</f>
        <v>'M'</v>
      </c>
      <c r="N606" s="9" t="str">
        <f aca="false">IF(H606="Revisar","NULL",CONCATENATE("'",H606,"'"))</f>
        <v>'MARACAIBO'</v>
      </c>
      <c r="O606" s="9" t="str">
        <f aca="false">IF(I606="Revisar","NULL",CONCATENATE("'",I606,"'"))</f>
        <v>'ZU'</v>
      </c>
      <c r="P606" s="1" t="str">
        <f aca="false">"UPDATE estudiantes SET fecha_nacimiento="&amp;L606&amp;", sexo="&amp;M606&amp;", lugar_nacimiento="&amp;N606&amp;", entidad_federal="&amp;O606&amp;" WHERE cedula='"&amp;K606&amp;"';"</f>
        <v>UPDATE estudiantes SET fecha_nacimiento='2009-01-05', sexo='M', lugar_nacimiento='MARACAIBO', entidad_federal='ZU' WHERE cedula='34414692';</v>
      </c>
    </row>
    <row r="607" customFormat="false" ht="14.9" hidden="false" customHeight="false" outlineLevel="0" collapsed="false">
      <c r="A607" s="1" t="s">
        <v>15</v>
      </c>
      <c r="B607" s="1" t="s">
        <v>593</v>
      </c>
      <c r="C607" s="1" t="s">
        <v>53</v>
      </c>
      <c r="D607" s="1" t="s">
        <v>634</v>
      </c>
      <c r="E607" s="2" t="n">
        <v>45926</v>
      </c>
      <c r="F607" s="2" t="n">
        <f aca="false">IFERROR(VLOOKUP(TRIM($D607), Hoja4_2!$A$2:$L$10000, 4, 0), "Revisar")</f>
        <v>40445</v>
      </c>
      <c r="G607" s="7" t="str">
        <f aca="false">IFERROR(VLOOKUP(TRIM($D607), Hoja4_2!$A$2:$L$10000, 5, 0), "Revisar")</f>
        <v>MASCULINO</v>
      </c>
      <c r="H607" s="7" t="str">
        <f aca="false">IFERROR(VLOOKUP(TRIM($D607), Hoja4_2!$A$2:$L$10000, 7, 0), "Revisar")</f>
        <v>MARACAIBO</v>
      </c>
      <c r="I607" s="7" t="str">
        <f aca="false">IFERROR(VLOOKUP(TRIM($D607), Hoja4_2!$A$2:$L$10000, 9, 0), "Revisar")</f>
        <v>ZU</v>
      </c>
      <c r="J607" s="7" t="str">
        <f aca="false">IFERROR(VLOOKUP(TRIM($D607), Hoja4_2!$A$2:$L$10000, 12, 0), "Revisar")</f>
        <v>20685030</v>
      </c>
      <c r="K607" s="8" t="str">
        <f aca="false">TEXT(TRIM(D607),"0")</f>
        <v>34423624</v>
      </c>
      <c r="L607" s="1" t="str">
        <f aca="false">IF(F607="Revisar","NULL",CONCATENATE("'",TEXT(F607,"yyyy-mm-dd"),"'"))</f>
        <v>'2010-09-24'</v>
      </c>
      <c r="M607" s="9" t="str">
        <f aca="false">IF(G607="Revisar","NULL",CONCATENATE("'",MID(G607,1,1),"'"))</f>
        <v>'M'</v>
      </c>
      <c r="N607" s="9" t="str">
        <f aca="false">IF(H607="Revisar","NULL",CONCATENATE("'",H607,"'"))</f>
        <v>'MARACAIBO'</v>
      </c>
      <c r="O607" s="9" t="str">
        <f aca="false">IF(I607="Revisar","NULL",CONCATENATE("'",I607,"'"))</f>
        <v>'ZU'</v>
      </c>
      <c r="P607" s="1" t="str">
        <f aca="false">"UPDATE estudiantes SET fecha_nacimiento="&amp;L607&amp;", sexo="&amp;M607&amp;", lugar_nacimiento="&amp;N607&amp;", entidad_federal="&amp;O607&amp;" WHERE cedula='"&amp;K607&amp;"';"</f>
        <v>UPDATE estudiantes SET fecha_nacimiento='2010-09-24', sexo='M', lugar_nacimiento='MARACAIBO', entidad_federal='ZU' WHERE cedula='34423624';</v>
      </c>
    </row>
    <row r="608" customFormat="false" ht="14.9" hidden="false" customHeight="false" outlineLevel="0" collapsed="false">
      <c r="A608" s="1" t="s">
        <v>15</v>
      </c>
      <c r="B608" s="1" t="s">
        <v>593</v>
      </c>
      <c r="C608" s="1" t="s">
        <v>53</v>
      </c>
      <c r="D608" s="1" t="s">
        <v>635</v>
      </c>
      <c r="E608" s="2" t="n">
        <v>45926</v>
      </c>
      <c r="F608" s="2" t="n">
        <f aca="false">IFERROR(VLOOKUP(TRIM($D608), Hoja4_2!$A$2:$L$10000, 4, 0), "Revisar")</f>
        <v>39767</v>
      </c>
      <c r="G608" s="7" t="str">
        <f aca="false">IFERROR(VLOOKUP(TRIM($D608), Hoja4_2!$A$2:$L$10000, 5, 0), "Revisar")</f>
        <v>FEMENINO</v>
      </c>
      <c r="H608" s="7" t="str">
        <f aca="false">IFERROR(VLOOKUP(TRIM($D608), Hoja4_2!$A$2:$L$10000, 7, 0), "Revisar")</f>
        <v>JESUS ENRIQUE LOSSADA</v>
      </c>
      <c r="I608" s="7" t="str">
        <f aca="false">IFERROR(VLOOKUP(TRIM($D608), Hoja4_2!$A$2:$L$10000, 9, 0), "Revisar")</f>
        <v>ZU</v>
      </c>
      <c r="J608" s="7" t="str">
        <f aca="false">IFERROR(VLOOKUP(TRIM($D608), Hoja4_2!$A$2:$L$10000, 12, 0), "Revisar")</f>
        <v>15565071</v>
      </c>
      <c r="K608" s="8" t="str">
        <f aca="false">TEXT(TRIM(D608),"0")</f>
        <v>34462434</v>
      </c>
      <c r="L608" s="1" t="str">
        <f aca="false">IF(F608="Revisar","NULL",CONCATENATE("'",TEXT(F608,"yyyy-mm-dd"),"'"))</f>
        <v>'2008-11-15'</v>
      </c>
      <c r="M608" s="9" t="str">
        <f aca="false">IF(G608="Revisar","NULL",CONCATENATE("'",MID(G608,1,1),"'"))</f>
        <v>'F'</v>
      </c>
      <c r="N608" s="9" t="str">
        <f aca="false">IF(H608="Revisar","NULL",CONCATENATE("'",H608,"'"))</f>
        <v>'JESUS ENRIQUE LOSSADA'</v>
      </c>
      <c r="O608" s="9" t="str">
        <f aca="false">IF(I608="Revisar","NULL",CONCATENATE("'",I608,"'"))</f>
        <v>'ZU'</v>
      </c>
      <c r="P608" s="1" t="str">
        <f aca="false">"UPDATE estudiantes SET fecha_nacimiento="&amp;L608&amp;", sexo="&amp;M608&amp;", lugar_nacimiento="&amp;N608&amp;", entidad_federal="&amp;O608&amp;" WHERE cedula='"&amp;K608&amp;"';"</f>
        <v>UPDATE estudiantes SET fecha_nacimiento='2008-11-15', sexo='F', lugar_nacimiento='JESUS ENRIQUE LOSSADA', entidad_federal='ZU' WHERE cedula='34462434';</v>
      </c>
    </row>
    <row r="609" customFormat="false" ht="14.9" hidden="false" customHeight="false" outlineLevel="0" collapsed="false">
      <c r="A609" s="1" t="s">
        <v>15</v>
      </c>
      <c r="B609" s="1" t="s">
        <v>593</v>
      </c>
      <c r="C609" s="1" t="s">
        <v>53</v>
      </c>
      <c r="D609" s="1" t="s">
        <v>636</v>
      </c>
      <c r="E609" s="2" t="n">
        <v>45926</v>
      </c>
      <c r="F609" s="2" t="n">
        <f aca="false">IFERROR(VLOOKUP(TRIM($D609), Hoja4_2!$A$2:$L$10000, 4, 0), "Revisar")</f>
        <v>40531</v>
      </c>
      <c r="G609" s="7" t="str">
        <f aca="false">IFERROR(VLOOKUP(TRIM($D609), Hoja4_2!$A$2:$L$10000, 5, 0), "Revisar")</f>
        <v>FEMENINO</v>
      </c>
      <c r="H609" s="7" t="str">
        <f aca="false">IFERROR(VLOOKUP(TRIM($D609), Hoja4_2!$A$2:$L$10000, 7, 0), "Revisar")</f>
        <v>MARACAIBO</v>
      </c>
      <c r="I609" s="7" t="str">
        <f aca="false">IFERROR(VLOOKUP(TRIM($D609), Hoja4_2!$A$2:$L$10000, 9, 0), "Revisar")</f>
        <v>ZU</v>
      </c>
      <c r="J609" s="7" t="str">
        <f aca="false">IFERROR(VLOOKUP(TRIM($D609), Hoja4_2!$A$2:$L$10000, 12, 0), "Revisar")</f>
        <v>17636633</v>
      </c>
      <c r="K609" s="8" t="str">
        <f aca="false">TEXT(TRIM(D609),"0")</f>
        <v>34550824</v>
      </c>
      <c r="L609" s="1" t="str">
        <f aca="false">IF(F609="Revisar","NULL",CONCATENATE("'",TEXT(F609,"yyyy-mm-dd"),"'"))</f>
        <v>'2010-12-19'</v>
      </c>
      <c r="M609" s="9" t="str">
        <f aca="false">IF(G609="Revisar","NULL",CONCATENATE("'",MID(G609,1,1),"'"))</f>
        <v>'F'</v>
      </c>
      <c r="N609" s="9" t="str">
        <f aca="false">IF(H609="Revisar","NULL",CONCATENATE("'",H609,"'"))</f>
        <v>'MARACAIBO'</v>
      </c>
      <c r="O609" s="9" t="str">
        <f aca="false">IF(I609="Revisar","NULL",CONCATENATE("'",I609,"'"))</f>
        <v>'ZU'</v>
      </c>
      <c r="P609" s="1" t="str">
        <f aca="false">"UPDATE estudiantes SET fecha_nacimiento="&amp;L609&amp;", sexo="&amp;M609&amp;", lugar_nacimiento="&amp;N609&amp;", entidad_federal="&amp;O609&amp;" WHERE cedula='"&amp;K609&amp;"';"</f>
        <v>UPDATE estudiantes SET fecha_nacimiento='2010-12-19', sexo='F', lugar_nacimiento='MARACAIBO', entidad_federal='ZU' WHERE cedula='34550824';</v>
      </c>
    </row>
    <row r="610" customFormat="false" ht="14.9" hidden="false" customHeight="false" outlineLevel="0" collapsed="false">
      <c r="A610" s="1" t="s">
        <v>15</v>
      </c>
      <c r="B610" s="1" t="s">
        <v>593</v>
      </c>
      <c r="C610" s="1" t="s">
        <v>53</v>
      </c>
      <c r="D610" s="1" t="s">
        <v>637</v>
      </c>
      <c r="E610" s="2" t="n">
        <v>45926</v>
      </c>
      <c r="F610" s="2" t="n">
        <f aca="false">IFERROR(VLOOKUP(TRIM($D610), Hoja4_2!$A$2:$L$10000, 4, 0), "Revisar")</f>
        <v>40326</v>
      </c>
      <c r="G610" s="7" t="str">
        <f aca="false">IFERROR(VLOOKUP(TRIM($D610), Hoja4_2!$A$2:$L$10000, 5, 0), "Revisar")</f>
        <v>MASCULINO</v>
      </c>
      <c r="H610" s="7" t="str">
        <f aca="false">IFERROR(VLOOKUP(TRIM($D610), Hoja4_2!$A$2:$L$10000, 7, 0), "Revisar")</f>
        <v>MARACAIBO</v>
      </c>
      <c r="I610" s="7" t="str">
        <f aca="false">IFERROR(VLOOKUP(TRIM($D610), Hoja4_2!$A$2:$L$10000, 9, 0), "Revisar")</f>
        <v>ZU</v>
      </c>
      <c r="J610" s="7" t="str">
        <f aca="false">IFERROR(VLOOKUP(TRIM($D610), Hoja4_2!$A$2:$L$10000, 12, 0), "Revisar")</f>
        <v>17833718</v>
      </c>
      <c r="K610" s="8" t="str">
        <f aca="false">TEXT(TRIM(D610),"0")</f>
        <v>34845297</v>
      </c>
      <c r="L610" s="1" t="str">
        <f aca="false">IF(F610="Revisar","NULL",CONCATENATE("'",TEXT(F610,"yyyy-mm-dd"),"'"))</f>
        <v>'2010-05-28'</v>
      </c>
      <c r="M610" s="9" t="str">
        <f aca="false">IF(G610="Revisar","NULL",CONCATENATE("'",MID(G610,1,1),"'"))</f>
        <v>'M'</v>
      </c>
      <c r="N610" s="9" t="str">
        <f aca="false">IF(H610="Revisar","NULL",CONCATENATE("'",H610,"'"))</f>
        <v>'MARACAIBO'</v>
      </c>
      <c r="O610" s="9" t="str">
        <f aca="false">IF(I610="Revisar","NULL",CONCATENATE("'",I610,"'"))</f>
        <v>'ZU'</v>
      </c>
      <c r="P610" s="1" t="str">
        <f aca="false">"UPDATE estudiantes SET fecha_nacimiento="&amp;L610&amp;", sexo="&amp;M610&amp;", lugar_nacimiento="&amp;N610&amp;", entidad_federal="&amp;O610&amp;" WHERE cedula='"&amp;K610&amp;"';"</f>
        <v>UPDATE estudiantes SET fecha_nacimiento='2010-05-28', sexo='M', lugar_nacimiento='MARACAIBO', entidad_federal='ZU' WHERE cedula='34845297';</v>
      </c>
    </row>
    <row r="611" customFormat="false" ht="14.9" hidden="false" customHeight="false" outlineLevel="0" collapsed="false">
      <c r="A611" s="1" t="s">
        <v>15</v>
      </c>
      <c r="B611" s="1" t="s">
        <v>593</v>
      </c>
      <c r="C611" s="1" t="s">
        <v>53</v>
      </c>
      <c r="D611" s="1" t="s">
        <v>638</v>
      </c>
      <c r="E611" s="2" t="n">
        <v>45926</v>
      </c>
      <c r="F611" s="2" t="n">
        <f aca="false">IFERROR(VLOOKUP(TRIM($D611), Hoja4_2!$A$2:$L$10000, 4, 0), "Revisar")</f>
        <v>39951</v>
      </c>
      <c r="G611" s="7" t="str">
        <f aca="false">IFERROR(VLOOKUP(TRIM($D611), Hoja4_2!$A$2:$L$10000, 5, 0), "Revisar")</f>
        <v>MASCULINO</v>
      </c>
      <c r="H611" s="7" t="str">
        <f aca="false">IFERROR(VLOOKUP(TRIM($D611), Hoja4_2!$A$2:$L$10000, 7, 0), "Revisar")</f>
        <v>MARACAIBO</v>
      </c>
      <c r="I611" s="7" t="str">
        <f aca="false">IFERROR(VLOOKUP(TRIM($D611), Hoja4_2!$A$2:$L$10000, 9, 0), "Revisar")</f>
        <v>ZU</v>
      </c>
      <c r="J611" s="7" t="str">
        <f aca="false">IFERROR(VLOOKUP(TRIM($D611), Hoja4_2!$A$2:$L$10000, 12, 0), "Revisar")</f>
        <v>18662017</v>
      </c>
      <c r="K611" s="8" t="str">
        <f aca="false">TEXT(TRIM(D611),"0")</f>
        <v>35178772</v>
      </c>
      <c r="L611" s="1" t="str">
        <f aca="false">IF(F611="Revisar","NULL",CONCATENATE("'",TEXT(F611,"yyyy-mm-dd"),"'"))</f>
        <v>'2009-05-18'</v>
      </c>
      <c r="M611" s="9" t="str">
        <f aca="false">IF(G611="Revisar","NULL",CONCATENATE("'",MID(G611,1,1),"'"))</f>
        <v>'M'</v>
      </c>
      <c r="N611" s="9" t="str">
        <f aca="false">IF(H611="Revisar","NULL",CONCATENATE("'",H611,"'"))</f>
        <v>'MARACAIBO'</v>
      </c>
      <c r="O611" s="9" t="str">
        <f aca="false">IF(I611="Revisar","NULL",CONCATENATE("'",I611,"'"))</f>
        <v>'ZU'</v>
      </c>
      <c r="P611" s="1" t="str">
        <f aca="false">"UPDATE estudiantes SET fecha_nacimiento="&amp;L611&amp;", sexo="&amp;M611&amp;", lugar_nacimiento="&amp;N611&amp;", entidad_federal="&amp;O611&amp;" WHERE cedula='"&amp;K611&amp;"';"</f>
        <v>UPDATE estudiantes SET fecha_nacimiento='2009-05-18', sexo='M', lugar_nacimiento='MARACAIBO', entidad_federal='ZU' WHERE cedula='35178772';</v>
      </c>
    </row>
    <row r="612" customFormat="false" ht="14.9" hidden="false" customHeight="false" outlineLevel="0" collapsed="false">
      <c r="A612" s="1" t="s">
        <v>15</v>
      </c>
      <c r="B612" s="1" t="s">
        <v>593</v>
      </c>
      <c r="C612" s="1" t="s">
        <v>53</v>
      </c>
      <c r="D612" s="1" t="s">
        <v>639</v>
      </c>
      <c r="E612" s="2" t="n">
        <v>45926</v>
      </c>
      <c r="F612" s="2" t="n">
        <f aca="false">IFERROR(VLOOKUP(TRIM($D612), Hoja4_2!$A$2:$L$10000, 4, 0), "Revisar")</f>
        <v>40407</v>
      </c>
      <c r="G612" s="7" t="str">
        <f aca="false">IFERROR(VLOOKUP(TRIM($D612), Hoja4_2!$A$2:$L$10000, 5, 0), "Revisar")</f>
        <v>FEMENINO</v>
      </c>
      <c r="H612" s="7" t="str">
        <f aca="false">IFERROR(VLOOKUP(TRIM($D612), Hoja4_2!$A$2:$L$10000, 7, 0), "Revisar")</f>
        <v>MARACAIBO</v>
      </c>
      <c r="I612" s="7" t="str">
        <f aca="false">IFERROR(VLOOKUP(TRIM($D612), Hoja4_2!$A$2:$L$10000, 9, 0), "Revisar")</f>
        <v>ZU</v>
      </c>
      <c r="J612" s="7" t="str">
        <f aca="false">IFERROR(VLOOKUP(TRIM($D612), Hoja4_2!$A$2:$L$10000, 12, 0), "Revisar")</f>
        <v>15012885</v>
      </c>
      <c r="K612" s="8" t="str">
        <f aca="false">TEXT(TRIM(D612),"0")</f>
        <v>36711437</v>
      </c>
      <c r="L612" s="1" t="str">
        <f aca="false">IF(F612="Revisar","NULL",CONCATENATE("'",TEXT(F612,"yyyy-mm-dd"),"'"))</f>
        <v>'2010-08-17'</v>
      </c>
      <c r="M612" s="9" t="str">
        <f aca="false">IF(G612="Revisar","NULL",CONCATENATE("'",MID(G612,1,1),"'"))</f>
        <v>'F'</v>
      </c>
      <c r="N612" s="9" t="str">
        <f aca="false">IF(H612="Revisar","NULL",CONCATENATE("'",H612,"'"))</f>
        <v>'MARACAIBO'</v>
      </c>
      <c r="O612" s="9" t="str">
        <f aca="false">IF(I612="Revisar","NULL",CONCATENATE("'",I612,"'"))</f>
        <v>'ZU'</v>
      </c>
      <c r="P612" s="1" t="str">
        <f aca="false">"UPDATE estudiantes SET fecha_nacimiento="&amp;L612&amp;", sexo="&amp;M612&amp;", lugar_nacimiento="&amp;N612&amp;", entidad_federal="&amp;O612&amp;" WHERE cedula='"&amp;K612&amp;"';"</f>
        <v>UPDATE estudiantes SET fecha_nacimiento='2010-08-17', sexo='F', lugar_nacimiento='MARACAIBO', entidad_federal='ZU' WHERE cedula='36711437';</v>
      </c>
    </row>
    <row r="613" customFormat="false" ht="14.9" hidden="false" customHeight="false" outlineLevel="0" collapsed="false">
      <c r="A613" s="1" t="s">
        <v>15</v>
      </c>
      <c r="B613" s="1" t="s">
        <v>593</v>
      </c>
      <c r="C613" s="1" t="s">
        <v>53</v>
      </c>
      <c r="D613" s="1" t="s">
        <v>640</v>
      </c>
      <c r="E613" s="2" t="n">
        <v>45926</v>
      </c>
      <c r="F613" s="2" t="n">
        <f aca="false">IFERROR(VLOOKUP(TRIM($D613), Hoja4_2!$A$2:$L$10000, 4, 0), "Revisar")</f>
        <v>39903</v>
      </c>
      <c r="G613" s="7" t="str">
        <f aca="false">IFERROR(VLOOKUP(TRIM($D613), Hoja4_2!$A$2:$L$10000, 5, 0), "Revisar")</f>
        <v>FEMENINO</v>
      </c>
      <c r="H613" s="7" t="str">
        <f aca="false">IFERROR(VLOOKUP(TRIM($D613), Hoja4_2!$A$2:$L$10000, 7, 0), "Revisar")</f>
        <v>MARACAIBO</v>
      </c>
      <c r="I613" s="7" t="str">
        <f aca="false">IFERROR(VLOOKUP(TRIM($D613), Hoja4_2!$A$2:$L$10000, 9, 0), "Revisar")</f>
        <v>ZU</v>
      </c>
      <c r="J613" s="7" t="str">
        <f aca="false">IFERROR(VLOOKUP(TRIM($D613), Hoja4_2!$A$2:$L$10000, 12, 0), "Revisar")</f>
        <v>12868835</v>
      </c>
      <c r="K613" s="8" t="str">
        <f aca="false">TEXT(TRIM(D613),"0")</f>
        <v>36791553</v>
      </c>
      <c r="L613" s="1" t="str">
        <f aca="false">IF(F613="Revisar","NULL",CONCATENATE("'",TEXT(F613,"yyyy-mm-dd"),"'"))</f>
        <v>'2009-03-31'</v>
      </c>
      <c r="M613" s="9" t="str">
        <f aca="false">IF(G613="Revisar","NULL",CONCATENATE("'",MID(G613,1,1),"'"))</f>
        <v>'F'</v>
      </c>
      <c r="N613" s="9" t="str">
        <f aca="false">IF(H613="Revisar","NULL",CONCATENATE("'",H613,"'"))</f>
        <v>'MARACAIBO'</v>
      </c>
      <c r="O613" s="9" t="str">
        <f aca="false">IF(I613="Revisar","NULL",CONCATENATE("'",I613,"'"))</f>
        <v>'ZU'</v>
      </c>
      <c r="P613" s="1" t="str">
        <f aca="false">"UPDATE estudiantes SET fecha_nacimiento="&amp;L613&amp;", sexo="&amp;M613&amp;", lugar_nacimiento="&amp;N613&amp;", entidad_federal="&amp;O613&amp;" WHERE cedula='"&amp;K613&amp;"';"</f>
        <v>UPDATE estudiantes SET fecha_nacimiento='2009-03-31', sexo='F', lugar_nacimiento='MARACAIBO', entidad_federal='ZU' WHERE cedula='36791553';</v>
      </c>
    </row>
    <row r="614" customFormat="false" ht="14.9" hidden="false" customHeight="false" outlineLevel="0" collapsed="false">
      <c r="A614" s="1" t="s">
        <v>15</v>
      </c>
      <c r="B614" s="1" t="s">
        <v>593</v>
      </c>
      <c r="C614" s="1" t="s">
        <v>53</v>
      </c>
      <c r="D614" s="1" t="s">
        <v>641</v>
      </c>
      <c r="E614" s="2" t="n">
        <v>45926</v>
      </c>
      <c r="F614" s="2" t="n">
        <f aca="false">IFERROR(VLOOKUP(TRIM($D614), Hoja4_2!$A$2:$L$10000, 4, 0), "Revisar")</f>
        <v>40433</v>
      </c>
      <c r="G614" s="7" t="str">
        <f aca="false">IFERROR(VLOOKUP(TRIM($D614), Hoja4_2!$A$2:$L$10000, 5, 0), "Revisar")</f>
        <v>MASCULINO</v>
      </c>
      <c r="H614" s="7" t="str">
        <f aca="false">IFERROR(VLOOKUP(TRIM($D614), Hoja4_2!$A$2:$L$10000, 7, 0), "Revisar")</f>
        <v>MARACAIBO</v>
      </c>
      <c r="I614" s="7" t="str">
        <f aca="false">IFERROR(VLOOKUP(TRIM($D614), Hoja4_2!$A$2:$L$10000, 9, 0), "Revisar")</f>
        <v>ZU</v>
      </c>
      <c r="J614" s="7" t="str">
        <f aca="false">IFERROR(VLOOKUP(TRIM($D614), Hoja4_2!$A$2:$L$10000, 12, 0), "Revisar")</f>
        <v>21039457</v>
      </c>
      <c r="K614" s="8" t="str">
        <f aca="false">TEXT(TRIM(D614),"0")</f>
        <v>36975152</v>
      </c>
      <c r="L614" s="1" t="str">
        <f aca="false">IF(F614="Revisar","NULL",CONCATENATE("'",TEXT(F614,"yyyy-mm-dd"),"'"))</f>
        <v>'2010-09-12'</v>
      </c>
      <c r="M614" s="9" t="str">
        <f aca="false">IF(G614="Revisar","NULL",CONCATENATE("'",MID(G614,1,1),"'"))</f>
        <v>'M'</v>
      </c>
      <c r="N614" s="9" t="str">
        <f aca="false">IF(H614="Revisar","NULL",CONCATENATE("'",H614,"'"))</f>
        <v>'MARACAIBO'</v>
      </c>
      <c r="O614" s="9" t="str">
        <f aca="false">IF(I614="Revisar","NULL",CONCATENATE("'",I614,"'"))</f>
        <v>'ZU'</v>
      </c>
      <c r="P614" s="1" t="str">
        <f aca="false">"UPDATE estudiantes SET fecha_nacimiento="&amp;L614&amp;", sexo="&amp;M614&amp;", lugar_nacimiento="&amp;N614&amp;", entidad_federal="&amp;O614&amp;" WHERE cedula='"&amp;K614&amp;"';"</f>
        <v>UPDATE estudiantes SET fecha_nacimiento='2010-09-12', sexo='M', lugar_nacimiento='MARACAIBO', entidad_federal='ZU' WHERE cedula='36975152';</v>
      </c>
    </row>
    <row r="615" customFormat="false" ht="14.9" hidden="false" customHeight="false" outlineLevel="0" collapsed="false">
      <c r="A615" s="1" t="s">
        <v>15</v>
      </c>
      <c r="B615" s="1" t="s">
        <v>593</v>
      </c>
      <c r="C615" s="1" t="s">
        <v>53</v>
      </c>
      <c r="D615" s="1" t="s">
        <v>642</v>
      </c>
      <c r="E615" s="2" t="n">
        <v>45926</v>
      </c>
      <c r="F615" s="2" t="n">
        <f aca="false">IFERROR(VLOOKUP(TRIM($D615), Hoja4_2!$A$2:$L$10000, 4, 0), "Revisar")</f>
        <v>39314</v>
      </c>
      <c r="G615" s="7" t="str">
        <f aca="false">IFERROR(VLOOKUP(TRIM($D615), Hoja4_2!$A$2:$L$10000, 5, 0), "Revisar")</f>
        <v>FEMENINO</v>
      </c>
      <c r="H615" s="7" t="str">
        <f aca="false">IFERROR(VLOOKUP(TRIM($D615), Hoja4_2!$A$2:$L$10000, 7, 0), "Revisar")</f>
        <v>MARACAIBO</v>
      </c>
      <c r="I615" s="7" t="str">
        <f aca="false">IFERROR(VLOOKUP(TRIM($D615), Hoja4_2!$A$2:$L$10000, 9, 0), "Revisar")</f>
        <v>ZU</v>
      </c>
      <c r="J615" s="7" t="str">
        <f aca="false">IFERROR(VLOOKUP(TRIM($D615), Hoja4_2!$A$2:$L$10000, 12, 0), "Revisar")</f>
        <v>17184601</v>
      </c>
      <c r="K615" s="8" t="str">
        <f aca="false">TEXT(TRIM(D615),"0")</f>
        <v>37164988</v>
      </c>
      <c r="L615" s="1" t="str">
        <f aca="false">IF(F615="Revisar","NULL",CONCATENATE("'",TEXT(F615,"yyyy-mm-dd"),"'"))</f>
        <v>'2007-08-20'</v>
      </c>
      <c r="M615" s="9" t="str">
        <f aca="false">IF(G615="Revisar","NULL",CONCATENATE("'",MID(G615,1,1),"'"))</f>
        <v>'F'</v>
      </c>
      <c r="N615" s="9" t="str">
        <f aca="false">IF(H615="Revisar","NULL",CONCATENATE("'",H615,"'"))</f>
        <v>'MARACAIBO'</v>
      </c>
      <c r="O615" s="9" t="str">
        <f aca="false">IF(I615="Revisar","NULL",CONCATENATE("'",I615,"'"))</f>
        <v>'ZU'</v>
      </c>
      <c r="P615" s="1" t="str">
        <f aca="false">"UPDATE estudiantes SET fecha_nacimiento="&amp;L615&amp;", sexo="&amp;M615&amp;", lugar_nacimiento="&amp;N615&amp;", entidad_federal="&amp;O615&amp;" WHERE cedula='"&amp;K615&amp;"';"</f>
        <v>UPDATE estudiantes SET fecha_nacimiento='2007-08-20', sexo='F', lugar_nacimiento='MARACAIBO', entidad_federal='ZU' WHERE cedula='37164988';</v>
      </c>
    </row>
    <row r="616" customFormat="false" ht="14.9" hidden="false" customHeight="false" outlineLevel="0" collapsed="false">
      <c r="A616" s="1" t="s">
        <v>15</v>
      </c>
      <c r="B616" s="1" t="s">
        <v>593</v>
      </c>
      <c r="C616" s="1" t="s">
        <v>53</v>
      </c>
      <c r="D616" s="1" t="s">
        <v>643</v>
      </c>
      <c r="E616" s="2" t="n">
        <v>45926</v>
      </c>
      <c r="F616" s="2" t="n">
        <f aca="false">IFERROR(VLOOKUP(TRIM($D616), Hoja4_2!$A$2:$L$10000, 4, 0), "Revisar")</f>
        <v>40467</v>
      </c>
      <c r="G616" s="7" t="str">
        <f aca="false">IFERROR(VLOOKUP(TRIM($D616), Hoja4_2!$A$2:$L$10000, 5, 0), "Revisar")</f>
        <v>MASCULINO</v>
      </c>
      <c r="H616" s="7" t="str">
        <f aca="false">IFERROR(VLOOKUP(TRIM($D616), Hoja4_2!$A$2:$L$10000, 7, 0), "Revisar")</f>
        <v>MARACAIBO</v>
      </c>
      <c r="I616" s="7" t="str">
        <f aca="false">IFERROR(VLOOKUP(TRIM($D616), Hoja4_2!$A$2:$L$10000, 9, 0), "Revisar")</f>
        <v>ZU</v>
      </c>
      <c r="J616" s="7" t="str">
        <f aca="false">IFERROR(VLOOKUP(TRIM($D616), Hoja4_2!$A$2:$L$10000, 12, 0), "Revisar")</f>
        <v>16298584</v>
      </c>
      <c r="K616" s="8" t="str">
        <f aca="false">TEXT(TRIM(D616),"0")</f>
        <v>37413876</v>
      </c>
      <c r="L616" s="1" t="str">
        <f aca="false">IF(F616="Revisar","NULL",CONCATENATE("'",TEXT(F616,"yyyy-mm-dd"),"'"))</f>
        <v>'2010-10-16'</v>
      </c>
      <c r="M616" s="9" t="str">
        <f aca="false">IF(G616="Revisar","NULL",CONCATENATE("'",MID(G616,1,1),"'"))</f>
        <v>'M'</v>
      </c>
      <c r="N616" s="9" t="str">
        <f aca="false">IF(H616="Revisar","NULL",CONCATENATE("'",H616,"'"))</f>
        <v>'MARACAIBO'</v>
      </c>
      <c r="O616" s="9" t="str">
        <f aca="false">IF(I616="Revisar","NULL",CONCATENATE("'",I616,"'"))</f>
        <v>'ZU'</v>
      </c>
      <c r="P616" s="1" t="str">
        <f aca="false">"UPDATE estudiantes SET fecha_nacimiento="&amp;L616&amp;", sexo="&amp;M616&amp;", lugar_nacimiento="&amp;N616&amp;", entidad_federal="&amp;O616&amp;" WHERE cedula='"&amp;K616&amp;"';"</f>
        <v>UPDATE estudiantes SET fecha_nacimiento='2010-10-16', sexo='M', lugar_nacimiento='MARACAIBO', entidad_federal='ZU' WHERE cedula='37413876';</v>
      </c>
    </row>
    <row r="617" customFormat="false" ht="14.9" hidden="false" customHeight="false" outlineLevel="0" collapsed="false">
      <c r="A617" s="1" t="s">
        <v>15</v>
      </c>
      <c r="B617" s="1" t="s">
        <v>593</v>
      </c>
      <c r="C617" s="1" t="s">
        <v>53</v>
      </c>
      <c r="D617" s="1" t="s">
        <v>644</v>
      </c>
      <c r="E617" s="2" t="n">
        <v>45926</v>
      </c>
      <c r="F617" s="2" t="n">
        <f aca="false">IFERROR(VLOOKUP(TRIM($D617), Hoja4_2!$A$2:$L$10000, 4, 0), "Revisar")</f>
        <v>40115</v>
      </c>
      <c r="G617" s="7" t="str">
        <f aca="false">IFERROR(VLOOKUP(TRIM($D617), Hoja4_2!$A$2:$L$10000, 5, 0), "Revisar")</f>
        <v>FEMENINO</v>
      </c>
      <c r="H617" s="7" t="str">
        <f aca="false">IFERROR(VLOOKUP(TRIM($D617), Hoja4_2!$A$2:$L$10000, 7, 0), "Revisar")</f>
        <v>MARACAIBO</v>
      </c>
      <c r="I617" s="7" t="str">
        <f aca="false">IFERROR(VLOOKUP(TRIM($D617), Hoja4_2!$A$2:$L$10000, 9, 0), "Revisar")</f>
        <v>ZU</v>
      </c>
      <c r="J617" s="7" t="str">
        <f aca="false">IFERROR(VLOOKUP(TRIM($D617), Hoja4_2!$A$2:$L$10000, 12, 0), "Revisar")</f>
        <v>16353618</v>
      </c>
      <c r="K617" s="8" t="str">
        <f aca="false">TEXT(TRIM(D617),"0")</f>
        <v>10916353618</v>
      </c>
      <c r="L617" s="1" t="str">
        <f aca="false">IF(F617="Revisar","NULL",CONCATENATE("'",TEXT(F617,"yyyy-mm-dd"),"'"))</f>
        <v>'2009-10-29'</v>
      </c>
      <c r="M617" s="9" t="str">
        <f aca="false">IF(G617="Revisar","NULL",CONCATENATE("'",MID(G617,1,1),"'"))</f>
        <v>'F'</v>
      </c>
      <c r="N617" s="9" t="str">
        <f aca="false">IF(H617="Revisar","NULL",CONCATENATE("'",H617,"'"))</f>
        <v>'MARACAIBO'</v>
      </c>
      <c r="O617" s="9" t="str">
        <f aca="false">IF(I617="Revisar","NULL",CONCATENATE("'",I617,"'"))</f>
        <v>'ZU'</v>
      </c>
      <c r="P617" s="1" t="str">
        <f aca="false">"UPDATE estudiantes SET fecha_nacimiento="&amp;L617&amp;", sexo="&amp;M617&amp;", lugar_nacimiento="&amp;N617&amp;", entidad_federal="&amp;O617&amp;" WHERE cedula='"&amp;K617&amp;"';"</f>
        <v>UPDATE estudiantes SET fecha_nacimiento='2009-10-29', sexo='F', lugar_nacimiento='MARACAIBO', entidad_federal='ZU' WHERE cedula='10916353618';</v>
      </c>
    </row>
    <row r="618" customFormat="false" ht="14.9" hidden="false" customHeight="false" outlineLevel="0" collapsed="false">
      <c r="A618" s="1" t="s">
        <v>15</v>
      </c>
      <c r="B618" s="1" t="s">
        <v>593</v>
      </c>
      <c r="C618" s="1" t="s">
        <v>89</v>
      </c>
      <c r="D618" s="1" t="s">
        <v>645</v>
      </c>
      <c r="E618" s="2" t="n">
        <v>45926</v>
      </c>
      <c r="F618" s="2" t="n">
        <f aca="false">IFERROR(VLOOKUP(TRIM($D618), Hoja4_2!$A$2:$L$10000, 4, 0), "Revisar")</f>
        <v>38755</v>
      </c>
      <c r="G618" s="7" t="str">
        <f aca="false">IFERROR(VLOOKUP(TRIM($D618), Hoja4_2!$A$2:$L$10000, 5, 0), "Revisar")</f>
        <v>FEMENINO</v>
      </c>
      <c r="H618" s="7" t="str">
        <f aca="false">IFERROR(VLOOKUP(TRIM($D618), Hoja4_2!$A$2:$L$10000, 7, 0), "Revisar")</f>
        <v>MARACAIBO</v>
      </c>
      <c r="I618" s="7" t="str">
        <f aca="false">IFERROR(VLOOKUP(TRIM($D618), Hoja4_2!$A$2:$L$10000, 9, 0), "Revisar")</f>
        <v>ZU</v>
      </c>
      <c r="J618" s="7" t="str">
        <f aca="false">IFERROR(VLOOKUP(TRIM($D618), Hoja4_2!$A$2:$L$10000, 12, 0), "Revisar")</f>
        <v>18662129</v>
      </c>
      <c r="K618" s="8" t="str">
        <f aca="false">TEXT(TRIM(D618),"0")</f>
        <v>31798863</v>
      </c>
      <c r="L618" s="1" t="str">
        <f aca="false">IF(F618="Revisar","NULL",CONCATENATE("'",TEXT(F618,"yyyy-mm-dd"),"'"))</f>
        <v>'2006-02-07'</v>
      </c>
      <c r="M618" s="9" t="str">
        <f aca="false">IF(G618="Revisar","NULL",CONCATENATE("'",MID(G618,1,1),"'"))</f>
        <v>'F'</v>
      </c>
      <c r="N618" s="9" t="str">
        <f aca="false">IF(H618="Revisar","NULL",CONCATENATE("'",H618,"'"))</f>
        <v>'MARACAIBO'</v>
      </c>
      <c r="O618" s="9" t="str">
        <f aca="false">IF(I618="Revisar","NULL",CONCATENATE("'",I618,"'"))</f>
        <v>'ZU'</v>
      </c>
      <c r="P618" s="1" t="str">
        <f aca="false">"UPDATE estudiantes SET fecha_nacimiento="&amp;L618&amp;", sexo="&amp;M618&amp;", lugar_nacimiento="&amp;N618&amp;", entidad_federal="&amp;O618&amp;" WHERE cedula='"&amp;K618&amp;"';"</f>
        <v>UPDATE estudiantes SET fecha_nacimiento='2006-02-07', sexo='F', lugar_nacimiento='MARACAIBO', entidad_federal='ZU' WHERE cedula='31798863';</v>
      </c>
    </row>
    <row r="619" customFormat="false" ht="14.9" hidden="false" customHeight="false" outlineLevel="0" collapsed="false">
      <c r="A619" s="1" t="s">
        <v>15</v>
      </c>
      <c r="B619" s="1" t="s">
        <v>593</v>
      </c>
      <c r="C619" s="1" t="s">
        <v>89</v>
      </c>
      <c r="D619" s="1" t="s">
        <v>646</v>
      </c>
      <c r="E619" s="2" t="n">
        <v>45926</v>
      </c>
      <c r="F619" s="2" t="n">
        <f aca="false">IFERROR(VLOOKUP(TRIM($D619), Hoja4_2!$A$2:$L$10000, 4, 0), "Revisar")</f>
        <v>39822</v>
      </c>
      <c r="G619" s="7" t="str">
        <f aca="false">IFERROR(VLOOKUP(TRIM($D619), Hoja4_2!$A$2:$L$10000, 5, 0), "Revisar")</f>
        <v>FEMENINO</v>
      </c>
      <c r="H619" s="7" t="str">
        <f aca="false">IFERROR(VLOOKUP(TRIM($D619), Hoja4_2!$A$2:$L$10000, 7, 0), "Revisar")</f>
        <v>JESUS ENRIQUE LOSSADA</v>
      </c>
      <c r="I619" s="7" t="str">
        <f aca="false">IFERROR(VLOOKUP(TRIM($D619), Hoja4_2!$A$2:$L$10000, 9, 0), "Revisar")</f>
        <v>ZU</v>
      </c>
      <c r="J619" s="7" t="str">
        <f aca="false">IFERROR(VLOOKUP(TRIM($D619), Hoja4_2!$A$2:$L$10000, 12, 0), "Revisar")</f>
        <v>19225139</v>
      </c>
      <c r="K619" s="8" t="str">
        <f aca="false">TEXT(TRIM(D619),"0")</f>
        <v>32749831</v>
      </c>
      <c r="L619" s="1" t="str">
        <f aca="false">IF(F619="Revisar","NULL",CONCATENATE("'",TEXT(F619,"yyyy-mm-dd"),"'"))</f>
        <v>'2009-01-09'</v>
      </c>
      <c r="M619" s="9" t="str">
        <f aca="false">IF(G619="Revisar","NULL",CONCATENATE("'",MID(G619,1,1),"'"))</f>
        <v>'F'</v>
      </c>
      <c r="N619" s="9" t="str">
        <f aca="false">IF(H619="Revisar","NULL",CONCATENATE("'",H619,"'"))</f>
        <v>'JESUS ENRIQUE LOSSADA'</v>
      </c>
      <c r="O619" s="9" t="str">
        <f aca="false">IF(I619="Revisar","NULL",CONCATENATE("'",I619,"'"))</f>
        <v>'ZU'</v>
      </c>
      <c r="P619" s="1" t="str">
        <f aca="false">"UPDATE estudiantes SET fecha_nacimiento="&amp;L619&amp;", sexo="&amp;M619&amp;", lugar_nacimiento="&amp;N619&amp;", entidad_federal="&amp;O619&amp;" WHERE cedula='"&amp;K619&amp;"';"</f>
        <v>UPDATE estudiantes SET fecha_nacimiento='2009-01-09', sexo='F', lugar_nacimiento='JESUS ENRIQUE LOSSADA', entidad_federal='ZU' WHERE cedula='32749831';</v>
      </c>
    </row>
    <row r="620" customFormat="false" ht="14.9" hidden="false" customHeight="false" outlineLevel="0" collapsed="false">
      <c r="A620" s="1" t="s">
        <v>15</v>
      </c>
      <c r="B620" s="1" t="s">
        <v>593</v>
      </c>
      <c r="C620" s="1" t="s">
        <v>89</v>
      </c>
      <c r="D620" s="1" t="s">
        <v>647</v>
      </c>
      <c r="E620" s="2" t="n">
        <v>45926</v>
      </c>
      <c r="F620" s="2" t="n">
        <f aca="false">IFERROR(VLOOKUP(TRIM($D620), Hoja4_2!$A$2:$L$10000, 4, 0), "Revisar")</f>
        <v>39800</v>
      </c>
      <c r="G620" s="7" t="str">
        <f aca="false">IFERROR(VLOOKUP(TRIM($D620), Hoja4_2!$A$2:$L$10000, 5, 0), "Revisar")</f>
        <v>MASCULINO</v>
      </c>
      <c r="H620" s="7" t="str">
        <f aca="false">IFERROR(VLOOKUP(TRIM($D620), Hoja4_2!$A$2:$L$10000, 7, 0), "Revisar")</f>
        <v>JESUS ENRIQUE LOSSADA</v>
      </c>
      <c r="I620" s="7" t="str">
        <f aca="false">IFERROR(VLOOKUP(TRIM($D620), Hoja4_2!$A$2:$L$10000, 9, 0), "Revisar")</f>
        <v>ZU</v>
      </c>
      <c r="J620" s="7" t="str">
        <f aca="false">IFERROR(VLOOKUP(TRIM($D620), Hoja4_2!$A$2:$L$10000, 12, 0), "Revisar")</f>
        <v>21078098</v>
      </c>
      <c r="K620" s="8" t="str">
        <f aca="false">TEXT(TRIM(D620),"0")</f>
        <v>32768619</v>
      </c>
      <c r="L620" s="1" t="str">
        <f aca="false">IF(F620="Revisar","NULL",CONCATENATE("'",TEXT(F620,"yyyy-mm-dd"),"'"))</f>
        <v>'2008-12-18'</v>
      </c>
      <c r="M620" s="9" t="str">
        <f aca="false">IF(G620="Revisar","NULL",CONCATENATE("'",MID(G620,1,1),"'"))</f>
        <v>'M'</v>
      </c>
      <c r="N620" s="9" t="str">
        <f aca="false">IF(H620="Revisar","NULL",CONCATENATE("'",H620,"'"))</f>
        <v>'JESUS ENRIQUE LOSSADA'</v>
      </c>
      <c r="O620" s="9" t="str">
        <f aca="false">IF(I620="Revisar","NULL",CONCATENATE("'",I620,"'"))</f>
        <v>'ZU'</v>
      </c>
      <c r="P620" s="1" t="str">
        <f aca="false">"UPDATE estudiantes SET fecha_nacimiento="&amp;L620&amp;", sexo="&amp;M620&amp;", lugar_nacimiento="&amp;N620&amp;", entidad_federal="&amp;O620&amp;" WHERE cedula='"&amp;K620&amp;"';"</f>
        <v>UPDATE estudiantes SET fecha_nacimiento='2008-12-18', sexo='M', lugar_nacimiento='JESUS ENRIQUE LOSSADA', entidad_federal='ZU' WHERE cedula='32768619';</v>
      </c>
    </row>
    <row r="621" customFormat="false" ht="14.9" hidden="false" customHeight="false" outlineLevel="0" collapsed="false">
      <c r="A621" s="1" t="s">
        <v>15</v>
      </c>
      <c r="B621" s="1" t="s">
        <v>593</v>
      </c>
      <c r="C621" s="1" t="s">
        <v>89</v>
      </c>
      <c r="D621" s="1" t="s">
        <v>648</v>
      </c>
      <c r="E621" s="2" t="n">
        <v>45926</v>
      </c>
      <c r="F621" s="2" t="n">
        <f aca="false">IFERROR(VLOOKUP(TRIM($D621), Hoja4_2!$A$2:$L$10000, 4, 0), "Revisar")</f>
        <v>39842</v>
      </c>
      <c r="G621" s="7" t="str">
        <f aca="false">IFERROR(VLOOKUP(TRIM($D621), Hoja4_2!$A$2:$L$10000, 5, 0), "Revisar")</f>
        <v>FEMENINO</v>
      </c>
      <c r="H621" s="7" t="str">
        <f aca="false">IFERROR(VLOOKUP(TRIM($D621), Hoja4_2!$A$2:$L$10000, 7, 0), "Revisar")</f>
        <v>MARACAIBO</v>
      </c>
      <c r="I621" s="7" t="str">
        <f aca="false">IFERROR(VLOOKUP(TRIM($D621), Hoja4_2!$A$2:$L$10000, 9, 0), "Revisar")</f>
        <v>ZU</v>
      </c>
      <c r="J621" s="7" t="str">
        <f aca="false">IFERROR(VLOOKUP(TRIM($D621), Hoja4_2!$A$2:$L$10000, 12, 0), "Revisar")</f>
        <v>20985669</v>
      </c>
      <c r="K621" s="8" t="str">
        <f aca="false">TEXT(TRIM(D621),"0")</f>
        <v>32895000</v>
      </c>
      <c r="L621" s="1" t="str">
        <f aca="false">IF(F621="Revisar","NULL",CONCATENATE("'",TEXT(F621,"yyyy-mm-dd"),"'"))</f>
        <v>'2009-01-29'</v>
      </c>
      <c r="M621" s="9" t="str">
        <f aca="false">IF(G621="Revisar","NULL",CONCATENATE("'",MID(G621,1,1),"'"))</f>
        <v>'F'</v>
      </c>
      <c r="N621" s="9" t="str">
        <f aca="false">IF(H621="Revisar","NULL",CONCATENATE("'",H621,"'"))</f>
        <v>'MARACAIBO'</v>
      </c>
      <c r="O621" s="9" t="str">
        <f aca="false">IF(I621="Revisar","NULL",CONCATENATE("'",I621,"'"))</f>
        <v>'ZU'</v>
      </c>
      <c r="P621" s="1" t="str">
        <f aca="false">"UPDATE estudiantes SET fecha_nacimiento="&amp;L621&amp;", sexo="&amp;M621&amp;", lugar_nacimiento="&amp;N621&amp;", entidad_federal="&amp;O621&amp;" WHERE cedula='"&amp;K621&amp;"';"</f>
        <v>UPDATE estudiantes SET fecha_nacimiento='2009-01-29', sexo='F', lugar_nacimiento='MARACAIBO', entidad_federal='ZU' WHERE cedula='32895000';</v>
      </c>
    </row>
    <row r="622" customFormat="false" ht="14.9" hidden="false" customHeight="false" outlineLevel="0" collapsed="false">
      <c r="A622" s="1" t="s">
        <v>15</v>
      </c>
      <c r="B622" s="1" t="s">
        <v>593</v>
      </c>
      <c r="C622" s="1" t="s">
        <v>89</v>
      </c>
      <c r="D622" s="1" t="s">
        <v>649</v>
      </c>
      <c r="E622" s="2" t="n">
        <v>45926</v>
      </c>
      <c r="F622" s="2" t="n">
        <f aca="false">IFERROR(VLOOKUP(TRIM($D622), Hoja4_2!$A$2:$L$10000, 4, 0), "Revisar")</f>
        <v>39966</v>
      </c>
      <c r="G622" s="7" t="str">
        <f aca="false">IFERROR(VLOOKUP(TRIM($D622), Hoja4_2!$A$2:$L$10000, 5, 0), "Revisar")</f>
        <v>MASCULINO</v>
      </c>
      <c r="H622" s="7" t="str">
        <f aca="false">IFERROR(VLOOKUP(TRIM($D622), Hoja4_2!$A$2:$L$10000, 7, 0), "Revisar")</f>
        <v>JESUS ENRIQUE LOSSADA</v>
      </c>
      <c r="I622" s="7" t="str">
        <f aca="false">IFERROR(VLOOKUP(TRIM($D622), Hoja4_2!$A$2:$L$10000, 9, 0), "Revisar")</f>
        <v>ZU</v>
      </c>
      <c r="J622" s="7" t="str">
        <f aca="false">IFERROR(VLOOKUP(TRIM($D622), Hoja4_2!$A$2:$L$10000, 12, 0), "Revisar")</f>
        <v>11607841</v>
      </c>
      <c r="K622" s="8" t="str">
        <f aca="false">TEXT(TRIM(D622),"0")</f>
        <v>33123794</v>
      </c>
      <c r="L622" s="1" t="str">
        <f aca="false">IF(F622="Revisar","NULL",CONCATENATE("'",TEXT(F622,"yyyy-mm-dd"),"'"))</f>
        <v>'2009-06-02'</v>
      </c>
      <c r="M622" s="9" t="str">
        <f aca="false">IF(G622="Revisar","NULL",CONCATENATE("'",MID(G622,1,1),"'"))</f>
        <v>'M'</v>
      </c>
      <c r="N622" s="9" t="str">
        <f aca="false">IF(H622="Revisar","NULL",CONCATENATE("'",H622,"'"))</f>
        <v>'JESUS ENRIQUE LOSSADA'</v>
      </c>
      <c r="O622" s="9" t="str">
        <f aca="false">IF(I622="Revisar","NULL",CONCATENATE("'",I622,"'"))</f>
        <v>'ZU'</v>
      </c>
      <c r="P622" s="1" t="str">
        <f aca="false">"UPDATE estudiantes SET fecha_nacimiento="&amp;L622&amp;", sexo="&amp;M622&amp;", lugar_nacimiento="&amp;N622&amp;", entidad_federal="&amp;O622&amp;" WHERE cedula='"&amp;K622&amp;"';"</f>
        <v>UPDATE estudiantes SET fecha_nacimiento='2009-06-02', sexo='M', lugar_nacimiento='JESUS ENRIQUE LOSSADA', entidad_federal='ZU' WHERE cedula='33123794';</v>
      </c>
    </row>
    <row r="623" customFormat="false" ht="14.9" hidden="false" customHeight="false" outlineLevel="0" collapsed="false">
      <c r="A623" s="1" t="s">
        <v>15</v>
      </c>
      <c r="B623" s="1" t="s">
        <v>593</v>
      </c>
      <c r="C623" s="1" t="s">
        <v>89</v>
      </c>
      <c r="D623" s="1" t="s">
        <v>650</v>
      </c>
      <c r="E623" s="2" t="n">
        <v>45926</v>
      </c>
      <c r="F623" s="2" t="n">
        <f aca="false">IFERROR(VLOOKUP(TRIM($D623), Hoja4_2!$A$2:$L$10000, 4, 0), "Revisar")</f>
        <v>39918</v>
      </c>
      <c r="G623" s="7" t="str">
        <f aca="false">IFERROR(VLOOKUP(TRIM($D623), Hoja4_2!$A$2:$L$10000, 5, 0), "Revisar")</f>
        <v>FEMENINO</v>
      </c>
      <c r="H623" s="7" t="str">
        <f aca="false">IFERROR(VLOOKUP(TRIM($D623), Hoja4_2!$A$2:$L$10000, 7, 0), "Revisar")</f>
        <v>MARACAIBO</v>
      </c>
      <c r="I623" s="7" t="str">
        <f aca="false">IFERROR(VLOOKUP(TRIM($D623), Hoja4_2!$A$2:$L$10000, 9, 0), "Revisar")</f>
        <v>ZU</v>
      </c>
      <c r="J623" s="7" t="str">
        <f aca="false">IFERROR(VLOOKUP(TRIM($D623), Hoja4_2!$A$2:$L$10000, 12, 0), "Revisar")</f>
        <v>17938298</v>
      </c>
      <c r="K623" s="8" t="str">
        <f aca="false">TEXT(TRIM(D623),"0")</f>
        <v>33316627</v>
      </c>
      <c r="L623" s="1" t="str">
        <f aca="false">IF(F623="Revisar","NULL",CONCATENATE("'",TEXT(F623,"yyyy-mm-dd"),"'"))</f>
        <v>'2009-04-15'</v>
      </c>
      <c r="M623" s="9" t="str">
        <f aca="false">IF(G623="Revisar","NULL",CONCATENATE("'",MID(G623,1,1),"'"))</f>
        <v>'F'</v>
      </c>
      <c r="N623" s="9" t="str">
        <f aca="false">IF(H623="Revisar","NULL",CONCATENATE("'",H623,"'"))</f>
        <v>'MARACAIBO'</v>
      </c>
      <c r="O623" s="9" t="str">
        <f aca="false">IF(I623="Revisar","NULL",CONCATENATE("'",I623,"'"))</f>
        <v>'ZU'</v>
      </c>
      <c r="P623" s="1" t="str">
        <f aca="false">"UPDATE estudiantes SET fecha_nacimiento="&amp;L623&amp;", sexo="&amp;M623&amp;", lugar_nacimiento="&amp;N623&amp;", entidad_federal="&amp;O623&amp;" WHERE cedula='"&amp;K623&amp;"';"</f>
        <v>UPDATE estudiantes SET fecha_nacimiento='2009-04-15', sexo='F', lugar_nacimiento='MARACAIBO', entidad_federal='ZU' WHERE cedula='33316627';</v>
      </c>
    </row>
    <row r="624" customFormat="false" ht="14.9" hidden="false" customHeight="false" outlineLevel="0" collapsed="false">
      <c r="A624" s="1" t="s">
        <v>15</v>
      </c>
      <c r="B624" s="1" t="s">
        <v>593</v>
      </c>
      <c r="C624" s="1" t="s">
        <v>89</v>
      </c>
      <c r="D624" s="1" t="s">
        <v>651</v>
      </c>
      <c r="E624" s="2" t="n">
        <v>45926</v>
      </c>
      <c r="F624" s="2" t="n">
        <f aca="false">IFERROR(VLOOKUP(TRIM($D624), Hoja4_2!$A$2:$L$10000, 4, 0), "Revisar")</f>
        <v>40001</v>
      </c>
      <c r="G624" s="7" t="str">
        <f aca="false">IFERROR(VLOOKUP(TRIM($D624), Hoja4_2!$A$2:$L$10000, 5, 0), "Revisar")</f>
        <v>FEMENINO</v>
      </c>
      <c r="H624" s="7" t="str">
        <f aca="false">IFERROR(VLOOKUP(TRIM($D624), Hoja4_2!$A$2:$L$10000, 7, 0), "Revisar")</f>
        <v>MARACAIBO</v>
      </c>
      <c r="I624" s="7" t="str">
        <f aca="false">IFERROR(VLOOKUP(TRIM($D624), Hoja4_2!$A$2:$L$10000, 9, 0), "Revisar")</f>
        <v>ZU</v>
      </c>
      <c r="J624" s="7" t="str">
        <f aca="false">IFERROR(VLOOKUP(TRIM($D624), Hoja4_2!$A$2:$L$10000, 12, 0), "Revisar")</f>
        <v>13081076</v>
      </c>
      <c r="K624" s="8" t="str">
        <f aca="false">TEXT(TRIM(D624),"0")</f>
        <v>33316635</v>
      </c>
      <c r="L624" s="1" t="str">
        <f aca="false">IF(F624="Revisar","NULL",CONCATENATE("'",TEXT(F624,"yyyy-mm-dd"),"'"))</f>
        <v>'2009-07-07'</v>
      </c>
      <c r="M624" s="9" t="str">
        <f aca="false">IF(G624="Revisar","NULL",CONCATENATE("'",MID(G624,1,1),"'"))</f>
        <v>'F'</v>
      </c>
      <c r="N624" s="9" t="str">
        <f aca="false">IF(H624="Revisar","NULL",CONCATENATE("'",H624,"'"))</f>
        <v>'MARACAIBO'</v>
      </c>
      <c r="O624" s="9" t="str">
        <f aca="false">IF(I624="Revisar","NULL",CONCATENATE("'",I624,"'"))</f>
        <v>'ZU'</v>
      </c>
      <c r="P624" s="1" t="str">
        <f aca="false">"UPDATE estudiantes SET fecha_nacimiento="&amp;L624&amp;", sexo="&amp;M624&amp;", lugar_nacimiento="&amp;N624&amp;", entidad_federal="&amp;O624&amp;" WHERE cedula='"&amp;K624&amp;"';"</f>
        <v>UPDATE estudiantes SET fecha_nacimiento='2009-07-07', sexo='F', lugar_nacimiento='MARACAIBO', entidad_federal='ZU' WHERE cedula='33316635';</v>
      </c>
    </row>
    <row r="625" customFormat="false" ht="14.9" hidden="false" customHeight="false" outlineLevel="0" collapsed="false">
      <c r="A625" s="1" t="s">
        <v>15</v>
      </c>
      <c r="B625" s="1" t="s">
        <v>593</v>
      </c>
      <c r="C625" s="1" t="s">
        <v>89</v>
      </c>
      <c r="D625" s="1" t="s">
        <v>652</v>
      </c>
      <c r="E625" s="2" t="n">
        <v>45926</v>
      </c>
      <c r="F625" s="2" t="n">
        <f aca="false">IFERROR(VLOOKUP(TRIM($D625), Hoja4_2!$A$2:$L$10000, 4, 0), "Revisar")</f>
        <v>39895</v>
      </c>
      <c r="G625" s="7" t="str">
        <f aca="false">IFERROR(VLOOKUP(TRIM($D625), Hoja4_2!$A$2:$L$10000, 5, 0), "Revisar")</f>
        <v>MASCULINO</v>
      </c>
      <c r="H625" s="7" t="str">
        <f aca="false">IFERROR(VLOOKUP(TRIM($D625), Hoja4_2!$A$2:$L$10000, 7, 0), "Revisar")</f>
        <v>MARACAIBO</v>
      </c>
      <c r="I625" s="7" t="str">
        <f aca="false">IFERROR(VLOOKUP(TRIM($D625), Hoja4_2!$A$2:$L$10000, 9, 0), "Revisar")</f>
        <v>ZU</v>
      </c>
      <c r="J625" s="7" t="str">
        <f aca="false">IFERROR(VLOOKUP(TRIM($D625), Hoja4_2!$A$2:$L$10000, 12, 0), "Revisar")</f>
        <v>18875290</v>
      </c>
      <c r="K625" s="8" t="str">
        <f aca="false">TEXT(TRIM(D625),"0")</f>
        <v>33356349</v>
      </c>
      <c r="L625" s="1" t="str">
        <f aca="false">IF(F625="Revisar","NULL",CONCATENATE("'",TEXT(F625,"yyyy-mm-dd"),"'"))</f>
        <v>'2009-03-23'</v>
      </c>
      <c r="M625" s="9" t="str">
        <f aca="false">IF(G625="Revisar","NULL",CONCATENATE("'",MID(G625,1,1),"'"))</f>
        <v>'M'</v>
      </c>
      <c r="N625" s="9" t="str">
        <f aca="false">IF(H625="Revisar","NULL",CONCATENATE("'",H625,"'"))</f>
        <v>'MARACAIBO'</v>
      </c>
      <c r="O625" s="9" t="str">
        <f aca="false">IF(I625="Revisar","NULL",CONCATENATE("'",I625,"'"))</f>
        <v>'ZU'</v>
      </c>
      <c r="P625" s="1" t="str">
        <f aca="false">"UPDATE estudiantes SET fecha_nacimiento="&amp;L625&amp;", sexo="&amp;M625&amp;", lugar_nacimiento="&amp;N625&amp;", entidad_federal="&amp;O625&amp;" WHERE cedula='"&amp;K625&amp;"';"</f>
        <v>UPDATE estudiantes SET fecha_nacimiento='2009-03-23', sexo='M', lugar_nacimiento='MARACAIBO', entidad_federal='ZU' WHERE cedula='33356349';</v>
      </c>
    </row>
    <row r="626" customFormat="false" ht="14.9" hidden="false" customHeight="false" outlineLevel="0" collapsed="false">
      <c r="A626" s="1" t="s">
        <v>15</v>
      </c>
      <c r="B626" s="1" t="s">
        <v>593</v>
      </c>
      <c r="C626" s="1" t="s">
        <v>89</v>
      </c>
      <c r="D626" s="1" t="s">
        <v>653</v>
      </c>
      <c r="E626" s="2" t="n">
        <v>45926</v>
      </c>
      <c r="F626" s="2" t="n">
        <f aca="false">IFERROR(VLOOKUP(TRIM($D626), Hoja4_2!$A$2:$L$10000, 4, 0), "Revisar")</f>
        <v>40123</v>
      </c>
      <c r="G626" s="7" t="str">
        <f aca="false">IFERROR(VLOOKUP(TRIM($D626), Hoja4_2!$A$2:$L$10000, 5, 0), "Revisar")</f>
        <v>FEMENINO</v>
      </c>
      <c r="H626" s="7" t="str">
        <f aca="false">IFERROR(VLOOKUP(TRIM($D626), Hoja4_2!$A$2:$L$10000, 7, 0), "Revisar")</f>
        <v>MARACAIBO</v>
      </c>
      <c r="I626" s="7" t="str">
        <f aca="false">IFERROR(VLOOKUP(TRIM($D626), Hoja4_2!$A$2:$L$10000, 9, 0), "Revisar")</f>
        <v>ZU</v>
      </c>
      <c r="J626" s="7" t="str">
        <f aca="false">IFERROR(VLOOKUP(TRIM($D626), Hoja4_2!$A$2:$L$10000, 12, 0), "Revisar")</f>
        <v>14458831</v>
      </c>
      <c r="K626" s="8" t="str">
        <f aca="false">TEXT(TRIM(D626),"0")</f>
        <v>33431541</v>
      </c>
      <c r="L626" s="1" t="str">
        <f aca="false">IF(F626="Revisar","NULL",CONCATENATE("'",TEXT(F626,"yyyy-mm-dd"),"'"))</f>
        <v>'2009-11-06'</v>
      </c>
      <c r="M626" s="9" t="str">
        <f aca="false">IF(G626="Revisar","NULL",CONCATENATE("'",MID(G626,1,1),"'"))</f>
        <v>'F'</v>
      </c>
      <c r="N626" s="9" t="str">
        <f aca="false">IF(H626="Revisar","NULL",CONCATENATE("'",H626,"'"))</f>
        <v>'MARACAIBO'</v>
      </c>
      <c r="O626" s="9" t="str">
        <f aca="false">IF(I626="Revisar","NULL",CONCATENATE("'",I626,"'"))</f>
        <v>'ZU'</v>
      </c>
      <c r="P626" s="1" t="str">
        <f aca="false">"UPDATE estudiantes SET fecha_nacimiento="&amp;L626&amp;", sexo="&amp;M626&amp;", lugar_nacimiento="&amp;N626&amp;", entidad_federal="&amp;O626&amp;" WHERE cedula='"&amp;K626&amp;"';"</f>
        <v>UPDATE estudiantes SET fecha_nacimiento='2009-11-06', sexo='F', lugar_nacimiento='MARACAIBO', entidad_federal='ZU' WHERE cedula='33431541';</v>
      </c>
    </row>
    <row r="627" customFormat="false" ht="14.9" hidden="false" customHeight="false" outlineLevel="0" collapsed="false">
      <c r="A627" s="1" t="s">
        <v>15</v>
      </c>
      <c r="B627" s="1" t="s">
        <v>593</v>
      </c>
      <c r="C627" s="1" t="s">
        <v>89</v>
      </c>
      <c r="D627" s="1" t="s">
        <v>654</v>
      </c>
      <c r="E627" s="2" t="n">
        <v>45926</v>
      </c>
      <c r="F627" s="2" t="n">
        <f aca="false">IFERROR(VLOOKUP(TRIM($D627), Hoja4_2!$A$2:$L$10000, 4, 0), "Revisar")</f>
        <v>40012</v>
      </c>
      <c r="G627" s="7" t="str">
        <f aca="false">IFERROR(VLOOKUP(TRIM($D627), Hoja4_2!$A$2:$L$10000, 5, 0), "Revisar")</f>
        <v>MASCULINO</v>
      </c>
      <c r="H627" s="7" t="str">
        <f aca="false">IFERROR(VLOOKUP(TRIM($D627), Hoja4_2!$A$2:$L$10000, 7, 0), "Revisar")</f>
        <v>JESUS ENRIQUE LOSSADA</v>
      </c>
      <c r="I627" s="7" t="str">
        <f aca="false">IFERROR(VLOOKUP(TRIM($D627), Hoja4_2!$A$2:$L$10000, 9, 0), "Revisar")</f>
        <v>ZU</v>
      </c>
      <c r="J627" s="7" t="str">
        <f aca="false">IFERROR(VLOOKUP(TRIM($D627), Hoja4_2!$A$2:$L$10000, 12, 0), "Revisar")</f>
        <v>18662138</v>
      </c>
      <c r="K627" s="8" t="str">
        <f aca="false">TEXT(TRIM(D627),"0")</f>
        <v>33431589</v>
      </c>
      <c r="L627" s="1" t="str">
        <f aca="false">IF(F627="Revisar","NULL",CONCATENATE("'",TEXT(F627,"yyyy-mm-dd"),"'"))</f>
        <v>'2009-07-18'</v>
      </c>
      <c r="M627" s="9" t="str">
        <f aca="false">IF(G627="Revisar","NULL",CONCATENATE("'",MID(G627,1,1),"'"))</f>
        <v>'M'</v>
      </c>
      <c r="N627" s="9" t="str">
        <f aca="false">IF(H627="Revisar","NULL",CONCATENATE("'",H627,"'"))</f>
        <v>'JESUS ENRIQUE LOSSADA'</v>
      </c>
      <c r="O627" s="9" t="str">
        <f aca="false">IF(I627="Revisar","NULL",CONCATENATE("'",I627,"'"))</f>
        <v>'ZU'</v>
      </c>
      <c r="P627" s="1" t="str">
        <f aca="false">"UPDATE estudiantes SET fecha_nacimiento="&amp;L627&amp;", sexo="&amp;M627&amp;", lugar_nacimiento="&amp;N627&amp;", entidad_federal="&amp;O627&amp;" WHERE cedula='"&amp;K627&amp;"';"</f>
        <v>UPDATE estudiantes SET fecha_nacimiento='2009-07-18', sexo='M', lugar_nacimiento='JESUS ENRIQUE LOSSADA', entidad_federal='ZU' WHERE cedula='33431589';</v>
      </c>
    </row>
    <row r="628" customFormat="false" ht="14.9" hidden="false" customHeight="false" outlineLevel="0" collapsed="false">
      <c r="A628" s="1" t="s">
        <v>15</v>
      </c>
      <c r="B628" s="1" t="s">
        <v>593</v>
      </c>
      <c r="C628" s="1" t="s">
        <v>89</v>
      </c>
      <c r="D628" s="1" t="s">
        <v>655</v>
      </c>
      <c r="E628" s="2" t="n">
        <v>45926</v>
      </c>
      <c r="F628" s="2" t="n">
        <f aca="false">IFERROR(VLOOKUP(TRIM($D628), Hoja4_2!$A$2:$L$10000, 4, 0), "Revisar")</f>
        <v>40152</v>
      </c>
      <c r="G628" s="7" t="str">
        <f aca="false">IFERROR(VLOOKUP(TRIM($D628), Hoja4_2!$A$2:$L$10000, 5, 0), "Revisar")</f>
        <v>MASCULINO</v>
      </c>
      <c r="H628" s="7" t="str">
        <f aca="false">IFERROR(VLOOKUP(TRIM($D628), Hoja4_2!$A$2:$L$10000, 7, 0), "Revisar")</f>
        <v>MARACAIBO</v>
      </c>
      <c r="I628" s="7" t="str">
        <f aca="false">IFERROR(VLOOKUP(TRIM($D628), Hoja4_2!$A$2:$L$10000, 9, 0), "Revisar")</f>
        <v>ZU</v>
      </c>
      <c r="J628" s="7" t="str">
        <f aca="false">IFERROR(VLOOKUP(TRIM($D628), Hoja4_2!$A$2:$L$10000, 12, 0), "Revisar")</f>
        <v>16729630</v>
      </c>
      <c r="K628" s="8" t="str">
        <f aca="false">TEXT(TRIM(D628),"0")</f>
        <v>33532215</v>
      </c>
      <c r="L628" s="1" t="str">
        <f aca="false">IF(F628="Revisar","NULL",CONCATENATE("'",TEXT(F628,"yyyy-mm-dd"),"'"))</f>
        <v>'2009-12-05'</v>
      </c>
      <c r="M628" s="9" t="str">
        <f aca="false">IF(G628="Revisar","NULL",CONCATENATE("'",MID(G628,1,1),"'"))</f>
        <v>'M'</v>
      </c>
      <c r="N628" s="9" t="str">
        <f aca="false">IF(H628="Revisar","NULL",CONCATENATE("'",H628,"'"))</f>
        <v>'MARACAIBO'</v>
      </c>
      <c r="O628" s="9" t="str">
        <f aca="false">IF(I628="Revisar","NULL",CONCATENATE("'",I628,"'"))</f>
        <v>'ZU'</v>
      </c>
      <c r="P628" s="1" t="str">
        <f aca="false">"UPDATE estudiantes SET fecha_nacimiento="&amp;L628&amp;", sexo="&amp;M628&amp;", lugar_nacimiento="&amp;N628&amp;", entidad_federal="&amp;O628&amp;" WHERE cedula='"&amp;K628&amp;"';"</f>
        <v>UPDATE estudiantes SET fecha_nacimiento='2009-12-05', sexo='M', lugar_nacimiento='MARACAIBO', entidad_federal='ZU' WHERE cedula='33532215';</v>
      </c>
    </row>
    <row r="629" customFormat="false" ht="14.9" hidden="false" customHeight="false" outlineLevel="0" collapsed="false">
      <c r="A629" s="1" t="s">
        <v>15</v>
      </c>
      <c r="B629" s="1" t="s">
        <v>593</v>
      </c>
      <c r="C629" s="1" t="s">
        <v>89</v>
      </c>
      <c r="D629" s="1" t="s">
        <v>656</v>
      </c>
      <c r="E629" s="2" t="n">
        <v>45926</v>
      </c>
      <c r="F629" s="2" t="n">
        <f aca="false">IFERROR(VLOOKUP(TRIM($D629), Hoja4_2!$A$2:$L$10000, 4, 0), "Revisar")</f>
        <v>40074</v>
      </c>
      <c r="G629" s="7" t="str">
        <f aca="false">IFERROR(VLOOKUP(TRIM($D629), Hoja4_2!$A$2:$L$10000, 5, 0), "Revisar")</f>
        <v>FEMENINO</v>
      </c>
      <c r="H629" s="7" t="str">
        <f aca="false">IFERROR(VLOOKUP(TRIM($D629), Hoja4_2!$A$2:$L$10000, 7, 0), "Revisar")</f>
        <v>JESUS ENRIQUE LOSSADA</v>
      </c>
      <c r="I629" s="7" t="str">
        <f aca="false">IFERROR(VLOOKUP(TRIM($D629), Hoja4_2!$A$2:$L$10000, 9, 0), "Revisar")</f>
        <v>ZU</v>
      </c>
      <c r="J629" s="7" t="str">
        <f aca="false">IFERROR(VLOOKUP(TRIM($D629), Hoja4_2!$A$2:$L$10000, 12, 0), "Revisar")</f>
        <v>17565392</v>
      </c>
      <c r="K629" s="8" t="str">
        <f aca="false">TEXT(TRIM(D629),"0")</f>
        <v>33575761</v>
      </c>
      <c r="L629" s="1" t="str">
        <f aca="false">IF(F629="Revisar","NULL",CONCATENATE("'",TEXT(F629,"yyyy-mm-dd"),"'"))</f>
        <v>'2009-09-18'</v>
      </c>
      <c r="M629" s="9" t="str">
        <f aca="false">IF(G629="Revisar","NULL",CONCATENATE("'",MID(G629,1,1),"'"))</f>
        <v>'F'</v>
      </c>
      <c r="N629" s="9" t="str">
        <f aca="false">IF(H629="Revisar","NULL",CONCATENATE("'",H629,"'"))</f>
        <v>'JESUS ENRIQUE LOSSADA'</v>
      </c>
      <c r="O629" s="9" t="str">
        <f aca="false">IF(I629="Revisar","NULL",CONCATENATE("'",I629,"'"))</f>
        <v>'ZU'</v>
      </c>
      <c r="P629" s="1" t="str">
        <f aca="false">"UPDATE estudiantes SET fecha_nacimiento="&amp;L629&amp;", sexo="&amp;M629&amp;", lugar_nacimiento="&amp;N629&amp;", entidad_federal="&amp;O629&amp;" WHERE cedula='"&amp;K629&amp;"';"</f>
        <v>UPDATE estudiantes SET fecha_nacimiento='2009-09-18', sexo='F', lugar_nacimiento='JESUS ENRIQUE LOSSADA', entidad_federal='ZU' WHERE cedula='33575761';</v>
      </c>
    </row>
    <row r="630" customFormat="false" ht="14.9" hidden="false" customHeight="false" outlineLevel="0" collapsed="false">
      <c r="A630" s="1" t="s">
        <v>15</v>
      </c>
      <c r="B630" s="1" t="s">
        <v>593</v>
      </c>
      <c r="C630" s="1" t="s">
        <v>89</v>
      </c>
      <c r="D630" s="1" t="s">
        <v>657</v>
      </c>
      <c r="E630" s="2" t="n">
        <v>45926</v>
      </c>
      <c r="F630" s="2" t="n">
        <f aca="false">IFERROR(VLOOKUP(TRIM($D630), Hoja4_2!$A$2:$L$10000, 4, 0), "Revisar")</f>
        <v>39690</v>
      </c>
      <c r="G630" s="7" t="str">
        <f aca="false">IFERROR(VLOOKUP(TRIM($D630), Hoja4_2!$A$2:$L$10000, 5, 0), "Revisar")</f>
        <v>FEMENINO</v>
      </c>
      <c r="H630" s="7" t="str">
        <f aca="false">IFERROR(VLOOKUP(TRIM($D630), Hoja4_2!$A$2:$L$10000, 7, 0), "Revisar")</f>
        <v>JESUS ENRIQUE LOSSADA</v>
      </c>
      <c r="I630" s="7" t="str">
        <f aca="false">IFERROR(VLOOKUP(TRIM($D630), Hoja4_2!$A$2:$L$10000, 9, 0), "Revisar")</f>
        <v>ZU</v>
      </c>
      <c r="J630" s="7" t="str">
        <f aca="false">IFERROR(VLOOKUP(TRIM($D630), Hoja4_2!$A$2:$L$10000, 12, 0), "Revisar")</f>
        <v>15260759</v>
      </c>
      <c r="K630" s="8" t="str">
        <f aca="false">TEXT(TRIM(D630),"0")</f>
        <v>33724191</v>
      </c>
      <c r="L630" s="1" t="str">
        <f aca="false">IF(F630="Revisar","NULL",CONCATENATE("'",TEXT(F630,"yyyy-mm-dd"),"'"))</f>
        <v>'2008-08-30'</v>
      </c>
      <c r="M630" s="9" t="str">
        <f aca="false">IF(G630="Revisar","NULL",CONCATENATE("'",MID(G630,1,1),"'"))</f>
        <v>'F'</v>
      </c>
      <c r="N630" s="9" t="str">
        <f aca="false">IF(H630="Revisar","NULL",CONCATENATE("'",H630,"'"))</f>
        <v>'JESUS ENRIQUE LOSSADA'</v>
      </c>
      <c r="O630" s="9" t="str">
        <f aca="false">IF(I630="Revisar","NULL",CONCATENATE("'",I630,"'"))</f>
        <v>'ZU'</v>
      </c>
      <c r="P630" s="1" t="str">
        <f aca="false">"UPDATE estudiantes SET fecha_nacimiento="&amp;L630&amp;", sexo="&amp;M630&amp;", lugar_nacimiento="&amp;N630&amp;", entidad_federal="&amp;O630&amp;" WHERE cedula='"&amp;K630&amp;"';"</f>
        <v>UPDATE estudiantes SET fecha_nacimiento='2008-08-30', sexo='F', lugar_nacimiento='JESUS ENRIQUE LOSSADA', entidad_federal='ZU' WHERE cedula='33724191';</v>
      </c>
    </row>
    <row r="631" customFormat="false" ht="14.9" hidden="false" customHeight="false" outlineLevel="0" collapsed="false">
      <c r="A631" s="1" t="s">
        <v>15</v>
      </c>
      <c r="B631" s="1" t="s">
        <v>593</v>
      </c>
      <c r="C631" s="1" t="s">
        <v>89</v>
      </c>
      <c r="D631" s="1" t="s">
        <v>658</v>
      </c>
      <c r="E631" s="2" t="n">
        <v>45926</v>
      </c>
      <c r="F631" s="2" t="n">
        <f aca="false">IFERROR(VLOOKUP(TRIM($D631), Hoja4_2!$A$2:$L$10000, 4, 0), "Revisar")</f>
        <v>40130</v>
      </c>
      <c r="G631" s="7" t="str">
        <f aca="false">IFERROR(VLOOKUP(TRIM($D631), Hoja4_2!$A$2:$L$10000, 5, 0), "Revisar")</f>
        <v>MASCULINO</v>
      </c>
      <c r="H631" s="7" t="str">
        <f aca="false">IFERROR(VLOOKUP(TRIM($D631), Hoja4_2!$A$2:$L$10000, 7, 0), "Revisar")</f>
        <v>MARACAIBO</v>
      </c>
      <c r="I631" s="7" t="str">
        <f aca="false">IFERROR(VLOOKUP(TRIM($D631), Hoja4_2!$A$2:$L$10000, 9, 0), "Revisar")</f>
        <v>ZU</v>
      </c>
      <c r="J631" s="7" t="str">
        <f aca="false">IFERROR(VLOOKUP(TRIM($D631), Hoja4_2!$A$2:$L$10000, 12, 0), "Revisar")</f>
        <v>20509417</v>
      </c>
      <c r="K631" s="8" t="str">
        <f aca="false">TEXT(TRIM(D631),"0")</f>
        <v>33729320</v>
      </c>
      <c r="L631" s="1" t="str">
        <f aca="false">IF(F631="Revisar","NULL",CONCATENATE("'",TEXT(F631,"yyyy-mm-dd"),"'"))</f>
        <v>'2009-11-13'</v>
      </c>
      <c r="M631" s="9" t="str">
        <f aca="false">IF(G631="Revisar","NULL",CONCATENATE("'",MID(G631,1,1),"'"))</f>
        <v>'M'</v>
      </c>
      <c r="N631" s="9" t="str">
        <f aca="false">IF(H631="Revisar","NULL",CONCATENATE("'",H631,"'"))</f>
        <v>'MARACAIBO'</v>
      </c>
      <c r="O631" s="9" t="str">
        <f aca="false">IF(I631="Revisar","NULL",CONCATENATE("'",I631,"'"))</f>
        <v>'ZU'</v>
      </c>
      <c r="P631" s="1" t="str">
        <f aca="false">"UPDATE estudiantes SET fecha_nacimiento="&amp;L631&amp;", sexo="&amp;M631&amp;", lugar_nacimiento="&amp;N631&amp;", entidad_federal="&amp;O631&amp;" WHERE cedula='"&amp;K631&amp;"';"</f>
        <v>UPDATE estudiantes SET fecha_nacimiento='2009-11-13', sexo='M', lugar_nacimiento='MARACAIBO', entidad_federal='ZU' WHERE cedula='33729320';</v>
      </c>
    </row>
    <row r="632" customFormat="false" ht="14.9" hidden="false" customHeight="false" outlineLevel="0" collapsed="false">
      <c r="A632" s="1" t="s">
        <v>15</v>
      </c>
      <c r="B632" s="1" t="s">
        <v>593</v>
      </c>
      <c r="C632" s="1" t="s">
        <v>89</v>
      </c>
      <c r="D632" s="1" t="s">
        <v>659</v>
      </c>
      <c r="E632" s="2" t="n">
        <v>45926</v>
      </c>
      <c r="F632" s="2" t="n">
        <f aca="false">IFERROR(VLOOKUP(TRIM($D632), Hoja4_2!$A$2:$L$10000, 4, 0), "Revisar")</f>
        <v>40087</v>
      </c>
      <c r="G632" s="7" t="str">
        <f aca="false">IFERROR(VLOOKUP(TRIM($D632), Hoja4_2!$A$2:$L$10000, 5, 0), "Revisar")</f>
        <v>MASCULINO</v>
      </c>
      <c r="H632" s="7" t="str">
        <f aca="false">IFERROR(VLOOKUP(TRIM($D632), Hoja4_2!$A$2:$L$10000, 7, 0), "Revisar")</f>
        <v>MARACAIBO</v>
      </c>
      <c r="I632" s="7" t="str">
        <f aca="false">IFERROR(VLOOKUP(TRIM($D632), Hoja4_2!$A$2:$L$10000, 9, 0), "Revisar")</f>
        <v>ZU</v>
      </c>
      <c r="J632" s="7" t="str">
        <f aca="false">IFERROR(VLOOKUP(TRIM($D632), Hoja4_2!$A$2:$L$10000, 12, 0), "Revisar")</f>
        <v>14134067</v>
      </c>
      <c r="K632" s="8" t="str">
        <f aca="false">TEXT(TRIM(D632),"0")</f>
        <v>33729379</v>
      </c>
      <c r="L632" s="1" t="str">
        <f aca="false">IF(F632="Revisar","NULL",CONCATENATE("'",TEXT(F632,"yyyy-mm-dd"),"'"))</f>
        <v>'2009-10-01'</v>
      </c>
      <c r="M632" s="9" t="str">
        <f aca="false">IF(G632="Revisar","NULL",CONCATENATE("'",MID(G632,1,1),"'"))</f>
        <v>'M'</v>
      </c>
      <c r="N632" s="9" t="str">
        <f aca="false">IF(H632="Revisar","NULL",CONCATENATE("'",H632,"'"))</f>
        <v>'MARACAIBO'</v>
      </c>
      <c r="O632" s="9" t="str">
        <f aca="false">IF(I632="Revisar","NULL",CONCATENATE("'",I632,"'"))</f>
        <v>'ZU'</v>
      </c>
      <c r="P632" s="1" t="str">
        <f aca="false">"UPDATE estudiantes SET fecha_nacimiento="&amp;L632&amp;", sexo="&amp;M632&amp;", lugar_nacimiento="&amp;N632&amp;", entidad_federal="&amp;O632&amp;" WHERE cedula='"&amp;K632&amp;"';"</f>
        <v>UPDATE estudiantes SET fecha_nacimiento='2009-10-01', sexo='M', lugar_nacimiento='MARACAIBO', entidad_federal='ZU' WHERE cedula='33729379';</v>
      </c>
    </row>
    <row r="633" customFormat="false" ht="14.9" hidden="false" customHeight="false" outlineLevel="0" collapsed="false">
      <c r="A633" s="1" t="s">
        <v>15</v>
      </c>
      <c r="B633" s="1" t="s">
        <v>593</v>
      </c>
      <c r="C633" s="1" t="s">
        <v>89</v>
      </c>
      <c r="D633" s="1" t="s">
        <v>660</v>
      </c>
      <c r="E633" s="2" t="n">
        <v>45926</v>
      </c>
      <c r="F633" s="2" t="n">
        <f aca="false">IFERROR(VLOOKUP(TRIM($D633), Hoja4_2!$A$2:$L$10000, 4, 0), "Revisar")</f>
        <v>40189</v>
      </c>
      <c r="G633" s="7" t="str">
        <f aca="false">IFERROR(VLOOKUP(TRIM($D633), Hoja4_2!$A$2:$L$10000, 5, 0), "Revisar")</f>
        <v>MASCULINO</v>
      </c>
      <c r="H633" s="7" t="str">
        <f aca="false">IFERROR(VLOOKUP(TRIM($D633), Hoja4_2!$A$2:$L$10000, 7, 0), "Revisar")</f>
        <v>MARACAIBO</v>
      </c>
      <c r="I633" s="7" t="str">
        <f aca="false">IFERROR(VLOOKUP(TRIM($D633), Hoja4_2!$A$2:$L$10000, 9, 0), "Revisar")</f>
        <v>ZU</v>
      </c>
      <c r="J633" s="7" t="str">
        <f aca="false">IFERROR(VLOOKUP(TRIM($D633), Hoja4_2!$A$2:$L$10000, 12, 0), "Revisar")</f>
        <v>20370833</v>
      </c>
      <c r="K633" s="8" t="str">
        <f aca="false">TEXT(TRIM(D633),"0")</f>
        <v>33729389</v>
      </c>
      <c r="L633" s="1" t="str">
        <f aca="false">IF(F633="Revisar","NULL",CONCATENATE("'",TEXT(F633,"yyyy-mm-dd"),"'"))</f>
        <v>'2010-01-11'</v>
      </c>
      <c r="M633" s="9" t="str">
        <f aca="false">IF(G633="Revisar","NULL",CONCATENATE("'",MID(G633,1,1),"'"))</f>
        <v>'M'</v>
      </c>
      <c r="N633" s="9" t="str">
        <f aca="false">IF(H633="Revisar","NULL",CONCATENATE("'",H633,"'"))</f>
        <v>'MARACAIBO'</v>
      </c>
      <c r="O633" s="9" t="str">
        <f aca="false">IF(I633="Revisar","NULL",CONCATENATE("'",I633,"'"))</f>
        <v>'ZU'</v>
      </c>
      <c r="P633" s="1" t="str">
        <f aca="false">"UPDATE estudiantes SET fecha_nacimiento="&amp;L633&amp;", sexo="&amp;M633&amp;", lugar_nacimiento="&amp;N633&amp;", entidad_federal="&amp;O633&amp;" WHERE cedula='"&amp;K633&amp;"';"</f>
        <v>UPDATE estudiantes SET fecha_nacimiento='2010-01-11', sexo='M', lugar_nacimiento='MARACAIBO', entidad_federal='ZU' WHERE cedula='33729389';</v>
      </c>
    </row>
    <row r="634" customFormat="false" ht="14.9" hidden="false" customHeight="false" outlineLevel="0" collapsed="false">
      <c r="A634" s="1" t="s">
        <v>15</v>
      </c>
      <c r="B634" s="1" t="s">
        <v>593</v>
      </c>
      <c r="C634" s="1" t="s">
        <v>89</v>
      </c>
      <c r="D634" s="1" t="s">
        <v>661</v>
      </c>
      <c r="E634" s="2" t="n">
        <v>45926</v>
      </c>
      <c r="F634" s="2" t="n">
        <f aca="false">IFERROR(VLOOKUP(TRIM($D634), Hoja4_2!$A$2:$L$10000, 4, 0), "Revisar")</f>
        <v>39935</v>
      </c>
      <c r="G634" s="7" t="str">
        <f aca="false">IFERROR(VLOOKUP(TRIM($D634), Hoja4_2!$A$2:$L$10000, 5, 0), "Revisar")</f>
        <v>MASCULINO</v>
      </c>
      <c r="H634" s="7" t="str">
        <f aca="false">IFERROR(VLOOKUP(TRIM($D634), Hoja4_2!$A$2:$L$10000, 7, 0), "Revisar")</f>
        <v>MARACAIBO</v>
      </c>
      <c r="I634" s="7" t="str">
        <f aca="false">IFERROR(VLOOKUP(TRIM($D634), Hoja4_2!$A$2:$L$10000, 9, 0), "Revisar")</f>
        <v>ZU</v>
      </c>
      <c r="J634" s="7" t="str">
        <f aca="false">IFERROR(VLOOKUP(TRIM($D634), Hoja4_2!$A$2:$L$10000, 12, 0), "Revisar")</f>
        <v>19906304</v>
      </c>
      <c r="K634" s="8" t="str">
        <f aca="false">TEXT(TRIM(D634),"0")</f>
        <v>33745899</v>
      </c>
      <c r="L634" s="1" t="str">
        <f aca="false">IF(F634="Revisar","NULL",CONCATENATE("'",TEXT(F634,"yyyy-mm-dd"),"'"))</f>
        <v>'2009-05-02'</v>
      </c>
      <c r="M634" s="9" t="str">
        <f aca="false">IF(G634="Revisar","NULL",CONCATENATE("'",MID(G634,1,1),"'"))</f>
        <v>'M'</v>
      </c>
      <c r="N634" s="9" t="str">
        <f aca="false">IF(H634="Revisar","NULL",CONCATENATE("'",H634,"'"))</f>
        <v>'MARACAIBO'</v>
      </c>
      <c r="O634" s="9" t="str">
        <f aca="false">IF(I634="Revisar","NULL",CONCATENATE("'",I634,"'"))</f>
        <v>'ZU'</v>
      </c>
      <c r="P634" s="1" t="str">
        <f aca="false">"UPDATE estudiantes SET fecha_nacimiento="&amp;L634&amp;", sexo="&amp;M634&amp;", lugar_nacimiento="&amp;N634&amp;", entidad_federal="&amp;O634&amp;" WHERE cedula='"&amp;K634&amp;"';"</f>
        <v>UPDATE estudiantes SET fecha_nacimiento='2009-05-02', sexo='M', lugar_nacimiento='MARACAIBO', entidad_federal='ZU' WHERE cedula='33745899';</v>
      </c>
    </row>
    <row r="635" customFormat="false" ht="14.9" hidden="false" customHeight="false" outlineLevel="0" collapsed="false">
      <c r="A635" s="1" t="s">
        <v>15</v>
      </c>
      <c r="B635" s="1" t="s">
        <v>593</v>
      </c>
      <c r="C635" s="1" t="s">
        <v>89</v>
      </c>
      <c r="D635" s="1" t="s">
        <v>662</v>
      </c>
      <c r="E635" s="2" t="n">
        <v>45926</v>
      </c>
      <c r="F635" s="2" t="n">
        <f aca="false">IFERROR(VLOOKUP(TRIM($D635), Hoja4_2!$A$2:$L$10000, 4, 0), "Revisar")</f>
        <v>39726</v>
      </c>
      <c r="G635" s="7" t="str">
        <f aca="false">IFERROR(VLOOKUP(TRIM($D635), Hoja4_2!$A$2:$L$10000, 5, 0), "Revisar")</f>
        <v>FEMENINO</v>
      </c>
      <c r="H635" s="7" t="str">
        <f aca="false">IFERROR(VLOOKUP(TRIM($D635), Hoja4_2!$A$2:$L$10000, 7, 0), "Revisar")</f>
        <v>MARACAIBO</v>
      </c>
      <c r="I635" s="7" t="str">
        <f aca="false">IFERROR(VLOOKUP(TRIM($D635), Hoja4_2!$A$2:$L$10000, 9, 0), "Revisar")</f>
        <v>ZU</v>
      </c>
      <c r="J635" s="7" t="str">
        <f aca="false">IFERROR(VLOOKUP(TRIM($D635), Hoja4_2!$A$2:$L$10000, 12, 0), "Revisar")</f>
        <v>18635131</v>
      </c>
      <c r="K635" s="8" t="str">
        <f aca="false">TEXT(TRIM(D635),"0")</f>
        <v>33792320</v>
      </c>
      <c r="L635" s="1" t="str">
        <f aca="false">IF(F635="Revisar","NULL",CONCATENATE("'",TEXT(F635,"yyyy-mm-dd"),"'"))</f>
        <v>'2008-10-05'</v>
      </c>
      <c r="M635" s="9" t="str">
        <f aca="false">IF(G635="Revisar","NULL",CONCATENATE("'",MID(G635,1,1),"'"))</f>
        <v>'F'</v>
      </c>
      <c r="N635" s="9" t="str">
        <f aca="false">IF(H635="Revisar","NULL",CONCATENATE("'",H635,"'"))</f>
        <v>'MARACAIBO'</v>
      </c>
      <c r="O635" s="9" t="str">
        <f aca="false">IF(I635="Revisar","NULL",CONCATENATE("'",I635,"'"))</f>
        <v>'ZU'</v>
      </c>
      <c r="P635" s="1" t="str">
        <f aca="false">"UPDATE estudiantes SET fecha_nacimiento="&amp;L635&amp;", sexo="&amp;M635&amp;", lugar_nacimiento="&amp;N635&amp;", entidad_federal="&amp;O635&amp;" WHERE cedula='"&amp;K635&amp;"';"</f>
        <v>UPDATE estudiantes SET fecha_nacimiento='2008-10-05', sexo='F', lugar_nacimiento='MARACAIBO', entidad_federal='ZU' WHERE cedula='33792320';</v>
      </c>
    </row>
    <row r="636" customFormat="false" ht="14.9" hidden="false" customHeight="false" outlineLevel="0" collapsed="false">
      <c r="A636" s="1" t="s">
        <v>15</v>
      </c>
      <c r="B636" s="1" t="s">
        <v>593</v>
      </c>
      <c r="C636" s="1" t="s">
        <v>89</v>
      </c>
      <c r="D636" s="1" t="s">
        <v>663</v>
      </c>
      <c r="E636" s="2" t="n">
        <v>45926</v>
      </c>
      <c r="F636" s="2" t="n">
        <f aca="false">IFERROR(VLOOKUP(TRIM($D636), Hoja4_2!$A$2:$L$10000, 4, 0), "Revisar")</f>
        <v>39925</v>
      </c>
      <c r="G636" s="7" t="str">
        <f aca="false">IFERROR(VLOOKUP(TRIM($D636), Hoja4_2!$A$2:$L$10000, 5, 0), "Revisar")</f>
        <v>FEMENINO</v>
      </c>
      <c r="H636" s="7" t="str">
        <f aca="false">IFERROR(VLOOKUP(TRIM($D636), Hoja4_2!$A$2:$L$10000, 7, 0), "Revisar")</f>
        <v>MARACAIBO</v>
      </c>
      <c r="I636" s="7" t="str">
        <f aca="false">IFERROR(VLOOKUP(TRIM($D636), Hoja4_2!$A$2:$L$10000, 9, 0), "Revisar")</f>
        <v>ZU</v>
      </c>
      <c r="J636" s="7" t="str">
        <f aca="false">IFERROR(VLOOKUP(TRIM($D636), Hoja4_2!$A$2:$L$10000, 12, 0), "Revisar")</f>
        <v>16212116</v>
      </c>
      <c r="K636" s="8" t="str">
        <f aca="false">TEXT(TRIM(D636),"0")</f>
        <v>34309806</v>
      </c>
      <c r="L636" s="1" t="str">
        <f aca="false">IF(F636="Revisar","NULL",CONCATENATE("'",TEXT(F636,"yyyy-mm-dd"),"'"))</f>
        <v>'2009-04-22'</v>
      </c>
      <c r="M636" s="9" t="str">
        <f aca="false">IF(G636="Revisar","NULL",CONCATENATE("'",MID(G636,1,1),"'"))</f>
        <v>'F'</v>
      </c>
      <c r="N636" s="9" t="str">
        <f aca="false">IF(H636="Revisar","NULL",CONCATENATE("'",H636,"'"))</f>
        <v>'MARACAIBO'</v>
      </c>
      <c r="O636" s="9" t="str">
        <f aca="false">IF(I636="Revisar","NULL",CONCATENATE("'",I636,"'"))</f>
        <v>'ZU'</v>
      </c>
      <c r="P636" s="1" t="str">
        <f aca="false">"UPDATE estudiantes SET fecha_nacimiento="&amp;L636&amp;", sexo="&amp;M636&amp;", lugar_nacimiento="&amp;N636&amp;", entidad_federal="&amp;O636&amp;" WHERE cedula='"&amp;K636&amp;"';"</f>
        <v>UPDATE estudiantes SET fecha_nacimiento='2009-04-22', sexo='F', lugar_nacimiento='MARACAIBO', entidad_federal='ZU' WHERE cedula='34309806';</v>
      </c>
    </row>
    <row r="637" customFormat="false" ht="14.9" hidden="false" customHeight="false" outlineLevel="0" collapsed="false">
      <c r="A637" s="1" t="s">
        <v>15</v>
      </c>
      <c r="B637" s="1" t="s">
        <v>593</v>
      </c>
      <c r="C637" s="1" t="s">
        <v>89</v>
      </c>
      <c r="D637" s="1" t="s">
        <v>664</v>
      </c>
      <c r="E637" s="2" t="n">
        <v>45926</v>
      </c>
      <c r="F637" s="2" t="n">
        <f aca="false">IFERROR(VLOOKUP(TRIM($D637), Hoja4_2!$A$2:$L$10000, 4, 0), "Revisar")</f>
        <v>40148</v>
      </c>
      <c r="G637" s="7" t="str">
        <f aca="false">IFERROR(VLOOKUP(TRIM($D637), Hoja4_2!$A$2:$L$10000, 5, 0), "Revisar")</f>
        <v>FEMENINO</v>
      </c>
      <c r="H637" s="7" t="str">
        <f aca="false">IFERROR(VLOOKUP(TRIM($D637), Hoja4_2!$A$2:$L$10000, 7, 0), "Revisar")</f>
        <v>MARACAIBO</v>
      </c>
      <c r="I637" s="7" t="str">
        <f aca="false">IFERROR(VLOOKUP(TRIM($D637), Hoja4_2!$A$2:$L$10000, 9, 0), "Revisar")</f>
        <v>ZU</v>
      </c>
      <c r="J637" s="7" t="str">
        <f aca="false">IFERROR(VLOOKUP(TRIM($D637), Hoja4_2!$A$2:$L$10000, 12, 0), "Revisar")</f>
        <v>18281218</v>
      </c>
      <c r="K637" s="8" t="str">
        <f aca="false">TEXT(TRIM(D637),"0")</f>
        <v>34400156</v>
      </c>
      <c r="L637" s="1" t="str">
        <f aca="false">IF(F637="Revisar","NULL",CONCATENATE("'",TEXT(F637,"yyyy-mm-dd"),"'"))</f>
        <v>'2009-12-01'</v>
      </c>
      <c r="M637" s="9" t="str">
        <f aca="false">IF(G637="Revisar","NULL",CONCATENATE("'",MID(G637,1,1),"'"))</f>
        <v>'F'</v>
      </c>
      <c r="N637" s="9" t="str">
        <f aca="false">IF(H637="Revisar","NULL",CONCATENATE("'",H637,"'"))</f>
        <v>'MARACAIBO'</v>
      </c>
      <c r="O637" s="9" t="str">
        <f aca="false">IF(I637="Revisar","NULL",CONCATENATE("'",I637,"'"))</f>
        <v>'ZU'</v>
      </c>
      <c r="P637" s="1" t="str">
        <f aca="false">"UPDATE estudiantes SET fecha_nacimiento="&amp;L637&amp;", sexo="&amp;M637&amp;", lugar_nacimiento="&amp;N637&amp;", entidad_federal="&amp;O637&amp;" WHERE cedula='"&amp;K637&amp;"';"</f>
        <v>UPDATE estudiantes SET fecha_nacimiento='2009-12-01', sexo='F', lugar_nacimiento='MARACAIBO', entidad_federal='ZU' WHERE cedula='34400156';</v>
      </c>
    </row>
    <row r="638" customFormat="false" ht="14.9" hidden="false" customHeight="false" outlineLevel="0" collapsed="false">
      <c r="A638" s="1" t="s">
        <v>15</v>
      </c>
      <c r="B638" s="1" t="s">
        <v>593</v>
      </c>
      <c r="C638" s="1" t="s">
        <v>89</v>
      </c>
      <c r="D638" s="1" t="s">
        <v>665</v>
      </c>
      <c r="E638" s="2" t="n">
        <v>45926</v>
      </c>
      <c r="F638" s="2" t="n">
        <f aca="false">IFERROR(VLOOKUP(TRIM($D638), Hoja4_2!$A$2:$L$10000, 4, 0), "Revisar")</f>
        <v>40418</v>
      </c>
      <c r="G638" s="7" t="str">
        <f aca="false">IFERROR(VLOOKUP(TRIM($D638), Hoja4_2!$A$2:$L$10000, 5, 0), "Revisar")</f>
        <v>FEMENINO</v>
      </c>
      <c r="H638" s="7" t="str">
        <f aca="false">IFERROR(VLOOKUP(TRIM($D638), Hoja4_2!$A$2:$L$10000, 7, 0), "Revisar")</f>
        <v>MARACAIBO</v>
      </c>
      <c r="I638" s="7" t="str">
        <f aca="false">IFERROR(VLOOKUP(TRIM($D638), Hoja4_2!$A$2:$L$10000, 9, 0), "Revisar")</f>
        <v>ZU</v>
      </c>
      <c r="J638" s="7" t="str">
        <f aca="false">IFERROR(VLOOKUP(TRIM($D638), Hoja4_2!$A$2:$L$10000, 12, 0), "Revisar")</f>
        <v>10445081</v>
      </c>
      <c r="K638" s="8" t="str">
        <f aca="false">TEXT(TRIM(D638),"0")</f>
        <v>34463307</v>
      </c>
      <c r="L638" s="1" t="str">
        <f aca="false">IF(F638="Revisar","NULL",CONCATENATE("'",TEXT(F638,"yyyy-mm-dd"),"'"))</f>
        <v>'2010-08-28'</v>
      </c>
      <c r="M638" s="9" t="str">
        <f aca="false">IF(G638="Revisar","NULL",CONCATENATE("'",MID(G638,1,1),"'"))</f>
        <v>'F'</v>
      </c>
      <c r="N638" s="9" t="str">
        <f aca="false">IF(H638="Revisar","NULL",CONCATENATE("'",H638,"'"))</f>
        <v>'MARACAIBO'</v>
      </c>
      <c r="O638" s="9" t="str">
        <f aca="false">IF(I638="Revisar","NULL",CONCATENATE("'",I638,"'"))</f>
        <v>'ZU'</v>
      </c>
      <c r="P638" s="1" t="str">
        <f aca="false">"UPDATE estudiantes SET fecha_nacimiento="&amp;L638&amp;", sexo="&amp;M638&amp;", lugar_nacimiento="&amp;N638&amp;", entidad_federal="&amp;O638&amp;" WHERE cedula='"&amp;K638&amp;"';"</f>
        <v>UPDATE estudiantes SET fecha_nacimiento='2010-08-28', sexo='F', lugar_nacimiento='MARACAIBO', entidad_federal='ZU' WHERE cedula='34463307';</v>
      </c>
    </row>
    <row r="639" customFormat="false" ht="14.9" hidden="false" customHeight="false" outlineLevel="0" collapsed="false">
      <c r="A639" s="1" t="s">
        <v>15</v>
      </c>
      <c r="B639" s="1" t="s">
        <v>593</v>
      </c>
      <c r="C639" s="1" t="s">
        <v>89</v>
      </c>
      <c r="D639" s="1" t="s">
        <v>666</v>
      </c>
      <c r="E639" s="2" t="n">
        <v>45926</v>
      </c>
      <c r="F639" s="2" t="n">
        <f aca="false">IFERROR(VLOOKUP(TRIM($D639), Hoja4_2!$A$2:$L$10000, 4, 0), "Revisar")</f>
        <v>39941</v>
      </c>
      <c r="G639" s="7" t="str">
        <f aca="false">IFERROR(VLOOKUP(TRIM($D639), Hoja4_2!$A$2:$L$10000, 5, 0), "Revisar")</f>
        <v>FEMENINO</v>
      </c>
      <c r="H639" s="7" t="str">
        <f aca="false">IFERROR(VLOOKUP(TRIM($D639), Hoja4_2!$A$2:$L$10000, 7, 0), "Revisar")</f>
        <v>MARACAIBO</v>
      </c>
      <c r="I639" s="7" t="str">
        <f aca="false">IFERROR(VLOOKUP(TRIM($D639), Hoja4_2!$A$2:$L$10000, 9, 0), "Revisar")</f>
        <v>ZU</v>
      </c>
      <c r="J639" s="7" t="str">
        <f aca="false">IFERROR(VLOOKUP(TRIM($D639), Hoja4_2!$A$2:$L$10000, 12, 0), "Revisar")</f>
        <v>17568960</v>
      </c>
      <c r="K639" s="8" t="str">
        <f aca="false">TEXT(TRIM(D639),"0")</f>
        <v>34595467</v>
      </c>
      <c r="L639" s="1" t="str">
        <f aca="false">IF(F639="Revisar","NULL",CONCATENATE("'",TEXT(F639,"yyyy-mm-dd"),"'"))</f>
        <v>'2009-05-08'</v>
      </c>
      <c r="M639" s="9" t="str">
        <f aca="false">IF(G639="Revisar","NULL",CONCATENATE("'",MID(G639,1,1),"'"))</f>
        <v>'F'</v>
      </c>
      <c r="N639" s="9" t="str">
        <f aca="false">IF(H639="Revisar","NULL",CONCATENATE("'",H639,"'"))</f>
        <v>'MARACAIBO'</v>
      </c>
      <c r="O639" s="9" t="str">
        <f aca="false">IF(I639="Revisar","NULL",CONCATENATE("'",I639,"'"))</f>
        <v>'ZU'</v>
      </c>
      <c r="P639" s="1" t="str">
        <f aca="false">"UPDATE estudiantes SET fecha_nacimiento="&amp;L639&amp;", sexo="&amp;M639&amp;", lugar_nacimiento="&amp;N639&amp;", entidad_federal="&amp;O639&amp;" WHERE cedula='"&amp;K639&amp;"';"</f>
        <v>UPDATE estudiantes SET fecha_nacimiento='2009-05-08', sexo='F', lugar_nacimiento='MARACAIBO', entidad_federal='ZU' WHERE cedula='34595467';</v>
      </c>
    </row>
    <row r="640" customFormat="false" ht="14.9" hidden="false" customHeight="false" outlineLevel="0" collapsed="false">
      <c r="A640" s="1" t="s">
        <v>15</v>
      </c>
      <c r="B640" s="1" t="s">
        <v>593</v>
      </c>
      <c r="C640" s="1" t="s">
        <v>89</v>
      </c>
      <c r="D640" s="1" t="s">
        <v>667</v>
      </c>
      <c r="E640" s="2" t="n">
        <v>45926</v>
      </c>
      <c r="F640" s="2" t="n">
        <f aca="false">IFERROR(VLOOKUP(TRIM($D640), Hoja4_2!$A$2:$L$10000, 4, 0), "Revisar")</f>
        <v>40109</v>
      </c>
      <c r="G640" s="7" t="str">
        <f aca="false">IFERROR(VLOOKUP(TRIM($D640), Hoja4_2!$A$2:$L$10000, 5, 0), "Revisar")</f>
        <v>FEMENINO</v>
      </c>
      <c r="H640" s="7" t="str">
        <f aca="false">IFERROR(VLOOKUP(TRIM($D640), Hoja4_2!$A$2:$L$10000, 7, 0), "Revisar")</f>
        <v>MARACAIBO</v>
      </c>
      <c r="I640" s="7" t="str">
        <f aca="false">IFERROR(VLOOKUP(TRIM($D640), Hoja4_2!$A$2:$L$10000, 9, 0), "Revisar")</f>
        <v>ZU</v>
      </c>
      <c r="J640" s="7" t="str">
        <f aca="false">IFERROR(VLOOKUP(TRIM($D640), Hoja4_2!$A$2:$L$10000, 12, 0), "Revisar")</f>
        <v>20274486</v>
      </c>
      <c r="K640" s="8" t="str">
        <f aca="false">TEXT(TRIM(D640),"0")</f>
        <v>34740643</v>
      </c>
      <c r="L640" s="1" t="str">
        <f aca="false">IF(F640="Revisar","NULL",CONCATENATE("'",TEXT(F640,"yyyy-mm-dd"),"'"))</f>
        <v>'2009-10-23'</v>
      </c>
      <c r="M640" s="9" t="str">
        <f aca="false">IF(G640="Revisar","NULL",CONCATENATE("'",MID(G640,1,1),"'"))</f>
        <v>'F'</v>
      </c>
      <c r="N640" s="9" t="str">
        <f aca="false">IF(H640="Revisar","NULL",CONCATENATE("'",H640,"'"))</f>
        <v>'MARACAIBO'</v>
      </c>
      <c r="O640" s="9" t="str">
        <f aca="false">IF(I640="Revisar","NULL",CONCATENATE("'",I640,"'"))</f>
        <v>'ZU'</v>
      </c>
      <c r="P640" s="1" t="str">
        <f aca="false">"UPDATE estudiantes SET fecha_nacimiento="&amp;L640&amp;", sexo="&amp;M640&amp;", lugar_nacimiento="&amp;N640&amp;", entidad_federal="&amp;O640&amp;" WHERE cedula='"&amp;K640&amp;"';"</f>
        <v>UPDATE estudiantes SET fecha_nacimiento='2009-10-23', sexo='F', lugar_nacimiento='MARACAIBO', entidad_federal='ZU' WHERE cedula='34740643';</v>
      </c>
    </row>
    <row r="641" customFormat="false" ht="14.9" hidden="false" customHeight="false" outlineLevel="0" collapsed="false">
      <c r="A641" s="1" t="s">
        <v>15</v>
      </c>
      <c r="B641" s="1" t="s">
        <v>593</v>
      </c>
      <c r="C641" s="1" t="s">
        <v>89</v>
      </c>
      <c r="D641" s="1" t="s">
        <v>668</v>
      </c>
      <c r="E641" s="2" t="n">
        <v>45926</v>
      </c>
      <c r="F641" s="2" t="n">
        <f aca="false">IFERROR(VLOOKUP(TRIM($D641), Hoja4_2!$A$2:$L$10000, 4, 0), "Revisar")</f>
        <v>40000</v>
      </c>
      <c r="G641" s="7" t="str">
        <f aca="false">IFERROR(VLOOKUP(TRIM($D641), Hoja4_2!$A$2:$L$10000, 5, 0), "Revisar")</f>
        <v>FEMENINO</v>
      </c>
      <c r="H641" s="7" t="str">
        <f aca="false">IFERROR(VLOOKUP(TRIM($D641), Hoja4_2!$A$2:$L$10000, 7, 0), "Revisar")</f>
        <v>MARACAIBO</v>
      </c>
      <c r="I641" s="7" t="str">
        <f aca="false">IFERROR(VLOOKUP(TRIM($D641), Hoja4_2!$A$2:$L$10000, 9, 0), "Revisar")</f>
        <v>ZU</v>
      </c>
      <c r="J641" s="7" t="str">
        <f aca="false">IFERROR(VLOOKUP(TRIM($D641), Hoja4_2!$A$2:$L$10000, 12, 0), "Revisar")</f>
        <v>21228270</v>
      </c>
      <c r="K641" s="8" t="str">
        <f aca="false">TEXT(TRIM(D641),"0")</f>
        <v>34886418</v>
      </c>
      <c r="L641" s="1" t="str">
        <f aca="false">IF(F641="Revisar","NULL",CONCATENATE("'",TEXT(F641,"yyyy-mm-dd"),"'"))</f>
        <v>'2009-07-06'</v>
      </c>
      <c r="M641" s="9" t="str">
        <f aca="false">IF(G641="Revisar","NULL",CONCATENATE("'",MID(G641,1,1),"'"))</f>
        <v>'F'</v>
      </c>
      <c r="N641" s="9" t="str">
        <f aca="false">IF(H641="Revisar","NULL",CONCATENATE("'",H641,"'"))</f>
        <v>'MARACAIBO'</v>
      </c>
      <c r="O641" s="9" t="str">
        <f aca="false">IF(I641="Revisar","NULL",CONCATENATE("'",I641,"'"))</f>
        <v>'ZU'</v>
      </c>
      <c r="P641" s="1" t="str">
        <f aca="false">"UPDATE estudiantes SET fecha_nacimiento="&amp;L641&amp;", sexo="&amp;M641&amp;", lugar_nacimiento="&amp;N641&amp;", entidad_federal="&amp;O641&amp;" WHERE cedula='"&amp;K641&amp;"';"</f>
        <v>UPDATE estudiantes SET fecha_nacimiento='2009-07-06', sexo='F', lugar_nacimiento='MARACAIBO', entidad_federal='ZU' WHERE cedula='34886418';</v>
      </c>
    </row>
    <row r="642" customFormat="false" ht="14.9" hidden="false" customHeight="false" outlineLevel="0" collapsed="false">
      <c r="A642" s="1" t="s">
        <v>15</v>
      </c>
      <c r="B642" s="1" t="s">
        <v>593</v>
      </c>
      <c r="C642" s="1" t="s">
        <v>89</v>
      </c>
      <c r="D642" s="1" t="s">
        <v>669</v>
      </c>
      <c r="E642" s="2" t="n">
        <v>45926</v>
      </c>
      <c r="F642" s="2" t="n">
        <f aca="false">IFERROR(VLOOKUP(TRIM($D642), Hoja4_2!$A$2:$L$10000, 4, 0), "Revisar")</f>
        <v>40296</v>
      </c>
      <c r="G642" s="7" t="str">
        <f aca="false">IFERROR(VLOOKUP(TRIM($D642), Hoja4_2!$A$2:$L$10000, 5, 0), "Revisar")</f>
        <v>FEMENINO</v>
      </c>
      <c r="H642" s="7" t="str">
        <f aca="false">IFERROR(VLOOKUP(TRIM($D642), Hoja4_2!$A$2:$L$10000, 7, 0), "Revisar")</f>
        <v>JESUS ENRIQUE LOSSADA</v>
      </c>
      <c r="I642" s="7" t="str">
        <f aca="false">IFERROR(VLOOKUP(TRIM($D642), Hoja4_2!$A$2:$L$10000, 9, 0), "Revisar")</f>
        <v>ZU</v>
      </c>
      <c r="J642" s="7" t="str">
        <f aca="false">IFERROR(VLOOKUP(TRIM($D642), Hoja4_2!$A$2:$L$10000, 12, 0), "Revisar")</f>
        <v>09708875</v>
      </c>
      <c r="K642" s="8" t="str">
        <f aca="false">TEXT(TRIM(D642),"0")</f>
        <v>34939639</v>
      </c>
      <c r="L642" s="1" t="str">
        <f aca="false">IF(F642="Revisar","NULL",CONCATENATE("'",TEXT(F642,"yyyy-mm-dd"),"'"))</f>
        <v>'2010-04-28'</v>
      </c>
      <c r="M642" s="9" t="str">
        <f aca="false">IF(G642="Revisar","NULL",CONCATENATE("'",MID(G642,1,1),"'"))</f>
        <v>'F'</v>
      </c>
      <c r="N642" s="9" t="str">
        <f aca="false">IF(H642="Revisar","NULL",CONCATENATE("'",H642,"'"))</f>
        <v>'JESUS ENRIQUE LOSSADA'</v>
      </c>
      <c r="O642" s="9" t="str">
        <f aca="false">IF(I642="Revisar","NULL",CONCATENATE("'",I642,"'"))</f>
        <v>'ZU'</v>
      </c>
      <c r="P642" s="1" t="str">
        <f aca="false">"UPDATE estudiantes SET fecha_nacimiento="&amp;L642&amp;", sexo="&amp;M642&amp;", lugar_nacimiento="&amp;N642&amp;", entidad_federal="&amp;O642&amp;" WHERE cedula='"&amp;K642&amp;"';"</f>
        <v>UPDATE estudiantes SET fecha_nacimiento='2010-04-28', sexo='F', lugar_nacimiento='JESUS ENRIQUE LOSSADA', entidad_federal='ZU' WHERE cedula='34939639';</v>
      </c>
    </row>
    <row r="643" customFormat="false" ht="14.9" hidden="false" customHeight="false" outlineLevel="0" collapsed="false">
      <c r="A643" s="1" t="s">
        <v>15</v>
      </c>
      <c r="B643" s="1" t="s">
        <v>593</v>
      </c>
      <c r="C643" s="1" t="s">
        <v>89</v>
      </c>
      <c r="D643" s="1" t="s">
        <v>670</v>
      </c>
      <c r="E643" s="2" t="n">
        <v>45926</v>
      </c>
      <c r="F643" s="2" t="n">
        <f aca="false">IFERROR(VLOOKUP(TRIM($D643), Hoja4_2!$A$2:$L$10000, 4, 0), "Revisar")</f>
        <v>39609</v>
      </c>
      <c r="G643" s="7" t="str">
        <f aca="false">IFERROR(VLOOKUP(TRIM($D643), Hoja4_2!$A$2:$L$10000, 5, 0), "Revisar")</f>
        <v>FEMENINO</v>
      </c>
      <c r="H643" s="7" t="str">
        <f aca="false">IFERROR(VLOOKUP(TRIM($D643), Hoja4_2!$A$2:$L$10000, 7, 0), "Revisar")</f>
        <v>MARACAIBO</v>
      </c>
      <c r="I643" s="7" t="str">
        <f aca="false">IFERROR(VLOOKUP(TRIM($D643), Hoja4_2!$A$2:$L$10000, 9, 0), "Revisar")</f>
        <v>ZU</v>
      </c>
      <c r="J643" s="7" t="str">
        <f aca="false">IFERROR(VLOOKUP(TRIM($D643), Hoja4_2!$A$2:$L$10000, 12, 0), "Revisar")</f>
        <v>21509559</v>
      </c>
      <c r="K643" s="8" t="str">
        <f aca="false">TEXT(TRIM(D643),"0")</f>
        <v>35182539</v>
      </c>
      <c r="L643" s="1" t="str">
        <f aca="false">IF(F643="Revisar","NULL",CONCATENATE("'",TEXT(F643,"yyyy-mm-dd"),"'"))</f>
        <v>'2008-06-10'</v>
      </c>
      <c r="M643" s="9" t="str">
        <f aca="false">IF(G643="Revisar","NULL",CONCATENATE("'",MID(G643,1,1),"'"))</f>
        <v>'F'</v>
      </c>
      <c r="N643" s="9" t="str">
        <f aca="false">IF(H643="Revisar","NULL",CONCATENATE("'",H643,"'"))</f>
        <v>'MARACAIBO'</v>
      </c>
      <c r="O643" s="9" t="str">
        <f aca="false">IF(I643="Revisar","NULL",CONCATENATE("'",I643,"'"))</f>
        <v>'ZU'</v>
      </c>
      <c r="P643" s="1" t="str">
        <f aca="false">"UPDATE estudiantes SET fecha_nacimiento="&amp;L643&amp;", sexo="&amp;M643&amp;", lugar_nacimiento="&amp;N643&amp;", entidad_federal="&amp;O643&amp;" WHERE cedula='"&amp;K643&amp;"';"</f>
        <v>UPDATE estudiantes SET fecha_nacimiento='2008-06-10', sexo='F', lugar_nacimiento='MARACAIBO', entidad_federal='ZU' WHERE cedula='35182539';</v>
      </c>
    </row>
    <row r="644" customFormat="false" ht="14.9" hidden="false" customHeight="false" outlineLevel="0" collapsed="false">
      <c r="A644" s="1" t="s">
        <v>15</v>
      </c>
      <c r="B644" s="1" t="s">
        <v>593</v>
      </c>
      <c r="C644" s="1" t="s">
        <v>89</v>
      </c>
      <c r="D644" s="1" t="s">
        <v>671</v>
      </c>
      <c r="E644" s="2" t="n">
        <v>45932</v>
      </c>
      <c r="F644" s="2" t="n">
        <f aca="false">IFERROR(VLOOKUP(TRIM($D644), Hoja4_2!$A$2:$L$10000, 4, 0), "Revisar")</f>
        <v>40115</v>
      </c>
      <c r="G644" s="7" t="str">
        <f aca="false">IFERROR(VLOOKUP(TRIM($D644), Hoja4_2!$A$2:$L$10000, 5, 0), "Revisar")</f>
        <v>FEMENINO</v>
      </c>
      <c r="H644" s="7" t="str">
        <f aca="false">IFERROR(VLOOKUP(TRIM($D644), Hoja4_2!$A$2:$L$10000, 7, 0), "Revisar")</f>
        <v>MARACAIBO</v>
      </c>
      <c r="I644" s="7" t="str">
        <f aca="false">IFERROR(VLOOKUP(TRIM($D644), Hoja4_2!$A$2:$L$10000, 9, 0), "Revisar")</f>
        <v>ZU</v>
      </c>
      <c r="J644" s="7" t="str">
        <f aca="false">IFERROR(VLOOKUP(TRIM($D644), Hoja4_2!$A$2:$L$10000, 12, 0), "Revisar")</f>
        <v>18318835</v>
      </c>
      <c r="K644" s="8" t="str">
        <f aca="false">TEXT(TRIM(D644),"0")</f>
        <v>36070537</v>
      </c>
      <c r="L644" s="1" t="str">
        <f aca="false">IF(F644="Revisar","NULL",CONCATENATE("'",TEXT(F644,"yyyy-mm-dd"),"'"))</f>
        <v>'2009-10-29'</v>
      </c>
      <c r="M644" s="9" t="str">
        <f aca="false">IF(G644="Revisar","NULL",CONCATENATE("'",MID(G644,1,1),"'"))</f>
        <v>'F'</v>
      </c>
      <c r="N644" s="9" t="str">
        <f aca="false">IF(H644="Revisar","NULL",CONCATENATE("'",H644,"'"))</f>
        <v>'MARACAIBO'</v>
      </c>
      <c r="O644" s="9" t="str">
        <f aca="false">IF(I644="Revisar","NULL",CONCATENATE("'",I644,"'"))</f>
        <v>'ZU'</v>
      </c>
      <c r="P644" s="1" t="str">
        <f aca="false">"UPDATE estudiantes SET fecha_nacimiento="&amp;L644&amp;", sexo="&amp;M644&amp;", lugar_nacimiento="&amp;N644&amp;", entidad_federal="&amp;O644&amp;" WHERE cedula='"&amp;K644&amp;"';"</f>
        <v>UPDATE estudiantes SET fecha_nacimiento='2009-10-29', sexo='F', lugar_nacimiento='MARACAIBO', entidad_federal='ZU' WHERE cedula='36070537';</v>
      </c>
    </row>
    <row r="645" customFormat="false" ht="14.9" hidden="false" customHeight="false" outlineLevel="0" collapsed="false">
      <c r="A645" s="1" t="s">
        <v>15</v>
      </c>
      <c r="B645" s="1" t="s">
        <v>593</v>
      </c>
      <c r="C645" s="1" t="s">
        <v>89</v>
      </c>
      <c r="D645" s="1" t="s">
        <v>672</v>
      </c>
      <c r="E645" s="2" t="n">
        <v>45926</v>
      </c>
      <c r="F645" s="2" t="n">
        <f aca="false">IFERROR(VLOOKUP(TRIM($D645), Hoja4_2!$A$2:$L$10000, 4, 0), "Revisar")</f>
        <v>40024</v>
      </c>
      <c r="G645" s="7" t="str">
        <f aca="false">IFERROR(VLOOKUP(TRIM($D645), Hoja4_2!$A$2:$L$10000, 5, 0), "Revisar")</f>
        <v>FEMENINO</v>
      </c>
      <c r="H645" s="7" t="str">
        <f aca="false">IFERROR(VLOOKUP(TRIM($D645), Hoja4_2!$A$2:$L$10000, 7, 0), "Revisar")</f>
        <v>MARACAIBO</v>
      </c>
      <c r="I645" s="7" t="str">
        <f aca="false">IFERROR(VLOOKUP(TRIM($D645), Hoja4_2!$A$2:$L$10000, 9, 0), "Revisar")</f>
        <v>ZU</v>
      </c>
      <c r="J645" s="7" t="str">
        <f aca="false">IFERROR(VLOOKUP(TRIM($D645), Hoja4_2!$A$2:$L$10000, 12, 0), "Revisar")</f>
        <v>12379592</v>
      </c>
      <c r="K645" s="8" t="str">
        <f aca="false">TEXT(TRIM(D645),"0")</f>
        <v>36416893</v>
      </c>
      <c r="L645" s="1" t="str">
        <f aca="false">IF(F645="Revisar","NULL",CONCATENATE("'",TEXT(F645,"yyyy-mm-dd"),"'"))</f>
        <v>'2009-07-30'</v>
      </c>
      <c r="M645" s="9" t="str">
        <f aca="false">IF(G645="Revisar","NULL",CONCATENATE("'",MID(G645,1,1),"'"))</f>
        <v>'F'</v>
      </c>
      <c r="N645" s="9" t="str">
        <f aca="false">IF(H645="Revisar","NULL",CONCATENATE("'",H645,"'"))</f>
        <v>'MARACAIBO'</v>
      </c>
      <c r="O645" s="9" t="str">
        <f aca="false">IF(I645="Revisar","NULL",CONCATENATE("'",I645,"'"))</f>
        <v>'ZU'</v>
      </c>
      <c r="P645" s="1" t="str">
        <f aca="false">"UPDATE estudiantes SET fecha_nacimiento="&amp;L645&amp;", sexo="&amp;M645&amp;", lugar_nacimiento="&amp;N645&amp;", entidad_federal="&amp;O645&amp;" WHERE cedula='"&amp;K645&amp;"';"</f>
        <v>UPDATE estudiantes SET fecha_nacimiento='2009-07-30', sexo='F', lugar_nacimiento='MARACAIBO', entidad_federal='ZU' WHERE cedula='36416893';</v>
      </c>
    </row>
    <row r="646" customFormat="false" ht="14.9" hidden="false" customHeight="false" outlineLevel="0" collapsed="false">
      <c r="A646" s="1" t="s">
        <v>15</v>
      </c>
      <c r="B646" s="1" t="s">
        <v>593</v>
      </c>
      <c r="C646" s="1" t="s">
        <v>89</v>
      </c>
      <c r="D646" s="1" t="s">
        <v>673</v>
      </c>
      <c r="E646" s="2" t="n">
        <v>45926</v>
      </c>
      <c r="F646" s="2" t="n">
        <f aca="false">IFERROR(VLOOKUP(TRIM($D646), Hoja4_2!$A$2:$L$10000, 4, 0), "Revisar")</f>
        <v>40128</v>
      </c>
      <c r="G646" s="7" t="str">
        <f aca="false">IFERROR(VLOOKUP(TRIM($D646), Hoja4_2!$A$2:$L$10000, 5, 0), "Revisar")</f>
        <v>FEMENINO</v>
      </c>
      <c r="H646" s="7" t="str">
        <f aca="false">IFERROR(VLOOKUP(TRIM($D646), Hoja4_2!$A$2:$L$10000, 7, 0), "Revisar")</f>
        <v>MARACAIBO</v>
      </c>
      <c r="I646" s="7" t="str">
        <f aca="false">IFERROR(VLOOKUP(TRIM($D646), Hoja4_2!$A$2:$L$10000, 9, 0), "Revisar")</f>
        <v>ZU</v>
      </c>
      <c r="J646" s="7" t="str">
        <f aca="false">IFERROR(VLOOKUP(TRIM($D646), Hoja4_2!$A$2:$L$10000, 12, 0), "Revisar")</f>
        <v>15282950</v>
      </c>
      <c r="K646" s="8" t="str">
        <f aca="false">TEXT(TRIM(D646),"0")</f>
        <v>36622875</v>
      </c>
      <c r="L646" s="1" t="str">
        <f aca="false">IF(F646="Revisar","NULL",CONCATENATE("'",TEXT(F646,"yyyy-mm-dd"),"'"))</f>
        <v>'2009-11-11'</v>
      </c>
      <c r="M646" s="9" t="str">
        <f aca="false">IF(G646="Revisar","NULL",CONCATENATE("'",MID(G646,1,1),"'"))</f>
        <v>'F'</v>
      </c>
      <c r="N646" s="9" t="str">
        <f aca="false">IF(H646="Revisar","NULL",CONCATENATE("'",H646,"'"))</f>
        <v>'MARACAIBO'</v>
      </c>
      <c r="O646" s="9" t="str">
        <f aca="false">IF(I646="Revisar","NULL",CONCATENATE("'",I646,"'"))</f>
        <v>'ZU'</v>
      </c>
      <c r="P646" s="1" t="str">
        <f aca="false">"UPDATE estudiantes SET fecha_nacimiento="&amp;L646&amp;", sexo="&amp;M646&amp;", lugar_nacimiento="&amp;N646&amp;", entidad_federal="&amp;O646&amp;" WHERE cedula='"&amp;K646&amp;"';"</f>
        <v>UPDATE estudiantes SET fecha_nacimiento='2009-11-11', sexo='F', lugar_nacimiento='MARACAIBO', entidad_federal='ZU' WHERE cedula='36622875';</v>
      </c>
    </row>
    <row r="647" customFormat="false" ht="14.9" hidden="false" customHeight="false" outlineLevel="0" collapsed="false">
      <c r="A647" s="1" t="s">
        <v>15</v>
      </c>
      <c r="B647" s="1" t="s">
        <v>593</v>
      </c>
      <c r="C647" s="1" t="s">
        <v>129</v>
      </c>
      <c r="D647" s="1" t="s">
        <v>674</v>
      </c>
      <c r="E647" s="2" t="n">
        <v>45926</v>
      </c>
      <c r="F647" s="2" t="n">
        <f aca="false">IFERROR(VLOOKUP(TRIM($D647), Hoja4_2!$A$2:$L$10000, 4, 0), "Revisar")</f>
        <v>39851</v>
      </c>
      <c r="G647" s="7" t="str">
        <f aca="false">IFERROR(VLOOKUP(TRIM($D647), Hoja4_2!$A$2:$L$10000, 5, 0), "Revisar")</f>
        <v>MASCULINO</v>
      </c>
      <c r="H647" s="7" t="str">
        <f aca="false">IFERROR(VLOOKUP(TRIM($D647), Hoja4_2!$A$2:$L$10000, 7, 0), "Revisar")</f>
        <v>MARACAIBO</v>
      </c>
      <c r="I647" s="7" t="str">
        <f aca="false">IFERROR(VLOOKUP(TRIM($D647), Hoja4_2!$A$2:$L$10000, 9, 0), "Revisar")</f>
        <v>ZU</v>
      </c>
      <c r="J647" s="7" t="str">
        <f aca="false">IFERROR(VLOOKUP(TRIM($D647), Hoja4_2!$A$2:$L$10000, 12, 0), "Revisar")</f>
        <v>18874422</v>
      </c>
      <c r="K647" s="8" t="str">
        <f aca="false">TEXT(TRIM(D647),"0")</f>
        <v>32768620</v>
      </c>
      <c r="L647" s="1" t="str">
        <f aca="false">IF(F647="Revisar","NULL",CONCATENATE("'",TEXT(F647,"yyyy-mm-dd"),"'"))</f>
        <v>'2009-02-07'</v>
      </c>
      <c r="M647" s="9" t="str">
        <f aca="false">IF(G647="Revisar","NULL",CONCATENATE("'",MID(G647,1,1),"'"))</f>
        <v>'M'</v>
      </c>
      <c r="N647" s="9" t="str">
        <f aca="false">IF(H647="Revisar","NULL",CONCATENATE("'",H647,"'"))</f>
        <v>'MARACAIBO'</v>
      </c>
      <c r="O647" s="9" t="str">
        <f aca="false">IF(I647="Revisar","NULL",CONCATENATE("'",I647,"'"))</f>
        <v>'ZU'</v>
      </c>
      <c r="P647" s="1" t="str">
        <f aca="false">"UPDATE estudiantes SET fecha_nacimiento="&amp;L647&amp;", sexo="&amp;M647&amp;", lugar_nacimiento="&amp;N647&amp;", entidad_federal="&amp;O647&amp;" WHERE cedula='"&amp;K647&amp;"';"</f>
        <v>UPDATE estudiantes SET fecha_nacimiento='2009-02-07', sexo='M', lugar_nacimiento='MARACAIBO', entidad_federal='ZU' WHERE cedula='32768620';</v>
      </c>
    </row>
    <row r="648" customFormat="false" ht="14.9" hidden="false" customHeight="false" outlineLevel="0" collapsed="false">
      <c r="A648" s="1" t="s">
        <v>15</v>
      </c>
      <c r="B648" s="1" t="s">
        <v>593</v>
      </c>
      <c r="C648" s="1" t="s">
        <v>129</v>
      </c>
      <c r="D648" s="1" t="s">
        <v>675</v>
      </c>
      <c r="E648" s="2" t="n">
        <v>45926</v>
      </c>
      <c r="F648" s="2" t="n">
        <f aca="false">IFERROR(VLOOKUP(TRIM($D648), Hoja4_2!$A$2:$L$10000, 4, 0), "Revisar")</f>
        <v>39717</v>
      </c>
      <c r="G648" s="7" t="str">
        <f aca="false">IFERROR(VLOOKUP(TRIM($D648), Hoja4_2!$A$2:$L$10000, 5, 0), "Revisar")</f>
        <v>MASCULINO</v>
      </c>
      <c r="H648" s="7" t="str">
        <f aca="false">IFERROR(VLOOKUP(TRIM($D648), Hoja4_2!$A$2:$L$10000, 7, 0), "Revisar")</f>
        <v>MARACAIBO</v>
      </c>
      <c r="I648" s="7" t="str">
        <f aca="false">IFERROR(VLOOKUP(TRIM($D648), Hoja4_2!$A$2:$L$10000, 9, 0), "Revisar")</f>
        <v>ZU</v>
      </c>
      <c r="J648" s="7" t="str">
        <f aca="false">IFERROR(VLOOKUP(TRIM($D648), Hoja4_2!$A$2:$L$10000, 12, 0), "Revisar")</f>
        <v>15280408</v>
      </c>
      <c r="K648" s="8" t="str">
        <f aca="false">TEXT(TRIM(D648),"0")</f>
        <v>32839637</v>
      </c>
      <c r="L648" s="1" t="str">
        <f aca="false">IF(F648="Revisar","NULL",CONCATENATE("'",TEXT(F648,"yyyy-mm-dd"),"'"))</f>
        <v>'2008-09-26'</v>
      </c>
      <c r="M648" s="9" t="str">
        <f aca="false">IF(G648="Revisar","NULL",CONCATENATE("'",MID(G648,1,1),"'"))</f>
        <v>'M'</v>
      </c>
      <c r="N648" s="9" t="str">
        <f aca="false">IF(H648="Revisar","NULL",CONCATENATE("'",H648,"'"))</f>
        <v>'MARACAIBO'</v>
      </c>
      <c r="O648" s="9" t="str">
        <f aca="false">IF(I648="Revisar","NULL",CONCATENATE("'",I648,"'"))</f>
        <v>'ZU'</v>
      </c>
      <c r="P648" s="1" t="str">
        <f aca="false">"UPDATE estudiantes SET fecha_nacimiento="&amp;L648&amp;", sexo="&amp;M648&amp;", lugar_nacimiento="&amp;N648&amp;", entidad_federal="&amp;O648&amp;" WHERE cedula='"&amp;K648&amp;"';"</f>
        <v>UPDATE estudiantes SET fecha_nacimiento='2008-09-26', sexo='M', lugar_nacimiento='MARACAIBO', entidad_federal='ZU' WHERE cedula='32839637';</v>
      </c>
    </row>
    <row r="649" customFormat="false" ht="14.9" hidden="false" customHeight="false" outlineLevel="0" collapsed="false">
      <c r="A649" s="1" t="s">
        <v>15</v>
      </c>
      <c r="B649" s="1" t="s">
        <v>593</v>
      </c>
      <c r="C649" s="1" t="s">
        <v>129</v>
      </c>
      <c r="D649" s="1" t="s">
        <v>676</v>
      </c>
      <c r="E649" s="2" t="n">
        <v>45919</v>
      </c>
      <c r="F649" s="2" t="n">
        <f aca="false">IFERROR(VLOOKUP(TRIM($D649), Hoja4_2!$A$2:$L$10000, 4, 0), "Revisar")</f>
        <v>40114</v>
      </c>
      <c r="G649" s="7" t="str">
        <f aca="false">IFERROR(VLOOKUP(TRIM($D649), Hoja4_2!$A$2:$L$10000, 5, 0), "Revisar")</f>
        <v>FEMENINO</v>
      </c>
      <c r="H649" s="7" t="str">
        <f aca="false">IFERROR(VLOOKUP(TRIM($D649), Hoja4_2!$A$2:$L$10000, 7, 0), "Revisar")</f>
        <v>MARACAIBO</v>
      </c>
      <c r="I649" s="7" t="str">
        <f aca="false">IFERROR(VLOOKUP(TRIM($D649), Hoja4_2!$A$2:$L$10000, 9, 0), "Revisar")</f>
        <v>ZU</v>
      </c>
      <c r="J649" s="7" t="str">
        <f aca="false">IFERROR(VLOOKUP(TRIM($D649), Hoja4_2!$A$2:$L$10000, 12, 0), "Revisar")</f>
        <v>15195736</v>
      </c>
      <c r="K649" s="8" t="str">
        <f aca="false">TEXT(TRIM(D649),"0")</f>
        <v>33152612</v>
      </c>
      <c r="L649" s="1" t="str">
        <f aca="false">IF(F649="Revisar","NULL",CONCATENATE("'",TEXT(F649,"yyyy-mm-dd"),"'"))</f>
        <v>'2009-10-28'</v>
      </c>
      <c r="M649" s="9" t="str">
        <f aca="false">IF(G649="Revisar","NULL",CONCATENATE("'",MID(G649,1,1),"'"))</f>
        <v>'F'</v>
      </c>
      <c r="N649" s="9" t="str">
        <f aca="false">IF(H649="Revisar","NULL",CONCATENATE("'",H649,"'"))</f>
        <v>'MARACAIBO'</v>
      </c>
      <c r="O649" s="9" t="str">
        <f aca="false">IF(I649="Revisar","NULL",CONCATENATE("'",I649,"'"))</f>
        <v>'ZU'</v>
      </c>
      <c r="P649" s="1" t="str">
        <f aca="false">"UPDATE estudiantes SET fecha_nacimiento="&amp;L649&amp;", sexo="&amp;M649&amp;", lugar_nacimiento="&amp;N649&amp;", entidad_federal="&amp;O649&amp;" WHERE cedula='"&amp;K649&amp;"';"</f>
        <v>UPDATE estudiantes SET fecha_nacimiento='2009-10-28', sexo='F', lugar_nacimiento='MARACAIBO', entidad_federal='ZU' WHERE cedula='33152612';</v>
      </c>
    </row>
    <row r="650" customFormat="false" ht="14.9" hidden="false" customHeight="false" outlineLevel="0" collapsed="false">
      <c r="A650" s="1" t="s">
        <v>15</v>
      </c>
      <c r="B650" s="1" t="s">
        <v>593</v>
      </c>
      <c r="C650" s="1" t="s">
        <v>129</v>
      </c>
      <c r="D650" s="1" t="s">
        <v>677</v>
      </c>
      <c r="E650" s="2" t="n">
        <v>45926</v>
      </c>
      <c r="F650" s="2" t="n">
        <f aca="false">IFERROR(VLOOKUP(TRIM($D650), Hoja4_2!$A$2:$L$10000, 4, 0), "Revisar")</f>
        <v>39845</v>
      </c>
      <c r="G650" s="7" t="str">
        <f aca="false">IFERROR(VLOOKUP(TRIM($D650), Hoja4_2!$A$2:$L$10000, 5, 0), "Revisar")</f>
        <v>MASCULINO</v>
      </c>
      <c r="H650" s="7" t="str">
        <f aca="false">IFERROR(VLOOKUP(TRIM($D650), Hoja4_2!$A$2:$L$10000, 7, 0), "Revisar")</f>
        <v>MARACAIBO</v>
      </c>
      <c r="I650" s="7" t="str">
        <f aca="false">IFERROR(VLOOKUP(TRIM($D650), Hoja4_2!$A$2:$L$10000, 9, 0), "Revisar")</f>
        <v>ZU</v>
      </c>
      <c r="J650" s="7" t="str">
        <f aca="false">IFERROR(VLOOKUP(TRIM($D650), Hoja4_2!$A$2:$L$10000, 12, 0), "Revisar")</f>
        <v>14117482</v>
      </c>
      <c r="K650" s="8" t="str">
        <f aca="false">TEXT(TRIM(D650),"0")</f>
        <v>33152626</v>
      </c>
      <c r="L650" s="1" t="str">
        <f aca="false">IF(F650="Revisar","NULL",CONCATENATE("'",TEXT(F650,"yyyy-mm-dd"),"'"))</f>
        <v>'2009-02-01'</v>
      </c>
      <c r="M650" s="9" t="str">
        <f aca="false">IF(G650="Revisar","NULL",CONCATENATE("'",MID(G650,1,1),"'"))</f>
        <v>'M'</v>
      </c>
      <c r="N650" s="9" t="str">
        <f aca="false">IF(H650="Revisar","NULL",CONCATENATE("'",H650,"'"))</f>
        <v>'MARACAIBO'</v>
      </c>
      <c r="O650" s="9" t="str">
        <f aca="false">IF(I650="Revisar","NULL",CONCATENATE("'",I650,"'"))</f>
        <v>'ZU'</v>
      </c>
      <c r="P650" s="1" t="str">
        <f aca="false">"UPDATE estudiantes SET fecha_nacimiento="&amp;L650&amp;", sexo="&amp;M650&amp;", lugar_nacimiento="&amp;N650&amp;", entidad_federal="&amp;O650&amp;" WHERE cedula='"&amp;K650&amp;"';"</f>
        <v>UPDATE estudiantes SET fecha_nacimiento='2009-02-01', sexo='M', lugar_nacimiento='MARACAIBO', entidad_federal='ZU' WHERE cedula='33152626';</v>
      </c>
    </row>
    <row r="651" customFormat="false" ht="14.9" hidden="false" customHeight="false" outlineLevel="0" collapsed="false">
      <c r="A651" s="1" t="s">
        <v>15</v>
      </c>
      <c r="B651" s="1" t="s">
        <v>593</v>
      </c>
      <c r="C651" s="1" t="s">
        <v>129</v>
      </c>
      <c r="D651" s="1" t="s">
        <v>678</v>
      </c>
      <c r="E651" s="2" t="n">
        <v>45926</v>
      </c>
      <c r="F651" s="2" t="n">
        <f aca="false">IFERROR(VLOOKUP(TRIM($D651), Hoja4_2!$A$2:$L$10000, 4, 0), "Revisar")</f>
        <v>40100</v>
      </c>
      <c r="G651" s="7" t="str">
        <f aca="false">IFERROR(VLOOKUP(TRIM($D651), Hoja4_2!$A$2:$L$10000, 5, 0), "Revisar")</f>
        <v>MASCULINO</v>
      </c>
      <c r="H651" s="7" t="str">
        <f aca="false">IFERROR(VLOOKUP(TRIM($D651), Hoja4_2!$A$2:$L$10000, 7, 0), "Revisar")</f>
        <v>MARACAIBO</v>
      </c>
      <c r="I651" s="7" t="str">
        <f aca="false">IFERROR(VLOOKUP(TRIM($D651), Hoja4_2!$A$2:$L$10000, 9, 0), "Revisar")</f>
        <v>ZU</v>
      </c>
      <c r="J651" s="7" t="str">
        <f aca="false">IFERROR(VLOOKUP(TRIM($D651), Hoja4_2!$A$2:$L$10000, 12, 0), "Revisar")</f>
        <v>20778482</v>
      </c>
      <c r="K651" s="8" t="str">
        <f aca="false">TEXT(TRIM(D651),"0")</f>
        <v>33201134</v>
      </c>
      <c r="L651" s="1" t="str">
        <f aca="false">IF(F651="Revisar","NULL",CONCATENATE("'",TEXT(F651,"yyyy-mm-dd"),"'"))</f>
        <v>'2009-10-14'</v>
      </c>
      <c r="M651" s="9" t="str">
        <f aca="false">IF(G651="Revisar","NULL",CONCATENATE("'",MID(G651,1,1),"'"))</f>
        <v>'M'</v>
      </c>
      <c r="N651" s="9" t="str">
        <f aca="false">IF(H651="Revisar","NULL",CONCATENATE("'",H651,"'"))</f>
        <v>'MARACAIBO'</v>
      </c>
      <c r="O651" s="9" t="str">
        <f aca="false">IF(I651="Revisar","NULL",CONCATENATE("'",I651,"'"))</f>
        <v>'ZU'</v>
      </c>
      <c r="P651" s="1" t="str">
        <f aca="false">"UPDATE estudiantes SET fecha_nacimiento="&amp;L651&amp;", sexo="&amp;M651&amp;", lugar_nacimiento="&amp;N651&amp;", entidad_federal="&amp;O651&amp;" WHERE cedula='"&amp;K651&amp;"';"</f>
        <v>UPDATE estudiantes SET fecha_nacimiento='2009-10-14', sexo='M', lugar_nacimiento='MARACAIBO', entidad_federal='ZU' WHERE cedula='33201134';</v>
      </c>
    </row>
    <row r="652" customFormat="false" ht="14.9" hidden="false" customHeight="false" outlineLevel="0" collapsed="false">
      <c r="A652" s="1" t="s">
        <v>15</v>
      </c>
      <c r="B652" s="1" t="s">
        <v>593</v>
      </c>
      <c r="C652" s="1" t="s">
        <v>129</v>
      </c>
      <c r="D652" s="1" t="s">
        <v>679</v>
      </c>
      <c r="E652" s="2" t="n">
        <v>45926</v>
      </c>
      <c r="F652" s="2" t="n">
        <f aca="false">IFERROR(VLOOKUP(TRIM($D652), Hoja4_2!$A$2:$L$10000, 4, 0), "Revisar")</f>
        <v>40100</v>
      </c>
      <c r="G652" s="7" t="str">
        <f aca="false">IFERROR(VLOOKUP(TRIM($D652), Hoja4_2!$A$2:$L$10000, 5, 0), "Revisar")</f>
        <v>MASCULINO</v>
      </c>
      <c r="H652" s="7" t="str">
        <f aca="false">IFERROR(VLOOKUP(TRIM($D652), Hoja4_2!$A$2:$L$10000, 7, 0), "Revisar")</f>
        <v>MARACAIBO</v>
      </c>
      <c r="I652" s="7" t="str">
        <f aca="false">IFERROR(VLOOKUP(TRIM($D652), Hoja4_2!$A$2:$L$10000, 9, 0), "Revisar")</f>
        <v>ZU</v>
      </c>
      <c r="J652" s="7" t="str">
        <f aca="false">IFERROR(VLOOKUP(TRIM($D652), Hoja4_2!$A$2:$L$10000, 12, 0), "Revisar")</f>
        <v>20778482</v>
      </c>
      <c r="K652" s="8" t="str">
        <f aca="false">TEXT(TRIM(D652),"0")</f>
        <v>33210352</v>
      </c>
      <c r="L652" s="1" t="str">
        <f aca="false">IF(F652="Revisar","NULL",CONCATENATE("'",TEXT(F652,"yyyy-mm-dd"),"'"))</f>
        <v>'2009-10-14'</v>
      </c>
      <c r="M652" s="9" t="str">
        <f aca="false">IF(G652="Revisar","NULL",CONCATENATE("'",MID(G652,1,1),"'"))</f>
        <v>'M'</v>
      </c>
      <c r="N652" s="9" t="str">
        <f aca="false">IF(H652="Revisar","NULL",CONCATENATE("'",H652,"'"))</f>
        <v>'MARACAIBO'</v>
      </c>
      <c r="O652" s="9" t="str">
        <f aca="false">IF(I652="Revisar","NULL",CONCATENATE("'",I652,"'"))</f>
        <v>'ZU'</v>
      </c>
      <c r="P652" s="1" t="str">
        <f aca="false">"UPDATE estudiantes SET fecha_nacimiento="&amp;L652&amp;", sexo="&amp;M652&amp;", lugar_nacimiento="&amp;N652&amp;", entidad_federal="&amp;O652&amp;" WHERE cedula='"&amp;K652&amp;"';"</f>
        <v>UPDATE estudiantes SET fecha_nacimiento='2009-10-14', sexo='M', lugar_nacimiento='MARACAIBO', entidad_federal='ZU' WHERE cedula='33210352';</v>
      </c>
    </row>
    <row r="653" customFormat="false" ht="14.9" hidden="false" customHeight="false" outlineLevel="0" collapsed="false">
      <c r="A653" s="1" t="s">
        <v>15</v>
      </c>
      <c r="B653" s="1" t="s">
        <v>593</v>
      </c>
      <c r="C653" s="1" t="s">
        <v>129</v>
      </c>
      <c r="D653" s="1" t="s">
        <v>680</v>
      </c>
      <c r="E653" s="2" t="n">
        <v>45926</v>
      </c>
      <c r="F653" s="2" t="n">
        <f aca="false">IFERROR(VLOOKUP(TRIM($D653), Hoja4_2!$A$2:$L$10000, 4, 0), "Revisar")</f>
        <v>40086</v>
      </c>
      <c r="G653" s="7" t="str">
        <f aca="false">IFERROR(VLOOKUP(TRIM($D653), Hoja4_2!$A$2:$L$10000, 5, 0), "Revisar")</f>
        <v>MASCULINO</v>
      </c>
      <c r="H653" s="7" t="str">
        <f aca="false">IFERROR(VLOOKUP(TRIM($D653), Hoja4_2!$A$2:$L$10000, 7, 0), "Revisar")</f>
        <v>MARACAIBO</v>
      </c>
      <c r="I653" s="7" t="str">
        <f aca="false">IFERROR(VLOOKUP(TRIM($D653), Hoja4_2!$A$2:$L$10000, 9, 0), "Revisar")</f>
        <v>ZU</v>
      </c>
      <c r="J653" s="7" t="str">
        <f aca="false">IFERROR(VLOOKUP(TRIM($D653), Hoja4_2!$A$2:$L$10000, 12, 0), "Revisar")</f>
        <v>57107147</v>
      </c>
      <c r="K653" s="8" t="str">
        <f aca="false">TEXT(TRIM(D653),"0")</f>
        <v>33294527</v>
      </c>
      <c r="L653" s="1" t="str">
        <f aca="false">IF(F653="Revisar","NULL",CONCATENATE("'",TEXT(F653,"yyyy-mm-dd"),"'"))</f>
        <v>'2009-09-30'</v>
      </c>
      <c r="M653" s="9" t="str">
        <f aca="false">IF(G653="Revisar","NULL",CONCATENATE("'",MID(G653,1,1),"'"))</f>
        <v>'M'</v>
      </c>
      <c r="N653" s="9" t="str">
        <f aca="false">IF(H653="Revisar","NULL",CONCATENATE("'",H653,"'"))</f>
        <v>'MARACAIBO'</v>
      </c>
      <c r="O653" s="9" t="str">
        <f aca="false">IF(I653="Revisar","NULL",CONCATENATE("'",I653,"'"))</f>
        <v>'ZU'</v>
      </c>
      <c r="P653" s="1" t="str">
        <f aca="false">"UPDATE estudiantes SET fecha_nacimiento="&amp;L653&amp;", sexo="&amp;M653&amp;", lugar_nacimiento="&amp;N653&amp;", entidad_federal="&amp;O653&amp;" WHERE cedula='"&amp;K653&amp;"';"</f>
        <v>UPDATE estudiantes SET fecha_nacimiento='2009-09-30', sexo='M', lugar_nacimiento='MARACAIBO', entidad_federal='ZU' WHERE cedula='33294527';</v>
      </c>
    </row>
    <row r="654" customFormat="false" ht="14.9" hidden="false" customHeight="false" outlineLevel="0" collapsed="false">
      <c r="A654" s="1" t="s">
        <v>15</v>
      </c>
      <c r="B654" s="1" t="s">
        <v>593</v>
      </c>
      <c r="C654" s="1" t="s">
        <v>129</v>
      </c>
      <c r="D654" s="1" t="s">
        <v>681</v>
      </c>
      <c r="E654" s="2" t="n">
        <v>45926</v>
      </c>
      <c r="F654" s="2" t="n">
        <f aca="false">IFERROR(VLOOKUP(TRIM($D654), Hoja4_2!$A$2:$L$10000, 4, 0), "Revisar")</f>
        <v>39076</v>
      </c>
      <c r="G654" s="7" t="str">
        <f aca="false">IFERROR(VLOOKUP(TRIM($D654), Hoja4_2!$A$2:$L$10000, 5, 0), "Revisar")</f>
        <v>FEMENINO</v>
      </c>
      <c r="H654" s="7" t="str">
        <f aca="false">IFERROR(VLOOKUP(TRIM($D654), Hoja4_2!$A$2:$L$10000, 7, 0), "Revisar")</f>
        <v>MARACAIBO</v>
      </c>
      <c r="I654" s="7" t="str">
        <f aca="false">IFERROR(VLOOKUP(TRIM($D654), Hoja4_2!$A$2:$L$10000, 9, 0), "Revisar")</f>
        <v>ZU</v>
      </c>
      <c r="J654" s="7" t="str">
        <f aca="false">IFERROR(VLOOKUP(TRIM($D654), Hoja4_2!$A$2:$L$10000, 12, 0), "Revisar")</f>
        <v>15889279</v>
      </c>
      <c r="K654" s="8" t="str">
        <f aca="false">TEXT(TRIM(D654),"0")</f>
        <v>33431490</v>
      </c>
      <c r="L654" s="1" t="str">
        <f aca="false">IF(F654="Revisar","NULL",CONCATENATE("'",TEXT(F654,"yyyy-mm-dd"),"'"))</f>
        <v>'2006-12-25'</v>
      </c>
      <c r="M654" s="9" t="str">
        <f aca="false">IF(G654="Revisar","NULL",CONCATENATE("'",MID(G654,1,1),"'"))</f>
        <v>'F'</v>
      </c>
      <c r="N654" s="9" t="str">
        <f aca="false">IF(H654="Revisar","NULL",CONCATENATE("'",H654,"'"))</f>
        <v>'MARACAIBO'</v>
      </c>
      <c r="O654" s="9" t="str">
        <f aca="false">IF(I654="Revisar","NULL",CONCATENATE("'",I654,"'"))</f>
        <v>'ZU'</v>
      </c>
      <c r="P654" s="1" t="str">
        <f aca="false">"UPDATE estudiantes SET fecha_nacimiento="&amp;L654&amp;", sexo="&amp;M654&amp;", lugar_nacimiento="&amp;N654&amp;", entidad_federal="&amp;O654&amp;" WHERE cedula='"&amp;K654&amp;"';"</f>
        <v>UPDATE estudiantes SET fecha_nacimiento='2006-12-25', sexo='F', lugar_nacimiento='MARACAIBO', entidad_federal='ZU' WHERE cedula='33431490';</v>
      </c>
    </row>
    <row r="655" customFormat="false" ht="14.9" hidden="false" customHeight="false" outlineLevel="0" collapsed="false">
      <c r="A655" s="1" t="s">
        <v>15</v>
      </c>
      <c r="B655" s="1" t="s">
        <v>593</v>
      </c>
      <c r="C655" s="1" t="s">
        <v>129</v>
      </c>
      <c r="D655" s="1" t="s">
        <v>682</v>
      </c>
      <c r="E655" s="2" t="n">
        <v>45926</v>
      </c>
      <c r="F655" s="2" t="n">
        <f aca="false">IFERROR(VLOOKUP(TRIM($D655), Hoja4_2!$A$2:$L$10000, 4, 0), "Revisar")</f>
        <v>40035</v>
      </c>
      <c r="G655" s="7" t="str">
        <f aca="false">IFERROR(VLOOKUP(TRIM($D655), Hoja4_2!$A$2:$L$10000, 5, 0), "Revisar")</f>
        <v>MASCULINO</v>
      </c>
      <c r="H655" s="7" t="str">
        <f aca="false">IFERROR(VLOOKUP(TRIM($D655), Hoja4_2!$A$2:$L$10000, 7, 0), "Revisar")</f>
        <v>MARACAIBO</v>
      </c>
      <c r="I655" s="7" t="str">
        <f aca="false">IFERROR(VLOOKUP(TRIM($D655), Hoja4_2!$A$2:$L$10000, 9, 0), "Revisar")</f>
        <v>ZU</v>
      </c>
      <c r="J655" s="7" t="str">
        <f aca="false">IFERROR(VLOOKUP(TRIM($D655), Hoja4_2!$A$2:$L$10000, 12, 0), "Revisar")</f>
        <v>15252431</v>
      </c>
      <c r="K655" s="8" t="str">
        <f aca="false">TEXT(TRIM(D655),"0")</f>
        <v>33556493</v>
      </c>
      <c r="L655" s="1" t="str">
        <f aca="false">IF(F655="Revisar","NULL",CONCATENATE("'",TEXT(F655,"yyyy-mm-dd"),"'"))</f>
        <v>'2009-08-10'</v>
      </c>
      <c r="M655" s="9" t="str">
        <f aca="false">IF(G655="Revisar","NULL",CONCATENATE("'",MID(G655,1,1),"'"))</f>
        <v>'M'</v>
      </c>
      <c r="N655" s="9" t="str">
        <f aca="false">IF(H655="Revisar","NULL",CONCATENATE("'",H655,"'"))</f>
        <v>'MARACAIBO'</v>
      </c>
      <c r="O655" s="9" t="str">
        <f aca="false">IF(I655="Revisar","NULL",CONCATENATE("'",I655,"'"))</f>
        <v>'ZU'</v>
      </c>
      <c r="P655" s="1" t="str">
        <f aca="false">"UPDATE estudiantes SET fecha_nacimiento="&amp;L655&amp;", sexo="&amp;M655&amp;", lugar_nacimiento="&amp;N655&amp;", entidad_federal="&amp;O655&amp;" WHERE cedula='"&amp;K655&amp;"';"</f>
        <v>UPDATE estudiantes SET fecha_nacimiento='2009-08-10', sexo='M', lugar_nacimiento='MARACAIBO', entidad_federal='ZU' WHERE cedula='33556493';</v>
      </c>
    </row>
    <row r="656" customFormat="false" ht="14.9" hidden="false" customHeight="false" outlineLevel="0" collapsed="false">
      <c r="A656" s="1" t="s">
        <v>15</v>
      </c>
      <c r="B656" s="1" t="s">
        <v>593</v>
      </c>
      <c r="C656" s="1" t="s">
        <v>129</v>
      </c>
      <c r="D656" s="1" t="s">
        <v>683</v>
      </c>
      <c r="E656" s="2" t="n">
        <v>45926</v>
      </c>
      <c r="F656" s="2" t="n">
        <f aca="false">IFERROR(VLOOKUP(TRIM($D656), Hoja4_2!$A$2:$L$10000, 4, 0), "Revisar")</f>
        <v>39390</v>
      </c>
      <c r="G656" s="7" t="str">
        <f aca="false">IFERROR(VLOOKUP(TRIM($D656), Hoja4_2!$A$2:$L$10000, 5, 0), "Revisar")</f>
        <v>FEMENINO</v>
      </c>
      <c r="H656" s="7" t="str">
        <f aca="false">IFERROR(VLOOKUP(TRIM($D656), Hoja4_2!$A$2:$L$10000, 7, 0), "Revisar")</f>
        <v>MARACAIBO</v>
      </c>
      <c r="I656" s="7" t="str">
        <f aca="false">IFERROR(VLOOKUP(TRIM($D656), Hoja4_2!$A$2:$L$10000, 9, 0), "Revisar")</f>
        <v>ZU</v>
      </c>
      <c r="J656" s="7" t="str">
        <f aca="false">IFERROR(VLOOKUP(TRIM($D656), Hoja4_2!$A$2:$L$10000, 12, 0), "Revisar")</f>
        <v>17736117</v>
      </c>
      <c r="K656" s="8" t="str">
        <f aca="false">TEXT(TRIM(D656),"0")</f>
        <v>33576386</v>
      </c>
      <c r="L656" s="1" t="str">
        <f aca="false">IF(F656="Revisar","NULL",CONCATENATE("'",TEXT(F656,"yyyy-mm-dd"),"'"))</f>
        <v>'2007-11-04'</v>
      </c>
      <c r="M656" s="9" t="str">
        <f aca="false">IF(G656="Revisar","NULL",CONCATENATE("'",MID(G656,1,1),"'"))</f>
        <v>'F'</v>
      </c>
      <c r="N656" s="9" t="str">
        <f aca="false">IF(H656="Revisar","NULL",CONCATENATE("'",H656,"'"))</f>
        <v>'MARACAIBO'</v>
      </c>
      <c r="O656" s="9" t="str">
        <f aca="false">IF(I656="Revisar","NULL",CONCATENATE("'",I656,"'"))</f>
        <v>'ZU'</v>
      </c>
      <c r="P656" s="1" t="str">
        <f aca="false">"UPDATE estudiantes SET fecha_nacimiento="&amp;L656&amp;", sexo="&amp;M656&amp;", lugar_nacimiento="&amp;N656&amp;", entidad_federal="&amp;O656&amp;" WHERE cedula='"&amp;K656&amp;"';"</f>
        <v>UPDATE estudiantes SET fecha_nacimiento='2007-11-04', sexo='F', lugar_nacimiento='MARACAIBO', entidad_federal='ZU' WHERE cedula='33576386';</v>
      </c>
    </row>
    <row r="657" customFormat="false" ht="14.9" hidden="false" customHeight="false" outlineLevel="0" collapsed="false">
      <c r="A657" s="1" t="s">
        <v>15</v>
      </c>
      <c r="B657" s="1" t="s">
        <v>593</v>
      </c>
      <c r="C657" s="1" t="s">
        <v>129</v>
      </c>
      <c r="D657" s="1" t="s">
        <v>684</v>
      </c>
      <c r="E657" s="2" t="n">
        <v>45926</v>
      </c>
      <c r="F657" s="2" t="n">
        <f aca="false">IFERROR(VLOOKUP(TRIM($D657), Hoja4_2!$A$2:$L$10000, 4, 0), "Revisar")</f>
        <v>39955</v>
      </c>
      <c r="G657" s="7" t="str">
        <f aca="false">IFERROR(VLOOKUP(TRIM($D657), Hoja4_2!$A$2:$L$10000, 5, 0), "Revisar")</f>
        <v>FEMENINO</v>
      </c>
      <c r="H657" s="7" t="str">
        <f aca="false">IFERROR(VLOOKUP(TRIM($D657), Hoja4_2!$A$2:$L$10000, 7, 0), "Revisar")</f>
        <v>MARACAIBO</v>
      </c>
      <c r="I657" s="7" t="str">
        <f aca="false">IFERROR(VLOOKUP(TRIM($D657), Hoja4_2!$A$2:$L$10000, 9, 0), "Revisar")</f>
        <v>ZU</v>
      </c>
      <c r="J657" s="7" t="str">
        <f aca="false">IFERROR(VLOOKUP(TRIM($D657), Hoja4_2!$A$2:$L$10000, 12, 0), "Revisar")</f>
        <v>19988724</v>
      </c>
      <c r="K657" s="8" t="str">
        <f aca="false">TEXT(TRIM(D657),"0")</f>
        <v>33607848</v>
      </c>
      <c r="L657" s="1" t="str">
        <f aca="false">IF(F657="Revisar","NULL",CONCATENATE("'",TEXT(F657,"yyyy-mm-dd"),"'"))</f>
        <v>'2009-05-22'</v>
      </c>
      <c r="M657" s="9" t="str">
        <f aca="false">IF(G657="Revisar","NULL",CONCATENATE("'",MID(G657,1,1),"'"))</f>
        <v>'F'</v>
      </c>
      <c r="N657" s="9" t="str">
        <f aca="false">IF(H657="Revisar","NULL",CONCATENATE("'",H657,"'"))</f>
        <v>'MARACAIBO'</v>
      </c>
      <c r="O657" s="9" t="str">
        <f aca="false">IF(I657="Revisar","NULL",CONCATENATE("'",I657,"'"))</f>
        <v>'ZU'</v>
      </c>
      <c r="P657" s="1" t="str">
        <f aca="false">"UPDATE estudiantes SET fecha_nacimiento="&amp;L657&amp;", sexo="&amp;M657&amp;", lugar_nacimiento="&amp;N657&amp;", entidad_federal="&amp;O657&amp;" WHERE cedula='"&amp;K657&amp;"';"</f>
        <v>UPDATE estudiantes SET fecha_nacimiento='2009-05-22', sexo='F', lugar_nacimiento='MARACAIBO', entidad_federal='ZU' WHERE cedula='33607848';</v>
      </c>
    </row>
    <row r="658" customFormat="false" ht="14.9" hidden="false" customHeight="false" outlineLevel="0" collapsed="false">
      <c r="A658" s="1" t="s">
        <v>15</v>
      </c>
      <c r="B658" s="1" t="s">
        <v>593</v>
      </c>
      <c r="C658" s="1" t="s">
        <v>129</v>
      </c>
      <c r="D658" s="1" t="s">
        <v>685</v>
      </c>
      <c r="E658" s="2" t="n">
        <v>45926</v>
      </c>
      <c r="F658" s="2" t="n">
        <f aca="false">IFERROR(VLOOKUP(TRIM($D658), Hoja4_2!$A$2:$L$10000, 4, 0), "Revisar")</f>
        <v>40029</v>
      </c>
      <c r="G658" s="7" t="str">
        <f aca="false">IFERROR(VLOOKUP(TRIM($D658), Hoja4_2!$A$2:$L$10000, 5, 0), "Revisar")</f>
        <v>MASCULINO</v>
      </c>
      <c r="H658" s="7" t="str">
        <f aca="false">IFERROR(VLOOKUP(TRIM($D658), Hoja4_2!$A$2:$L$10000, 7, 0), "Revisar")</f>
        <v>MARACAIBO</v>
      </c>
      <c r="I658" s="7" t="str">
        <f aca="false">IFERROR(VLOOKUP(TRIM($D658), Hoja4_2!$A$2:$L$10000, 9, 0), "Revisar")</f>
        <v>ZU</v>
      </c>
      <c r="J658" s="7" t="str">
        <f aca="false">IFERROR(VLOOKUP(TRIM($D658), Hoja4_2!$A$2:$L$10000, 12, 0), "Revisar")</f>
        <v>19484209</v>
      </c>
      <c r="K658" s="8" t="str">
        <f aca="false">TEXT(TRIM(D658),"0")</f>
        <v>33607889</v>
      </c>
      <c r="L658" s="1" t="str">
        <f aca="false">IF(F658="Revisar","NULL",CONCATENATE("'",TEXT(F658,"yyyy-mm-dd"),"'"))</f>
        <v>'2009-08-04'</v>
      </c>
      <c r="M658" s="9" t="str">
        <f aca="false">IF(G658="Revisar","NULL",CONCATENATE("'",MID(G658,1,1),"'"))</f>
        <v>'M'</v>
      </c>
      <c r="N658" s="9" t="str">
        <f aca="false">IF(H658="Revisar","NULL",CONCATENATE("'",H658,"'"))</f>
        <v>'MARACAIBO'</v>
      </c>
      <c r="O658" s="9" t="str">
        <f aca="false">IF(I658="Revisar","NULL",CONCATENATE("'",I658,"'"))</f>
        <v>'ZU'</v>
      </c>
      <c r="P658" s="1" t="str">
        <f aca="false">"UPDATE estudiantes SET fecha_nacimiento="&amp;L658&amp;", sexo="&amp;M658&amp;", lugar_nacimiento="&amp;N658&amp;", entidad_federal="&amp;O658&amp;" WHERE cedula='"&amp;K658&amp;"';"</f>
        <v>UPDATE estudiantes SET fecha_nacimiento='2009-08-04', sexo='M', lugar_nacimiento='MARACAIBO', entidad_federal='ZU' WHERE cedula='33607889';</v>
      </c>
    </row>
    <row r="659" customFormat="false" ht="14.9" hidden="false" customHeight="false" outlineLevel="0" collapsed="false">
      <c r="A659" s="1" t="s">
        <v>15</v>
      </c>
      <c r="B659" s="1" t="s">
        <v>593</v>
      </c>
      <c r="C659" s="1" t="s">
        <v>129</v>
      </c>
      <c r="D659" s="1" t="s">
        <v>686</v>
      </c>
      <c r="E659" s="2" t="n">
        <v>45926</v>
      </c>
      <c r="F659" s="2" t="n">
        <f aca="false">IFERROR(VLOOKUP(TRIM($D659), Hoja4_2!$A$2:$L$10000, 4, 0), "Revisar")</f>
        <v>39814</v>
      </c>
      <c r="G659" s="7" t="str">
        <f aca="false">IFERROR(VLOOKUP(TRIM($D659), Hoja4_2!$A$2:$L$10000, 5, 0), "Revisar")</f>
        <v>FEMENINO</v>
      </c>
      <c r="H659" s="7" t="str">
        <f aca="false">IFERROR(VLOOKUP(TRIM($D659), Hoja4_2!$A$2:$L$10000, 7, 0), "Revisar")</f>
        <v>MARACAIBO</v>
      </c>
      <c r="I659" s="7" t="str">
        <f aca="false">IFERROR(VLOOKUP(TRIM($D659), Hoja4_2!$A$2:$L$10000, 9, 0), "Revisar")</f>
        <v>ZU</v>
      </c>
      <c r="J659" s="7" t="str">
        <f aca="false">IFERROR(VLOOKUP(TRIM($D659), Hoja4_2!$A$2:$L$10000, 12, 0), "Revisar")</f>
        <v>15889028</v>
      </c>
      <c r="K659" s="8" t="str">
        <f aca="false">TEXT(TRIM(D659),"0")</f>
        <v>33608438</v>
      </c>
      <c r="L659" s="1" t="str">
        <f aca="false">IF(F659="Revisar","NULL",CONCATENATE("'",TEXT(F659,"yyyy-mm-dd"),"'"))</f>
        <v>'2009-01-01'</v>
      </c>
      <c r="M659" s="9" t="str">
        <f aca="false">IF(G659="Revisar","NULL",CONCATENATE("'",MID(G659,1,1),"'"))</f>
        <v>'F'</v>
      </c>
      <c r="N659" s="9" t="str">
        <f aca="false">IF(H659="Revisar","NULL",CONCATENATE("'",H659,"'"))</f>
        <v>'MARACAIBO'</v>
      </c>
      <c r="O659" s="9" t="str">
        <f aca="false">IF(I659="Revisar","NULL",CONCATENATE("'",I659,"'"))</f>
        <v>'ZU'</v>
      </c>
      <c r="P659" s="1" t="str">
        <f aca="false">"UPDATE estudiantes SET fecha_nacimiento="&amp;L659&amp;", sexo="&amp;M659&amp;", lugar_nacimiento="&amp;N659&amp;", entidad_federal="&amp;O659&amp;" WHERE cedula='"&amp;K659&amp;"';"</f>
        <v>UPDATE estudiantes SET fecha_nacimiento='2009-01-01', sexo='F', lugar_nacimiento='MARACAIBO', entidad_federal='ZU' WHERE cedula='33608438';</v>
      </c>
    </row>
    <row r="660" customFormat="false" ht="14.9" hidden="false" customHeight="false" outlineLevel="0" collapsed="false">
      <c r="A660" s="1" t="s">
        <v>15</v>
      </c>
      <c r="B660" s="1" t="s">
        <v>593</v>
      </c>
      <c r="C660" s="1" t="s">
        <v>129</v>
      </c>
      <c r="D660" s="1" t="s">
        <v>687</v>
      </c>
      <c r="E660" s="2" t="n">
        <v>45926</v>
      </c>
      <c r="F660" s="2" t="n">
        <f aca="false">IFERROR(VLOOKUP(TRIM($D660), Hoja4_2!$A$2:$L$10000, 4, 0), "Revisar")</f>
        <v>40116</v>
      </c>
      <c r="G660" s="7" t="str">
        <f aca="false">IFERROR(VLOOKUP(TRIM($D660), Hoja4_2!$A$2:$L$10000, 5, 0), "Revisar")</f>
        <v>MASCULINO</v>
      </c>
      <c r="H660" s="7" t="str">
        <f aca="false">IFERROR(VLOOKUP(TRIM($D660), Hoja4_2!$A$2:$L$10000, 7, 0), "Revisar")</f>
        <v>MARACAIBO</v>
      </c>
      <c r="I660" s="7" t="str">
        <f aca="false">IFERROR(VLOOKUP(TRIM($D660), Hoja4_2!$A$2:$L$10000, 9, 0), "Revisar")</f>
        <v>ZU</v>
      </c>
      <c r="J660" s="7" t="str">
        <f aca="false">IFERROR(VLOOKUP(TRIM($D660), Hoja4_2!$A$2:$L$10000, 12, 0), "Revisar")</f>
        <v>21685671</v>
      </c>
      <c r="K660" s="8" t="str">
        <f aca="false">TEXT(TRIM(D660),"0")</f>
        <v>33724458</v>
      </c>
      <c r="L660" s="1" t="str">
        <f aca="false">IF(F660="Revisar","NULL",CONCATENATE("'",TEXT(F660,"yyyy-mm-dd"),"'"))</f>
        <v>'2009-10-30'</v>
      </c>
      <c r="M660" s="9" t="str">
        <f aca="false">IF(G660="Revisar","NULL",CONCATENATE("'",MID(G660,1,1),"'"))</f>
        <v>'M'</v>
      </c>
      <c r="N660" s="9" t="str">
        <f aca="false">IF(H660="Revisar","NULL",CONCATENATE("'",H660,"'"))</f>
        <v>'MARACAIBO'</v>
      </c>
      <c r="O660" s="9" t="str">
        <f aca="false">IF(I660="Revisar","NULL",CONCATENATE("'",I660,"'"))</f>
        <v>'ZU'</v>
      </c>
      <c r="P660" s="1" t="str">
        <f aca="false">"UPDATE estudiantes SET fecha_nacimiento="&amp;L660&amp;", sexo="&amp;M660&amp;", lugar_nacimiento="&amp;N660&amp;", entidad_federal="&amp;O660&amp;" WHERE cedula='"&amp;K660&amp;"';"</f>
        <v>UPDATE estudiantes SET fecha_nacimiento='2009-10-30', sexo='M', lugar_nacimiento='MARACAIBO', entidad_federal='ZU' WHERE cedula='33724458';</v>
      </c>
    </row>
    <row r="661" customFormat="false" ht="14.9" hidden="false" customHeight="false" outlineLevel="0" collapsed="false">
      <c r="A661" s="1" t="s">
        <v>15</v>
      </c>
      <c r="B661" s="1" t="s">
        <v>593</v>
      </c>
      <c r="C661" s="1" t="s">
        <v>129</v>
      </c>
      <c r="D661" s="1" t="s">
        <v>688</v>
      </c>
      <c r="E661" s="2" t="n">
        <v>45926</v>
      </c>
      <c r="F661" s="2" t="n">
        <f aca="false">IFERROR(VLOOKUP(TRIM($D661), Hoja4_2!$A$2:$L$10000, 4, 0), "Revisar")</f>
        <v>40080</v>
      </c>
      <c r="G661" s="7" t="str">
        <f aca="false">IFERROR(VLOOKUP(TRIM($D661), Hoja4_2!$A$2:$L$10000, 5, 0), "Revisar")</f>
        <v>MASCULINO</v>
      </c>
      <c r="H661" s="7" t="str">
        <f aca="false">IFERROR(VLOOKUP(TRIM($D661), Hoja4_2!$A$2:$L$10000, 7, 0), "Revisar")</f>
        <v>MARACAIBO</v>
      </c>
      <c r="I661" s="7" t="str">
        <f aca="false">IFERROR(VLOOKUP(TRIM($D661), Hoja4_2!$A$2:$L$10000, 9, 0), "Revisar")</f>
        <v>ZU</v>
      </c>
      <c r="J661" s="7" t="str">
        <f aca="false">IFERROR(VLOOKUP(TRIM($D661), Hoja4_2!$A$2:$L$10000, 12, 0), "Revisar")</f>
        <v>20948162</v>
      </c>
      <c r="K661" s="8" t="str">
        <f aca="false">TEXT(TRIM(D661),"0")</f>
        <v>33811154</v>
      </c>
      <c r="L661" s="1" t="str">
        <f aca="false">IF(F661="Revisar","NULL",CONCATENATE("'",TEXT(F661,"yyyy-mm-dd"),"'"))</f>
        <v>'2009-09-24'</v>
      </c>
      <c r="M661" s="9" t="str">
        <f aca="false">IF(G661="Revisar","NULL",CONCATENATE("'",MID(G661,1,1),"'"))</f>
        <v>'M'</v>
      </c>
      <c r="N661" s="9" t="str">
        <f aca="false">IF(H661="Revisar","NULL",CONCATENATE("'",H661,"'"))</f>
        <v>'MARACAIBO'</v>
      </c>
      <c r="O661" s="9" t="str">
        <f aca="false">IF(I661="Revisar","NULL",CONCATENATE("'",I661,"'"))</f>
        <v>'ZU'</v>
      </c>
      <c r="P661" s="1" t="str">
        <f aca="false">"UPDATE estudiantes SET fecha_nacimiento="&amp;L661&amp;", sexo="&amp;M661&amp;", lugar_nacimiento="&amp;N661&amp;", entidad_federal="&amp;O661&amp;" WHERE cedula='"&amp;K661&amp;"';"</f>
        <v>UPDATE estudiantes SET fecha_nacimiento='2009-09-24', sexo='M', lugar_nacimiento='MARACAIBO', entidad_federal='ZU' WHERE cedula='33811154';</v>
      </c>
    </row>
    <row r="662" customFormat="false" ht="14.9" hidden="false" customHeight="false" outlineLevel="0" collapsed="false">
      <c r="A662" s="1" t="s">
        <v>15</v>
      </c>
      <c r="B662" s="1" t="s">
        <v>593</v>
      </c>
      <c r="C662" s="1" t="s">
        <v>129</v>
      </c>
      <c r="D662" s="1" t="s">
        <v>689</v>
      </c>
      <c r="E662" s="2" t="n">
        <v>45926</v>
      </c>
      <c r="F662" s="2" t="n">
        <f aca="false">IFERROR(VLOOKUP(TRIM($D662), Hoja4_2!$A$2:$L$10000, 4, 0), "Revisar")</f>
        <v>40683</v>
      </c>
      <c r="G662" s="7" t="str">
        <f aca="false">IFERROR(VLOOKUP(TRIM($D662), Hoja4_2!$A$2:$L$10000, 5, 0), "Revisar")</f>
        <v>MASCULINO</v>
      </c>
      <c r="H662" s="7" t="str">
        <f aca="false">IFERROR(VLOOKUP(TRIM($D662), Hoja4_2!$A$2:$L$10000, 7, 0), "Revisar")</f>
        <v>MARACAIBO</v>
      </c>
      <c r="I662" s="7" t="str">
        <f aca="false">IFERROR(VLOOKUP(TRIM($D662), Hoja4_2!$A$2:$L$10000, 9, 0), "Revisar")</f>
        <v>ZU</v>
      </c>
      <c r="J662" s="7" t="str">
        <f aca="false">IFERROR(VLOOKUP(TRIM($D662), Hoja4_2!$A$2:$L$10000, 12, 0), "Revisar")</f>
        <v>18633005</v>
      </c>
      <c r="K662" s="8" t="str">
        <f aca="false">TEXT(TRIM(D662),"0")</f>
        <v>34461278</v>
      </c>
      <c r="L662" s="1" t="str">
        <f aca="false">IF(F662="Revisar","NULL",CONCATENATE("'",TEXT(F662,"yyyy-mm-dd"),"'"))</f>
        <v>'2011-05-20'</v>
      </c>
      <c r="M662" s="9" t="str">
        <f aca="false">IF(G662="Revisar","NULL",CONCATENATE("'",MID(G662,1,1),"'"))</f>
        <v>'M'</v>
      </c>
      <c r="N662" s="9" t="str">
        <f aca="false">IF(H662="Revisar","NULL",CONCATENATE("'",H662,"'"))</f>
        <v>'MARACAIBO'</v>
      </c>
      <c r="O662" s="9" t="str">
        <f aca="false">IF(I662="Revisar","NULL",CONCATENATE("'",I662,"'"))</f>
        <v>'ZU'</v>
      </c>
      <c r="P662" s="1" t="str">
        <f aca="false">"UPDATE estudiantes SET fecha_nacimiento="&amp;L662&amp;", sexo="&amp;M662&amp;", lugar_nacimiento="&amp;N662&amp;", entidad_federal="&amp;O662&amp;" WHERE cedula='"&amp;K662&amp;"';"</f>
        <v>UPDATE estudiantes SET fecha_nacimiento='2011-05-20', sexo='M', lugar_nacimiento='MARACAIBO', entidad_federal='ZU' WHERE cedula='34461278';</v>
      </c>
    </row>
    <row r="663" customFormat="false" ht="14.9" hidden="false" customHeight="false" outlineLevel="0" collapsed="false">
      <c r="A663" s="1" t="s">
        <v>15</v>
      </c>
      <c r="B663" s="1" t="s">
        <v>593</v>
      </c>
      <c r="C663" s="1" t="s">
        <v>129</v>
      </c>
      <c r="D663" s="1" t="s">
        <v>690</v>
      </c>
      <c r="E663" s="2" t="n">
        <v>45926</v>
      </c>
      <c r="F663" s="2" t="n">
        <f aca="false">IFERROR(VLOOKUP(TRIM($D663), Hoja4_2!$A$2:$L$10000, 4, 0), "Revisar")</f>
        <v>39979</v>
      </c>
      <c r="G663" s="7" t="str">
        <f aca="false">IFERROR(VLOOKUP(TRIM($D663), Hoja4_2!$A$2:$L$10000, 5, 0), "Revisar")</f>
        <v>MASCULINO</v>
      </c>
      <c r="H663" s="7" t="str">
        <f aca="false">IFERROR(VLOOKUP(TRIM($D663), Hoja4_2!$A$2:$L$10000, 7, 0), "Revisar")</f>
        <v>JESUS ENRIQUE LOSSADA</v>
      </c>
      <c r="I663" s="7" t="str">
        <f aca="false">IFERROR(VLOOKUP(TRIM($D663), Hoja4_2!$A$2:$L$10000, 9, 0), "Revisar")</f>
        <v>ZU</v>
      </c>
      <c r="J663" s="7" t="str">
        <f aca="false">IFERROR(VLOOKUP(TRIM($D663), Hoja4_2!$A$2:$L$10000, 12, 0), "Revisar")</f>
        <v>16121575</v>
      </c>
      <c r="K663" s="8" t="str">
        <f aca="false">TEXT(TRIM(D663),"0")</f>
        <v>34463403</v>
      </c>
      <c r="L663" s="1" t="str">
        <f aca="false">IF(F663="Revisar","NULL",CONCATENATE("'",TEXT(F663,"yyyy-mm-dd"),"'"))</f>
        <v>'2009-06-15'</v>
      </c>
      <c r="M663" s="9" t="str">
        <f aca="false">IF(G663="Revisar","NULL",CONCATENATE("'",MID(G663,1,1),"'"))</f>
        <v>'M'</v>
      </c>
      <c r="N663" s="9" t="str">
        <f aca="false">IF(H663="Revisar","NULL",CONCATENATE("'",H663,"'"))</f>
        <v>'JESUS ENRIQUE LOSSADA'</v>
      </c>
      <c r="O663" s="9" t="str">
        <f aca="false">IF(I663="Revisar","NULL",CONCATENATE("'",I663,"'"))</f>
        <v>'ZU'</v>
      </c>
      <c r="P663" s="1" t="str">
        <f aca="false">"UPDATE estudiantes SET fecha_nacimiento="&amp;L663&amp;", sexo="&amp;M663&amp;", lugar_nacimiento="&amp;N663&amp;", entidad_federal="&amp;O663&amp;" WHERE cedula='"&amp;K663&amp;"';"</f>
        <v>UPDATE estudiantes SET fecha_nacimiento='2009-06-15', sexo='M', lugar_nacimiento='JESUS ENRIQUE LOSSADA', entidad_federal='ZU' WHERE cedula='34463403';</v>
      </c>
    </row>
    <row r="664" customFormat="false" ht="14.9" hidden="false" customHeight="false" outlineLevel="0" collapsed="false">
      <c r="A664" s="1" t="s">
        <v>15</v>
      </c>
      <c r="B664" s="1" t="s">
        <v>593</v>
      </c>
      <c r="C664" s="1" t="s">
        <v>129</v>
      </c>
      <c r="D664" s="1" t="s">
        <v>691</v>
      </c>
      <c r="E664" s="2" t="n">
        <v>45926</v>
      </c>
      <c r="F664" s="2" t="n">
        <f aca="false">IFERROR(VLOOKUP(TRIM($D664), Hoja4_2!$A$2:$L$10000, 4, 0), "Revisar")</f>
        <v>40400</v>
      </c>
      <c r="G664" s="7" t="str">
        <f aca="false">IFERROR(VLOOKUP(TRIM($D664), Hoja4_2!$A$2:$L$10000, 5, 0), "Revisar")</f>
        <v>FEMENINO</v>
      </c>
      <c r="H664" s="7" t="str">
        <f aca="false">IFERROR(VLOOKUP(TRIM($D664), Hoja4_2!$A$2:$L$10000, 7, 0), "Revisar")</f>
        <v>MARACAIBO</v>
      </c>
      <c r="I664" s="7" t="str">
        <f aca="false">IFERROR(VLOOKUP(TRIM($D664), Hoja4_2!$A$2:$L$10000, 9, 0), "Revisar")</f>
        <v>ZU</v>
      </c>
      <c r="J664" s="7" t="str">
        <f aca="false">IFERROR(VLOOKUP(TRIM($D664), Hoja4_2!$A$2:$L$10000, 12, 0), "Revisar")</f>
        <v>13080103</v>
      </c>
      <c r="K664" s="8" t="str">
        <f aca="false">TEXT(TRIM(D664),"0")</f>
        <v>34637727</v>
      </c>
      <c r="L664" s="1" t="str">
        <f aca="false">IF(F664="Revisar","NULL",CONCATENATE("'",TEXT(F664,"yyyy-mm-dd"),"'"))</f>
        <v>'2010-08-10'</v>
      </c>
      <c r="M664" s="9" t="str">
        <f aca="false">IF(G664="Revisar","NULL",CONCATENATE("'",MID(G664,1,1),"'"))</f>
        <v>'F'</v>
      </c>
      <c r="N664" s="9" t="str">
        <f aca="false">IF(H664="Revisar","NULL",CONCATENATE("'",H664,"'"))</f>
        <v>'MARACAIBO'</v>
      </c>
      <c r="O664" s="9" t="str">
        <f aca="false">IF(I664="Revisar","NULL",CONCATENATE("'",I664,"'"))</f>
        <v>'ZU'</v>
      </c>
      <c r="P664" s="1" t="str">
        <f aca="false">"UPDATE estudiantes SET fecha_nacimiento="&amp;L664&amp;", sexo="&amp;M664&amp;", lugar_nacimiento="&amp;N664&amp;", entidad_federal="&amp;O664&amp;" WHERE cedula='"&amp;K664&amp;"';"</f>
        <v>UPDATE estudiantes SET fecha_nacimiento='2010-08-10', sexo='F', lugar_nacimiento='MARACAIBO', entidad_federal='ZU' WHERE cedula='34637727';</v>
      </c>
    </row>
    <row r="665" customFormat="false" ht="14.9" hidden="false" customHeight="false" outlineLevel="0" collapsed="false">
      <c r="A665" s="1" t="s">
        <v>15</v>
      </c>
      <c r="B665" s="1" t="s">
        <v>593</v>
      </c>
      <c r="C665" s="1" t="s">
        <v>129</v>
      </c>
      <c r="D665" s="1" t="s">
        <v>692</v>
      </c>
      <c r="E665" s="2" t="n">
        <v>45926</v>
      </c>
      <c r="F665" s="2" t="n">
        <f aca="false">IFERROR(VLOOKUP(TRIM($D665), Hoja4_2!$A$2:$L$10000, 4, 0), "Revisar")</f>
        <v>39935</v>
      </c>
      <c r="G665" s="7" t="str">
        <f aca="false">IFERROR(VLOOKUP(TRIM($D665), Hoja4_2!$A$2:$L$10000, 5, 0), "Revisar")</f>
        <v>FEMENINO</v>
      </c>
      <c r="H665" s="7" t="str">
        <f aca="false">IFERROR(VLOOKUP(TRIM($D665), Hoja4_2!$A$2:$L$10000, 7, 0), "Revisar")</f>
        <v>JESUS ENRIQUE LOSSADA</v>
      </c>
      <c r="I665" s="7" t="str">
        <f aca="false">IFERROR(VLOOKUP(TRIM($D665), Hoja4_2!$A$2:$L$10000, 9, 0), "Revisar")</f>
        <v>ZU</v>
      </c>
      <c r="J665" s="7" t="str">
        <f aca="false">IFERROR(VLOOKUP(TRIM($D665), Hoja4_2!$A$2:$L$10000, 12, 0), "Revisar")</f>
        <v>15466864</v>
      </c>
      <c r="K665" s="8" t="str">
        <f aca="false">TEXT(TRIM(D665),"0")</f>
        <v>34767451</v>
      </c>
      <c r="L665" s="1" t="str">
        <f aca="false">IF(F665="Revisar","NULL",CONCATENATE("'",TEXT(F665,"yyyy-mm-dd"),"'"))</f>
        <v>'2009-05-02'</v>
      </c>
      <c r="M665" s="9" t="str">
        <f aca="false">IF(G665="Revisar","NULL",CONCATENATE("'",MID(G665,1,1),"'"))</f>
        <v>'F'</v>
      </c>
      <c r="N665" s="9" t="str">
        <f aca="false">IF(H665="Revisar","NULL",CONCATENATE("'",H665,"'"))</f>
        <v>'JESUS ENRIQUE LOSSADA'</v>
      </c>
      <c r="O665" s="9" t="str">
        <f aca="false">IF(I665="Revisar","NULL",CONCATENATE("'",I665,"'"))</f>
        <v>'ZU'</v>
      </c>
      <c r="P665" s="1" t="str">
        <f aca="false">"UPDATE estudiantes SET fecha_nacimiento="&amp;L665&amp;", sexo="&amp;M665&amp;", lugar_nacimiento="&amp;N665&amp;", entidad_federal="&amp;O665&amp;" WHERE cedula='"&amp;K665&amp;"';"</f>
        <v>UPDATE estudiantes SET fecha_nacimiento='2009-05-02', sexo='F', lugar_nacimiento='JESUS ENRIQUE LOSSADA', entidad_federal='ZU' WHERE cedula='34767451';</v>
      </c>
    </row>
    <row r="666" customFormat="false" ht="14.9" hidden="false" customHeight="false" outlineLevel="0" collapsed="false">
      <c r="A666" s="1" t="s">
        <v>15</v>
      </c>
      <c r="B666" s="1" t="s">
        <v>593</v>
      </c>
      <c r="C666" s="1" t="s">
        <v>129</v>
      </c>
      <c r="D666" s="1" t="s">
        <v>693</v>
      </c>
      <c r="E666" s="2" t="n">
        <v>45926</v>
      </c>
      <c r="F666" s="2" t="n">
        <f aca="false">IFERROR(VLOOKUP(TRIM($D666), Hoja4_2!$A$2:$L$10000, 4, 0), "Revisar")</f>
        <v>39654</v>
      </c>
      <c r="G666" s="7" t="str">
        <f aca="false">IFERROR(VLOOKUP(TRIM($D666), Hoja4_2!$A$2:$L$10000, 5, 0), "Revisar")</f>
        <v>MASCULINO</v>
      </c>
      <c r="H666" s="7" t="str">
        <f aca="false">IFERROR(VLOOKUP(TRIM($D666), Hoja4_2!$A$2:$L$10000, 7, 0), "Revisar")</f>
        <v>MARACAIBO</v>
      </c>
      <c r="I666" s="7" t="str">
        <f aca="false">IFERROR(VLOOKUP(TRIM($D666), Hoja4_2!$A$2:$L$10000, 9, 0), "Revisar")</f>
        <v>ZU</v>
      </c>
      <c r="J666" s="7" t="str">
        <f aca="false">IFERROR(VLOOKUP(TRIM($D666), Hoja4_2!$A$2:$L$10000, 12, 0), "Revisar")</f>
        <v>19906306</v>
      </c>
      <c r="K666" s="8" t="str">
        <f aca="false">TEXT(TRIM(D666),"0")</f>
        <v>35091352</v>
      </c>
      <c r="L666" s="1" t="str">
        <f aca="false">IF(F666="Revisar","NULL",CONCATENATE("'",TEXT(F666,"yyyy-mm-dd"),"'"))</f>
        <v>'2008-07-25'</v>
      </c>
      <c r="M666" s="9" t="str">
        <f aca="false">IF(G666="Revisar","NULL",CONCATENATE("'",MID(G666,1,1),"'"))</f>
        <v>'M'</v>
      </c>
      <c r="N666" s="9" t="str">
        <f aca="false">IF(H666="Revisar","NULL",CONCATENATE("'",H666,"'"))</f>
        <v>'MARACAIBO'</v>
      </c>
      <c r="O666" s="9" t="str">
        <f aca="false">IF(I666="Revisar","NULL",CONCATENATE("'",I666,"'"))</f>
        <v>'ZU'</v>
      </c>
      <c r="P666" s="1" t="str">
        <f aca="false">"UPDATE estudiantes SET fecha_nacimiento="&amp;L666&amp;", sexo="&amp;M666&amp;", lugar_nacimiento="&amp;N666&amp;", entidad_federal="&amp;O666&amp;" WHERE cedula='"&amp;K666&amp;"';"</f>
        <v>UPDATE estudiantes SET fecha_nacimiento='2008-07-25', sexo='M', lugar_nacimiento='MARACAIBO', entidad_federal='ZU' WHERE cedula='35091352';</v>
      </c>
    </row>
    <row r="667" customFormat="false" ht="14.9" hidden="false" customHeight="false" outlineLevel="0" collapsed="false">
      <c r="A667" s="1" t="s">
        <v>15</v>
      </c>
      <c r="B667" s="1" t="s">
        <v>593</v>
      </c>
      <c r="C667" s="1" t="s">
        <v>129</v>
      </c>
      <c r="D667" s="1" t="s">
        <v>694</v>
      </c>
      <c r="E667" s="2" t="n">
        <v>45926</v>
      </c>
      <c r="F667" s="2" t="n">
        <f aca="false">IFERROR(VLOOKUP(TRIM($D667), Hoja4_2!$A$2:$L$10000, 4, 0), "Revisar")</f>
        <v>40059</v>
      </c>
      <c r="G667" s="7" t="str">
        <f aca="false">IFERROR(VLOOKUP(TRIM($D667), Hoja4_2!$A$2:$L$10000, 5, 0), "Revisar")</f>
        <v>FEMENINO</v>
      </c>
      <c r="H667" s="7" t="str">
        <f aca="false">IFERROR(VLOOKUP(TRIM($D667), Hoja4_2!$A$2:$L$10000, 7, 0), "Revisar")</f>
        <v>MARACAIBO</v>
      </c>
      <c r="I667" s="7" t="str">
        <f aca="false">IFERROR(VLOOKUP(TRIM($D667), Hoja4_2!$A$2:$L$10000, 9, 0), "Revisar")</f>
        <v>ZU</v>
      </c>
      <c r="J667" s="7" t="str">
        <f aca="false">IFERROR(VLOOKUP(TRIM($D667), Hoja4_2!$A$2:$L$10000, 12, 0), "Revisar")</f>
        <v>24250015</v>
      </c>
      <c r="K667" s="8" t="str">
        <f aca="false">TEXT(TRIM(D667),"0")</f>
        <v>35093588</v>
      </c>
      <c r="L667" s="1" t="str">
        <f aca="false">IF(F667="Revisar","NULL",CONCATENATE("'",TEXT(F667,"yyyy-mm-dd"),"'"))</f>
        <v>'2009-09-03'</v>
      </c>
      <c r="M667" s="9" t="str">
        <f aca="false">IF(G667="Revisar","NULL",CONCATENATE("'",MID(G667,1,1),"'"))</f>
        <v>'F'</v>
      </c>
      <c r="N667" s="9" t="str">
        <f aca="false">IF(H667="Revisar","NULL",CONCATENATE("'",H667,"'"))</f>
        <v>'MARACAIBO'</v>
      </c>
      <c r="O667" s="9" t="str">
        <f aca="false">IF(I667="Revisar","NULL",CONCATENATE("'",I667,"'"))</f>
        <v>'ZU'</v>
      </c>
      <c r="P667" s="1" t="str">
        <f aca="false">"UPDATE estudiantes SET fecha_nacimiento="&amp;L667&amp;", sexo="&amp;M667&amp;", lugar_nacimiento="&amp;N667&amp;", entidad_federal="&amp;O667&amp;" WHERE cedula='"&amp;K667&amp;"';"</f>
        <v>UPDATE estudiantes SET fecha_nacimiento='2009-09-03', sexo='F', lugar_nacimiento='MARACAIBO', entidad_federal='ZU' WHERE cedula='35093588';</v>
      </c>
    </row>
    <row r="668" customFormat="false" ht="14.9" hidden="false" customHeight="false" outlineLevel="0" collapsed="false">
      <c r="A668" s="1" t="s">
        <v>15</v>
      </c>
      <c r="B668" s="1" t="s">
        <v>593</v>
      </c>
      <c r="C668" s="1" t="s">
        <v>129</v>
      </c>
      <c r="D668" s="1" t="s">
        <v>695</v>
      </c>
      <c r="E668" s="2" t="n">
        <v>45926</v>
      </c>
      <c r="F668" s="2" t="n">
        <f aca="false">IFERROR(VLOOKUP(TRIM($D668), Hoja4_2!$A$2:$L$10000, 4, 0), "Revisar")</f>
        <v>39321</v>
      </c>
      <c r="G668" s="7" t="str">
        <f aca="false">IFERROR(VLOOKUP(TRIM($D668), Hoja4_2!$A$2:$L$10000, 5, 0), "Revisar")</f>
        <v>MASCULINO</v>
      </c>
      <c r="H668" s="7" t="str">
        <f aca="false">IFERROR(VLOOKUP(TRIM($D668), Hoja4_2!$A$2:$L$10000, 7, 0), "Revisar")</f>
        <v>MARACAIBO</v>
      </c>
      <c r="I668" s="7" t="str">
        <f aca="false">IFERROR(VLOOKUP(TRIM($D668), Hoja4_2!$A$2:$L$10000, 9, 0), "Revisar")</f>
        <v>ZU</v>
      </c>
      <c r="J668" s="7" t="str">
        <f aca="false">IFERROR(VLOOKUP(TRIM($D668), Hoja4_2!$A$2:$L$10000, 12, 0), "Revisar")</f>
        <v>24250015</v>
      </c>
      <c r="K668" s="8" t="str">
        <f aca="false">TEXT(TRIM(D668),"0")</f>
        <v>35093600</v>
      </c>
      <c r="L668" s="1" t="str">
        <f aca="false">IF(F668="Revisar","NULL",CONCATENATE("'",TEXT(F668,"yyyy-mm-dd"),"'"))</f>
        <v>'2007-08-27'</v>
      </c>
      <c r="M668" s="9" t="str">
        <f aca="false">IF(G668="Revisar","NULL",CONCATENATE("'",MID(G668,1,1),"'"))</f>
        <v>'M'</v>
      </c>
      <c r="N668" s="9" t="str">
        <f aca="false">IF(H668="Revisar","NULL",CONCATENATE("'",H668,"'"))</f>
        <v>'MARACAIBO'</v>
      </c>
      <c r="O668" s="9" t="str">
        <f aca="false">IF(I668="Revisar","NULL",CONCATENATE("'",I668,"'"))</f>
        <v>'ZU'</v>
      </c>
      <c r="P668" s="1" t="str">
        <f aca="false">"UPDATE estudiantes SET fecha_nacimiento="&amp;L668&amp;", sexo="&amp;M668&amp;", lugar_nacimiento="&amp;N668&amp;", entidad_federal="&amp;O668&amp;" WHERE cedula='"&amp;K668&amp;"';"</f>
        <v>UPDATE estudiantes SET fecha_nacimiento='2007-08-27', sexo='M', lugar_nacimiento='MARACAIBO', entidad_federal='ZU' WHERE cedula='35093600';</v>
      </c>
    </row>
    <row r="669" customFormat="false" ht="14.9" hidden="false" customHeight="false" outlineLevel="0" collapsed="false">
      <c r="A669" s="1" t="s">
        <v>15</v>
      </c>
      <c r="B669" s="1" t="s">
        <v>593</v>
      </c>
      <c r="C669" s="1" t="s">
        <v>129</v>
      </c>
      <c r="D669" s="1" t="s">
        <v>696</v>
      </c>
      <c r="E669" s="2" t="n">
        <v>45926</v>
      </c>
      <c r="F669" s="2" t="n">
        <f aca="false">IFERROR(VLOOKUP(TRIM($D669), Hoja4_2!$A$2:$L$10000, 4, 0), "Revisar")</f>
        <v>40110</v>
      </c>
      <c r="G669" s="7" t="str">
        <f aca="false">IFERROR(VLOOKUP(TRIM($D669), Hoja4_2!$A$2:$L$10000, 5, 0), "Revisar")</f>
        <v>MASCULINO</v>
      </c>
      <c r="H669" s="7" t="str">
        <f aca="false">IFERROR(VLOOKUP(TRIM($D669), Hoja4_2!$A$2:$L$10000, 7, 0), "Revisar")</f>
        <v>MARACAIBO</v>
      </c>
      <c r="I669" s="7" t="str">
        <f aca="false">IFERROR(VLOOKUP(TRIM($D669), Hoja4_2!$A$2:$L$10000, 9, 0), "Revisar")</f>
        <v>ZU</v>
      </c>
      <c r="J669" s="7" t="str">
        <f aca="false">IFERROR(VLOOKUP(TRIM($D669), Hoja4_2!$A$2:$L$10000, 12, 0), "Revisar")</f>
        <v>15840051</v>
      </c>
      <c r="K669" s="8" t="str">
        <f aca="false">TEXT(TRIM(D669),"0")</f>
        <v>35094089</v>
      </c>
      <c r="L669" s="1" t="str">
        <f aca="false">IF(F669="Revisar","NULL",CONCATENATE("'",TEXT(F669,"yyyy-mm-dd"),"'"))</f>
        <v>'2009-10-24'</v>
      </c>
      <c r="M669" s="9" t="str">
        <f aca="false">IF(G669="Revisar","NULL",CONCATENATE("'",MID(G669,1,1),"'"))</f>
        <v>'M'</v>
      </c>
      <c r="N669" s="9" t="str">
        <f aca="false">IF(H669="Revisar","NULL",CONCATENATE("'",H669,"'"))</f>
        <v>'MARACAIBO'</v>
      </c>
      <c r="O669" s="9" t="str">
        <f aca="false">IF(I669="Revisar","NULL",CONCATENATE("'",I669,"'"))</f>
        <v>'ZU'</v>
      </c>
      <c r="P669" s="1" t="str">
        <f aca="false">"UPDATE estudiantes SET fecha_nacimiento="&amp;L669&amp;", sexo="&amp;M669&amp;", lugar_nacimiento="&amp;N669&amp;", entidad_federal="&amp;O669&amp;" WHERE cedula='"&amp;K669&amp;"';"</f>
        <v>UPDATE estudiantes SET fecha_nacimiento='2009-10-24', sexo='M', lugar_nacimiento='MARACAIBO', entidad_federal='ZU' WHERE cedula='35094089';</v>
      </c>
    </row>
    <row r="670" customFormat="false" ht="14.9" hidden="false" customHeight="false" outlineLevel="0" collapsed="false">
      <c r="A670" s="1" t="s">
        <v>15</v>
      </c>
      <c r="B670" s="1" t="s">
        <v>593</v>
      </c>
      <c r="C670" s="1" t="s">
        <v>129</v>
      </c>
      <c r="D670" s="1" t="s">
        <v>697</v>
      </c>
      <c r="E670" s="2" t="n">
        <v>45926</v>
      </c>
      <c r="F670" s="2" t="n">
        <f aca="false">IFERROR(VLOOKUP(TRIM($D670), Hoja4_2!$A$2:$L$10000, 4, 0), "Revisar")</f>
        <v>40166</v>
      </c>
      <c r="G670" s="7" t="str">
        <f aca="false">IFERROR(VLOOKUP(TRIM($D670), Hoja4_2!$A$2:$L$10000, 5, 0), "Revisar")</f>
        <v>FEMENINO</v>
      </c>
      <c r="H670" s="7" t="str">
        <f aca="false">IFERROR(VLOOKUP(TRIM($D670), Hoja4_2!$A$2:$L$10000, 7, 0), "Revisar")</f>
        <v>JESUS ENRIQUE LOSSADA</v>
      </c>
      <c r="I670" s="7" t="str">
        <f aca="false">IFERROR(VLOOKUP(TRIM($D670), Hoja4_2!$A$2:$L$10000, 9, 0), "Revisar")</f>
        <v>ZU</v>
      </c>
      <c r="J670" s="7" t="str">
        <f aca="false">IFERROR(VLOOKUP(TRIM($D670), Hoja4_2!$A$2:$L$10000, 12, 0), "Revisar")</f>
        <v>17565451</v>
      </c>
      <c r="K670" s="8" t="str">
        <f aca="false">TEXT(TRIM(D670),"0")</f>
        <v>35110242</v>
      </c>
      <c r="L670" s="1" t="str">
        <f aca="false">IF(F670="Revisar","NULL",CONCATENATE("'",TEXT(F670,"yyyy-mm-dd"),"'"))</f>
        <v>'2009-12-19'</v>
      </c>
      <c r="M670" s="9" t="str">
        <f aca="false">IF(G670="Revisar","NULL",CONCATENATE("'",MID(G670,1,1),"'"))</f>
        <v>'F'</v>
      </c>
      <c r="N670" s="9" t="str">
        <f aca="false">IF(H670="Revisar","NULL",CONCATENATE("'",H670,"'"))</f>
        <v>'JESUS ENRIQUE LOSSADA'</v>
      </c>
      <c r="O670" s="9" t="str">
        <f aca="false">IF(I670="Revisar","NULL",CONCATENATE("'",I670,"'"))</f>
        <v>'ZU'</v>
      </c>
      <c r="P670" s="1" t="str">
        <f aca="false">"UPDATE estudiantes SET fecha_nacimiento="&amp;L670&amp;", sexo="&amp;M670&amp;", lugar_nacimiento="&amp;N670&amp;", entidad_federal="&amp;O670&amp;" WHERE cedula='"&amp;K670&amp;"';"</f>
        <v>UPDATE estudiantes SET fecha_nacimiento='2009-12-19', sexo='F', lugar_nacimiento='JESUS ENRIQUE LOSSADA', entidad_federal='ZU' WHERE cedula='35110242';</v>
      </c>
    </row>
    <row r="671" customFormat="false" ht="14.9" hidden="false" customHeight="false" outlineLevel="0" collapsed="false">
      <c r="A671" s="1" t="s">
        <v>15</v>
      </c>
      <c r="B671" s="1" t="s">
        <v>593</v>
      </c>
      <c r="C671" s="1" t="s">
        <v>129</v>
      </c>
      <c r="D671" s="1" t="s">
        <v>698</v>
      </c>
      <c r="E671" s="2" t="n">
        <v>45926</v>
      </c>
      <c r="F671" s="2" t="n">
        <f aca="false">IFERROR(VLOOKUP(TRIM($D671), Hoja4_2!$A$2:$L$10000, 4, 0), "Revisar")</f>
        <v>39863</v>
      </c>
      <c r="G671" s="7" t="str">
        <f aca="false">IFERROR(VLOOKUP(TRIM($D671), Hoja4_2!$A$2:$L$10000, 5, 0), "Revisar")</f>
        <v>MASCULINO</v>
      </c>
      <c r="H671" s="7" t="str">
        <f aca="false">IFERROR(VLOOKUP(TRIM($D671), Hoja4_2!$A$2:$L$10000, 7, 0), "Revisar")</f>
        <v>MARACAIBO</v>
      </c>
      <c r="I671" s="7" t="str">
        <f aca="false">IFERROR(VLOOKUP(TRIM($D671), Hoja4_2!$A$2:$L$10000, 9, 0), "Revisar")</f>
        <v>ZU</v>
      </c>
      <c r="J671" s="7" t="str">
        <f aca="false">IFERROR(VLOOKUP(TRIM($D671), Hoja4_2!$A$2:$L$10000, 12, 0), "Revisar")</f>
        <v>17565153</v>
      </c>
      <c r="K671" s="8" t="str">
        <f aca="false">TEXT(TRIM(D671),"0")</f>
        <v>36866985</v>
      </c>
      <c r="L671" s="1" t="str">
        <f aca="false">IF(F671="Revisar","NULL",CONCATENATE("'",TEXT(F671,"yyyy-mm-dd"),"'"))</f>
        <v>'2009-02-19'</v>
      </c>
      <c r="M671" s="9" t="str">
        <f aca="false">IF(G671="Revisar","NULL",CONCATENATE("'",MID(G671,1,1),"'"))</f>
        <v>'M'</v>
      </c>
      <c r="N671" s="9" t="str">
        <f aca="false">IF(H671="Revisar","NULL",CONCATENATE("'",H671,"'"))</f>
        <v>'MARACAIBO'</v>
      </c>
      <c r="O671" s="9" t="str">
        <f aca="false">IF(I671="Revisar","NULL",CONCATENATE("'",I671,"'"))</f>
        <v>'ZU'</v>
      </c>
      <c r="P671" s="1" t="str">
        <f aca="false">"UPDATE estudiantes SET fecha_nacimiento="&amp;L671&amp;", sexo="&amp;M671&amp;", lugar_nacimiento="&amp;N671&amp;", entidad_federal="&amp;O671&amp;" WHERE cedula='"&amp;K671&amp;"';"</f>
        <v>UPDATE estudiantes SET fecha_nacimiento='2009-02-19', sexo='M', lugar_nacimiento='MARACAIBO', entidad_federal='ZU' WHERE cedula='36866985';</v>
      </c>
    </row>
    <row r="672" customFormat="false" ht="14.9" hidden="false" customHeight="false" outlineLevel="0" collapsed="false">
      <c r="A672" s="1" t="s">
        <v>15</v>
      </c>
      <c r="B672" s="1" t="s">
        <v>593</v>
      </c>
      <c r="C672" s="1" t="s">
        <v>129</v>
      </c>
      <c r="D672" s="1" t="s">
        <v>699</v>
      </c>
      <c r="E672" s="2" t="n">
        <v>45926</v>
      </c>
      <c r="F672" s="2" t="n">
        <f aca="false">IFERROR(VLOOKUP(TRIM($D672), Hoja4_2!$A$2:$L$10000, 4, 0), "Revisar")</f>
        <v>40496</v>
      </c>
      <c r="G672" s="7" t="str">
        <f aca="false">IFERROR(VLOOKUP(TRIM($D672), Hoja4_2!$A$2:$L$10000, 5, 0), "Revisar")</f>
        <v>FEMENINO</v>
      </c>
      <c r="H672" s="7" t="str">
        <f aca="false">IFERROR(VLOOKUP(TRIM($D672), Hoja4_2!$A$2:$L$10000, 7, 0), "Revisar")</f>
        <v>JESUS ENRIQUE LOSSADA</v>
      </c>
      <c r="I672" s="7" t="str">
        <f aca="false">IFERROR(VLOOKUP(TRIM($D672), Hoja4_2!$A$2:$L$10000, 9, 0), "Revisar")</f>
        <v>ZU</v>
      </c>
      <c r="J672" s="7" t="str">
        <f aca="false">IFERROR(VLOOKUP(TRIM($D672), Hoja4_2!$A$2:$L$10000, 12, 0), "Revisar")</f>
        <v>16687079</v>
      </c>
      <c r="K672" s="8" t="str">
        <f aca="false">TEXT(TRIM(D672),"0")</f>
        <v>11016687079</v>
      </c>
      <c r="L672" s="1" t="str">
        <f aca="false">IF(F672="Revisar","NULL",CONCATENATE("'",TEXT(F672,"yyyy-mm-dd"),"'"))</f>
        <v>'2010-11-14'</v>
      </c>
      <c r="M672" s="9" t="str">
        <f aca="false">IF(G672="Revisar","NULL",CONCATENATE("'",MID(G672,1,1),"'"))</f>
        <v>'F'</v>
      </c>
      <c r="N672" s="9" t="str">
        <f aca="false">IF(H672="Revisar","NULL",CONCATENATE("'",H672,"'"))</f>
        <v>'JESUS ENRIQUE LOSSADA'</v>
      </c>
      <c r="O672" s="9" t="str">
        <f aca="false">IF(I672="Revisar","NULL",CONCATENATE("'",I672,"'"))</f>
        <v>'ZU'</v>
      </c>
      <c r="P672" s="1" t="str">
        <f aca="false">"UPDATE estudiantes SET fecha_nacimiento="&amp;L672&amp;", sexo="&amp;M672&amp;", lugar_nacimiento="&amp;N672&amp;", entidad_federal="&amp;O672&amp;" WHERE cedula='"&amp;K672&amp;"';"</f>
        <v>UPDATE estudiantes SET fecha_nacimiento='2010-11-14', sexo='F', lugar_nacimiento='JESUS ENRIQUE LOSSADA', entidad_federal='ZU' WHERE cedula='11016687079';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448"/>
  <sheetViews>
    <sheetView showFormulas="false" showGridLines="true" showRowColHeaders="true" showZeros="true" rightToLeft="false" tabSelected="false" showOutlineSymbols="true" defaultGridColor="true" view="normal" topLeftCell="F1" colorId="64" zoomScale="120" zoomScaleNormal="120" zoomScalePageLayoutView="100" workbookViewId="0">
      <selection pane="topLeft" activeCell="I1" activeCellId="1" sqref="P2:P672 I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22.68"/>
    <col collapsed="false" customWidth="true" hidden="false" outlineLevel="0" max="3" min="3" style="1" width="24.49"/>
    <col collapsed="false" customWidth="true" hidden="false" outlineLevel="0" max="4" min="4" style="2" width="19.2"/>
    <col collapsed="false" customWidth="true" hidden="false" outlineLevel="0" max="5" min="5" style="1" width="18.49"/>
    <col collapsed="false" customWidth="true" hidden="false" outlineLevel="0" max="6" min="6" style="1" width="21.84"/>
    <col collapsed="false" customWidth="true" hidden="false" outlineLevel="0" max="7" min="7" style="1" width="25.87"/>
    <col collapsed="false" customWidth="true" hidden="false" outlineLevel="0" max="8" min="8" style="1" width="16.27"/>
    <col collapsed="false" customWidth="true" hidden="false" outlineLevel="0" max="10" min="10" style="1" width="26.98"/>
    <col collapsed="false" customWidth="true" hidden="false" outlineLevel="0" max="11" min="11" style="1" width="24.06"/>
    <col collapsed="false" customWidth="true" hidden="false" outlineLevel="0" max="16384" min="16359" style="0" width="11.53"/>
  </cols>
  <sheetData>
    <row r="1" customFormat="false" ht="15" hidden="false" customHeight="false" outlineLevel="0" collapsed="false">
      <c r="A1" s="1" t="s">
        <v>3</v>
      </c>
      <c r="B1" s="1" t="s">
        <v>700</v>
      </c>
      <c r="C1" s="1" t="s">
        <v>701</v>
      </c>
      <c r="D1" s="2" t="s">
        <v>5</v>
      </c>
      <c r="E1" s="1" t="s">
        <v>6</v>
      </c>
      <c r="F1" s="1" t="s">
        <v>702</v>
      </c>
      <c r="G1" s="1" t="s">
        <v>7</v>
      </c>
      <c r="H1" s="1" t="s">
        <v>703</v>
      </c>
      <c r="I1" s="1" t="s">
        <v>8</v>
      </c>
      <c r="J1" s="1" t="s">
        <v>704</v>
      </c>
      <c r="K1" s="1" t="s">
        <v>705</v>
      </c>
      <c r="L1" s="1" t="s">
        <v>9</v>
      </c>
      <c r="M1" s="1" t="s">
        <v>706</v>
      </c>
    </row>
    <row r="2" customFormat="false" ht="13.8" hidden="false" customHeight="false" outlineLevel="0" collapsed="false">
      <c r="A2" s="1" t="s">
        <v>707</v>
      </c>
      <c r="B2" s="1" t="s">
        <v>708</v>
      </c>
      <c r="C2" s="1" t="s">
        <v>709</v>
      </c>
      <c r="D2" s="2" t="n">
        <v>34717</v>
      </c>
      <c r="E2" s="1" t="s">
        <v>710</v>
      </c>
      <c r="F2" s="1" t="s">
        <v>711</v>
      </c>
      <c r="G2" s="1" t="s">
        <v>712</v>
      </c>
      <c r="H2" s="1" t="s">
        <v>713</v>
      </c>
      <c r="I2" s="1" t="s">
        <v>714</v>
      </c>
      <c r="J2" s="1" t="s">
        <v>715</v>
      </c>
      <c r="K2" s="1" t="s">
        <v>716</v>
      </c>
      <c r="L2" s="1" t="s">
        <v>717</v>
      </c>
      <c r="M2" s="1" t="s">
        <v>718</v>
      </c>
      <c r="P2" s="11" t="str">
        <f aca="false">IFERROR(VLOOKUP(TRIM($D2), Hoja4_2!$A$2:$L$10000, 4, 0), "Revisar")</f>
        <v>Revisar</v>
      </c>
    </row>
    <row r="3" customFormat="false" ht="15" hidden="false" customHeight="false" outlineLevel="0" collapsed="false">
      <c r="A3" s="1" t="s">
        <v>719</v>
      </c>
      <c r="B3" s="1" t="s">
        <v>720</v>
      </c>
      <c r="C3" s="1" t="s">
        <v>721</v>
      </c>
      <c r="D3" s="2" t="n">
        <v>34751</v>
      </c>
      <c r="E3" s="1" t="s">
        <v>710</v>
      </c>
      <c r="F3" s="1" t="s">
        <v>711</v>
      </c>
      <c r="G3" s="1" t="s">
        <v>722</v>
      </c>
      <c r="H3" s="1" t="s">
        <v>713</v>
      </c>
      <c r="I3" s="1" t="s">
        <v>714</v>
      </c>
      <c r="J3" s="1" t="s">
        <v>723</v>
      </c>
      <c r="K3" s="1" t="s">
        <v>724</v>
      </c>
      <c r="L3" s="1" t="s">
        <v>725</v>
      </c>
      <c r="M3" s="1" t="s">
        <v>718</v>
      </c>
    </row>
    <row r="4" customFormat="false" ht="15" hidden="false" customHeight="false" outlineLevel="0" collapsed="false">
      <c r="A4" s="1" t="s">
        <v>726</v>
      </c>
      <c r="B4" s="1" t="s">
        <v>727</v>
      </c>
      <c r="C4" s="1" t="s">
        <v>728</v>
      </c>
      <c r="D4" s="2" t="n">
        <v>35010</v>
      </c>
      <c r="E4" s="1" t="s">
        <v>710</v>
      </c>
      <c r="F4" s="1" t="s">
        <v>711</v>
      </c>
      <c r="G4" s="1" t="s">
        <v>712</v>
      </c>
      <c r="H4" s="1" t="s">
        <v>713</v>
      </c>
      <c r="I4" s="1" t="s">
        <v>714</v>
      </c>
      <c r="J4" s="1" t="s">
        <v>729</v>
      </c>
      <c r="K4" s="1" t="s">
        <v>716</v>
      </c>
      <c r="L4" s="1" t="s">
        <v>730</v>
      </c>
      <c r="M4" s="1" t="s">
        <v>718</v>
      </c>
    </row>
    <row r="5" customFormat="false" ht="15" hidden="false" customHeight="false" outlineLevel="0" collapsed="false">
      <c r="A5" s="1" t="s">
        <v>731</v>
      </c>
      <c r="B5" s="1" t="s">
        <v>732</v>
      </c>
      <c r="C5" s="1" t="s">
        <v>733</v>
      </c>
      <c r="D5" s="2" t="n">
        <v>35326</v>
      </c>
      <c r="E5" s="1" t="s">
        <v>710</v>
      </c>
      <c r="F5" s="1" t="s">
        <v>711</v>
      </c>
      <c r="G5" s="1" t="s">
        <v>722</v>
      </c>
      <c r="H5" s="1" t="s">
        <v>713</v>
      </c>
      <c r="I5" s="1" t="s">
        <v>714</v>
      </c>
      <c r="J5" s="1" t="s">
        <v>734</v>
      </c>
      <c r="K5" s="1" t="s">
        <v>735</v>
      </c>
      <c r="L5" s="1" t="s">
        <v>736</v>
      </c>
      <c r="M5" s="1" t="s">
        <v>718</v>
      </c>
    </row>
    <row r="6" customFormat="false" ht="15" hidden="false" customHeight="false" outlineLevel="0" collapsed="false">
      <c r="A6" s="1" t="s">
        <v>737</v>
      </c>
      <c r="B6" s="1" t="s">
        <v>738</v>
      </c>
      <c r="C6" s="1" t="s">
        <v>739</v>
      </c>
      <c r="D6" s="2" t="n">
        <v>35140</v>
      </c>
      <c r="E6" s="1" t="s">
        <v>710</v>
      </c>
      <c r="F6" s="1" t="s">
        <v>711</v>
      </c>
      <c r="G6" s="1" t="s">
        <v>712</v>
      </c>
      <c r="H6" s="1" t="s">
        <v>713</v>
      </c>
      <c r="I6" s="1" t="s">
        <v>714</v>
      </c>
      <c r="J6" s="1" t="s">
        <v>740</v>
      </c>
      <c r="K6" s="1" t="s">
        <v>716</v>
      </c>
      <c r="L6" s="1" t="s">
        <v>741</v>
      </c>
      <c r="M6" s="1" t="s">
        <v>718</v>
      </c>
    </row>
    <row r="7" customFormat="false" ht="15" hidden="false" customHeight="false" outlineLevel="0" collapsed="false">
      <c r="A7" s="1" t="s">
        <v>742</v>
      </c>
      <c r="B7" s="1" t="s">
        <v>743</v>
      </c>
      <c r="C7" s="1" t="s">
        <v>744</v>
      </c>
      <c r="D7" s="2" t="n">
        <v>35440</v>
      </c>
      <c r="E7" s="1" t="s">
        <v>710</v>
      </c>
      <c r="F7" s="1" t="s">
        <v>711</v>
      </c>
      <c r="G7" s="1" t="s">
        <v>722</v>
      </c>
      <c r="H7" s="1" t="s">
        <v>713</v>
      </c>
      <c r="I7" s="1" t="s">
        <v>714</v>
      </c>
      <c r="J7" s="1" t="s">
        <v>745</v>
      </c>
      <c r="K7" s="1" t="s">
        <v>746</v>
      </c>
      <c r="L7" s="1" t="s">
        <v>747</v>
      </c>
      <c r="M7" s="1" t="s">
        <v>718</v>
      </c>
    </row>
    <row r="8" customFormat="false" ht="15" hidden="false" customHeight="false" outlineLevel="0" collapsed="false">
      <c r="A8" s="1" t="s">
        <v>748</v>
      </c>
      <c r="B8" s="1" t="s">
        <v>749</v>
      </c>
      <c r="C8" s="1" t="s">
        <v>750</v>
      </c>
      <c r="D8" s="2" t="n">
        <v>35499</v>
      </c>
      <c r="E8" s="1" t="s">
        <v>710</v>
      </c>
      <c r="F8" s="1" t="s">
        <v>711</v>
      </c>
      <c r="G8" s="1" t="s">
        <v>712</v>
      </c>
      <c r="H8" s="1" t="s">
        <v>713</v>
      </c>
      <c r="I8" s="1" t="s">
        <v>714</v>
      </c>
      <c r="J8" s="1" t="s">
        <v>751</v>
      </c>
      <c r="K8" s="1" t="s">
        <v>752</v>
      </c>
      <c r="L8" s="1" t="s">
        <v>753</v>
      </c>
      <c r="M8" s="1" t="s">
        <v>718</v>
      </c>
    </row>
    <row r="9" customFormat="false" ht="15" hidden="false" customHeight="false" outlineLevel="0" collapsed="false">
      <c r="A9" s="1" t="s">
        <v>754</v>
      </c>
      <c r="B9" s="1" t="s">
        <v>755</v>
      </c>
      <c r="C9" s="1" t="s">
        <v>756</v>
      </c>
      <c r="D9" s="2" t="n">
        <v>37245</v>
      </c>
      <c r="E9" s="1" t="s">
        <v>710</v>
      </c>
      <c r="F9" s="1" t="s">
        <v>711</v>
      </c>
      <c r="G9" s="1" t="s">
        <v>712</v>
      </c>
      <c r="H9" s="1" t="s">
        <v>713</v>
      </c>
      <c r="I9" s="1" t="s">
        <v>714</v>
      </c>
      <c r="J9" s="1" t="s">
        <v>757</v>
      </c>
      <c r="K9" s="1" t="s">
        <v>758</v>
      </c>
      <c r="L9" s="1" t="s">
        <v>759</v>
      </c>
      <c r="M9" s="1" t="s">
        <v>718</v>
      </c>
    </row>
    <row r="10" customFormat="false" ht="15" hidden="false" customHeight="false" outlineLevel="0" collapsed="false">
      <c r="A10" s="1" t="s">
        <v>760</v>
      </c>
      <c r="B10" s="1" t="s">
        <v>761</v>
      </c>
      <c r="C10" s="1" t="s">
        <v>762</v>
      </c>
      <c r="D10" s="2" t="n">
        <v>35212</v>
      </c>
      <c r="E10" s="1" t="s">
        <v>763</v>
      </c>
      <c r="F10" s="1" t="s">
        <v>711</v>
      </c>
      <c r="G10" s="1" t="s">
        <v>722</v>
      </c>
      <c r="H10" s="1" t="s">
        <v>713</v>
      </c>
      <c r="I10" s="1" t="s">
        <v>714</v>
      </c>
      <c r="J10" s="1" t="s">
        <v>764</v>
      </c>
      <c r="K10" s="1" t="s">
        <v>716</v>
      </c>
      <c r="L10" s="1" t="s">
        <v>765</v>
      </c>
      <c r="M10" s="1" t="s">
        <v>718</v>
      </c>
    </row>
    <row r="11" customFormat="false" ht="15" hidden="false" customHeight="false" outlineLevel="0" collapsed="false">
      <c r="A11" s="1" t="s">
        <v>766</v>
      </c>
      <c r="B11" s="1" t="s">
        <v>767</v>
      </c>
      <c r="C11" s="1" t="s">
        <v>768</v>
      </c>
      <c r="D11" s="2" t="n">
        <v>35263</v>
      </c>
      <c r="E11" s="1" t="s">
        <v>710</v>
      </c>
      <c r="F11" s="1" t="s">
        <v>711</v>
      </c>
      <c r="G11" s="1" t="s">
        <v>722</v>
      </c>
      <c r="H11" s="1" t="s">
        <v>713</v>
      </c>
      <c r="I11" s="1" t="s">
        <v>714</v>
      </c>
      <c r="J11" s="1" t="s">
        <v>769</v>
      </c>
      <c r="K11" s="1" t="s">
        <v>770</v>
      </c>
      <c r="L11" s="1" t="s">
        <v>771</v>
      </c>
      <c r="M11" s="1" t="s">
        <v>718</v>
      </c>
    </row>
    <row r="12" customFormat="false" ht="15" hidden="false" customHeight="false" outlineLevel="0" collapsed="false">
      <c r="A12" s="1" t="s">
        <v>772</v>
      </c>
      <c r="B12" s="1" t="s">
        <v>773</v>
      </c>
      <c r="C12" s="1" t="s">
        <v>774</v>
      </c>
      <c r="D12" s="2" t="n">
        <v>35398</v>
      </c>
      <c r="E12" s="1" t="s">
        <v>710</v>
      </c>
      <c r="F12" s="1" t="s">
        <v>711</v>
      </c>
      <c r="G12" s="1" t="s">
        <v>775</v>
      </c>
      <c r="H12" s="1" t="s">
        <v>713</v>
      </c>
      <c r="I12" s="1" t="s">
        <v>714</v>
      </c>
      <c r="J12" s="1" t="s">
        <v>716</v>
      </c>
      <c r="K12" s="1" t="s">
        <v>716</v>
      </c>
      <c r="L12" s="1" t="s">
        <v>776</v>
      </c>
      <c r="M12" s="1" t="s">
        <v>718</v>
      </c>
    </row>
    <row r="13" customFormat="false" ht="15" hidden="false" customHeight="false" outlineLevel="0" collapsed="false">
      <c r="A13" s="1" t="s">
        <v>777</v>
      </c>
      <c r="B13" s="1" t="s">
        <v>778</v>
      </c>
      <c r="C13" s="1" t="s">
        <v>779</v>
      </c>
      <c r="D13" s="2" t="n">
        <v>35691</v>
      </c>
      <c r="E13" s="1" t="s">
        <v>710</v>
      </c>
      <c r="F13" s="1" t="s">
        <v>711</v>
      </c>
      <c r="G13" s="1" t="s">
        <v>712</v>
      </c>
      <c r="H13" s="1" t="s">
        <v>713</v>
      </c>
      <c r="I13" s="1" t="s">
        <v>714</v>
      </c>
      <c r="J13" s="1" t="s">
        <v>780</v>
      </c>
      <c r="K13" s="1" t="s">
        <v>781</v>
      </c>
      <c r="L13" s="1" t="s">
        <v>782</v>
      </c>
      <c r="M13" s="1" t="s">
        <v>718</v>
      </c>
    </row>
    <row r="14" customFormat="false" ht="15" hidden="false" customHeight="false" outlineLevel="0" collapsed="false">
      <c r="A14" s="1" t="s">
        <v>783</v>
      </c>
      <c r="B14" s="1" t="s">
        <v>784</v>
      </c>
      <c r="C14" s="1" t="s">
        <v>785</v>
      </c>
      <c r="D14" s="2" t="n">
        <v>35232</v>
      </c>
      <c r="E14" s="1" t="s">
        <v>710</v>
      </c>
      <c r="F14" s="1" t="s">
        <v>711</v>
      </c>
      <c r="G14" s="1" t="s">
        <v>712</v>
      </c>
      <c r="H14" s="1" t="s">
        <v>713</v>
      </c>
      <c r="I14" s="1" t="s">
        <v>714</v>
      </c>
      <c r="J14" s="1" t="s">
        <v>780</v>
      </c>
      <c r="K14" s="1" t="s">
        <v>716</v>
      </c>
      <c r="L14" s="1" t="s">
        <v>786</v>
      </c>
      <c r="M14" s="1" t="s">
        <v>718</v>
      </c>
    </row>
    <row r="15" customFormat="false" ht="15" hidden="false" customHeight="false" outlineLevel="0" collapsed="false">
      <c r="A15" s="1" t="s">
        <v>787</v>
      </c>
      <c r="B15" s="1" t="s">
        <v>788</v>
      </c>
      <c r="C15" s="1" t="s">
        <v>789</v>
      </c>
      <c r="D15" s="2" t="n">
        <v>35754</v>
      </c>
      <c r="E15" s="1" t="s">
        <v>763</v>
      </c>
      <c r="F15" s="1" t="s">
        <v>711</v>
      </c>
      <c r="G15" s="1" t="s">
        <v>722</v>
      </c>
      <c r="H15" s="1" t="s">
        <v>713</v>
      </c>
      <c r="I15" s="1" t="s">
        <v>714</v>
      </c>
      <c r="J15" s="1" t="s">
        <v>790</v>
      </c>
      <c r="K15" s="1" t="s">
        <v>791</v>
      </c>
      <c r="L15" s="1" t="s">
        <v>792</v>
      </c>
      <c r="M15" s="1" t="s">
        <v>718</v>
      </c>
    </row>
    <row r="16" customFormat="false" ht="15" hidden="false" customHeight="false" outlineLevel="0" collapsed="false">
      <c r="A16" s="1" t="s">
        <v>793</v>
      </c>
      <c r="B16" s="1" t="s">
        <v>727</v>
      </c>
      <c r="C16" s="1" t="s">
        <v>794</v>
      </c>
      <c r="D16" s="2" t="n">
        <v>35307</v>
      </c>
      <c r="E16" s="1" t="s">
        <v>710</v>
      </c>
      <c r="F16" s="1" t="s">
        <v>711</v>
      </c>
      <c r="G16" s="1" t="s">
        <v>722</v>
      </c>
      <c r="H16" s="1" t="s">
        <v>713</v>
      </c>
      <c r="I16" s="1" t="s">
        <v>714</v>
      </c>
      <c r="J16" s="1" t="s">
        <v>795</v>
      </c>
      <c r="K16" s="1" t="s">
        <v>796</v>
      </c>
      <c r="L16" s="1" t="s">
        <v>797</v>
      </c>
      <c r="M16" s="1" t="s">
        <v>718</v>
      </c>
    </row>
    <row r="17" customFormat="false" ht="15" hidden="false" customHeight="false" outlineLevel="0" collapsed="false">
      <c r="A17" s="1" t="s">
        <v>798</v>
      </c>
      <c r="B17" s="1" t="s">
        <v>799</v>
      </c>
      <c r="C17" s="1" t="s">
        <v>800</v>
      </c>
      <c r="D17" s="2" t="n">
        <v>35859</v>
      </c>
      <c r="E17" s="1" t="s">
        <v>710</v>
      </c>
      <c r="F17" s="1" t="s">
        <v>711</v>
      </c>
      <c r="G17" s="1" t="s">
        <v>722</v>
      </c>
      <c r="H17" s="1" t="s">
        <v>713</v>
      </c>
      <c r="I17" s="1" t="s">
        <v>714</v>
      </c>
      <c r="J17" s="1" t="s">
        <v>716</v>
      </c>
      <c r="K17" s="1" t="s">
        <v>716</v>
      </c>
      <c r="L17" s="1" t="s">
        <v>801</v>
      </c>
      <c r="M17" s="1" t="s">
        <v>718</v>
      </c>
    </row>
    <row r="18" customFormat="false" ht="15" hidden="false" customHeight="false" outlineLevel="0" collapsed="false">
      <c r="A18" s="1" t="s">
        <v>802</v>
      </c>
      <c r="B18" s="1" t="s">
        <v>803</v>
      </c>
      <c r="C18" s="1" t="s">
        <v>804</v>
      </c>
      <c r="D18" s="2" t="n">
        <v>35913</v>
      </c>
      <c r="E18" s="1" t="s">
        <v>710</v>
      </c>
      <c r="F18" s="1" t="s">
        <v>711</v>
      </c>
      <c r="G18" s="1" t="s">
        <v>722</v>
      </c>
      <c r="H18" s="1" t="s">
        <v>713</v>
      </c>
      <c r="I18" s="1" t="s">
        <v>714</v>
      </c>
      <c r="J18" s="1" t="s">
        <v>805</v>
      </c>
      <c r="K18" s="1" t="s">
        <v>716</v>
      </c>
      <c r="L18" s="1" t="s">
        <v>806</v>
      </c>
      <c r="M18" s="1" t="s">
        <v>718</v>
      </c>
    </row>
    <row r="19" customFormat="false" ht="15" hidden="false" customHeight="false" outlineLevel="0" collapsed="false">
      <c r="A19" s="1" t="s">
        <v>807</v>
      </c>
      <c r="B19" s="1" t="s">
        <v>808</v>
      </c>
      <c r="C19" s="1" t="s">
        <v>809</v>
      </c>
      <c r="D19" s="2" t="n">
        <v>35910</v>
      </c>
      <c r="E19" s="1" t="s">
        <v>763</v>
      </c>
      <c r="F19" s="1" t="s">
        <v>711</v>
      </c>
      <c r="G19" s="1" t="s">
        <v>722</v>
      </c>
      <c r="H19" s="1" t="s">
        <v>713</v>
      </c>
      <c r="I19" s="1" t="s">
        <v>714</v>
      </c>
      <c r="J19" s="1" t="s">
        <v>810</v>
      </c>
      <c r="K19" s="1" t="s">
        <v>811</v>
      </c>
      <c r="L19" s="1" t="s">
        <v>812</v>
      </c>
      <c r="M19" s="1" t="s">
        <v>718</v>
      </c>
    </row>
    <row r="20" customFormat="false" ht="15" hidden="false" customHeight="false" outlineLevel="0" collapsed="false">
      <c r="A20" s="1" t="s">
        <v>813</v>
      </c>
      <c r="B20" s="1" t="s">
        <v>814</v>
      </c>
      <c r="C20" s="1" t="s">
        <v>815</v>
      </c>
      <c r="D20" s="2" t="n">
        <v>35916</v>
      </c>
      <c r="E20" s="1" t="s">
        <v>710</v>
      </c>
      <c r="F20" s="1" t="s">
        <v>711</v>
      </c>
      <c r="G20" s="1" t="s">
        <v>712</v>
      </c>
      <c r="H20" s="1" t="s">
        <v>713</v>
      </c>
      <c r="I20" s="1" t="s">
        <v>714</v>
      </c>
      <c r="J20" s="1" t="s">
        <v>740</v>
      </c>
      <c r="K20" s="1" t="s">
        <v>816</v>
      </c>
      <c r="L20" s="1" t="s">
        <v>817</v>
      </c>
      <c r="M20" s="1" t="s">
        <v>718</v>
      </c>
    </row>
    <row r="21" customFormat="false" ht="15" hidden="false" customHeight="false" outlineLevel="0" collapsed="false">
      <c r="A21" s="1" t="s">
        <v>818</v>
      </c>
      <c r="B21" s="1" t="s">
        <v>819</v>
      </c>
      <c r="C21" s="1" t="s">
        <v>820</v>
      </c>
      <c r="D21" s="2" t="n">
        <v>35906</v>
      </c>
      <c r="E21" s="1" t="s">
        <v>763</v>
      </c>
      <c r="F21" s="1" t="s">
        <v>711</v>
      </c>
      <c r="G21" s="1" t="s">
        <v>722</v>
      </c>
      <c r="H21" s="1" t="s">
        <v>713</v>
      </c>
      <c r="I21" s="1" t="s">
        <v>714</v>
      </c>
      <c r="J21" s="1" t="s">
        <v>821</v>
      </c>
      <c r="K21" s="1" t="s">
        <v>716</v>
      </c>
      <c r="L21" s="1" t="s">
        <v>822</v>
      </c>
      <c r="M21" s="1" t="s">
        <v>718</v>
      </c>
    </row>
    <row r="22" customFormat="false" ht="15" hidden="false" customHeight="false" outlineLevel="0" collapsed="false">
      <c r="A22" s="1" t="s">
        <v>823</v>
      </c>
      <c r="B22" s="1" t="s">
        <v>824</v>
      </c>
      <c r="C22" s="1" t="s">
        <v>825</v>
      </c>
      <c r="D22" s="2" t="n">
        <v>35329</v>
      </c>
      <c r="E22" s="1" t="s">
        <v>710</v>
      </c>
      <c r="F22" s="1" t="s">
        <v>711</v>
      </c>
      <c r="G22" s="1" t="s">
        <v>722</v>
      </c>
      <c r="H22" s="1" t="s">
        <v>713</v>
      </c>
      <c r="I22" s="1" t="s">
        <v>714</v>
      </c>
      <c r="J22" s="1" t="s">
        <v>826</v>
      </c>
      <c r="K22" s="1" t="s">
        <v>827</v>
      </c>
      <c r="L22" s="1" t="s">
        <v>828</v>
      </c>
      <c r="M22" s="1" t="s">
        <v>718</v>
      </c>
    </row>
    <row r="23" customFormat="false" ht="15" hidden="false" customHeight="false" outlineLevel="0" collapsed="false">
      <c r="A23" s="1" t="s">
        <v>829</v>
      </c>
      <c r="B23" s="1" t="s">
        <v>830</v>
      </c>
      <c r="C23" s="1" t="s">
        <v>831</v>
      </c>
      <c r="D23" s="2" t="n">
        <v>35277</v>
      </c>
      <c r="E23" s="1" t="s">
        <v>710</v>
      </c>
      <c r="F23" s="1" t="s">
        <v>711</v>
      </c>
      <c r="G23" s="1" t="s">
        <v>712</v>
      </c>
      <c r="H23" s="1" t="s">
        <v>713</v>
      </c>
      <c r="I23" s="1" t="s">
        <v>714</v>
      </c>
      <c r="J23" s="1" t="s">
        <v>832</v>
      </c>
      <c r="K23" s="1" t="s">
        <v>833</v>
      </c>
      <c r="L23" s="1" t="s">
        <v>834</v>
      </c>
      <c r="M23" s="1" t="s">
        <v>718</v>
      </c>
    </row>
    <row r="24" customFormat="false" ht="15" hidden="false" customHeight="false" outlineLevel="0" collapsed="false">
      <c r="A24" s="1" t="s">
        <v>835</v>
      </c>
      <c r="B24" s="1" t="s">
        <v>836</v>
      </c>
      <c r="C24" s="1" t="s">
        <v>837</v>
      </c>
      <c r="D24" s="2" t="n">
        <v>35909</v>
      </c>
      <c r="E24" s="1" t="s">
        <v>710</v>
      </c>
      <c r="F24" s="1" t="s">
        <v>711</v>
      </c>
      <c r="G24" s="1" t="s">
        <v>722</v>
      </c>
      <c r="H24" s="1" t="s">
        <v>713</v>
      </c>
      <c r="I24" s="1" t="s">
        <v>714</v>
      </c>
      <c r="J24" s="1" t="s">
        <v>838</v>
      </c>
      <c r="K24" s="1" t="s">
        <v>716</v>
      </c>
      <c r="L24" s="1" t="s">
        <v>839</v>
      </c>
      <c r="M24" s="1" t="s">
        <v>718</v>
      </c>
    </row>
    <row r="25" customFormat="false" ht="15" hidden="false" customHeight="false" outlineLevel="0" collapsed="false">
      <c r="A25" s="1" t="s">
        <v>840</v>
      </c>
      <c r="B25" s="1" t="s">
        <v>841</v>
      </c>
      <c r="C25" s="1" t="s">
        <v>842</v>
      </c>
      <c r="D25" s="2" t="n">
        <v>35501</v>
      </c>
      <c r="E25" s="1" t="s">
        <v>710</v>
      </c>
      <c r="F25" s="1" t="s">
        <v>711</v>
      </c>
      <c r="G25" s="1" t="s">
        <v>722</v>
      </c>
      <c r="H25" s="1" t="s">
        <v>713</v>
      </c>
      <c r="I25" s="1" t="s">
        <v>714</v>
      </c>
      <c r="J25" s="1" t="s">
        <v>838</v>
      </c>
      <c r="K25" s="1" t="s">
        <v>716</v>
      </c>
      <c r="L25" s="1" t="s">
        <v>843</v>
      </c>
      <c r="M25" s="1" t="s">
        <v>718</v>
      </c>
    </row>
    <row r="26" customFormat="false" ht="15" hidden="false" customHeight="false" outlineLevel="0" collapsed="false">
      <c r="A26" s="1" t="s">
        <v>844</v>
      </c>
      <c r="B26" s="1" t="s">
        <v>845</v>
      </c>
      <c r="C26" s="1" t="s">
        <v>750</v>
      </c>
      <c r="D26" s="2" t="n">
        <v>35151</v>
      </c>
      <c r="E26" s="1" t="s">
        <v>710</v>
      </c>
      <c r="F26" s="1" t="s">
        <v>711</v>
      </c>
      <c r="G26" s="1" t="s">
        <v>722</v>
      </c>
      <c r="H26" s="1" t="s">
        <v>713</v>
      </c>
      <c r="I26" s="1" t="s">
        <v>714</v>
      </c>
      <c r="J26" s="1" t="s">
        <v>734</v>
      </c>
      <c r="K26" s="1" t="s">
        <v>716</v>
      </c>
      <c r="L26" s="1" t="s">
        <v>846</v>
      </c>
      <c r="M26" s="1" t="s">
        <v>718</v>
      </c>
    </row>
    <row r="27" customFormat="false" ht="15" hidden="false" customHeight="false" outlineLevel="0" collapsed="false">
      <c r="A27" s="1" t="s">
        <v>847</v>
      </c>
      <c r="B27" s="1" t="s">
        <v>848</v>
      </c>
      <c r="C27" s="1" t="s">
        <v>849</v>
      </c>
      <c r="D27" s="2" t="n">
        <v>36073</v>
      </c>
      <c r="E27" s="1" t="s">
        <v>710</v>
      </c>
      <c r="F27" s="1" t="s">
        <v>711</v>
      </c>
      <c r="G27" s="1" t="s">
        <v>712</v>
      </c>
      <c r="H27" s="1" t="s">
        <v>713</v>
      </c>
      <c r="I27" s="1" t="s">
        <v>714</v>
      </c>
      <c r="J27" s="1" t="s">
        <v>734</v>
      </c>
      <c r="K27" s="1" t="s">
        <v>850</v>
      </c>
      <c r="L27" s="1" t="s">
        <v>851</v>
      </c>
      <c r="M27" s="1" t="s">
        <v>718</v>
      </c>
    </row>
    <row r="28" customFormat="false" ht="15" hidden="false" customHeight="false" outlineLevel="0" collapsed="false">
      <c r="A28" s="1" t="s">
        <v>852</v>
      </c>
      <c r="B28" s="1" t="s">
        <v>853</v>
      </c>
      <c r="C28" s="1" t="s">
        <v>854</v>
      </c>
      <c r="D28" s="2" t="n">
        <v>36106</v>
      </c>
      <c r="E28" s="1" t="s">
        <v>710</v>
      </c>
      <c r="F28" s="1" t="s">
        <v>711</v>
      </c>
      <c r="G28" s="1" t="s">
        <v>722</v>
      </c>
      <c r="H28" s="1" t="s">
        <v>713</v>
      </c>
      <c r="I28" s="1" t="s">
        <v>714</v>
      </c>
      <c r="J28" s="1" t="s">
        <v>745</v>
      </c>
      <c r="K28" s="1" t="s">
        <v>855</v>
      </c>
      <c r="L28" s="1" t="s">
        <v>856</v>
      </c>
      <c r="M28" s="1" t="s">
        <v>718</v>
      </c>
    </row>
    <row r="29" customFormat="false" ht="15" hidden="false" customHeight="false" outlineLevel="0" collapsed="false">
      <c r="A29" s="1" t="s">
        <v>857</v>
      </c>
      <c r="B29" s="1" t="s">
        <v>858</v>
      </c>
      <c r="C29" s="1" t="s">
        <v>750</v>
      </c>
      <c r="D29" s="2" t="n">
        <v>36185</v>
      </c>
      <c r="E29" s="1" t="s">
        <v>710</v>
      </c>
      <c r="F29" s="1" t="s">
        <v>711</v>
      </c>
      <c r="G29" s="1" t="s">
        <v>722</v>
      </c>
      <c r="H29" s="1" t="s">
        <v>713</v>
      </c>
      <c r="I29" s="1" t="s">
        <v>714</v>
      </c>
      <c r="J29" s="1" t="s">
        <v>859</v>
      </c>
      <c r="K29" s="1" t="s">
        <v>716</v>
      </c>
      <c r="L29" s="1" t="s">
        <v>860</v>
      </c>
      <c r="M29" s="1" t="s">
        <v>718</v>
      </c>
    </row>
    <row r="30" customFormat="false" ht="15" hidden="false" customHeight="false" outlineLevel="0" collapsed="false">
      <c r="A30" s="1" t="s">
        <v>861</v>
      </c>
      <c r="B30" s="1" t="s">
        <v>862</v>
      </c>
      <c r="C30" s="1" t="s">
        <v>863</v>
      </c>
      <c r="D30" s="2" t="n">
        <v>36190</v>
      </c>
      <c r="E30" s="1" t="s">
        <v>710</v>
      </c>
      <c r="F30" s="1" t="s">
        <v>711</v>
      </c>
      <c r="G30" s="1" t="s">
        <v>722</v>
      </c>
      <c r="H30" s="1" t="s">
        <v>713</v>
      </c>
      <c r="I30" s="1" t="s">
        <v>714</v>
      </c>
      <c r="J30" s="1" t="s">
        <v>864</v>
      </c>
      <c r="K30" s="1" t="s">
        <v>865</v>
      </c>
      <c r="L30" s="1" t="s">
        <v>866</v>
      </c>
      <c r="M30" s="1" t="s">
        <v>718</v>
      </c>
    </row>
    <row r="31" customFormat="false" ht="15" hidden="false" customHeight="false" outlineLevel="0" collapsed="false">
      <c r="A31" s="1" t="s">
        <v>867</v>
      </c>
      <c r="B31" s="1" t="s">
        <v>868</v>
      </c>
      <c r="C31" s="1" t="s">
        <v>869</v>
      </c>
      <c r="D31" s="2" t="n">
        <v>35761</v>
      </c>
      <c r="E31" s="1" t="s">
        <v>710</v>
      </c>
      <c r="F31" s="1" t="s">
        <v>711</v>
      </c>
      <c r="G31" s="1" t="s">
        <v>722</v>
      </c>
      <c r="H31" s="1" t="s">
        <v>713</v>
      </c>
      <c r="I31" s="1" t="s">
        <v>714</v>
      </c>
      <c r="J31" s="1" t="s">
        <v>870</v>
      </c>
      <c r="K31" s="1" t="s">
        <v>871</v>
      </c>
      <c r="L31" s="1" t="s">
        <v>872</v>
      </c>
      <c r="M31" s="1" t="s">
        <v>718</v>
      </c>
    </row>
    <row r="32" customFormat="false" ht="15" hidden="false" customHeight="false" outlineLevel="0" collapsed="false">
      <c r="A32" s="1" t="s">
        <v>873</v>
      </c>
      <c r="B32" s="1" t="s">
        <v>874</v>
      </c>
      <c r="C32" s="1" t="s">
        <v>875</v>
      </c>
      <c r="D32" s="2" t="n">
        <v>35660</v>
      </c>
      <c r="E32" s="1" t="s">
        <v>710</v>
      </c>
      <c r="F32" s="1" t="s">
        <v>711</v>
      </c>
      <c r="G32" s="1" t="s">
        <v>722</v>
      </c>
      <c r="H32" s="1" t="s">
        <v>713</v>
      </c>
      <c r="I32" s="1" t="s">
        <v>714</v>
      </c>
      <c r="J32" s="1" t="s">
        <v>715</v>
      </c>
      <c r="K32" s="1" t="s">
        <v>876</v>
      </c>
      <c r="L32" s="1" t="s">
        <v>877</v>
      </c>
      <c r="M32" s="1" t="s">
        <v>718</v>
      </c>
    </row>
    <row r="33" customFormat="false" ht="15" hidden="false" customHeight="false" outlineLevel="0" collapsed="false">
      <c r="A33" s="1" t="s">
        <v>878</v>
      </c>
      <c r="B33" s="1" t="s">
        <v>879</v>
      </c>
      <c r="C33" s="1" t="s">
        <v>774</v>
      </c>
      <c r="D33" s="2" t="n">
        <v>36129</v>
      </c>
      <c r="E33" s="1" t="s">
        <v>710</v>
      </c>
      <c r="F33" s="1" t="s">
        <v>711</v>
      </c>
      <c r="G33" s="1" t="s">
        <v>722</v>
      </c>
      <c r="H33" s="1" t="s">
        <v>713</v>
      </c>
      <c r="I33" s="1" t="s">
        <v>714</v>
      </c>
      <c r="J33" s="1" t="s">
        <v>880</v>
      </c>
      <c r="K33" s="1" t="s">
        <v>881</v>
      </c>
      <c r="L33" s="1" t="s">
        <v>882</v>
      </c>
      <c r="M33" s="1" t="s">
        <v>718</v>
      </c>
    </row>
    <row r="34" customFormat="false" ht="15" hidden="false" customHeight="false" outlineLevel="0" collapsed="false">
      <c r="A34" s="1" t="s">
        <v>883</v>
      </c>
      <c r="B34" s="1" t="s">
        <v>884</v>
      </c>
      <c r="C34" s="1" t="s">
        <v>885</v>
      </c>
      <c r="D34" s="2" t="n">
        <v>35913</v>
      </c>
      <c r="E34" s="1" t="s">
        <v>710</v>
      </c>
      <c r="F34" s="1" t="s">
        <v>711</v>
      </c>
      <c r="G34" s="1" t="s">
        <v>722</v>
      </c>
      <c r="H34" s="1" t="s">
        <v>713</v>
      </c>
      <c r="I34" s="1" t="s">
        <v>714</v>
      </c>
      <c r="J34" s="1" t="s">
        <v>886</v>
      </c>
      <c r="K34" s="1" t="s">
        <v>887</v>
      </c>
      <c r="L34" s="1" t="s">
        <v>888</v>
      </c>
      <c r="M34" s="1" t="s">
        <v>718</v>
      </c>
    </row>
    <row r="35" customFormat="false" ht="15" hidden="false" customHeight="false" outlineLevel="0" collapsed="false">
      <c r="A35" s="1" t="s">
        <v>889</v>
      </c>
      <c r="B35" s="1" t="s">
        <v>890</v>
      </c>
      <c r="C35" s="1" t="s">
        <v>891</v>
      </c>
      <c r="D35" s="2" t="n">
        <v>36924</v>
      </c>
      <c r="E35" s="1" t="s">
        <v>763</v>
      </c>
      <c r="F35" s="1" t="s">
        <v>711</v>
      </c>
      <c r="G35" s="1" t="s">
        <v>712</v>
      </c>
      <c r="H35" s="1" t="s">
        <v>713</v>
      </c>
      <c r="I35" s="1" t="s">
        <v>714</v>
      </c>
      <c r="J35" s="1" t="s">
        <v>892</v>
      </c>
      <c r="K35" s="1" t="s">
        <v>716</v>
      </c>
      <c r="L35" s="1" t="s">
        <v>893</v>
      </c>
      <c r="M35" s="1" t="s">
        <v>718</v>
      </c>
    </row>
    <row r="36" customFormat="false" ht="15" hidden="false" customHeight="false" outlineLevel="0" collapsed="false">
      <c r="A36" s="1" t="s">
        <v>894</v>
      </c>
      <c r="B36" s="1" t="s">
        <v>895</v>
      </c>
      <c r="C36" s="1" t="s">
        <v>896</v>
      </c>
      <c r="D36" s="2" t="n">
        <v>35606</v>
      </c>
      <c r="E36" s="1" t="s">
        <v>710</v>
      </c>
      <c r="F36" s="1" t="s">
        <v>711</v>
      </c>
      <c r="G36" s="1" t="s">
        <v>897</v>
      </c>
      <c r="H36" s="1" t="s">
        <v>713</v>
      </c>
      <c r="I36" s="1" t="s">
        <v>714</v>
      </c>
      <c r="J36" s="1" t="s">
        <v>734</v>
      </c>
      <c r="K36" s="1" t="s">
        <v>716</v>
      </c>
      <c r="L36" s="1" t="s">
        <v>898</v>
      </c>
      <c r="M36" s="1" t="s">
        <v>718</v>
      </c>
    </row>
    <row r="37" customFormat="false" ht="15" hidden="false" customHeight="false" outlineLevel="0" collapsed="false">
      <c r="A37" s="1" t="s">
        <v>899</v>
      </c>
      <c r="B37" s="1" t="s">
        <v>900</v>
      </c>
      <c r="C37" s="1" t="s">
        <v>901</v>
      </c>
      <c r="D37" s="2" t="n">
        <v>35542</v>
      </c>
      <c r="E37" s="1" t="s">
        <v>710</v>
      </c>
      <c r="F37" s="1" t="s">
        <v>711</v>
      </c>
      <c r="G37" s="1" t="s">
        <v>712</v>
      </c>
      <c r="H37" s="1" t="s">
        <v>713</v>
      </c>
      <c r="I37" s="1" t="s">
        <v>714</v>
      </c>
      <c r="J37" s="1" t="s">
        <v>902</v>
      </c>
      <c r="K37" s="1" t="s">
        <v>903</v>
      </c>
      <c r="L37" s="1" t="s">
        <v>904</v>
      </c>
      <c r="M37" s="1" t="s">
        <v>718</v>
      </c>
    </row>
    <row r="38" customFormat="false" ht="15" hidden="false" customHeight="false" outlineLevel="0" collapsed="false">
      <c r="A38" s="1" t="s">
        <v>905</v>
      </c>
      <c r="B38" s="1" t="s">
        <v>906</v>
      </c>
      <c r="C38" s="1" t="s">
        <v>907</v>
      </c>
      <c r="D38" s="2" t="n">
        <v>35896</v>
      </c>
      <c r="E38" s="1" t="s">
        <v>710</v>
      </c>
      <c r="F38" s="1" t="s">
        <v>711</v>
      </c>
      <c r="G38" s="1" t="s">
        <v>722</v>
      </c>
      <c r="H38" s="1" t="s">
        <v>713</v>
      </c>
      <c r="I38" s="1" t="s">
        <v>714</v>
      </c>
      <c r="J38" s="1" t="s">
        <v>734</v>
      </c>
      <c r="K38" s="1" t="s">
        <v>716</v>
      </c>
      <c r="L38" s="1" t="s">
        <v>908</v>
      </c>
      <c r="M38" s="1" t="s">
        <v>718</v>
      </c>
    </row>
    <row r="39" customFormat="false" ht="15" hidden="false" customHeight="false" outlineLevel="0" collapsed="false">
      <c r="A39" s="1" t="s">
        <v>909</v>
      </c>
      <c r="B39" s="1" t="s">
        <v>910</v>
      </c>
      <c r="C39" s="1" t="s">
        <v>911</v>
      </c>
      <c r="D39" s="2" t="n">
        <v>35701</v>
      </c>
      <c r="E39" s="1" t="s">
        <v>710</v>
      </c>
      <c r="F39" s="1" t="s">
        <v>711</v>
      </c>
      <c r="G39" s="1" t="s">
        <v>712</v>
      </c>
      <c r="H39" s="1" t="s">
        <v>713</v>
      </c>
      <c r="I39" s="1" t="s">
        <v>714</v>
      </c>
      <c r="J39" s="1" t="s">
        <v>764</v>
      </c>
      <c r="K39" s="1" t="s">
        <v>912</v>
      </c>
      <c r="L39" s="1" t="s">
        <v>913</v>
      </c>
      <c r="M39" s="1" t="s">
        <v>718</v>
      </c>
    </row>
    <row r="40" customFormat="false" ht="15" hidden="false" customHeight="false" outlineLevel="0" collapsed="false">
      <c r="A40" s="1" t="s">
        <v>914</v>
      </c>
      <c r="B40" s="1" t="s">
        <v>915</v>
      </c>
      <c r="C40" s="1" t="s">
        <v>916</v>
      </c>
      <c r="D40" s="2" t="n">
        <v>35618</v>
      </c>
      <c r="E40" s="1" t="s">
        <v>710</v>
      </c>
      <c r="F40" s="1" t="s">
        <v>711</v>
      </c>
      <c r="G40" s="1" t="s">
        <v>722</v>
      </c>
      <c r="H40" s="1" t="s">
        <v>713</v>
      </c>
      <c r="I40" s="1" t="s">
        <v>714</v>
      </c>
      <c r="J40" s="1" t="s">
        <v>917</v>
      </c>
      <c r="K40" s="1" t="s">
        <v>918</v>
      </c>
      <c r="L40" s="1" t="s">
        <v>919</v>
      </c>
      <c r="M40" s="1" t="s">
        <v>718</v>
      </c>
    </row>
    <row r="41" customFormat="false" ht="15" hidden="false" customHeight="false" outlineLevel="0" collapsed="false">
      <c r="A41" s="1" t="s">
        <v>920</v>
      </c>
      <c r="B41" s="1" t="s">
        <v>921</v>
      </c>
      <c r="C41" s="1" t="s">
        <v>922</v>
      </c>
      <c r="D41" s="2" t="n">
        <v>35943</v>
      </c>
      <c r="E41" s="1" t="s">
        <v>710</v>
      </c>
      <c r="F41" s="1" t="s">
        <v>711</v>
      </c>
      <c r="G41" s="1" t="s">
        <v>712</v>
      </c>
      <c r="H41" s="1" t="s">
        <v>713</v>
      </c>
      <c r="I41" s="1" t="s">
        <v>714</v>
      </c>
      <c r="J41" s="1" t="s">
        <v>734</v>
      </c>
      <c r="K41" s="1" t="s">
        <v>923</v>
      </c>
      <c r="L41" s="1" t="s">
        <v>924</v>
      </c>
      <c r="M41" s="1" t="s">
        <v>718</v>
      </c>
    </row>
    <row r="42" customFormat="false" ht="15" hidden="false" customHeight="false" outlineLevel="0" collapsed="false">
      <c r="A42" s="1" t="s">
        <v>925</v>
      </c>
      <c r="B42" s="1" t="s">
        <v>926</v>
      </c>
      <c r="C42" s="1" t="s">
        <v>927</v>
      </c>
      <c r="D42" s="2" t="n">
        <v>36364</v>
      </c>
      <c r="E42" s="1" t="s">
        <v>763</v>
      </c>
      <c r="F42" s="1" t="s">
        <v>711</v>
      </c>
      <c r="G42" s="1" t="s">
        <v>722</v>
      </c>
      <c r="H42" s="1" t="s">
        <v>713</v>
      </c>
      <c r="I42" s="1" t="s">
        <v>714</v>
      </c>
      <c r="J42" s="1" t="s">
        <v>928</v>
      </c>
      <c r="K42" s="1" t="s">
        <v>929</v>
      </c>
      <c r="L42" s="1" t="s">
        <v>930</v>
      </c>
      <c r="M42" s="1" t="s">
        <v>718</v>
      </c>
    </row>
    <row r="43" customFormat="false" ht="15" hidden="false" customHeight="false" outlineLevel="0" collapsed="false">
      <c r="A43" s="1" t="s">
        <v>931</v>
      </c>
      <c r="B43" s="1" t="s">
        <v>932</v>
      </c>
      <c r="C43" s="1" t="s">
        <v>804</v>
      </c>
      <c r="D43" s="2" t="n">
        <v>36450</v>
      </c>
      <c r="E43" s="1" t="s">
        <v>710</v>
      </c>
      <c r="F43" s="1" t="s">
        <v>711</v>
      </c>
      <c r="G43" s="1" t="s">
        <v>722</v>
      </c>
      <c r="H43" s="1" t="s">
        <v>713</v>
      </c>
      <c r="I43" s="1" t="s">
        <v>714</v>
      </c>
      <c r="J43" s="1" t="s">
        <v>716</v>
      </c>
      <c r="K43" s="1" t="s">
        <v>716</v>
      </c>
      <c r="L43" s="1" t="s">
        <v>933</v>
      </c>
      <c r="M43" s="1" t="s">
        <v>718</v>
      </c>
    </row>
    <row r="44" customFormat="false" ht="15" hidden="false" customHeight="false" outlineLevel="0" collapsed="false">
      <c r="A44" s="1" t="s">
        <v>934</v>
      </c>
      <c r="B44" s="1" t="s">
        <v>935</v>
      </c>
      <c r="C44" s="1" t="s">
        <v>936</v>
      </c>
      <c r="D44" s="2" t="n">
        <v>36396</v>
      </c>
      <c r="E44" s="1" t="s">
        <v>710</v>
      </c>
      <c r="F44" s="1" t="s">
        <v>711</v>
      </c>
      <c r="G44" s="1" t="s">
        <v>712</v>
      </c>
      <c r="H44" s="1" t="s">
        <v>713</v>
      </c>
      <c r="I44" s="1" t="s">
        <v>714</v>
      </c>
      <c r="J44" s="1" t="s">
        <v>928</v>
      </c>
      <c r="K44" s="1" t="s">
        <v>937</v>
      </c>
      <c r="L44" s="1" t="s">
        <v>938</v>
      </c>
      <c r="M44" s="1" t="s">
        <v>718</v>
      </c>
    </row>
    <row r="45" customFormat="false" ht="15" hidden="false" customHeight="false" outlineLevel="0" collapsed="false">
      <c r="A45" s="1" t="s">
        <v>939</v>
      </c>
      <c r="B45" s="1" t="s">
        <v>940</v>
      </c>
      <c r="C45" s="1" t="s">
        <v>941</v>
      </c>
      <c r="D45" s="2" t="n">
        <v>36213</v>
      </c>
      <c r="E45" s="1" t="s">
        <v>710</v>
      </c>
      <c r="F45" s="1" t="s">
        <v>711</v>
      </c>
      <c r="G45" s="1" t="s">
        <v>942</v>
      </c>
      <c r="H45" s="1" t="s">
        <v>713</v>
      </c>
      <c r="I45" s="1" t="s">
        <v>714</v>
      </c>
      <c r="J45" s="1" t="s">
        <v>928</v>
      </c>
      <c r="K45" s="1" t="s">
        <v>943</v>
      </c>
      <c r="L45" s="1" t="s">
        <v>944</v>
      </c>
      <c r="M45" s="1" t="s">
        <v>718</v>
      </c>
    </row>
    <row r="46" customFormat="false" ht="15" hidden="false" customHeight="false" outlineLevel="0" collapsed="false">
      <c r="A46" s="1" t="s">
        <v>945</v>
      </c>
      <c r="B46" s="1" t="s">
        <v>946</v>
      </c>
      <c r="C46" s="1" t="s">
        <v>750</v>
      </c>
      <c r="D46" s="2" t="n">
        <v>36006</v>
      </c>
      <c r="E46" s="1" t="s">
        <v>763</v>
      </c>
      <c r="F46" s="1" t="s">
        <v>711</v>
      </c>
      <c r="G46" s="1" t="s">
        <v>947</v>
      </c>
      <c r="H46" s="1" t="s">
        <v>713</v>
      </c>
      <c r="I46" s="1" t="s">
        <v>714</v>
      </c>
      <c r="J46" s="1" t="s">
        <v>948</v>
      </c>
      <c r="K46" s="1" t="s">
        <v>716</v>
      </c>
      <c r="L46" s="1" t="s">
        <v>949</v>
      </c>
      <c r="M46" s="1" t="s">
        <v>718</v>
      </c>
    </row>
    <row r="47" customFormat="false" ht="15" hidden="false" customHeight="false" outlineLevel="0" collapsed="false">
      <c r="A47" s="1" t="s">
        <v>950</v>
      </c>
      <c r="B47" s="1" t="s">
        <v>951</v>
      </c>
      <c r="C47" s="1" t="s">
        <v>952</v>
      </c>
      <c r="D47" s="2" t="n">
        <v>35932</v>
      </c>
      <c r="E47" s="1" t="s">
        <v>710</v>
      </c>
      <c r="F47" s="1" t="s">
        <v>711</v>
      </c>
      <c r="G47" s="1" t="s">
        <v>722</v>
      </c>
      <c r="H47" s="1" t="s">
        <v>713</v>
      </c>
      <c r="I47" s="1" t="s">
        <v>714</v>
      </c>
      <c r="J47" s="1" t="s">
        <v>953</v>
      </c>
      <c r="K47" s="1" t="s">
        <v>954</v>
      </c>
      <c r="L47" s="1" t="s">
        <v>955</v>
      </c>
      <c r="M47" s="1" t="s">
        <v>718</v>
      </c>
    </row>
    <row r="48" customFormat="false" ht="15" hidden="false" customHeight="false" outlineLevel="0" collapsed="false">
      <c r="A48" s="1" t="s">
        <v>956</v>
      </c>
      <c r="B48" s="1" t="s">
        <v>957</v>
      </c>
      <c r="C48" s="1" t="s">
        <v>958</v>
      </c>
      <c r="D48" s="2" t="n">
        <v>36435</v>
      </c>
      <c r="E48" s="1" t="s">
        <v>710</v>
      </c>
      <c r="F48" s="1" t="s">
        <v>711</v>
      </c>
      <c r="G48" s="1" t="s">
        <v>712</v>
      </c>
      <c r="H48" s="1" t="s">
        <v>713</v>
      </c>
      <c r="I48" s="1" t="s">
        <v>714</v>
      </c>
      <c r="J48" s="1" t="s">
        <v>959</v>
      </c>
      <c r="K48" s="1" t="s">
        <v>716</v>
      </c>
      <c r="L48" s="1" t="s">
        <v>960</v>
      </c>
      <c r="M48" s="1" t="s">
        <v>718</v>
      </c>
    </row>
    <row r="49" customFormat="false" ht="15" hidden="false" customHeight="false" outlineLevel="0" collapsed="false">
      <c r="A49" s="1" t="s">
        <v>961</v>
      </c>
      <c r="B49" s="1" t="s">
        <v>962</v>
      </c>
      <c r="C49" s="1" t="s">
        <v>963</v>
      </c>
      <c r="D49" s="2" t="n">
        <v>35725</v>
      </c>
      <c r="E49" s="1" t="s">
        <v>710</v>
      </c>
      <c r="F49" s="1" t="s">
        <v>711</v>
      </c>
      <c r="G49" s="1" t="s">
        <v>964</v>
      </c>
      <c r="H49" s="1" t="s">
        <v>713</v>
      </c>
      <c r="I49" s="1" t="s">
        <v>714</v>
      </c>
      <c r="J49" s="1" t="s">
        <v>965</v>
      </c>
      <c r="K49" s="1" t="s">
        <v>966</v>
      </c>
      <c r="L49" s="1" t="s">
        <v>967</v>
      </c>
      <c r="M49" s="1" t="s">
        <v>718</v>
      </c>
    </row>
    <row r="50" customFormat="false" ht="15" hidden="false" customHeight="false" outlineLevel="0" collapsed="false">
      <c r="A50" s="1" t="s">
        <v>968</v>
      </c>
      <c r="B50" s="1" t="s">
        <v>969</v>
      </c>
      <c r="C50" s="1" t="s">
        <v>970</v>
      </c>
      <c r="D50" s="2" t="n">
        <v>36202</v>
      </c>
      <c r="E50" s="1" t="s">
        <v>710</v>
      </c>
      <c r="F50" s="1" t="s">
        <v>711</v>
      </c>
      <c r="G50" s="1" t="s">
        <v>712</v>
      </c>
      <c r="H50" s="1" t="s">
        <v>713</v>
      </c>
      <c r="I50" s="1" t="s">
        <v>714</v>
      </c>
      <c r="J50" s="1" t="s">
        <v>971</v>
      </c>
      <c r="K50" s="1" t="s">
        <v>972</v>
      </c>
      <c r="L50" s="1" t="s">
        <v>973</v>
      </c>
      <c r="M50" s="1" t="s">
        <v>718</v>
      </c>
    </row>
    <row r="51" customFormat="false" ht="15" hidden="false" customHeight="false" outlineLevel="0" collapsed="false">
      <c r="A51" s="1" t="s">
        <v>974</v>
      </c>
      <c r="B51" s="1" t="s">
        <v>975</v>
      </c>
      <c r="C51" s="1" t="s">
        <v>733</v>
      </c>
      <c r="D51" s="2" t="n">
        <v>36513</v>
      </c>
      <c r="E51" s="1" t="s">
        <v>710</v>
      </c>
      <c r="F51" s="1" t="s">
        <v>711</v>
      </c>
      <c r="G51" s="1" t="s">
        <v>712</v>
      </c>
      <c r="H51" s="1" t="s">
        <v>713</v>
      </c>
      <c r="I51" s="1" t="s">
        <v>714</v>
      </c>
      <c r="J51" s="1" t="s">
        <v>734</v>
      </c>
      <c r="K51" s="1" t="s">
        <v>735</v>
      </c>
      <c r="L51" s="1" t="s">
        <v>736</v>
      </c>
      <c r="M51" s="1" t="s">
        <v>718</v>
      </c>
    </row>
    <row r="52" customFormat="false" ht="15" hidden="false" customHeight="false" outlineLevel="0" collapsed="false">
      <c r="A52" s="1" t="s">
        <v>976</v>
      </c>
      <c r="B52" s="1" t="s">
        <v>977</v>
      </c>
      <c r="C52" s="1" t="s">
        <v>739</v>
      </c>
      <c r="D52" s="2" t="n">
        <v>36535</v>
      </c>
      <c r="E52" s="1" t="s">
        <v>763</v>
      </c>
      <c r="F52" s="1" t="s">
        <v>711</v>
      </c>
      <c r="G52" s="1" t="s">
        <v>712</v>
      </c>
      <c r="H52" s="1" t="s">
        <v>713</v>
      </c>
      <c r="I52" s="1" t="s">
        <v>714</v>
      </c>
      <c r="J52" s="1" t="s">
        <v>978</v>
      </c>
      <c r="K52" s="1" t="s">
        <v>716</v>
      </c>
      <c r="L52" s="1" t="s">
        <v>979</v>
      </c>
      <c r="M52" s="1" t="s">
        <v>718</v>
      </c>
    </row>
    <row r="53" customFormat="false" ht="15" hidden="false" customHeight="false" outlineLevel="0" collapsed="false">
      <c r="A53" s="1" t="s">
        <v>980</v>
      </c>
      <c r="B53" s="1" t="s">
        <v>981</v>
      </c>
      <c r="C53" s="1" t="s">
        <v>982</v>
      </c>
      <c r="D53" s="2" t="n">
        <v>36554</v>
      </c>
      <c r="E53" s="1" t="s">
        <v>710</v>
      </c>
      <c r="F53" s="1" t="s">
        <v>711</v>
      </c>
      <c r="G53" s="1" t="s">
        <v>712</v>
      </c>
      <c r="H53" s="1" t="s">
        <v>713</v>
      </c>
      <c r="I53" s="1" t="s">
        <v>714</v>
      </c>
      <c r="J53" s="1" t="s">
        <v>716</v>
      </c>
      <c r="K53" s="1" t="s">
        <v>716</v>
      </c>
      <c r="L53" s="1" t="s">
        <v>983</v>
      </c>
      <c r="M53" s="1" t="s">
        <v>718</v>
      </c>
    </row>
    <row r="54" customFormat="false" ht="15" hidden="false" customHeight="false" outlineLevel="0" collapsed="false">
      <c r="A54" s="1" t="s">
        <v>984</v>
      </c>
      <c r="B54" s="1" t="s">
        <v>985</v>
      </c>
      <c r="C54" s="1" t="s">
        <v>986</v>
      </c>
      <c r="D54" s="2" t="n">
        <v>36161</v>
      </c>
      <c r="E54" s="1" t="s">
        <v>710</v>
      </c>
      <c r="F54" s="1" t="s">
        <v>711</v>
      </c>
      <c r="G54" s="1" t="s">
        <v>722</v>
      </c>
      <c r="H54" s="1" t="s">
        <v>713</v>
      </c>
      <c r="I54" s="1" t="s">
        <v>714</v>
      </c>
      <c r="J54" s="1" t="s">
        <v>716</v>
      </c>
      <c r="K54" s="1" t="s">
        <v>716</v>
      </c>
      <c r="L54" s="1" t="s">
        <v>987</v>
      </c>
      <c r="M54" s="1" t="s">
        <v>718</v>
      </c>
    </row>
    <row r="55" customFormat="false" ht="15" hidden="false" customHeight="false" outlineLevel="0" collapsed="false">
      <c r="A55" s="1" t="s">
        <v>988</v>
      </c>
      <c r="B55" s="1" t="s">
        <v>989</v>
      </c>
      <c r="C55" s="1" t="s">
        <v>990</v>
      </c>
      <c r="D55" s="2" t="n">
        <v>36539</v>
      </c>
      <c r="E55" s="1" t="s">
        <v>710</v>
      </c>
      <c r="F55" s="1" t="s">
        <v>711</v>
      </c>
      <c r="G55" s="1" t="s">
        <v>712</v>
      </c>
      <c r="H55" s="1" t="s">
        <v>713</v>
      </c>
      <c r="I55" s="1" t="s">
        <v>714</v>
      </c>
      <c r="J55" s="1" t="s">
        <v>729</v>
      </c>
      <c r="K55" s="1" t="s">
        <v>716</v>
      </c>
      <c r="L55" s="1" t="s">
        <v>991</v>
      </c>
      <c r="M55" s="1" t="s">
        <v>718</v>
      </c>
    </row>
    <row r="56" customFormat="false" ht="15" hidden="false" customHeight="false" outlineLevel="0" collapsed="false">
      <c r="A56" s="1" t="s">
        <v>992</v>
      </c>
      <c r="B56" s="1" t="s">
        <v>993</v>
      </c>
      <c r="C56" s="1" t="s">
        <v>994</v>
      </c>
      <c r="D56" s="2" t="n">
        <v>36065</v>
      </c>
      <c r="E56" s="1" t="s">
        <v>710</v>
      </c>
      <c r="F56" s="1" t="s">
        <v>711</v>
      </c>
      <c r="G56" s="1" t="s">
        <v>722</v>
      </c>
      <c r="H56" s="1" t="s">
        <v>713</v>
      </c>
      <c r="I56" s="1" t="s">
        <v>714</v>
      </c>
      <c r="J56" s="1" t="s">
        <v>780</v>
      </c>
      <c r="K56" s="1" t="s">
        <v>716</v>
      </c>
      <c r="L56" s="1" t="s">
        <v>995</v>
      </c>
      <c r="M56" s="1" t="s">
        <v>718</v>
      </c>
    </row>
    <row r="57" customFormat="false" ht="15" hidden="false" customHeight="false" outlineLevel="0" collapsed="false">
      <c r="A57" s="1" t="s">
        <v>996</v>
      </c>
      <c r="B57" s="1" t="s">
        <v>997</v>
      </c>
      <c r="C57" s="1" t="s">
        <v>998</v>
      </c>
      <c r="D57" s="2" t="n">
        <v>36067</v>
      </c>
      <c r="E57" s="1" t="s">
        <v>710</v>
      </c>
      <c r="F57" s="1" t="s">
        <v>711</v>
      </c>
      <c r="G57" s="1" t="s">
        <v>712</v>
      </c>
      <c r="H57" s="1" t="s">
        <v>713</v>
      </c>
      <c r="I57" s="1" t="s">
        <v>714</v>
      </c>
      <c r="J57" s="1" t="s">
        <v>810</v>
      </c>
      <c r="K57" s="1" t="s">
        <v>999</v>
      </c>
      <c r="L57" s="1" t="s">
        <v>1000</v>
      </c>
      <c r="M57" s="1" t="s">
        <v>718</v>
      </c>
    </row>
    <row r="58" customFormat="false" ht="15" hidden="false" customHeight="false" outlineLevel="0" collapsed="false">
      <c r="A58" s="1" t="s">
        <v>1001</v>
      </c>
      <c r="B58" s="1" t="s">
        <v>1002</v>
      </c>
      <c r="C58" s="1" t="s">
        <v>1003</v>
      </c>
      <c r="D58" s="2" t="n">
        <v>36287</v>
      </c>
      <c r="E58" s="1" t="s">
        <v>763</v>
      </c>
      <c r="F58" s="1" t="s">
        <v>711</v>
      </c>
      <c r="G58" s="1" t="s">
        <v>722</v>
      </c>
      <c r="H58" s="1" t="s">
        <v>713</v>
      </c>
      <c r="I58" s="1" t="s">
        <v>714</v>
      </c>
      <c r="J58" s="1" t="s">
        <v>1004</v>
      </c>
      <c r="K58" s="1" t="s">
        <v>1005</v>
      </c>
      <c r="L58" s="1" t="s">
        <v>1006</v>
      </c>
      <c r="M58" s="1" t="s">
        <v>718</v>
      </c>
    </row>
    <row r="59" customFormat="false" ht="15" hidden="false" customHeight="false" outlineLevel="0" collapsed="false">
      <c r="A59" s="1" t="s">
        <v>1007</v>
      </c>
      <c r="B59" s="1" t="s">
        <v>1008</v>
      </c>
      <c r="C59" s="1" t="s">
        <v>1009</v>
      </c>
      <c r="D59" s="2" t="n">
        <v>36290</v>
      </c>
      <c r="E59" s="1" t="s">
        <v>710</v>
      </c>
      <c r="F59" s="1" t="s">
        <v>711</v>
      </c>
      <c r="G59" s="1" t="s">
        <v>712</v>
      </c>
      <c r="H59" s="1" t="s">
        <v>713</v>
      </c>
      <c r="I59" s="1" t="s">
        <v>714</v>
      </c>
      <c r="J59" s="1" t="s">
        <v>1010</v>
      </c>
      <c r="K59" s="1" t="s">
        <v>1011</v>
      </c>
      <c r="L59" s="1" t="s">
        <v>1012</v>
      </c>
      <c r="M59" s="1" t="s">
        <v>718</v>
      </c>
    </row>
    <row r="60" customFormat="false" ht="15" hidden="false" customHeight="false" outlineLevel="0" collapsed="false">
      <c r="A60" s="1" t="s">
        <v>1013</v>
      </c>
      <c r="B60" s="1" t="s">
        <v>1014</v>
      </c>
      <c r="C60" s="1" t="s">
        <v>1015</v>
      </c>
      <c r="D60" s="2" t="n">
        <v>36541</v>
      </c>
      <c r="E60" s="1" t="s">
        <v>763</v>
      </c>
      <c r="F60" s="1" t="s">
        <v>711</v>
      </c>
      <c r="G60" s="1" t="s">
        <v>722</v>
      </c>
      <c r="H60" s="1" t="s">
        <v>713</v>
      </c>
      <c r="I60" s="1" t="s">
        <v>714</v>
      </c>
      <c r="J60" s="1" t="s">
        <v>821</v>
      </c>
      <c r="K60" s="1" t="s">
        <v>1016</v>
      </c>
      <c r="L60" s="1" t="s">
        <v>1017</v>
      </c>
      <c r="M60" s="1" t="s">
        <v>718</v>
      </c>
    </row>
    <row r="61" customFormat="false" ht="15" hidden="false" customHeight="false" outlineLevel="0" collapsed="false">
      <c r="A61" s="1" t="s">
        <v>1018</v>
      </c>
      <c r="B61" s="1" t="s">
        <v>1019</v>
      </c>
      <c r="C61" s="1" t="s">
        <v>1020</v>
      </c>
      <c r="D61" s="2" t="n">
        <v>36420</v>
      </c>
      <c r="E61" s="1" t="s">
        <v>710</v>
      </c>
      <c r="F61" s="1" t="s">
        <v>711</v>
      </c>
      <c r="G61" s="1" t="s">
        <v>722</v>
      </c>
      <c r="H61" s="1" t="s">
        <v>713</v>
      </c>
      <c r="I61" s="1" t="s">
        <v>714</v>
      </c>
      <c r="J61" s="1" t="s">
        <v>826</v>
      </c>
      <c r="K61" s="1" t="s">
        <v>1021</v>
      </c>
      <c r="L61" s="1" t="s">
        <v>1022</v>
      </c>
      <c r="M61" s="1" t="s">
        <v>718</v>
      </c>
    </row>
    <row r="62" customFormat="false" ht="15" hidden="false" customHeight="false" outlineLevel="0" collapsed="false">
      <c r="A62" s="1" t="s">
        <v>1023</v>
      </c>
      <c r="B62" s="1" t="s">
        <v>1024</v>
      </c>
      <c r="C62" s="1" t="s">
        <v>849</v>
      </c>
      <c r="D62" s="2" t="n">
        <v>36515</v>
      </c>
      <c r="E62" s="1" t="s">
        <v>763</v>
      </c>
      <c r="F62" s="1" t="s">
        <v>711</v>
      </c>
      <c r="G62" s="1" t="s">
        <v>722</v>
      </c>
      <c r="H62" s="1" t="s">
        <v>713</v>
      </c>
      <c r="I62" s="1" t="s">
        <v>714</v>
      </c>
      <c r="J62" s="1" t="s">
        <v>734</v>
      </c>
      <c r="K62" s="1" t="s">
        <v>1025</v>
      </c>
      <c r="L62" s="1" t="s">
        <v>851</v>
      </c>
      <c r="M62" s="1" t="s">
        <v>718</v>
      </c>
    </row>
    <row r="63" customFormat="false" ht="15" hidden="false" customHeight="false" outlineLevel="0" collapsed="false">
      <c r="A63" s="1" t="s">
        <v>1026</v>
      </c>
      <c r="B63" s="1" t="s">
        <v>1027</v>
      </c>
      <c r="C63" s="1" t="s">
        <v>750</v>
      </c>
      <c r="D63" s="2" t="n">
        <v>36565</v>
      </c>
      <c r="E63" s="1" t="s">
        <v>763</v>
      </c>
      <c r="F63" s="1" t="s">
        <v>711</v>
      </c>
      <c r="G63" s="1" t="s">
        <v>722</v>
      </c>
      <c r="H63" s="1" t="s">
        <v>713</v>
      </c>
      <c r="I63" s="1" t="s">
        <v>714</v>
      </c>
      <c r="J63" s="1" t="s">
        <v>892</v>
      </c>
      <c r="K63" s="1" t="s">
        <v>1028</v>
      </c>
      <c r="L63" s="1" t="s">
        <v>1029</v>
      </c>
      <c r="M63" s="1" t="s">
        <v>718</v>
      </c>
    </row>
    <row r="64" customFormat="false" ht="15" hidden="false" customHeight="false" outlineLevel="0" collapsed="false">
      <c r="A64" s="1" t="s">
        <v>1030</v>
      </c>
      <c r="B64" s="1" t="s">
        <v>1031</v>
      </c>
      <c r="C64" s="1" t="s">
        <v>750</v>
      </c>
      <c r="D64" s="2" t="n">
        <v>36245</v>
      </c>
      <c r="E64" s="1" t="s">
        <v>710</v>
      </c>
      <c r="F64" s="1" t="s">
        <v>711</v>
      </c>
      <c r="G64" s="1" t="s">
        <v>722</v>
      </c>
      <c r="H64" s="1" t="s">
        <v>713</v>
      </c>
      <c r="I64" s="1" t="s">
        <v>714</v>
      </c>
      <c r="J64" s="1" t="s">
        <v>892</v>
      </c>
      <c r="K64" s="1" t="s">
        <v>1032</v>
      </c>
      <c r="L64" s="1" t="s">
        <v>1033</v>
      </c>
      <c r="M64" s="1" t="s">
        <v>718</v>
      </c>
    </row>
    <row r="65" customFormat="false" ht="15" hidden="false" customHeight="false" outlineLevel="0" collapsed="false">
      <c r="A65" s="1" t="s">
        <v>1034</v>
      </c>
      <c r="B65" s="1" t="s">
        <v>1035</v>
      </c>
      <c r="C65" s="1" t="s">
        <v>750</v>
      </c>
      <c r="D65" s="2" t="n">
        <v>36313</v>
      </c>
      <c r="E65" s="1" t="s">
        <v>763</v>
      </c>
      <c r="F65" s="1" t="s">
        <v>711</v>
      </c>
      <c r="G65" s="1" t="s">
        <v>712</v>
      </c>
      <c r="H65" s="1" t="s">
        <v>713</v>
      </c>
      <c r="I65" s="1" t="s">
        <v>714</v>
      </c>
      <c r="J65" s="1" t="s">
        <v>751</v>
      </c>
      <c r="K65" s="1" t="s">
        <v>1036</v>
      </c>
      <c r="L65" s="1" t="s">
        <v>753</v>
      </c>
      <c r="M65" s="1" t="s">
        <v>718</v>
      </c>
    </row>
    <row r="66" customFormat="false" ht="15" hidden="false" customHeight="false" outlineLevel="0" collapsed="false">
      <c r="A66" s="1" t="s">
        <v>1037</v>
      </c>
      <c r="B66" s="1" t="s">
        <v>1038</v>
      </c>
      <c r="C66" s="1" t="s">
        <v>1039</v>
      </c>
      <c r="D66" s="2" t="n">
        <v>36306</v>
      </c>
      <c r="E66" s="1" t="s">
        <v>763</v>
      </c>
      <c r="F66" s="1" t="s">
        <v>711</v>
      </c>
      <c r="G66" s="1" t="s">
        <v>722</v>
      </c>
      <c r="H66" s="1" t="s">
        <v>713</v>
      </c>
      <c r="I66" s="1" t="s">
        <v>714</v>
      </c>
      <c r="J66" s="1" t="s">
        <v>892</v>
      </c>
      <c r="K66" s="1" t="s">
        <v>1040</v>
      </c>
      <c r="L66" s="1" t="s">
        <v>1041</v>
      </c>
      <c r="M66" s="1" t="s">
        <v>718</v>
      </c>
    </row>
    <row r="67" customFormat="false" ht="15" hidden="false" customHeight="false" outlineLevel="0" collapsed="false">
      <c r="A67" s="1" t="s">
        <v>1042</v>
      </c>
      <c r="B67" s="1" t="s">
        <v>1043</v>
      </c>
      <c r="C67" s="1" t="s">
        <v>1044</v>
      </c>
      <c r="D67" s="2" t="n">
        <v>36644</v>
      </c>
      <c r="E67" s="1" t="s">
        <v>763</v>
      </c>
      <c r="F67" s="1" t="s">
        <v>711</v>
      </c>
      <c r="G67" s="1" t="s">
        <v>712</v>
      </c>
      <c r="H67" s="1" t="s">
        <v>713</v>
      </c>
      <c r="I67" s="1" t="s">
        <v>714</v>
      </c>
      <c r="J67" s="1" t="s">
        <v>1045</v>
      </c>
      <c r="K67" s="1" t="s">
        <v>716</v>
      </c>
      <c r="L67" s="1" t="s">
        <v>1046</v>
      </c>
      <c r="M67" s="1" t="s">
        <v>718</v>
      </c>
    </row>
    <row r="68" customFormat="false" ht="15" hidden="false" customHeight="false" outlineLevel="0" collapsed="false">
      <c r="A68" s="1" t="s">
        <v>1047</v>
      </c>
      <c r="B68" s="1" t="s">
        <v>1048</v>
      </c>
      <c r="C68" s="1" t="s">
        <v>1049</v>
      </c>
      <c r="D68" s="2" t="n">
        <v>36483</v>
      </c>
      <c r="E68" s="1" t="s">
        <v>710</v>
      </c>
      <c r="F68" s="1" t="s">
        <v>711</v>
      </c>
      <c r="G68" s="1" t="s">
        <v>722</v>
      </c>
      <c r="H68" s="1" t="s">
        <v>713</v>
      </c>
      <c r="I68" s="1" t="s">
        <v>714</v>
      </c>
      <c r="J68" s="1" t="s">
        <v>978</v>
      </c>
      <c r="K68" s="1" t="s">
        <v>1050</v>
      </c>
      <c r="L68" s="1" t="s">
        <v>1051</v>
      </c>
      <c r="M68" s="1" t="s">
        <v>718</v>
      </c>
    </row>
    <row r="69" customFormat="false" ht="15" hidden="false" customHeight="false" outlineLevel="0" collapsed="false">
      <c r="A69" s="1" t="s">
        <v>1052</v>
      </c>
      <c r="B69" s="1" t="s">
        <v>1053</v>
      </c>
      <c r="C69" s="1" t="s">
        <v>1054</v>
      </c>
      <c r="D69" s="2" t="n">
        <v>36602</v>
      </c>
      <c r="E69" s="1" t="s">
        <v>763</v>
      </c>
      <c r="F69" s="1" t="s">
        <v>711</v>
      </c>
      <c r="G69" s="1" t="s">
        <v>722</v>
      </c>
      <c r="H69" s="1" t="s">
        <v>713</v>
      </c>
      <c r="I69" s="1" t="s">
        <v>714</v>
      </c>
      <c r="J69" s="1" t="s">
        <v>1055</v>
      </c>
      <c r="K69" s="1" t="s">
        <v>716</v>
      </c>
      <c r="L69" s="1" t="s">
        <v>1056</v>
      </c>
      <c r="M69" s="1" t="s">
        <v>718</v>
      </c>
    </row>
    <row r="70" customFormat="false" ht="15" hidden="false" customHeight="false" outlineLevel="0" collapsed="false">
      <c r="A70" s="1" t="s">
        <v>1057</v>
      </c>
      <c r="B70" s="1" t="s">
        <v>1058</v>
      </c>
      <c r="C70" s="1" t="s">
        <v>1059</v>
      </c>
      <c r="D70" s="2" t="n">
        <v>36509</v>
      </c>
      <c r="E70" s="1" t="s">
        <v>710</v>
      </c>
      <c r="F70" s="1" t="s">
        <v>711</v>
      </c>
      <c r="G70" s="1" t="s">
        <v>712</v>
      </c>
      <c r="H70" s="1" t="s">
        <v>713</v>
      </c>
      <c r="I70" s="1" t="s">
        <v>714</v>
      </c>
      <c r="J70" s="1" t="s">
        <v>880</v>
      </c>
      <c r="K70" s="1" t="s">
        <v>1060</v>
      </c>
      <c r="L70" s="1" t="s">
        <v>1061</v>
      </c>
      <c r="M70" s="1" t="s">
        <v>718</v>
      </c>
    </row>
    <row r="71" customFormat="false" ht="15" hidden="false" customHeight="false" outlineLevel="0" collapsed="false">
      <c r="A71" s="1" t="s">
        <v>1062</v>
      </c>
      <c r="B71" s="1" t="s">
        <v>1063</v>
      </c>
      <c r="C71" s="1" t="s">
        <v>1064</v>
      </c>
      <c r="D71" s="2" t="n">
        <v>36515</v>
      </c>
      <c r="E71" s="1" t="s">
        <v>763</v>
      </c>
      <c r="F71" s="1" t="s">
        <v>711</v>
      </c>
      <c r="G71" s="1" t="s">
        <v>722</v>
      </c>
      <c r="H71" s="1" t="s">
        <v>713</v>
      </c>
      <c r="I71" s="1" t="s">
        <v>714</v>
      </c>
      <c r="J71" s="1" t="s">
        <v>780</v>
      </c>
      <c r="K71" s="1" t="s">
        <v>716</v>
      </c>
      <c r="L71" s="1" t="s">
        <v>1065</v>
      </c>
      <c r="M71" s="1" t="s">
        <v>718</v>
      </c>
    </row>
    <row r="72" customFormat="false" ht="15" hidden="false" customHeight="false" outlineLevel="0" collapsed="false">
      <c r="A72" s="1" t="s">
        <v>1066</v>
      </c>
      <c r="B72" s="1" t="s">
        <v>1067</v>
      </c>
      <c r="C72" s="1" t="s">
        <v>1068</v>
      </c>
      <c r="D72" s="2" t="n">
        <v>36482</v>
      </c>
      <c r="E72" s="1" t="s">
        <v>763</v>
      </c>
      <c r="F72" s="1" t="s">
        <v>711</v>
      </c>
      <c r="G72" s="1" t="s">
        <v>712</v>
      </c>
      <c r="H72" s="1" t="s">
        <v>713</v>
      </c>
      <c r="I72" s="1" t="s">
        <v>714</v>
      </c>
      <c r="J72" s="1" t="s">
        <v>1055</v>
      </c>
      <c r="K72" s="1" t="s">
        <v>716</v>
      </c>
      <c r="L72" s="1" t="s">
        <v>1069</v>
      </c>
      <c r="M72" s="1" t="s">
        <v>718</v>
      </c>
    </row>
    <row r="73" customFormat="false" ht="15" hidden="false" customHeight="false" outlineLevel="0" collapsed="false">
      <c r="A73" s="1" t="s">
        <v>1070</v>
      </c>
      <c r="B73" s="1" t="s">
        <v>1071</v>
      </c>
      <c r="C73" s="1" t="s">
        <v>1072</v>
      </c>
      <c r="D73" s="2" t="n">
        <v>36208</v>
      </c>
      <c r="E73" s="1" t="s">
        <v>763</v>
      </c>
      <c r="F73" s="1" t="s">
        <v>711</v>
      </c>
      <c r="G73" s="1" t="s">
        <v>712</v>
      </c>
      <c r="H73" s="1" t="s">
        <v>713</v>
      </c>
      <c r="I73" s="1" t="s">
        <v>714</v>
      </c>
      <c r="J73" s="1" t="s">
        <v>716</v>
      </c>
      <c r="K73" s="1" t="s">
        <v>716</v>
      </c>
      <c r="L73" s="1" t="s">
        <v>1073</v>
      </c>
      <c r="M73" s="1" t="s">
        <v>718</v>
      </c>
    </row>
    <row r="74" customFormat="false" ht="15" hidden="false" customHeight="false" outlineLevel="0" collapsed="false">
      <c r="A74" s="1" t="s">
        <v>1074</v>
      </c>
      <c r="B74" s="1" t="s">
        <v>1075</v>
      </c>
      <c r="C74" s="1" t="s">
        <v>1076</v>
      </c>
      <c r="D74" s="2" t="n">
        <v>36561</v>
      </c>
      <c r="E74" s="1" t="s">
        <v>710</v>
      </c>
      <c r="F74" s="1" t="s">
        <v>711</v>
      </c>
      <c r="G74" s="1" t="s">
        <v>722</v>
      </c>
      <c r="H74" s="1" t="s">
        <v>713</v>
      </c>
      <c r="I74" s="1" t="s">
        <v>714</v>
      </c>
      <c r="J74" s="1" t="s">
        <v>1055</v>
      </c>
      <c r="K74" s="1" t="s">
        <v>716</v>
      </c>
      <c r="L74" s="1" t="s">
        <v>1077</v>
      </c>
      <c r="M74" s="1" t="s">
        <v>718</v>
      </c>
    </row>
    <row r="75" customFormat="false" ht="15" hidden="false" customHeight="false" outlineLevel="0" collapsed="false">
      <c r="A75" s="1" t="s">
        <v>1078</v>
      </c>
      <c r="B75" s="1" t="s">
        <v>1079</v>
      </c>
      <c r="C75" s="1" t="s">
        <v>1080</v>
      </c>
      <c r="D75" s="2" t="n">
        <v>36813</v>
      </c>
      <c r="E75" s="1" t="s">
        <v>763</v>
      </c>
      <c r="F75" s="1" t="s">
        <v>711</v>
      </c>
      <c r="G75" s="1" t="s">
        <v>722</v>
      </c>
      <c r="H75" s="1" t="s">
        <v>713</v>
      </c>
      <c r="I75" s="1" t="s">
        <v>714</v>
      </c>
      <c r="J75" s="1" t="s">
        <v>1081</v>
      </c>
      <c r="K75" s="1" t="s">
        <v>1082</v>
      </c>
      <c r="L75" s="1" t="s">
        <v>1083</v>
      </c>
      <c r="M75" s="1" t="s">
        <v>718</v>
      </c>
    </row>
    <row r="76" customFormat="false" ht="15" hidden="false" customHeight="false" outlineLevel="0" collapsed="false">
      <c r="A76" s="1" t="s">
        <v>1084</v>
      </c>
      <c r="B76" s="1" t="s">
        <v>1085</v>
      </c>
      <c r="C76" s="1" t="s">
        <v>1086</v>
      </c>
      <c r="D76" s="2" t="n">
        <v>36805</v>
      </c>
      <c r="E76" s="1" t="s">
        <v>763</v>
      </c>
      <c r="F76" s="1" t="s">
        <v>711</v>
      </c>
      <c r="G76" s="1" t="s">
        <v>712</v>
      </c>
      <c r="H76" s="1" t="s">
        <v>713</v>
      </c>
      <c r="I76" s="1" t="s">
        <v>714</v>
      </c>
      <c r="J76" s="1" t="s">
        <v>864</v>
      </c>
      <c r="K76" s="1" t="s">
        <v>716</v>
      </c>
      <c r="L76" s="1" t="s">
        <v>1087</v>
      </c>
      <c r="M76" s="1" t="s">
        <v>718</v>
      </c>
    </row>
    <row r="77" customFormat="false" ht="15" hidden="false" customHeight="false" outlineLevel="0" collapsed="false">
      <c r="A77" s="1" t="s">
        <v>1088</v>
      </c>
      <c r="B77" s="1" t="s">
        <v>1089</v>
      </c>
      <c r="C77" s="1" t="s">
        <v>1090</v>
      </c>
      <c r="D77" s="2" t="n">
        <v>36593</v>
      </c>
      <c r="E77" s="1" t="s">
        <v>710</v>
      </c>
      <c r="F77" s="1" t="s">
        <v>711</v>
      </c>
      <c r="G77" s="1" t="s">
        <v>712</v>
      </c>
      <c r="H77" s="1" t="s">
        <v>713</v>
      </c>
      <c r="I77" s="1" t="s">
        <v>714</v>
      </c>
      <c r="J77" s="1" t="s">
        <v>832</v>
      </c>
      <c r="K77" s="1" t="s">
        <v>716</v>
      </c>
      <c r="L77" s="1" t="s">
        <v>1091</v>
      </c>
      <c r="M77" s="1" t="s">
        <v>718</v>
      </c>
    </row>
    <row r="78" customFormat="false" ht="15" hidden="false" customHeight="false" outlineLevel="0" collapsed="false">
      <c r="A78" s="1" t="s">
        <v>1092</v>
      </c>
      <c r="B78" s="1" t="s">
        <v>1093</v>
      </c>
      <c r="C78" s="1" t="s">
        <v>1094</v>
      </c>
      <c r="D78" s="2" t="n">
        <v>36753</v>
      </c>
      <c r="E78" s="1" t="s">
        <v>710</v>
      </c>
      <c r="F78" s="1" t="s">
        <v>711</v>
      </c>
      <c r="G78" s="1" t="s">
        <v>722</v>
      </c>
      <c r="H78" s="1" t="s">
        <v>713</v>
      </c>
      <c r="I78" s="1" t="s">
        <v>714</v>
      </c>
      <c r="J78" s="1" t="s">
        <v>1095</v>
      </c>
      <c r="K78" s="1" t="s">
        <v>1096</v>
      </c>
      <c r="L78" s="1" t="s">
        <v>1097</v>
      </c>
      <c r="M78" s="1" t="s">
        <v>718</v>
      </c>
    </row>
    <row r="79" customFormat="false" ht="15" hidden="false" customHeight="false" outlineLevel="0" collapsed="false">
      <c r="A79" s="1" t="s">
        <v>1098</v>
      </c>
      <c r="B79" s="1" t="s">
        <v>1099</v>
      </c>
      <c r="C79" s="1" t="s">
        <v>1059</v>
      </c>
      <c r="D79" s="2" t="n">
        <v>36666</v>
      </c>
      <c r="E79" s="1" t="s">
        <v>710</v>
      </c>
      <c r="F79" s="1" t="s">
        <v>711</v>
      </c>
      <c r="G79" s="1" t="s">
        <v>722</v>
      </c>
      <c r="H79" s="1" t="s">
        <v>713</v>
      </c>
      <c r="I79" s="1" t="s">
        <v>714</v>
      </c>
      <c r="J79" s="1" t="s">
        <v>805</v>
      </c>
      <c r="K79" s="1" t="s">
        <v>1100</v>
      </c>
      <c r="L79" s="1" t="s">
        <v>1101</v>
      </c>
      <c r="M79" s="1" t="s">
        <v>718</v>
      </c>
    </row>
    <row r="80" customFormat="false" ht="15" hidden="false" customHeight="false" outlineLevel="0" collapsed="false">
      <c r="A80" s="1" t="s">
        <v>1102</v>
      </c>
      <c r="B80" s="1" t="s">
        <v>1103</v>
      </c>
      <c r="C80" s="1" t="s">
        <v>1104</v>
      </c>
      <c r="D80" s="2" t="n">
        <v>36875</v>
      </c>
      <c r="E80" s="1" t="s">
        <v>710</v>
      </c>
      <c r="F80" s="1" t="s">
        <v>711</v>
      </c>
      <c r="G80" s="1" t="s">
        <v>712</v>
      </c>
      <c r="H80" s="1" t="s">
        <v>713</v>
      </c>
      <c r="I80" s="1" t="s">
        <v>714</v>
      </c>
      <c r="J80" s="1" t="s">
        <v>715</v>
      </c>
      <c r="K80" s="1" t="s">
        <v>1105</v>
      </c>
      <c r="L80" s="1" t="s">
        <v>1106</v>
      </c>
      <c r="M80" s="1" t="s">
        <v>718</v>
      </c>
    </row>
    <row r="81" customFormat="false" ht="15" hidden="false" customHeight="false" outlineLevel="0" collapsed="false">
      <c r="A81" s="1" t="s">
        <v>1107</v>
      </c>
      <c r="B81" s="1" t="s">
        <v>1108</v>
      </c>
      <c r="C81" s="1" t="s">
        <v>1109</v>
      </c>
      <c r="D81" s="2" t="n">
        <v>36680</v>
      </c>
      <c r="E81" s="1" t="s">
        <v>710</v>
      </c>
      <c r="F81" s="1" t="s">
        <v>711</v>
      </c>
      <c r="G81" s="1" t="s">
        <v>712</v>
      </c>
      <c r="H81" s="1" t="s">
        <v>713</v>
      </c>
      <c r="I81" s="1" t="s">
        <v>714</v>
      </c>
      <c r="J81" s="1" t="s">
        <v>821</v>
      </c>
      <c r="K81" s="1" t="s">
        <v>716</v>
      </c>
      <c r="L81" s="1" t="s">
        <v>1110</v>
      </c>
      <c r="M81" s="1" t="s">
        <v>718</v>
      </c>
    </row>
    <row r="82" customFormat="false" ht="15" hidden="false" customHeight="false" outlineLevel="0" collapsed="false">
      <c r="A82" s="1" t="s">
        <v>1111</v>
      </c>
      <c r="B82" s="1" t="s">
        <v>1112</v>
      </c>
      <c r="C82" s="1" t="s">
        <v>1113</v>
      </c>
      <c r="D82" s="2" t="n">
        <v>36661</v>
      </c>
      <c r="E82" s="1" t="s">
        <v>763</v>
      </c>
      <c r="F82" s="1" t="s">
        <v>711</v>
      </c>
      <c r="G82" s="1" t="s">
        <v>712</v>
      </c>
      <c r="H82" s="1" t="s">
        <v>713</v>
      </c>
      <c r="I82" s="1" t="s">
        <v>714</v>
      </c>
      <c r="J82" s="1" t="s">
        <v>1114</v>
      </c>
      <c r="K82" s="1" t="s">
        <v>716</v>
      </c>
      <c r="L82" s="1" t="s">
        <v>1115</v>
      </c>
      <c r="M82" s="1" t="s">
        <v>718</v>
      </c>
    </row>
    <row r="83" customFormat="false" ht="15" hidden="false" customHeight="false" outlineLevel="0" collapsed="false">
      <c r="A83" s="1" t="s">
        <v>1116</v>
      </c>
      <c r="B83" s="1" t="s">
        <v>935</v>
      </c>
      <c r="C83" s="1" t="s">
        <v>1117</v>
      </c>
      <c r="D83" s="2" t="n">
        <v>36711</v>
      </c>
      <c r="E83" s="1" t="s">
        <v>710</v>
      </c>
      <c r="F83" s="1" t="s">
        <v>711</v>
      </c>
      <c r="G83" s="1" t="s">
        <v>722</v>
      </c>
      <c r="H83" s="1" t="s">
        <v>713</v>
      </c>
      <c r="I83" s="1" t="s">
        <v>714</v>
      </c>
      <c r="J83" s="1" t="s">
        <v>1118</v>
      </c>
      <c r="K83" s="1" t="s">
        <v>716</v>
      </c>
      <c r="L83" s="1" t="s">
        <v>1119</v>
      </c>
      <c r="M83" s="1" t="s">
        <v>718</v>
      </c>
    </row>
    <row r="84" customFormat="false" ht="15" hidden="false" customHeight="false" outlineLevel="0" collapsed="false">
      <c r="A84" s="1" t="s">
        <v>1120</v>
      </c>
      <c r="B84" s="1" t="s">
        <v>1121</v>
      </c>
      <c r="C84" s="1" t="s">
        <v>1122</v>
      </c>
      <c r="D84" s="2" t="n">
        <v>36768</v>
      </c>
      <c r="E84" s="1" t="s">
        <v>710</v>
      </c>
      <c r="F84" s="1" t="s">
        <v>711</v>
      </c>
      <c r="G84" s="1" t="s">
        <v>712</v>
      </c>
      <c r="H84" s="1" t="s">
        <v>713</v>
      </c>
      <c r="I84" s="1" t="s">
        <v>714</v>
      </c>
      <c r="J84" s="1" t="s">
        <v>729</v>
      </c>
      <c r="K84" s="1" t="s">
        <v>716</v>
      </c>
      <c r="L84" s="1" t="s">
        <v>1123</v>
      </c>
      <c r="M84" s="1" t="s">
        <v>718</v>
      </c>
    </row>
    <row r="85" customFormat="false" ht="15" hidden="false" customHeight="false" outlineLevel="0" collapsed="false">
      <c r="A85" s="1" t="s">
        <v>1124</v>
      </c>
      <c r="B85" s="1" t="s">
        <v>1125</v>
      </c>
      <c r="C85" s="1" t="s">
        <v>1126</v>
      </c>
      <c r="D85" s="2" t="n">
        <v>36898</v>
      </c>
      <c r="E85" s="1" t="s">
        <v>710</v>
      </c>
      <c r="F85" s="1" t="s">
        <v>711</v>
      </c>
      <c r="G85" s="1" t="s">
        <v>712</v>
      </c>
      <c r="H85" s="1" t="s">
        <v>713</v>
      </c>
      <c r="I85" s="1" t="s">
        <v>714</v>
      </c>
      <c r="J85" s="1" t="s">
        <v>716</v>
      </c>
      <c r="K85" s="1" t="s">
        <v>716</v>
      </c>
      <c r="L85" s="1" t="s">
        <v>1127</v>
      </c>
      <c r="M85" s="1" t="s">
        <v>718</v>
      </c>
    </row>
    <row r="86" customFormat="false" ht="15" hidden="false" customHeight="false" outlineLevel="0" collapsed="false">
      <c r="A86" s="1" t="s">
        <v>1128</v>
      </c>
      <c r="B86" s="1" t="s">
        <v>1129</v>
      </c>
      <c r="C86" s="1" t="s">
        <v>1130</v>
      </c>
      <c r="D86" s="2" t="n">
        <v>35772</v>
      </c>
      <c r="E86" s="1" t="s">
        <v>710</v>
      </c>
      <c r="F86" s="1" t="s">
        <v>711</v>
      </c>
      <c r="G86" s="1" t="s">
        <v>722</v>
      </c>
      <c r="H86" s="1" t="s">
        <v>713</v>
      </c>
      <c r="I86" s="1" t="s">
        <v>714</v>
      </c>
      <c r="J86" s="1" t="s">
        <v>1131</v>
      </c>
      <c r="K86" s="1" t="s">
        <v>716</v>
      </c>
      <c r="L86" s="1" t="s">
        <v>1132</v>
      </c>
      <c r="M86" s="1" t="s">
        <v>718</v>
      </c>
    </row>
    <row r="87" customFormat="false" ht="15" hidden="false" customHeight="false" outlineLevel="0" collapsed="false">
      <c r="A87" s="1" t="s">
        <v>1133</v>
      </c>
      <c r="B87" s="1" t="s">
        <v>1134</v>
      </c>
      <c r="C87" s="1" t="s">
        <v>1135</v>
      </c>
      <c r="D87" s="2" t="n">
        <v>36784</v>
      </c>
      <c r="E87" s="1" t="s">
        <v>710</v>
      </c>
      <c r="F87" s="1" t="s">
        <v>711</v>
      </c>
      <c r="G87" s="1" t="s">
        <v>712</v>
      </c>
      <c r="H87" s="1" t="s">
        <v>713</v>
      </c>
      <c r="I87" s="1" t="s">
        <v>714</v>
      </c>
      <c r="J87" s="1" t="s">
        <v>716</v>
      </c>
      <c r="K87" s="1" t="s">
        <v>716</v>
      </c>
      <c r="L87" s="1" t="s">
        <v>1136</v>
      </c>
      <c r="M87" s="1" t="s">
        <v>718</v>
      </c>
    </row>
    <row r="88" customFormat="false" ht="15" hidden="false" customHeight="false" outlineLevel="0" collapsed="false">
      <c r="A88" s="1" t="s">
        <v>1137</v>
      </c>
      <c r="B88" s="1" t="s">
        <v>1138</v>
      </c>
      <c r="C88" s="1" t="s">
        <v>1139</v>
      </c>
      <c r="D88" s="2" t="n">
        <v>36583</v>
      </c>
      <c r="E88" s="1" t="s">
        <v>710</v>
      </c>
      <c r="F88" s="1" t="s">
        <v>711</v>
      </c>
      <c r="G88" s="1" t="s">
        <v>712</v>
      </c>
      <c r="H88" s="1" t="s">
        <v>713</v>
      </c>
      <c r="I88" s="1" t="s">
        <v>714</v>
      </c>
      <c r="J88" s="1" t="s">
        <v>716</v>
      </c>
      <c r="K88" s="1" t="s">
        <v>716</v>
      </c>
      <c r="L88" s="1" t="s">
        <v>1140</v>
      </c>
      <c r="M88" s="1" t="s">
        <v>718</v>
      </c>
    </row>
    <row r="89" customFormat="false" ht="15" hidden="false" customHeight="false" outlineLevel="0" collapsed="false">
      <c r="A89" s="1" t="s">
        <v>1141</v>
      </c>
      <c r="B89" s="1" t="s">
        <v>1142</v>
      </c>
      <c r="C89" s="1" t="s">
        <v>1143</v>
      </c>
      <c r="D89" s="2" t="n">
        <v>36672</v>
      </c>
      <c r="E89" s="1" t="s">
        <v>710</v>
      </c>
      <c r="F89" s="1" t="s">
        <v>711</v>
      </c>
      <c r="G89" s="1" t="s">
        <v>722</v>
      </c>
      <c r="H89" s="1" t="s">
        <v>713</v>
      </c>
      <c r="I89" s="1" t="s">
        <v>714</v>
      </c>
      <c r="J89" s="1" t="s">
        <v>1144</v>
      </c>
      <c r="K89" s="1" t="s">
        <v>716</v>
      </c>
      <c r="L89" s="1" t="s">
        <v>1145</v>
      </c>
      <c r="M89" s="1" t="s">
        <v>718</v>
      </c>
    </row>
    <row r="90" customFormat="false" ht="15" hidden="false" customHeight="false" outlineLevel="0" collapsed="false">
      <c r="A90" s="1" t="s">
        <v>1146</v>
      </c>
      <c r="B90" s="1" t="s">
        <v>1147</v>
      </c>
      <c r="C90" s="1" t="s">
        <v>1148</v>
      </c>
      <c r="D90" s="2" t="n">
        <v>36517</v>
      </c>
      <c r="E90" s="1" t="s">
        <v>710</v>
      </c>
      <c r="F90" s="1" t="s">
        <v>711</v>
      </c>
      <c r="G90" s="1" t="s">
        <v>712</v>
      </c>
      <c r="H90" s="1" t="s">
        <v>713</v>
      </c>
      <c r="I90" s="1" t="s">
        <v>714</v>
      </c>
      <c r="J90" s="1" t="s">
        <v>1149</v>
      </c>
      <c r="K90" s="1" t="s">
        <v>1150</v>
      </c>
      <c r="L90" s="1" t="s">
        <v>1151</v>
      </c>
      <c r="M90" s="1" t="s">
        <v>718</v>
      </c>
    </row>
    <row r="91" customFormat="false" ht="15" hidden="false" customHeight="false" outlineLevel="0" collapsed="false">
      <c r="A91" s="1" t="s">
        <v>1152</v>
      </c>
      <c r="B91" s="1" t="s">
        <v>1153</v>
      </c>
      <c r="C91" s="1" t="s">
        <v>1154</v>
      </c>
      <c r="D91" s="2" t="n">
        <v>36770</v>
      </c>
      <c r="E91" s="1" t="s">
        <v>710</v>
      </c>
      <c r="F91" s="1" t="s">
        <v>711</v>
      </c>
      <c r="G91" s="1" t="s">
        <v>722</v>
      </c>
      <c r="H91" s="1" t="s">
        <v>713</v>
      </c>
      <c r="I91" s="1" t="s">
        <v>714</v>
      </c>
      <c r="J91" s="1" t="s">
        <v>810</v>
      </c>
      <c r="K91" s="1" t="s">
        <v>1155</v>
      </c>
      <c r="L91" s="1" t="s">
        <v>1156</v>
      </c>
      <c r="M91" s="1" t="s">
        <v>718</v>
      </c>
    </row>
    <row r="92" customFormat="false" ht="15" hidden="false" customHeight="false" outlineLevel="0" collapsed="false">
      <c r="A92" s="1" t="s">
        <v>1157</v>
      </c>
      <c r="B92" s="1" t="s">
        <v>1158</v>
      </c>
      <c r="C92" s="1" t="s">
        <v>1159</v>
      </c>
      <c r="D92" s="2" t="n">
        <v>36163</v>
      </c>
      <c r="E92" s="1" t="s">
        <v>763</v>
      </c>
      <c r="F92" s="1" t="s">
        <v>711</v>
      </c>
      <c r="G92" s="1" t="s">
        <v>722</v>
      </c>
      <c r="H92" s="1" t="s">
        <v>713</v>
      </c>
      <c r="I92" s="1" t="s">
        <v>714</v>
      </c>
      <c r="J92" s="1" t="s">
        <v>1160</v>
      </c>
      <c r="K92" s="1" t="s">
        <v>1161</v>
      </c>
      <c r="L92" s="1" t="s">
        <v>1162</v>
      </c>
      <c r="M92" s="1" t="s">
        <v>718</v>
      </c>
    </row>
    <row r="93" customFormat="false" ht="15" hidden="false" customHeight="false" outlineLevel="0" collapsed="false">
      <c r="A93" s="1" t="s">
        <v>1163</v>
      </c>
      <c r="B93" s="1" t="s">
        <v>1164</v>
      </c>
      <c r="C93" s="1" t="s">
        <v>998</v>
      </c>
      <c r="D93" s="2" t="n">
        <v>36752</v>
      </c>
      <c r="E93" s="1" t="s">
        <v>710</v>
      </c>
      <c r="F93" s="1" t="s">
        <v>711</v>
      </c>
      <c r="G93" s="1" t="s">
        <v>722</v>
      </c>
      <c r="H93" s="1" t="s">
        <v>713</v>
      </c>
      <c r="I93" s="1" t="s">
        <v>714</v>
      </c>
      <c r="J93" s="1" t="s">
        <v>810</v>
      </c>
      <c r="K93" s="1" t="s">
        <v>999</v>
      </c>
      <c r="L93" s="1" t="s">
        <v>1000</v>
      </c>
      <c r="M93" s="1" t="s">
        <v>718</v>
      </c>
    </row>
    <row r="94" customFormat="false" ht="15" hidden="false" customHeight="false" outlineLevel="0" collapsed="false">
      <c r="A94" s="1" t="s">
        <v>1165</v>
      </c>
      <c r="B94" s="1" t="s">
        <v>1166</v>
      </c>
      <c r="C94" s="1" t="s">
        <v>1167</v>
      </c>
      <c r="D94" s="2" t="n">
        <v>36570</v>
      </c>
      <c r="E94" s="1" t="s">
        <v>763</v>
      </c>
      <c r="F94" s="1" t="s">
        <v>711</v>
      </c>
      <c r="G94" s="1" t="s">
        <v>712</v>
      </c>
      <c r="H94" s="1" t="s">
        <v>713</v>
      </c>
      <c r="I94" s="1" t="s">
        <v>714</v>
      </c>
      <c r="J94" s="1" t="s">
        <v>716</v>
      </c>
      <c r="K94" s="1" t="s">
        <v>716</v>
      </c>
      <c r="L94" s="1" t="s">
        <v>1168</v>
      </c>
      <c r="M94" s="1" t="s">
        <v>718</v>
      </c>
    </row>
    <row r="95" customFormat="false" ht="15" hidden="false" customHeight="false" outlineLevel="0" collapsed="false">
      <c r="A95" s="1" t="s">
        <v>1169</v>
      </c>
      <c r="B95" s="1" t="s">
        <v>1170</v>
      </c>
      <c r="C95" s="1" t="s">
        <v>1171</v>
      </c>
      <c r="D95" s="2" t="n">
        <v>36583</v>
      </c>
      <c r="E95" s="1" t="s">
        <v>710</v>
      </c>
      <c r="F95" s="1" t="s">
        <v>711</v>
      </c>
      <c r="G95" s="1" t="s">
        <v>712</v>
      </c>
      <c r="H95" s="1" t="s">
        <v>713</v>
      </c>
      <c r="I95" s="1" t="s">
        <v>714</v>
      </c>
      <c r="J95" s="1" t="s">
        <v>1172</v>
      </c>
      <c r="K95" s="1" t="s">
        <v>716</v>
      </c>
      <c r="L95" s="1" t="s">
        <v>1173</v>
      </c>
      <c r="M95" s="1" t="s">
        <v>718</v>
      </c>
    </row>
    <row r="96" customFormat="false" ht="15" hidden="false" customHeight="false" outlineLevel="0" collapsed="false">
      <c r="A96" s="1" t="s">
        <v>1174</v>
      </c>
      <c r="B96" s="1" t="s">
        <v>1175</v>
      </c>
      <c r="C96" s="1" t="s">
        <v>1176</v>
      </c>
      <c r="D96" s="2" t="n">
        <v>36775</v>
      </c>
      <c r="E96" s="1" t="s">
        <v>710</v>
      </c>
      <c r="F96" s="1" t="s">
        <v>711</v>
      </c>
      <c r="G96" s="1" t="s">
        <v>722</v>
      </c>
      <c r="H96" s="1" t="s">
        <v>713</v>
      </c>
      <c r="I96" s="1" t="s">
        <v>714</v>
      </c>
      <c r="J96" s="1" t="s">
        <v>838</v>
      </c>
      <c r="K96" s="1" t="s">
        <v>716</v>
      </c>
      <c r="L96" s="1" t="s">
        <v>1177</v>
      </c>
      <c r="M96" s="1" t="s">
        <v>718</v>
      </c>
    </row>
    <row r="97" customFormat="false" ht="15" hidden="false" customHeight="false" outlineLevel="0" collapsed="false">
      <c r="A97" s="1" t="s">
        <v>1178</v>
      </c>
      <c r="B97" s="1" t="s">
        <v>1179</v>
      </c>
      <c r="C97" s="1" t="s">
        <v>1180</v>
      </c>
      <c r="D97" s="2" t="n">
        <v>36659</v>
      </c>
      <c r="E97" s="1" t="s">
        <v>710</v>
      </c>
      <c r="F97" s="1" t="s">
        <v>711</v>
      </c>
      <c r="G97" s="1" t="s">
        <v>722</v>
      </c>
      <c r="H97" s="1" t="s">
        <v>713</v>
      </c>
      <c r="I97" s="1" t="s">
        <v>714</v>
      </c>
      <c r="J97" s="1" t="s">
        <v>716</v>
      </c>
      <c r="K97" s="1" t="s">
        <v>716</v>
      </c>
      <c r="L97" s="1" t="s">
        <v>717</v>
      </c>
      <c r="M97" s="1" t="s">
        <v>718</v>
      </c>
    </row>
    <row r="98" customFormat="false" ht="15" hidden="false" customHeight="false" outlineLevel="0" collapsed="false">
      <c r="A98" s="1" t="s">
        <v>1181</v>
      </c>
      <c r="B98" s="1" t="s">
        <v>1182</v>
      </c>
      <c r="C98" s="1" t="s">
        <v>809</v>
      </c>
      <c r="D98" s="2" t="n">
        <v>36291</v>
      </c>
      <c r="E98" s="1" t="s">
        <v>763</v>
      </c>
      <c r="F98" s="1" t="s">
        <v>711</v>
      </c>
      <c r="G98" s="1" t="s">
        <v>722</v>
      </c>
      <c r="H98" s="1" t="s">
        <v>713</v>
      </c>
      <c r="I98" s="1" t="s">
        <v>714</v>
      </c>
      <c r="J98" s="1" t="s">
        <v>810</v>
      </c>
      <c r="K98" s="1" t="s">
        <v>811</v>
      </c>
      <c r="L98" s="1" t="s">
        <v>812</v>
      </c>
      <c r="M98" s="1" t="s">
        <v>718</v>
      </c>
    </row>
    <row r="99" customFormat="false" ht="15" hidden="false" customHeight="false" outlineLevel="0" collapsed="false">
      <c r="A99" s="1" t="s">
        <v>1183</v>
      </c>
      <c r="B99" s="1" t="s">
        <v>1184</v>
      </c>
      <c r="C99" s="1" t="s">
        <v>1185</v>
      </c>
      <c r="D99" s="2" t="n">
        <v>36807</v>
      </c>
      <c r="E99" s="1" t="s">
        <v>763</v>
      </c>
      <c r="F99" s="1" t="s">
        <v>711</v>
      </c>
      <c r="G99" s="1" t="s">
        <v>722</v>
      </c>
      <c r="H99" s="1" t="s">
        <v>713</v>
      </c>
      <c r="I99" s="1" t="s">
        <v>714</v>
      </c>
      <c r="J99" s="1" t="s">
        <v>729</v>
      </c>
      <c r="K99" s="1" t="s">
        <v>716</v>
      </c>
      <c r="L99" s="1" t="s">
        <v>1186</v>
      </c>
      <c r="M99" s="1" t="s">
        <v>718</v>
      </c>
    </row>
    <row r="100" customFormat="false" ht="15" hidden="false" customHeight="false" outlineLevel="0" collapsed="false">
      <c r="A100" s="1" t="s">
        <v>1187</v>
      </c>
      <c r="B100" s="1" t="s">
        <v>1188</v>
      </c>
      <c r="C100" s="1" t="s">
        <v>1189</v>
      </c>
      <c r="D100" s="2" t="n">
        <v>36752</v>
      </c>
      <c r="E100" s="1" t="s">
        <v>763</v>
      </c>
      <c r="F100" s="1" t="s">
        <v>711</v>
      </c>
      <c r="G100" s="1" t="s">
        <v>712</v>
      </c>
      <c r="H100" s="1" t="s">
        <v>713</v>
      </c>
      <c r="I100" s="1" t="s">
        <v>714</v>
      </c>
      <c r="J100" s="1" t="s">
        <v>716</v>
      </c>
      <c r="K100" s="1" t="s">
        <v>716</v>
      </c>
      <c r="L100" s="1" t="s">
        <v>1190</v>
      </c>
      <c r="M100" s="1" t="s">
        <v>718</v>
      </c>
    </row>
    <row r="101" customFormat="false" ht="15" hidden="false" customHeight="false" outlineLevel="0" collapsed="false">
      <c r="A101" s="1" t="s">
        <v>1191</v>
      </c>
      <c r="B101" s="1" t="s">
        <v>1192</v>
      </c>
      <c r="C101" s="1" t="s">
        <v>958</v>
      </c>
      <c r="D101" s="2" t="n">
        <v>36670</v>
      </c>
      <c r="E101" s="1" t="s">
        <v>763</v>
      </c>
      <c r="F101" s="1" t="s">
        <v>711</v>
      </c>
      <c r="G101" s="1" t="s">
        <v>722</v>
      </c>
      <c r="H101" s="1" t="s">
        <v>713</v>
      </c>
      <c r="I101" s="1" t="s">
        <v>714</v>
      </c>
      <c r="J101" s="1" t="s">
        <v>978</v>
      </c>
      <c r="K101" s="1" t="s">
        <v>1193</v>
      </c>
      <c r="L101" s="1" t="s">
        <v>1194</v>
      </c>
      <c r="M101" s="1" t="s">
        <v>718</v>
      </c>
    </row>
    <row r="102" customFormat="false" ht="15" hidden="false" customHeight="false" outlineLevel="0" collapsed="false">
      <c r="A102" s="1" t="s">
        <v>1195</v>
      </c>
      <c r="B102" s="1" t="s">
        <v>1196</v>
      </c>
      <c r="C102" s="1" t="s">
        <v>1197</v>
      </c>
      <c r="D102" s="2" t="n">
        <v>35721</v>
      </c>
      <c r="E102" s="1" t="s">
        <v>710</v>
      </c>
      <c r="F102" s="1" t="s">
        <v>711</v>
      </c>
      <c r="G102" s="1" t="s">
        <v>712</v>
      </c>
      <c r="H102" s="1" t="s">
        <v>713</v>
      </c>
      <c r="I102" s="1" t="s">
        <v>714</v>
      </c>
      <c r="J102" s="1" t="s">
        <v>734</v>
      </c>
      <c r="K102" s="1" t="s">
        <v>1198</v>
      </c>
      <c r="L102" s="1" t="s">
        <v>1199</v>
      </c>
      <c r="M102" s="1" t="s">
        <v>718</v>
      </c>
    </row>
    <row r="103" customFormat="false" ht="15" hidden="false" customHeight="false" outlineLevel="0" collapsed="false">
      <c r="A103" s="1" t="s">
        <v>1200</v>
      </c>
      <c r="B103" s="1" t="s">
        <v>1201</v>
      </c>
      <c r="C103" s="1" t="s">
        <v>1202</v>
      </c>
      <c r="D103" s="2" t="n">
        <v>36808</v>
      </c>
      <c r="E103" s="1" t="s">
        <v>763</v>
      </c>
      <c r="F103" s="1" t="s">
        <v>711</v>
      </c>
      <c r="G103" s="1" t="s">
        <v>722</v>
      </c>
      <c r="H103" s="1" t="s">
        <v>713</v>
      </c>
      <c r="I103" s="1" t="s">
        <v>714</v>
      </c>
      <c r="J103" s="1" t="s">
        <v>734</v>
      </c>
      <c r="K103" s="1" t="s">
        <v>716</v>
      </c>
      <c r="L103" s="1" t="s">
        <v>1203</v>
      </c>
      <c r="M103" s="1" t="s">
        <v>718</v>
      </c>
    </row>
    <row r="104" customFormat="false" ht="15" hidden="false" customHeight="false" outlineLevel="0" collapsed="false">
      <c r="A104" s="1" t="s">
        <v>1204</v>
      </c>
      <c r="B104" s="1" t="s">
        <v>1205</v>
      </c>
      <c r="C104" s="1" t="s">
        <v>1206</v>
      </c>
      <c r="D104" s="2" t="n">
        <v>36782</v>
      </c>
      <c r="E104" s="1" t="s">
        <v>763</v>
      </c>
      <c r="F104" s="1" t="s">
        <v>711</v>
      </c>
      <c r="G104" s="1" t="s">
        <v>722</v>
      </c>
      <c r="H104" s="1" t="s">
        <v>713</v>
      </c>
      <c r="I104" s="1" t="s">
        <v>714</v>
      </c>
      <c r="J104" s="1" t="s">
        <v>734</v>
      </c>
      <c r="K104" s="1" t="s">
        <v>716</v>
      </c>
      <c r="L104" s="1" t="s">
        <v>1207</v>
      </c>
      <c r="M104" s="1" t="s">
        <v>718</v>
      </c>
    </row>
    <row r="105" customFormat="false" ht="15" hidden="false" customHeight="false" outlineLevel="0" collapsed="false">
      <c r="A105" s="1" t="s">
        <v>1208</v>
      </c>
      <c r="B105" s="1" t="s">
        <v>1209</v>
      </c>
      <c r="C105" s="1" t="s">
        <v>1210</v>
      </c>
      <c r="D105" s="2" t="n">
        <v>36595</v>
      </c>
      <c r="E105" s="1" t="s">
        <v>763</v>
      </c>
      <c r="F105" s="1" t="s">
        <v>711</v>
      </c>
      <c r="G105" s="1" t="s">
        <v>775</v>
      </c>
      <c r="H105" s="1" t="s">
        <v>713</v>
      </c>
      <c r="I105" s="1" t="s">
        <v>714</v>
      </c>
      <c r="J105" s="1" t="s">
        <v>734</v>
      </c>
      <c r="K105" s="1" t="s">
        <v>716</v>
      </c>
      <c r="L105" s="1" t="s">
        <v>1211</v>
      </c>
      <c r="M105" s="1" t="s">
        <v>718</v>
      </c>
    </row>
    <row r="106" customFormat="false" ht="15" hidden="false" customHeight="false" outlineLevel="0" collapsed="false">
      <c r="A106" s="1" t="s">
        <v>1212</v>
      </c>
      <c r="B106" s="1" t="s">
        <v>1213</v>
      </c>
      <c r="C106" s="1" t="s">
        <v>1214</v>
      </c>
      <c r="D106" s="2" t="n">
        <v>36904</v>
      </c>
      <c r="E106" s="1" t="s">
        <v>763</v>
      </c>
      <c r="F106" s="1" t="s">
        <v>711</v>
      </c>
      <c r="G106" s="1" t="s">
        <v>722</v>
      </c>
      <c r="H106" s="1" t="s">
        <v>713</v>
      </c>
      <c r="I106" s="1" t="s">
        <v>714</v>
      </c>
      <c r="J106" s="1" t="s">
        <v>734</v>
      </c>
      <c r="K106" s="1" t="s">
        <v>1215</v>
      </c>
      <c r="L106" s="1" t="s">
        <v>1216</v>
      </c>
      <c r="M106" s="1" t="s">
        <v>718</v>
      </c>
    </row>
    <row r="107" customFormat="false" ht="15" hidden="false" customHeight="false" outlineLevel="0" collapsed="false">
      <c r="A107" s="1" t="s">
        <v>1217</v>
      </c>
      <c r="B107" s="1" t="s">
        <v>1218</v>
      </c>
      <c r="C107" s="1" t="s">
        <v>1219</v>
      </c>
      <c r="D107" s="2" t="n">
        <v>36547</v>
      </c>
      <c r="E107" s="1" t="s">
        <v>763</v>
      </c>
      <c r="F107" s="1" t="s">
        <v>711</v>
      </c>
      <c r="G107" s="1" t="s">
        <v>1220</v>
      </c>
      <c r="H107" s="1" t="s">
        <v>713</v>
      </c>
      <c r="I107" s="1" t="s">
        <v>714</v>
      </c>
      <c r="J107" s="1" t="s">
        <v>734</v>
      </c>
      <c r="K107" s="1" t="s">
        <v>1221</v>
      </c>
      <c r="L107" s="1" t="s">
        <v>1222</v>
      </c>
      <c r="M107" s="1" t="s">
        <v>718</v>
      </c>
    </row>
    <row r="108" customFormat="false" ht="15" hidden="false" customHeight="false" outlineLevel="0" collapsed="false">
      <c r="A108" s="1" t="s">
        <v>1223</v>
      </c>
      <c r="B108" s="1" t="s">
        <v>1224</v>
      </c>
      <c r="C108" s="1" t="s">
        <v>1225</v>
      </c>
      <c r="D108" s="2" t="n">
        <v>36877</v>
      </c>
      <c r="E108" s="1" t="s">
        <v>763</v>
      </c>
      <c r="F108" s="1" t="s">
        <v>711</v>
      </c>
      <c r="G108" s="1" t="s">
        <v>712</v>
      </c>
      <c r="H108" s="1" t="s">
        <v>713</v>
      </c>
      <c r="I108" s="1" t="s">
        <v>714</v>
      </c>
      <c r="J108" s="1" t="s">
        <v>715</v>
      </c>
      <c r="K108" s="1" t="s">
        <v>1226</v>
      </c>
      <c r="L108" s="1" t="s">
        <v>1227</v>
      </c>
      <c r="M108" s="1" t="s">
        <v>718</v>
      </c>
    </row>
    <row r="109" customFormat="false" ht="15" hidden="false" customHeight="false" outlineLevel="0" collapsed="false">
      <c r="A109" s="1" t="s">
        <v>1228</v>
      </c>
      <c r="B109" s="1" t="s">
        <v>1229</v>
      </c>
      <c r="C109" s="1" t="s">
        <v>1230</v>
      </c>
      <c r="D109" s="2" t="n">
        <v>36657</v>
      </c>
      <c r="E109" s="1" t="s">
        <v>763</v>
      </c>
      <c r="F109" s="1" t="s">
        <v>711</v>
      </c>
      <c r="G109" s="1" t="s">
        <v>712</v>
      </c>
      <c r="H109" s="1" t="s">
        <v>713</v>
      </c>
      <c r="I109" s="1" t="s">
        <v>714</v>
      </c>
      <c r="J109" s="1" t="s">
        <v>729</v>
      </c>
      <c r="K109" s="1" t="s">
        <v>716</v>
      </c>
      <c r="L109" s="1" t="s">
        <v>1231</v>
      </c>
      <c r="M109" s="1" t="s">
        <v>718</v>
      </c>
    </row>
    <row r="110" customFormat="false" ht="15" hidden="false" customHeight="false" outlineLevel="0" collapsed="false">
      <c r="A110" s="1" t="s">
        <v>1232</v>
      </c>
      <c r="B110" s="1" t="s">
        <v>1233</v>
      </c>
      <c r="C110" s="1" t="s">
        <v>1234</v>
      </c>
      <c r="D110" s="2" t="n">
        <v>36466</v>
      </c>
      <c r="E110" s="1" t="s">
        <v>710</v>
      </c>
      <c r="F110" s="1" t="s">
        <v>711</v>
      </c>
      <c r="G110" s="1" t="s">
        <v>712</v>
      </c>
      <c r="H110" s="1" t="s">
        <v>713</v>
      </c>
      <c r="I110" s="1" t="s">
        <v>714</v>
      </c>
      <c r="J110" s="1" t="s">
        <v>1235</v>
      </c>
      <c r="K110" s="1" t="s">
        <v>716</v>
      </c>
      <c r="L110" s="1" t="s">
        <v>1236</v>
      </c>
      <c r="M110" s="1" t="s">
        <v>718</v>
      </c>
    </row>
    <row r="111" customFormat="false" ht="15" hidden="false" customHeight="false" outlineLevel="0" collapsed="false">
      <c r="A111" s="1" t="s">
        <v>1237</v>
      </c>
      <c r="B111" s="1" t="s">
        <v>1238</v>
      </c>
      <c r="C111" s="1" t="s">
        <v>1239</v>
      </c>
      <c r="D111" s="2" t="n">
        <v>36528</v>
      </c>
      <c r="E111" s="1" t="s">
        <v>710</v>
      </c>
      <c r="F111" s="1" t="s">
        <v>711</v>
      </c>
      <c r="G111" s="1" t="s">
        <v>722</v>
      </c>
      <c r="H111" s="1" t="s">
        <v>713</v>
      </c>
      <c r="I111" s="1" t="s">
        <v>714</v>
      </c>
      <c r="J111" s="1" t="s">
        <v>716</v>
      </c>
      <c r="K111" s="1" t="s">
        <v>716</v>
      </c>
      <c r="L111" s="1" t="s">
        <v>1240</v>
      </c>
      <c r="M111" s="1" t="s">
        <v>718</v>
      </c>
    </row>
    <row r="112" customFormat="false" ht="15" hidden="false" customHeight="false" outlineLevel="0" collapsed="false">
      <c r="A112" s="1" t="s">
        <v>1241</v>
      </c>
      <c r="B112" s="1" t="s">
        <v>1242</v>
      </c>
      <c r="C112" s="1" t="s">
        <v>1243</v>
      </c>
      <c r="D112" s="2" t="n">
        <v>36657</v>
      </c>
      <c r="E112" s="1" t="s">
        <v>710</v>
      </c>
      <c r="F112" s="1" t="s">
        <v>711</v>
      </c>
      <c r="G112" s="1" t="s">
        <v>712</v>
      </c>
      <c r="H112" s="1" t="s">
        <v>713</v>
      </c>
      <c r="I112" s="1" t="s">
        <v>714</v>
      </c>
      <c r="J112" s="1" t="s">
        <v>1244</v>
      </c>
      <c r="K112" s="1" t="s">
        <v>716</v>
      </c>
      <c r="L112" s="1" t="s">
        <v>1245</v>
      </c>
      <c r="M112" s="1" t="s">
        <v>718</v>
      </c>
    </row>
    <row r="113" customFormat="false" ht="15" hidden="false" customHeight="false" outlineLevel="0" collapsed="false">
      <c r="A113" s="1" t="s">
        <v>1246</v>
      </c>
      <c r="B113" s="1" t="s">
        <v>1247</v>
      </c>
      <c r="C113" s="1" t="s">
        <v>1248</v>
      </c>
      <c r="D113" s="2" t="n">
        <v>36663</v>
      </c>
      <c r="E113" s="1" t="s">
        <v>710</v>
      </c>
      <c r="F113" s="1" t="s">
        <v>711</v>
      </c>
      <c r="G113" s="1" t="s">
        <v>722</v>
      </c>
      <c r="H113" s="1" t="s">
        <v>713</v>
      </c>
      <c r="I113" s="1" t="s">
        <v>714</v>
      </c>
      <c r="J113" s="1" t="s">
        <v>1160</v>
      </c>
      <c r="K113" s="1" t="s">
        <v>1249</v>
      </c>
      <c r="L113" s="1" t="s">
        <v>1250</v>
      </c>
      <c r="M113" s="1" t="s">
        <v>718</v>
      </c>
    </row>
    <row r="114" customFormat="false" ht="15" hidden="false" customHeight="false" outlineLevel="0" collapsed="false">
      <c r="A114" s="1" t="s">
        <v>1251</v>
      </c>
      <c r="B114" s="1" t="s">
        <v>1252</v>
      </c>
      <c r="C114" s="1" t="s">
        <v>1253</v>
      </c>
      <c r="D114" s="2" t="n">
        <v>36893</v>
      </c>
      <c r="E114" s="1" t="s">
        <v>710</v>
      </c>
      <c r="F114" s="1" t="s">
        <v>711</v>
      </c>
      <c r="G114" s="1" t="s">
        <v>712</v>
      </c>
      <c r="H114" s="1" t="s">
        <v>713</v>
      </c>
      <c r="I114" s="1" t="s">
        <v>714</v>
      </c>
      <c r="J114" s="1" t="s">
        <v>745</v>
      </c>
      <c r="K114" s="1" t="s">
        <v>1254</v>
      </c>
      <c r="L114" s="1" t="s">
        <v>1255</v>
      </c>
      <c r="M114" s="1" t="s">
        <v>718</v>
      </c>
    </row>
    <row r="115" customFormat="false" ht="15" hidden="false" customHeight="false" outlineLevel="0" collapsed="false">
      <c r="A115" s="1" t="s">
        <v>1256</v>
      </c>
      <c r="B115" s="1" t="s">
        <v>1257</v>
      </c>
      <c r="C115" s="1" t="s">
        <v>1258</v>
      </c>
      <c r="D115" s="2" t="n">
        <v>36735</v>
      </c>
      <c r="E115" s="1" t="s">
        <v>763</v>
      </c>
      <c r="F115" s="1" t="s">
        <v>711</v>
      </c>
      <c r="G115" s="1" t="s">
        <v>712</v>
      </c>
      <c r="H115" s="1" t="s">
        <v>713</v>
      </c>
      <c r="I115" s="1" t="s">
        <v>714</v>
      </c>
      <c r="J115" s="1" t="s">
        <v>716</v>
      </c>
      <c r="K115" s="1" t="s">
        <v>716</v>
      </c>
      <c r="L115" s="1" t="s">
        <v>1259</v>
      </c>
      <c r="M115" s="1" t="s">
        <v>718</v>
      </c>
    </row>
    <row r="116" customFormat="false" ht="15" hidden="false" customHeight="false" outlineLevel="0" collapsed="false">
      <c r="A116" s="1" t="s">
        <v>1260</v>
      </c>
      <c r="B116" s="1" t="s">
        <v>1261</v>
      </c>
      <c r="C116" s="1" t="s">
        <v>1262</v>
      </c>
      <c r="D116" s="2" t="n">
        <v>36477</v>
      </c>
      <c r="E116" s="1" t="s">
        <v>710</v>
      </c>
      <c r="F116" s="1" t="s">
        <v>711</v>
      </c>
      <c r="G116" s="1" t="s">
        <v>722</v>
      </c>
      <c r="H116" s="1" t="s">
        <v>713</v>
      </c>
      <c r="I116" s="1" t="s">
        <v>714</v>
      </c>
      <c r="J116" s="1" t="s">
        <v>716</v>
      </c>
      <c r="K116" s="1" t="s">
        <v>716</v>
      </c>
      <c r="L116" s="1" t="s">
        <v>1263</v>
      </c>
      <c r="M116" s="1" t="s">
        <v>718</v>
      </c>
    </row>
    <row r="117" customFormat="false" ht="15" hidden="false" customHeight="false" outlineLevel="0" collapsed="false">
      <c r="A117" s="1" t="s">
        <v>1264</v>
      </c>
      <c r="B117" s="1" t="s">
        <v>1265</v>
      </c>
      <c r="C117" s="1" t="s">
        <v>1266</v>
      </c>
      <c r="D117" s="2" t="n">
        <v>36843</v>
      </c>
      <c r="E117" s="1" t="s">
        <v>763</v>
      </c>
      <c r="F117" s="1" t="s">
        <v>711</v>
      </c>
      <c r="G117" s="1" t="s">
        <v>712</v>
      </c>
      <c r="H117" s="1" t="s">
        <v>713</v>
      </c>
      <c r="I117" s="1" t="s">
        <v>714</v>
      </c>
      <c r="J117" s="1" t="s">
        <v>821</v>
      </c>
      <c r="K117" s="1" t="s">
        <v>1267</v>
      </c>
      <c r="L117" s="1" t="s">
        <v>1268</v>
      </c>
      <c r="M117" s="1" t="s">
        <v>718</v>
      </c>
    </row>
    <row r="118" customFormat="false" ht="15" hidden="false" customHeight="false" outlineLevel="0" collapsed="false">
      <c r="A118" s="1" t="s">
        <v>1269</v>
      </c>
      <c r="B118" s="1" t="s">
        <v>1270</v>
      </c>
      <c r="C118" s="1" t="s">
        <v>1271</v>
      </c>
      <c r="D118" s="2" t="n">
        <v>36662</v>
      </c>
      <c r="E118" s="1" t="s">
        <v>710</v>
      </c>
      <c r="F118" s="1" t="s">
        <v>711</v>
      </c>
      <c r="G118" s="1" t="s">
        <v>712</v>
      </c>
      <c r="H118" s="1" t="s">
        <v>713</v>
      </c>
      <c r="I118" s="1" t="s">
        <v>714</v>
      </c>
      <c r="J118" s="1" t="s">
        <v>1272</v>
      </c>
      <c r="K118" s="1" t="s">
        <v>1273</v>
      </c>
      <c r="L118" s="1" t="s">
        <v>1274</v>
      </c>
      <c r="M118" s="1" t="s">
        <v>718</v>
      </c>
    </row>
    <row r="119" customFormat="false" ht="15" hidden="false" customHeight="false" outlineLevel="0" collapsed="false">
      <c r="A119" s="1" t="s">
        <v>1275</v>
      </c>
      <c r="B119" s="1" t="s">
        <v>1276</v>
      </c>
      <c r="C119" s="1" t="s">
        <v>1277</v>
      </c>
      <c r="D119" s="2" t="n">
        <v>36680</v>
      </c>
      <c r="E119" s="1" t="s">
        <v>710</v>
      </c>
      <c r="F119" s="1" t="s">
        <v>711</v>
      </c>
      <c r="G119" s="1" t="s">
        <v>712</v>
      </c>
      <c r="H119" s="1" t="s">
        <v>713</v>
      </c>
      <c r="I119" s="1" t="s">
        <v>714</v>
      </c>
      <c r="J119" s="1" t="s">
        <v>821</v>
      </c>
      <c r="K119" s="1" t="s">
        <v>1273</v>
      </c>
      <c r="L119" s="1" t="s">
        <v>1274</v>
      </c>
      <c r="M119" s="1" t="s">
        <v>718</v>
      </c>
    </row>
    <row r="120" customFormat="false" ht="15" hidden="false" customHeight="false" outlineLevel="0" collapsed="false">
      <c r="A120" s="1" t="s">
        <v>1278</v>
      </c>
      <c r="B120" s="1" t="s">
        <v>1279</v>
      </c>
      <c r="C120" s="1" t="s">
        <v>1280</v>
      </c>
      <c r="D120" s="2" t="n">
        <v>36763</v>
      </c>
      <c r="E120" s="1" t="s">
        <v>763</v>
      </c>
      <c r="F120" s="1" t="s">
        <v>711</v>
      </c>
      <c r="G120" s="1" t="s">
        <v>712</v>
      </c>
      <c r="H120" s="1" t="s">
        <v>713</v>
      </c>
      <c r="I120" s="1" t="s">
        <v>714</v>
      </c>
      <c r="J120" s="1" t="s">
        <v>1281</v>
      </c>
      <c r="K120" s="1" t="s">
        <v>1282</v>
      </c>
      <c r="L120" s="1" t="s">
        <v>1283</v>
      </c>
      <c r="M120" s="1" t="s">
        <v>718</v>
      </c>
    </row>
    <row r="121" customFormat="false" ht="15" hidden="false" customHeight="false" outlineLevel="0" collapsed="false">
      <c r="A121" s="1" t="s">
        <v>1284</v>
      </c>
      <c r="B121" s="1" t="s">
        <v>1285</v>
      </c>
      <c r="C121" s="1" t="s">
        <v>1286</v>
      </c>
      <c r="D121" s="2" t="n">
        <v>36860</v>
      </c>
      <c r="E121" s="1" t="s">
        <v>710</v>
      </c>
      <c r="F121" s="1" t="s">
        <v>711</v>
      </c>
      <c r="G121" s="1" t="s">
        <v>722</v>
      </c>
      <c r="H121" s="1" t="s">
        <v>713</v>
      </c>
      <c r="I121" s="1" t="s">
        <v>714</v>
      </c>
      <c r="J121" s="1" t="s">
        <v>1118</v>
      </c>
      <c r="K121" s="1" t="s">
        <v>1287</v>
      </c>
      <c r="L121" s="1" t="s">
        <v>1288</v>
      </c>
      <c r="M121" s="1" t="s">
        <v>718</v>
      </c>
    </row>
    <row r="122" customFormat="false" ht="15" hidden="false" customHeight="false" outlineLevel="0" collapsed="false">
      <c r="A122" s="1" t="s">
        <v>1289</v>
      </c>
      <c r="B122" s="1" t="s">
        <v>1290</v>
      </c>
      <c r="C122" s="1" t="s">
        <v>1291</v>
      </c>
      <c r="D122" s="2" t="n">
        <v>36842</v>
      </c>
      <c r="E122" s="1" t="s">
        <v>763</v>
      </c>
      <c r="F122" s="1" t="s">
        <v>711</v>
      </c>
      <c r="G122" s="1" t="s">
        <v>712</v>
      </c>
      <c r="H122" s="1" t="s">
        <v>713</v>
      </c>
      <c r="I122" s="1" t="s">
        <v>714</v>
      </c>
      <c r="J122" s="1" t="s">
        <v>1244</v>
      </c>
      <c r="K122" s="1" t="s">
        <v>716</v>
      </c>
      <c r="L122" s="1" t="s">
        <v>1292</v>
      </c>
      <c r="M122" s="1" t="s">
        <v>718</v>
      </c>
    </row>
    <row r="123" customFormat="false" ht="15" hidden="false" customHeight="false" outlineLevel="0" collapsed="false">
      <c r="A123" s="1" t="s">
        <v>1293</v>
      </c>
      <c r="B123" s="1" t="s">
        <v>1294</v>
      </c>
      <c r="C123" s="1" t="s">
        <v>1295</v>
      </c>
      <c r="D123" s="2" t="n">
        <v>36635</v>
      </c>
      <c r="E123" s="1" t="s">
        <v>710</v>
      </c>
      <c r="F123" s="1" t="s">
        <v>711</v>
      </c>
      <c r="G123" s="1" t="s">
        <v>722</v>
      </c>
      <c r="H123" s="1" t="s">
        <v>713</v>
      </c>
      <c r="I123" s="1" t="s">
        <v>714</v>
      </c>
      <c r="J123" s="1" t="s">
        <v>1296</v>
      </c>
      <c r="K123" s="1" t="s">
        <v>1297</v>
      </c>
      <c r="L123" s="1" t="s">
        <v>1298</v>
      </c>
      <c r="M123" s="1" t="s">
        <v>718</v>
      </c>
    </row>
    <row r="124" customFormat="false" ht="15" hidden="false" customHeight="false" outlineLevel="0" collapsed="false">
      <c r="A124" s="1" t="s">
        <v>1299</v>
      </c>
      <c r="B124" s="1" t="s">
        <v>1300</v>
      </c>
      <c r="C124" s="1" t="s">
        <v>1301</v>
      </c>
      <c r="D124" s="2" t="n">
        <v>36660</v>
      </c>
      <c r="E124" s="1" t="s">
        <v>710</v>
      </c>
      <c r="F124" s="1" t="s">
        <v>711</v>
      </c>
      <c r="G124" s="1" t="s">
        <v>712</v>
      </c>
      <c r="H124" s="1" t="s">
        <v>713</v>
      </c>
      <c r="I124" s="1" t="s">
        <v>714</v>
      </c>
      <c r="J124" s="1" t="s">
        <v>1172</v>
      </c>
      <c r="K124" s="1" t="s">
        <v>1302</v>
      </c>
      <c r="L124" s="1" t="s">
        <v>1303</v>
      </c>
      <c r="M124" s="1" t="s">
        <v>718</v>
      </c>
    </row>
    <row r="125" customFormat="false" ht="15" hidden="false" customHeight="false" outlineLevel="0" collapsed="false">
      <c r="A125" s="1" t="s">
        <v>1304</v>
      </c>
      <c r="B125" s="1" t="s">
        <v>1305</v>
      </c>
      <c r="C125" s="1" t="s">
        <v>1306</v>
      </c>
      <c r="D125" s="2" t="n">
        <v>36852</v>
      </c>
      <c r="E125" s="1" t="s">
        <v>710</v>
      </c>
      <c r="F125" s="1" t="s">
        <v>711</v>
      </c>
      <c r="G125" s="1" t="s">
        <v>712</v>
      </c>
      <c r="H125" s="1" t="s">
        <v>713</v>
      </c>
      <c r="I125" s="1" t="s">
        <v>714</v>
      </c>
      <c r="J125" s="1" t="s">
        <v>1307</v>
      </c>
      <c r="K125" s="1" t="s">
        <v>716</v>
      </c>
      <c r="L125" s="1" t="s">
        <v>1308</v>
      </c>
      <c r="M125" s="1" t="s">
        <v>718</v>
      </c>
    </row>
    <row r="126" customFormat="false" ht="15" hidden="false" customHeight="false" outlineLevel="0" collapsed="false">
      <c r="A126" s="1" t="s">
        <v>1309</v>
      </c>
      <c r="B126" s="1" t="s">
        <v>1310</v>
      </c>
      <c r="C126" s="1" t="s">
        <v>1311</v>
      </c>
      <c r="D126" s="2" t="n">
        <v>36871</v>
      </c>
      <c r="E126" s="1" t="s">
        <v>710</v>
      </c>
      <c r="F126" s="1" t="s">
        <v>711</v>
      </c>
      <c r="G126" s="1" t="s">
        <v>722</v>
      </c>
      <c r="H126" s="1" t="s">
        <v>713</v>
      </c>
      <c r="I126" s="1" t="s">
        <v>714</v>
      </c>
      <c r="J126" s="1" t="s">
        <v>1312</v>
      </c>
      <c r="K126" s="1" t="s">
        <v>1313</v>
      </c>
      <c r="L126" s="1" t="s">
        <v>1314</v>
      </c>
      <c r="M126" s="1" t="s">
        <v>718</v>
      </c>
    </row>
    <row r="127" customFormat="false" ht="15" hidden="false" customHeight="false" outlineLevel="0" collapsed="false">
      <c r="A127" s="1" t="s">
        <v>1315</v>
      </c>
      <c r="B127" s="1" t="s">
        <v>1316</v>
      </c>
      <c r="C127" s="1" t="s">
        <v>1317</v>
      </c>
      <c r="D127" s="2" t="n">
        <v>36792</v>
      </c>
      <c r="E127" s="1" t="s">
        <v>763</v>
      </c>
      <c r="F127" s="1" t="s">
        <v>711</v>
      </c>
      <c r="G127" s="1" t="s">
        <v>1318</v>
      </c>
      <c r="H127" s="1" t="s">
        <v>713</v>
      </c>
      <c r="I127" s="1" t="s">
        <v>714</v>
      </c>
      <c r="J127" s="1" t="s">
        <v>1114</v>
      </c>
      <c r="K127" s="1" t="s">
        <v>1319</v>
      </c>
      <c r="L127" s="1" t="s">
        <v>1320</v>
      </c>
      <c r="M127" s="1" t="s">
        <v>718</v>
      </c>
    </row>
    <row r="128" customFormat="false" ht="15" hidden="false" customHeight="false" outlineLevel="0" collapsed="false">
      <c r="A128" s="1" t="s">
        <v>1321</v>
      </c>
      <c r="B128" s="1" t="s">
        <v>1322</v>
      </c>
      <c r="C128" s="1" t="s">
        <v>1323</v>
      </c>
      <c r="D128" s="2" t="n">
        <v>36129</v>
      </c>
      <c r="E128" s="1" t="s">
        <v>710</v>
      </c>
      <c r="F128" s="1" t="s">
        <v>711</v>
      </c>
      <c r="G128" s="1" t="s">
        <v>712</v>
      </c>
      <c r="H128" s="1" t="s">
        <v>713</v>
      </c>
      <c r="I128" s="1" t="s">
        <v>714</v>
      </c>
      <c r="J128" s="1" t="s">
        <v>740</v>
      </c>
      <c r="K128" s="1" t="s">
        <v>1324</v>
      </c>
      <c r="L128" s="1" t="s">
        <v>1325</v>
      </c>
      <c r="M128" s="1" t="s">
        <v>718</v>
      </c>
    </row>
    <row r="129" customFormat="false" ht="15" hidden="false" customHeight="false" outlineLevel="0" collapsed="false">
      <c r="A129" s="1" t="s">
        <v>1326</v>
      </c>
      <c r="B129" s="1" t="s">
        <v>1327</v>
      </c>
      <c r="C129" s="1" t="s">
        <v>1328</v>
      </c>
      <c r="D129" s="2" t="n">
        <v>36916</v>
      </c>
      <c r="E129" s="1" t="s">
        <v>710</v>
      </c>
      <c r="F129" s="1" t="s">
        <v>711</v>
      </c>
      <c r="G129" s="1" t="s">
        <v>712</v>
      </c>
      <c r="H129" s="1" t="s">
        <v>713</v>
      </c>
      <c r="I129" s="1" t="s">
        <v>714</v>
      </c>
      <c r="J129" s="1" t="s">
        <v>1172</v>
      </c>
      <c r="K129" s="1" t="s">
        <v>716</v>
      </c>
      <c r="L129" s="1" t="s">
        <v>1329</v>
      </c>
      <c r="M129" s="1" t="s">
        <v>718</v>
      </c>
    </row>
    <row r="130" customFormat="false" ht="15" hidden="false" customHeight="false" outlineLevel="0" collapsed="false">
      <c r="A130" s="1" t="s">
        <v>1330</v>
      </c>
      <c r="B130" s="1" t="s">
        <v>1331</v>
      </c>
      <c r="C130" s="1" t="s">
        <v>1332</v>
      </c>
      <c r="D130" s="2" t="n">
        <v>36665</v>
      </c>
      <c r="E130" s="1" t="s">
        <v>763</v>
      </c>
      <c r="F130" s="1" t="s">
        <v>711</v>
      </c>
      <c r="G130" s="1" t="s">
        <v>712</v>
      </c>
      <c r="H130" s="1" t="s">
        <v>713</v>
      </c>
      <c r="I130" s="1" t="s">
        <v>714</v>
      </c>
      <c r="J130" s="1" t="s">
        <v>826</v>
      </c>
      <c r="K130" s="1" t="s">
        <v>1333</v>
      </c>
      <c r="L130" s="1" t="s">
        <v>1334</v>
      </c>
      <c r="M130" s="1" t="s">
        <v>718</v>
      </c>
    </row>
    <row r="131" customFormat="false" ht="15" hidden="false" customHeight="false" outlineLevel="0" collapsed="false">
      <c r="A131" s="1" t="s">
        <v>1335</v>
      </c>
      <c r="B131" s="1" t="s">
        <v>1336</v>
      </c>
      <c r="C131" s="1" t="s">
        <v>1337</v>
      </c>
      <c r="D131" s="2" t="n">
        <v>36726</v>
      </c>
      <c r="E131" s="1" t="s">
        <v>763</v>
      </c>
      <c r="F131" s="1" t="s">
        <v>711</v>
      </c>
      <c r="G131" s="1" t="s">
        <v>712</v>
      </c>
      <c r="H131" s="1" t="s">
        <v>713</v>
      </c>
      <c r="I131" s="1" t="s">
        <v>714</v>
      </c>
      <c r="J131" s="1" t="s">
        <v>729</v>
      </c>
      <c r="K131" s="1" t="s">
        <v>716</v>
      </c>
      <c r="L131" s="1" t="s">
        <v>1338</v>
      </c>
      <c r="M131" s="1" t="s">
        <v>718</v>
      </c>
    </row>
    <row r="132" customFormat="false" ht="15" hidden="false" customHeight="false" outlineLevel="0" collapsed="false">
      <c r="A132" s="1" t="s">
        <v>1339</v>
      </c>
      <c r="B132" s="1" t="s">
        <v>1340</v>
      </c>
      <c r="C132" s="1" t="s">
        <v>739</v>
      </c>
      <c r="D132" s="2" t="n">
        <v>36855</v>
      </c>
      <c r="E132" s="1" t="s">
        <v>763</v>
      </c>
      <c r="F132" s="1" t="s">
        <v>711</v>
      </c>
      <c r="G132" s="1" t="s">
        <v>712</v>
      </c>
      <c r="H132" s="1" t="s">
        <v>713</v>
      </c>
      <c r="I132" s="1" t="s">
        <v>714</v>
      </c>
      <c r="J132" s="1" t="s">
        <v>832</v>
      </c>
      <c r="K132" s="1" t="s">
        <v>1341</v>
      </c>
      <c r="L132" s="1" t="s">
        <v>1342</v>
      </c>
      <c r="M132" s="1" t="s">
        <v>718</v>
      </c>
    </row>
    <row r="133" customFormat="false" ht="15" hidden="false" customHeight="false" outlineLevel="0" collapsed="false">
      <c r="A133" s="1" t="s">
        <v>1343</v>
      </c>
      <c r="B133" s="1" t="s">
        <v>1344</v>
      </c>
      <c r="C133" s="1" t="s">
        <v>1345</v>
      </c>
      <c r="D133" s="2" t="n">
        <v>36164</v>
      </c>
      <c r="E133" s="1" t="s">
        <v>710</v>
      </c>
      <c r="F133" s="1" t="s">
        <v>711</v>
      </c>
      <c r="G133" s="1" t="s">
        <v>722</v>
      </c>
      <c r="H133" s="1" t="s">
        <v>713</v>
      </c>
      <c r="I133" s="1" t="s">
        <v>714</v>
      </c>
      <c r="J133" s="1" t="s">
        <v>716</v>
      </c>
      <c r="K133" s="1" t="s">
        <v>716</v>
      </c>
      <c r="L133" s="1" t="s">
        <v>1346</v>
      </c>
      <c r="M133" s="1" t="s">
        <v>718</v>
      </c>
    </row>
    <row r="134" customFormat="false" ht="15" hidden="false" customHeight="false" outlineLevel="0" collapsed="false">
      <c r="A134" s="1" t="s">
        <v>1347</v>
      </c>
      <c r="B134" s="1" t="s">
        <v>1348</v>
      </c>
      <c r="C134" s="1" t="s">
        <v>1349</v>
      </c>
      <c r="D134" s="2" t="n">
        <v>36530</v>
      </c>
      <c r="E134" s="1" t="s">
        <v>710</v>
      </c>
      <c r="F134" s="1" t="s">
        <v>711</v>
      </c>
      <c r="G134" s="1" t="s">
        <v>712</v>
      </c>
      <c r="H134" s="1" t="s">
        <v>713</v>
      </c>
      <c r="I134" s="1" t="s">
        <v>714</v>
      </c>
      <c r="J134" s="1" t="s">
        <v>1296</v>
      </c>
      <c r="K134" s="1" t="s">
        <v>716</v>
      </c>
      <c r="L134" s="1" t="s">
        <v>1350</v>
      </c>
      <c r="M134" s="1" t="s">
        <v>718</v>
      </c>
    </row>
    <row r="135" customFormat="false" ht="15" hidden="false" customHeight="false" outlineLevel="0" collapsed="false">
      <c r="A135" s="1" t="s">
        <v>1351</v>
      </c>
      <c r="B135" s="1" t="s">
        <v>1352</v>
      </c>
      <c r="C135" s="1" t="s">
        <v>1353</v>
      </c>
      <c r="D135" s="2" t="n">
        <v>36672</v>
      </c>
      <c r="E135" s="1" t="s">
        <v>710</v>
      </c>
      <c r="F135" s="1" t="s">
        <v>711</v>
      </c>
      <c r="G135" s="1" t="s">
        <v>712</v>
      </c>
      <c r="H135" s="1" t="s">
        <v>713</v>
      </c>
      <c r="I135" s="1" t="s">
        <v>714</v>
      </c>
      <c r="J135" s="1" t="s">
        <v>740</v>
      </c>
      <c r="K135" s="1" t="s">
        <v>716</v>
      </c>
      <c r="L135" s="1" t="s">
        <v>1354</v>
      </c>
      <c r="M135" s="1" t="s">
        <v>718</v>
      </c>
    </row>
    <row r="136" customFormat="false" ht="15" hidden="false" customHeight="false" outlineLevel="0" collapsed="false">
      <c r="A136" s="1" t="s">
        <v>1355</v>
      </c>
      <c r="B136" s="1" t="s">
        <v>1356</v>
      </c>
      <c r="C136" s="1" t="s">
        <v>1357</v>
      </c>
      <c r="D136" s="2" t="n">
        <v>36874</v>
      </c>
      <c r="E136" s="1" t="s">
        <v>763</v>
      </c>
      <c r="F136" s="1" t="s">
        <v>711</v>
      </c>
      <c r="G136" s="1" t="s">
        <v>712</v>
      </c>
      <c r="H136" s="1" t="s">
        <v>713</v>
      </c>
      <c r="I136" s="1" t="s">
        <v>714</v>
      </c>
      <c r="J136" s="1" t="s">
        <v>715</v>
      </c>
      <c r="K136" s="1" t="s">
        <v>1358</v>
      </c>
      <c r="L136" s="1" t="s">
        <v>1359</v>
      </c>
      <c r="M136" s="1" t="s">
        <v>718</v>
      </c>
    </row>
    <row r="137" customFormat="false" ht="15" hidden="false" customHeight="false" outlineLevel="0" collapsed="false">
      <c r="A137" s="1" t="s">
        <v>1360</v>
      </c>
      <c r="B137" s="1" t="s">
        <v>1361</v>
      </c>
      <c r="C137" s="1" t="s">
        <v>1362</v>
      </c>
      <c r="D137" s="2" t="n">
        <v>36821</v>
      </c>
      <c r="E137" s="1" t="s">
        <v>763</v>
      </c>
      <c r="F137" s="1" t="s">
        <v>711</v>
      </c>
      <c r="G137" s="1" t="s">
        <v>722</v>
      </c>
      <c r="H137" s="1" t="s">
        <v>713</v>
      </c>
      <c r="I137" s="1" t="s">
        <v>714</v>
      </c>
      <c r="J137" s="1" t="s">
        <v>1160</v>
      </c>
      <c r="K137" s="1" t="s">
        <v>716</v>
      </c>
      <c r="L137" s="1" t="s">
        <v>1363</v>
      </c>
      <c r="M137" s="1" t="s">
        <v>718</v>
      </c>
    </row>
    <row r="138" customFormat="false" ht="15" hidden="false" customHeight="false" outlineLevel="0" collapsed="false">
      <c r="A138" s="1" t="s">
        <v>1364</v>
      </c>
      <c r="B138" s="1" t="s">
        <v>1365</v>
      </c>
      <c r="C138" s="1" t="s">
        <v>1366</v>
      </c>
      <c r="D138" s="2" t="n">
        <v>36713</v>
      </c>
      <c r="E138" s="1" t="s">
        <v>763</v>
      </c>
      <c r="F138" s="1" t="s">
        <v>711</v>
      </c>
      <c r="G138" s="1" t="s">
        <v>712</v>
      </c>
      <c r="H138" s="1" t="s">
        <v>713</v>
      </c>
      <c r="I138" s="1" t="s">
        <v>714</v>
      </c>
      <c r="J138" s="1" t="s">
        <v>1367</v>
      </c>
      <c r="K138" s="1" t="s">
        <v>716</v>
      </c>
      <c r="L138" s="1" t="s">
        <v>1368</v>
      </c>
      <c r="M138" s="1" t="s">
        <v>718</v>
      </c>
    </row>
    <row r="139" customFormat="false" ht="15" hidden="false" customHeight="false" outlineLevel="0" collapsed="false">
      <c r="A139" s="1" t="s">
        <v>1369</v>
      </c>
      <c r="B139" s="1" t="s">
        <v>1370</v>
      </c>
      <c r="C139" s="1" t="s">
        <v>1371</v>
      </c>
      <c r="D139" s="2" t="n">
        <v>36832</v>
      </c>
      <c r="E139" s="1" t="s">
        <v>763</v>
      </c>
      <c r="F139" s="1" t="s">
        <v>711</v>
      </c>
      <c r="G139" s="1" t="s">
        <v>712</v>
      </c>
      <c r="H139" s="1" t="s">
        <v>713</v>
      </c>
      <c r="I139" s="1" t="s">
        <v>714</v>
      </c>
      <c r="J139" s="1" t="s">
        <v>1160</v>
      </c>
      <c r="K139" s="1" t="s">
        <v>1372</v>
      </c>
      <c r="L139" s="1" t="s">
        <v>1373</v>
      </c>
      <c r="M139" s="1" t="s">
        <v>718</v>
      </c>
    </row>
    <row r="140" customFormat="false" ht="15" hidden="false" customHeight="false" outlineLevel="0" collapsed="false">
      <c r="A140" s="1" t="s">
        <v>1374</v>
      </c>
      <c r="B140" s="1" t="s">
        <v>1375</v>
      </c>
      <c r="C140" s="1" t="s">
        <v>1376</v>
      </c>
      <c r="D140" s="2" t="n">
        <v>36866</v>
      </c>
      <c r="E140" s="1" t="s">
        <v>763</v>
      </c>
      <c r="F140" s="1" t="s">
        <v>711</v>
      </c>
      <c r="G140" s="1" t="s">
        <v>722</v>
      </c>
      <c r="H140" s="1" t="s">
        <v>713</v>
      </c>
      <c r="I140" s="1" t="s">
        <v>714</v>
      </c>
      <c r="J140" s="1" t="s">
        <v>729</v>
      </c>
      <c r="K140" s="1" t="s">
        <v>716</v>
      </c>
      <c r="L140" s="1" t="s">
        <v>1377</v>
      </c>
      <c r="M140" s="1" t="s">
        <v>718</v>
      </c>
    </row>
    <row r="141" customFormat="false" ht="15" hidden="false" customHeight="false" outlineLevel="0" collapsed="false">
      <c r="A141" s="1" t="s">
        <v>1378</v>
      </c>
      <c r="B141" s="1" t="s">
        <v>1379</v>
      </c>
      <c r="C141" s="1" t="s">
        <v>1380</v>
      </c>
      <c r="D141" s="2" t="n">
        <v>36111</v>
      </c>
      <c r="E141" s="1" t="s">
        <v>710</v>
      </c>
      <c r="F141" s="1" t="s">
        <v>711</v>
      </c>
      <c r="G141" s="1" t="s">
        <v>1220</v>
      </c>
      <c r="H141" s="1" t="s">
        <v>713</v>
      </c>
      <c r="I141" s="1" t="s">
        <v>714</v>
      </c>
      <c r="J141" s="1" t="s">
        <v>734</v>
      </c>
      <c r="K141" s="1" t="s">
        <v>716</v>
      </c>
      <c r="L141" s="1" t="s">
        <v>1381</v>
      </c>
      <c r="M141" s="1" t="s">
        <v>718</v>
      </c>
    </row>
    <row r="142" customFormat="false" ht="15" hidden="false" customHeight="false" outlineLevel="0" collapsed="false">
      <c r="A142" s="1" t="s">
        <v>1382</v>
      </c>
      <c r="B142" s="1" t="s">
        <v>1383</v>
      </c>
      <c r="C142" s="1" t="s">
        <v>1384</v>
      </c>
      <c r="D142" s="2" t="n">
        <v>36795</v>
      </c>
      <c r="E142" s="1" t="s">
        <v>710</v>
      </c>
      <c r="F142" s="1" t="s">
        <v>711</v>
      </c>
      <c r="G142" s="1" t="s">
        <v>722</v>
      </c>
      <c r="H142" s="1" t="s">
        <v>713</v>
      </c>
      <c r="I142" s="1" t="s">
        <v>714</v>
      </c>
      <c r="J142" s="1" t="s">
        <v>715</v>
      </c>
      <c r="K142" s="1" t="s">
        <v>1385</v>
      </c>
      <c r="L142" s="1" t="s">
        <v>1386</v>
      </c>
      <c r="M142" s="1" t="s">
        <v>718</v>
      </c>
    </row>
    <row r="143" customFormat="false" ht="15" hidden="false" customHeight="false" outlineLevel="0" collapsed="false">
      <c r="A143" s="1" t="s">
        <v>1387</v>
      </c>
      <c r="B143" s="1" t="s">
        <v>1388</v>
      </c>
      <c r="C143" s="1" t="s">
        <v>1389</v>
      </c>
      <c r="D143" s="2" t="n">
        <v>36493</v>
      </c>
      <c r="E143" s="1" t="s">
        <v>763</v>
      </c>
      <c r="F143" s="1" t="s">
        <v>711</v>
      </c>
      <c r="G143" s="1" t="s">
        <v>712</v>
      </c>
      <c r="H143" s="1" t="s">
        <v>713</v>
      </c>
      <c r="I143" s="1" t="s">
        <v>714</v>
      </c>
      <c r="J143" s="1" t="s">
        <v>1390</v>
      </c>
      <c r="K143" s="1" t="s">
        <v>716</v>
      </c>
      <c r="L143" s="1" t="s">
        <v>1391</v>
      </c>
      <c r="M143" s="1" t="s">
        <v>718</v>
      </c>
    </row>
    <row r="144" customFormat="false" ht="15" hidden="false" customHeight="false" outlineLevel="0" collapsed="false">
      <c r="A144" s="1" t="s">
        <v>1392</v>
      </c>
      <c r="B144" s="1" t="s">
        <v>1393</v>
      </c>
      <c r="C144" s="1" t="s">
        <v>1394</v>
      </c>
      <c r="D144" s="2" t="n">
        <v>36845</v>
      </c>
      <c r="E144" s="1" t="s">
        <v>763</v>
      </c>
      <c r="F144" s="1" t="s">
        <v>711</v>
      </c>
      <c r="G144" s="1" t="s">
        <v>712</v>
      </c>
      <c r="H144" s="1" t="s">
        <v>713</v>
      </c>
      <c r="I144" s="1" t="s">
        <v>714</v>
      </c>
      <c r="J144" s="1" t="s">
        <v>1244</v>
      </c>
      <c r="K144" s="1" t="s">
        <v>716</v>
      </c>
      <c r="L144" s="1" t="s">
        <v>1395</v>
      </c>
      <c r="M144" s="1" t="s">
        <v>718</v>
      </c>
    </row>
    <row r="145" customFormat="false" ht="15" hidden="false" customHeight="false" outlineLevel="0" collapsed="false">
      <c r="A145" s="1" t="s">
        <v>1396</v>
      </c>
      <c r="B145" s="1" t="s">
        <v>1397</v>
      </c>
      <c r="C145" s="1" t="s">
        <v>750</v>
      </c>
      <c r="D145" s="2" t="n">
        <v>36628</v>
      </c>
      <c r="E145" s="1" t="s">
        <v>710</v>
      </c>
      <c r="F145" s="1" t="s">
        <v>711</v>
      </c>
      <c r="G145" s="1" t="s">
        <v>712</v>
      </c>
      <c r="H145" s="1" t="s">
        <v>713</v>
      </c>
      <c r="I145" s="1" t="s">
        <v>714</v>
      </c>
      <c r="J145" s="1" t="s">
        <v>1398</v>
      </c>
      <c r="K145" s="1" t="s">
        <v>1399</v>
      </c>
      <c r="L145" s="1" t="s">
        <v>1400</v>
      </c>
      <c r="M145" s="1" t="s">
        <v>718</v>
      </c>
    </row>
    <row r="146" customFormat="false" ht="15" hidden="false" customHeight="false" outlineLevel="0" collapsed="false">
      <c r="A146" s="1" t="s">
        <v>1401</v>
      </c>
      <c r="B146" s="1" t="s">
        <v>1402</v>
      </c>
      <c r="C146" s="1" t="s">
        <v>1403</v>
      </c>
      <c r="D146" s="2" t="n">
        <v>36687</v>
      </c>
      <c r="E146" s="1" t="s">
        <v>710</v>
      </c>
      <c r="F146" s="1" t="s">
        <v>711</v>
      </c>
      <c r="G146" s="1" t="s">
        <v>712</v>
      </c>
      <c r="H146" s="1" t="s">
        <v>713</v>
      </c>
      <c r="I146" s="1" t="s">
        <v>714</v>
      </c>
      <c r="J146" s="1" t="s">
        <v>821</v>
      </c>
      <c r="K146" s="1" t="s">
        <v>1404</v>
      </c>
      <c r="L146" s="1" t="s">
        <v>1405</v>
      </c>
      <c r="M146" s="1" t="s">
        <v>718</v>
      </c>
    </row>
    <row r="147" customFormat="false" ht="15" hidden="false" customHeight="false" outlineLevel="0" collapsed="false">
      <c r="A147" s="1" t="s">
        <v>1406</v>
      </c>
      <c r="B147" s="1" t="s">
        <v>1407</v>
      </c>
      <c r="C147" s="1" t="s">
        <v>1408</v>
      </c>
      <c r="D147" s="2" t="n">
        <v>36762</v>
      </c>
      <c r="E147" s="1" t="s">
        <v>710</v>
      </c>
      <c r="F147" s="1" t="s">
        <v>711</v>
      </c>
      <c r="G147" s="1" t="s">
        <v>712</v>
      </c>
      <c r="H147" s="1" t="s">
        <v>713</v>
      </c>
      <c r="I147" s="1" t="s">
        <v>714</v>
      </c>
      <c r="J147" s="1" t="s">
        <v>716</v>
      </c>
      <c r="K147" s="1" t="s">
        <v>716</v>
      </c>
      <c r="L147" s="1" t="s">
        <v>1409</v>
      </c>
      <c r="M147" s="1" t="s">
        <v>718</v>
      </c>
    </row>
    <row r="148" customFormat="false" ht="15" hidden="false" customHeight="false" outlineLevel="0" collapsed="false">
      <c r="A148" s="1" t="s">
        <v>1410</v>
      </c>
      <c r="B148" s="1" t="s">
        <v>1411</v>
      </c>
      <c r="C148" s="1" t="s">
        <v>1412</v>
      </c>
      <c r="D148" s="2" t="n">
        <v>36777</v>
      </c>
      <c r="E148" s="1" t="s">
        <v>763</v>
      </c>
      <c r="F148" s="1" t="s">
        <v>711</v>
      </c>
      <c r="G148" s="1" t="s">
        <v>712</v>
      </c>
      <c r="H148" s="1" t="s">
        <v>713</v>
      </c>
      <c r="I148" s="1" t="s">
        <v>714</v>
      </c>
      <c r="J148" s="1" t="s">
        <v>821</v>
      </c>
      <c r="K148" s="1" t="s">
        <v>1413</v>
      </c>
      <c r="L148" s="1" t="s">
        <v>1414</v>
      </c>
      <c r="M148" s="1" t="s">
        <v>718</v>
      </c>
    </row>
    <row r="149" customFormat="false" ht="15" hidden="false" customHeight="false" outlineLevel="0" collapsed="false">
      <c r="A149" s="1" t="s">
        <v>1415</v>
      </c>
      <c r="B149" s="1" t="s">
        <v>1416</v>
      </c>
      <c r="C149" s="1" t="s">
        <v>1417</v>
      </c>
      <c r="D149" s="2" t="n">
        <v>36884</v>
      </c>
      <c r="E149" s="1" t="s">
        <v>710</v>
      </c>
      <c r="F149" s="1" t="s">
        <v>711</v>
      </c>
      <c r="G149" s="1" t="s">
        <v>722</v>
      </c>
      <c r="H149" s="1" t="s">
        <v>713</v>
      </c>
      <c r="I149" s="1" t="s">
        <v>714</v>
      </c>
      <c r="J149" s="1" t="s">
        <v>716</v>
      </c>
      <c r="K149" s="1" t="s">
        <v>716</v>
      </c>
      <c r="L149" s="1" t="s">
        <v>1418</v>
      </c>
      <c r="M149" s="1" t="s">
        <v>718</v>
      </c>
    </row>
    <row r="150" customFormat="false" ht="15" hidden="false" customHeight="false" outlineLevel="0" collapsed="false">
      <c r="A150" s="1" t="s">
        <v>1419</v>
      </c>
      <c r="B150" s="1" t="s">
        <v>1420</v>
      </c>
      <c r="C150" s="1" t="s">
        <v>1421</v>
      </c>
      <c r="D150" s="2" t="n">
        <v>36901</v>
      </c>
      <c r="E150" s="1" t="s">
        <v>763</v>
      </c>
      <c r="F150" s="1" t="s">
        <v>711</v>
      </c>
      <c r="G150" s="1" t="s">
        <v>712</v>
      </c>
      <c r="H150" s="1" t="s">
        <v>713</v>
      </c>
      <c r="I150" s="1" t="s">
        <v>714</v>
      </c>
      <c r="J150" s="1" t="s">
        <v>1422</v>
      </c>
      <c r="K150" s="1" t="s">
        <v>716</v>
      </c>
      <c r="L150" s="1" t="s">
        <v>1423</v>
      </c>
      <c r="M150" s="1" t="s">
        <v>718</v>
      </c>
    </row>
    <row r="151" customFormat="false" ht="15" hidden="false" customHeight="false" outlineLevel="0" collapsed="false">
      <c r="A151" s="1" t="s">
        <v>1424</v>
      </c>
      <c r="B151" s="1" t="s">
        <v>1425</v>
      </c>
      <c r="C151" s="1" t="s">
        <v>1426</v>
      </c>
      <c r="D151" s="2" t="n">
        <v>36662</v>
      </c>
      <c r="E151" s="1" t="s">
        <v>763</v>
      </c>
      <c r="F151" s="1" t="s">
        <v>711</v>
      </c>
      <c r="G151" s="1" t="s">
        <v>712</v>
      </c>
      <c r="H151" s="1" t="s">
        <v>713</v>
      </c>
      <c r="I151" s="1" t="s">
        <v>714</v>
      </c>
      <c r="J151" s="1" t="s">
        <v>734</v>
      </c>
      <c r="K151" s="1" t="s">
        <v>716</v>
      </c>
      <c r="L151" s="1" t="s">
        <v>1427</v>
      </c>
      <c r="M151" s="1" t="s">
        <v>718</v>
      </c>
    </row>
    <row r="152" customFormat="false" ht="15" hidden="false" customHeight="false" outlineLevel="0" collapsed="false">
      <c r="A152" s="1" t="s">
        <v>1428</v>
      </c>
      <c r="B152" s="1" t="s">
        <v>1429</v>
      </c>
      <c r="C152" s="1" t="s">
        <v>1430</v>
      </c>
      <c r="D152" s="2" t="n">
        <v>36813</v>
      </c>
      <c r="E152" s="1" t="s">
        <v>763</v>
      </c>
      <c r="F152" s="1" t="s">
        <v>711</v>
      </c>
      <c r="G152" s="1" t="s">
        <v>712</v>
      </c>
      <c r="H152" s="1" t="s">
        <v>713</v>
      </c>
      <c r="I152" s="1" t="s">
        <v>714</v>
      </c>
      <c r="J152" s="1" t="s">
        <v>1431</v>
      </c>
      <c r="K152" s="1" t="s">
        <v>1432</v>
      </c>
      <c r="L152" s="1" t="s">
        <v>1433</v>
      </c>
      <c r="M152" s="1" t="s">
        <v>718</v>
      </c>
    </row>
    <row r="153" customFormat="false" ht="15" hidden="false" customHeight="false" outlineLevel="0" collapsed="false">
      <c r="A153" s="1" t="s">
        <v>1434</v>
      </c>
      <c r="B153" s="1" t="s">
        <v>1435</v>
      </c>
      <c r="C153" s="1" t="s">
        <v>1436</v>
      </c>
      <c r="D153" s="2" t="n">
        <v>36572</v>
      </c>
      <c r="E153" s="1" t="s">
        <v>710</v>
      </c>
      <c r="F153" s="1" t="s">
        <v>711</v>
      </c>
      <c r="G153" s="1" t="s">
        <v>1437</v>
      </c>
      <c r="H153" s="1" t="s">
        <v>1438</v>
      </c>
      <c r="I153" s="1" t="s">
        <v>714</v>
      </c>
      <c r="J153" s="1" t="s">
        <v>1439</v>
      </c>
      <c r="K153" s="1" t="s">
        <v>1440</v>
      </c>
      <c r="L153" s="1" t="s">
        <v>1441</v>
      </c>
      <c r="M153" s="1" t="s">
        <v>718</v>
      </c>
    </row>
    <row r="154" customFormat="false" ht="15" hidden="false" customHeight="false" outlineLevel="0" collapsed="false">
      <c r="A154" s="1" t="s">
        <v>1442</v>
      </c>
      <c r="B154" s="1" t="s">
        <v>1443</v>
      </c>
      <c r="C154" s="1" t="s">
        <v>1444</v>
      </c>
      <c r="D154" s="2" t="n">
        <v>36818</v>
      </c>
      <c r="E154" s="1" t="s">
        <v>710</v>
      </c>
      <c r="F154" s="1" t="s">
        <v>711</v>
      </c>
      <c r="G154" s="1" t="s">
        <v>722</v>
      </c>
      <c r="H154" s="1" t="s">
        <v>713</v>
      </c>
      <c r="I154" s="1" t="s">
        <v>714</v>
      </c>
      <c r="J154" s="1" t="s">
        <v>1445</v>
      </c>
      <c r="K154" s="1" t="s">
        <v>716</v>
      </c>
      <c r="L154" s="1" t="s">
        <v>1446</v>
      </c>
      <c r="M154" s="1" t="s">
        <v>718</v>
      </c>
    </row>
    <row r="155" customFormat="false" ht="15" hidden="false" customHeight="false" outlineLevel="0" collapsed="false">
      <c r="A155" s="1" t="s">
        <v>1447</v>
      </c>
      <c r="B155" s="1" t="s">
        <v>1448</v>
      </c>
      <c r="C155" s="1" t="s">
        <v>1449</v>
      </c>
      <c r="D155" s="2" t="n">
        <v>36149</v>
      </c>
      <c r="E155" s="1" t="s">
        <v>763</v>
      </c>
      <c r="F155" s="1" t="s">
        <v>711</v>
      </c>
      <c r="G155" s="1" t="s">
        <v>1450</v>
      </c>
      <c r="H155" s="1" t="s">
        <v>713</v>
      </c>
      <c r="I155" s="1" t="s">
        <v>714</v>
      </c>
      <c r="J155" s="1" t="s">
        <v>1451</v>
      </c>
      <c r="K155" s="1" t="s">
        <v>716</v>
      </c>
      <c r="L155" s="1" t="s">
        <v>1452</v>
      </c>
      <c r="M155" s="1" t="s">
        <v>718</v>
      </c>
    </row>
    <row r="156" customFormat="false" ht="15" hidden="false" customHeight="false" outlineLevel="0" collapsed="false">
      <c r="A156" s="1" t="s">
        <v>1453</v>
      </c>
      <c r="B156" s="1" t="s">
        <v>1454</v>
      </c>
      <c r="C156" s="1" t="s">
        <v>1455</v>
      </c>
      <c r="D156" s="2" t="n">
        <v>35589</v>
      </c>
      <c r="E156" s="1" t="s">
        <v>763</v>
      </c>
      <c r="F156" s="1" t="s">
        <v>711</v>
      </c>
      <c r="G156" s="1" t="s">
        <v>1456</v>
      </c>
      <c r="H156" s="1" t="s">
        <v>1457</v>
      </c>
      <c r="I156" s="1" t="s">
        <v>1458</v>
      </c>
      <c r="J156" s="1" t="s">
        <v>1160</v>
      </c>
      <c r="K156" s="1" t="s">
        <v>1459</v>
      </c>
      <c r="L156" s="1" t="s">
        <v>1162</v>
      </c>
      <c r="M156" s="1" t="s">
        <v>718</v>
      </c>
    </row>
    <row r="157" customFormat="false" ht="15" hidden="false" customHeight="false" outlineLevel="0" collapsed="false">
      <c r="A157" s="1" t="s">
        <v>1460</v>
      </c>
      <c r="B157" s="1" t="s">
        <v>1461</v>
      </c>
      <c r="C157" s="1" t="s">
        <v>820</v>
      </c>
      <c r="D157" s="2" t="n">
        <v>36758</v>
      </c>
      <c r="E157" s="1" t="s">
        <v>763</v>
      </c>
      <c r="F157" s="1" t="s">
        <v>711</v>
      </c>
      <c r="G157" s="1" t="s">
        <v>722</v>
      </c>
      <c r="H157" s="1" t="s">
        <v>713</v>
      </c>
      <c r="I157" s="1" t="s">
        <v>714</v>
      </c>
      <c r="J157" s="1" t="s">
        <v>745</v>
      </c>
      <c r="K157" s="1" t="s">
        <v>716</v>
      </c>
      <c r="L157" s="1" t="s">
        <v>1462</v>
      </c>
      <c r="M157" s="1" t="s">
        <v>718</v>
      </c>
    </row>
    <row r="158" customFormat="false" ht="15" hidden="false" customHeight="false" outlineLevel="0" collapsed="false">
      <c r="A158" s="1" t="s">
        <v>1463</v>
      </c>
      <c r="B158" s="1" t="s">
        <v>1464</v>
      </c>
      <c r="C158" s="1" t="s">
        <v>1465</v>
      </c>
      <c r="D158" s="2" t="n">
        <v>36811</v>
      </c>
      <c r="E158" s="1" t="s">
        <v>710</v>
      </c>
      <c r="F158" s="1" t="s">
        <v>711</v>
      </c>
      <c r="G158" s="1" t="s">
        <v>712</v>
      </c>
      <c r="H158" s="1" t="s">
        <v>713</v>
      </c>
      <c r="I158" s="1" t="s">
        <v>714</v>
      </c>
      <c r="J158" s="1" t="s">
        <v>716</v>
      </c>
      <c r="K158" s="1" t="s">
        <v>716</v>
      </c>
      <c r="L158" s="1" t="s">
        <v>1466</v>
      </c>
      <c r="M158" s="1" t="s">
        <v>718</v>
      </c>
    </row>
    <row r="159" customFormat="false" ht="15" hidden="false" customHeight="false" outlineLevel="0" collapsed="false">
      <c r="A159" s="1" t="s">
        <v>1467</v>
      </c>
      <c r="B159" s="1" t="s">
        <v>1468</v>
      </c>
      <c r="C159" s="1" t="s">
        <v>1469</v>
      </c>
      <c r="D159" s="2" t="n">
        <v>36665</v>
      </c>
      <c r="E159" s="1" t="s">
        <v>710</v>
      </c>
      <c r="F159" s="1" t="s">
        <v>711</v>
      </c>
      <c r="G159" s="1" t="s">
        <v>722</v>
      </c>
      <c r="H159" s="1" t="s">
        <v>713</v>
      </c>
      <c r="I159" s="1" t="s">
        <v>714</v>
      </c>
      <c r="J159" s="1" t="s">
        <v>716</v>
      </c>
      <c r="K159" s="1" t="s">
        <v>716</v>
      </c>
      <c r="L159" s="1" t="s">
        <v>1470</v>
      </c>
      <c r="M159" s="1" t="s">
        <v>718</v>
      </c>
    </row>
    <row r="160" customFormat="false" ht="15" hidden="false" customHeight="false" outlineLevel="0" collapsed="false">
      <c r="A160" s="1" t="s">
        <v>1471</v>
      </c>
      <c r="B160" s="1" t="s">
        <v>1472</v>
      </c>
      <c r="C160" s="1" t="s">
        <v>1473</v>
      </c>
      <c r="D160" s="2" t="n">
        <v>37106</v>
      </c>
      <c r="E160" s="1" t="s">
        <v>763</v>
      </c>
      <c r="F160" s="1" t="s">
        <v>711</v>
      </c>
      <c r="G160" s="1" t="s">
        <v>712</v>
      </c>
      <c r="H160" s="1" t="s">
        <v>713</v>
      </c>
      <c r="I160" s="1" t="s">
        <v>714</v>
      </c>
      <c r="J160" s="1" t="s">
        <v>734</v>
      </c>
      <c r="K160" s="1" t="s">
        <v>716</v>
      </c>
      <c r="L160" s="1" t="s">
        <v>1474</v>
      </c>
      <c r="M160" s="1" t="s">
        <v>718</v>
      </c>
    </row>
    <row r="161" customFormat="false" ht="15" hidden="false" customHeight="false" outlineLevel="0" collapsed="false">
      <c r="A161" s="1" t="s">
        <v>1475</v>
      </c>
      <c r="B161" s="1" t="s">
        <v>1476</v>
      </c>
      <c r="C161" s="1" t="s">
        <v>1477</v>
      </c>
      <c r="D161" s="2" t="n">
        <v>36915</v>
      </c>
      <c r="E161" s="1" t="s">
        <v>763</v>
      </c>
      <c r="F161" s="1" t="s">
        <v>711</v>
      </c>
      <c r="G161" s="1" t="s">
        <v>722</v>
      </c>
      <c r="H161" s="1" t="s">
        <v>713</v>
      </c>
      <c r="I161" s="1" t="s">
        <v>714</v>
      </c>
      <c r="J161" s="1" t="s">
        <v>1118</v>
      </c>
      <c r="K161" s="1" t="s">
        <v>1478</v>
      </c>
      <c r="L161" s="1" t="s">
        <v>1479</v>
      </c>
      <c r="M161" s="1" t="s">
        <v>718</v>
      </c>
    </row>
    <row r="162" customFormat="false" ht="15" hidden="false" customHeight="false" outlineLevel="0" collapsed="false">
      <c r="A162" s="1" t="s">
        <v>1480</v>
      </c>
      <c r="B162" s="1" t="s">
        <v>1481</v>
      </c>
      <c r="C162" s="1" t="s">
        <v>1482</v>
      </c>
      <c r="D162" s="2" t="n">
        <v>36592</v>
      </c>
      <c r="E162" s="1" t="s">
        <v>710</v>
      </c>
      <c r="F162" s="1" t="s">
        <v>711</v>
      </c>
      <c r="G162" s="1" t="s">
        <v>722</v>
      </c>
      <c r="H162" s="1" t="s">
        <v>713</v>
      </c>
      <c r="I162" s="1" t="s">
        <v>714</v>
      </c>
      <c r="J162" s="1" t="s">
        <v>790</v>
      </c>
      <c r="K162" s="1" t="s">
        <v>716</v>
      </c>
      <c r="L162" s="1" t="s">
        <v>1483</v>
      </c>
      <c r="M162" s="1" t="s">
        <v>718</v>
      </c>
    </row>
    <row r="163" customFormat="false" ht="15" hidden="false" customHeight="false" outlineLevel="0" collapsed="false">
      <c r="A163" s="1" t="s">
        <v>1484</v>
      </c>
      <c r="B163" s="1" t="s">
        <v>1485</v>
      </c>
      <c r="C163" s="1" t="s">
        <v>1486</v>
      </c>
      <c r="D163" s="2" t="n">
        <v>36765</v>
      </c>
      <c r="E163" s="1" t="s">
        <v>710</v>
      </c>
      <c r="F163" s="1" t="s">
        <v>711</v>
      </c>
      <c r="G163" s="1" t="s">
        <v>712</v>
      </c>
      <c r="H163" s="1" t="s">
        <v>713</v>
      </c>
      <c r="I163" s="1" t="s">
        <v>714</v>
      </c>
      <c r="J163" s="1" t="s">
        <v>880</v>
      </c>
      <c r="K163" s="1" t="s">
        <v>1487</v>
      </c>
      <c r="L163" s="1" t="s">
        <v>1488</v>
      </c>
      <c r="M163" s="1" t="s">
        <v>718</v>
      </c>
    </row>
    <row r="164" customFormat="false" ht="15" hidden="false" customHeight="false" outlineLevel="0" collapsed="false">
      <c r="A164" s="1" t="s">
        <v>1489</v>
      </c>
      <c r="B164" s="1" t="s">
        <v>1490</v>
      </c>
      <c r="C164" s="1" t="s">
        <v>1491</v>
      </c>
      <c r="D164" s="2" t="n">
        <v>36696</v>
      </c>
      <c r="E164" s="1" t="s">
        <v>710</v>
      </c>
      <c r="F164" s="1" t="s">
        <v>711</v>
      </c>
      <c r="G164" s="1" t="s">
        <v>712</v>
      </c>
      <c r="H164" s="1" t="s">
        <v>713</v>
      </c>
      <c r="I164" s="1" t="s">
        <v>714</v>
      </c>
      <c r="J164" s="1" t="s">
        <v>729</v>
      </c>
      <c r="K164" s="1" t="s">
        <v>716</v>
      </c>
      <c r="L164" s="1" t="s">
        <v>1492</v>
      </c>
      <c r="M164" s="1" t="s">
        <v>718</v>
      </c>
    </row>
    <row r="165" customFormat="false" ht="15" hidden="false" customHeight="false" outlineLevel="0" collapsed="false">
      <c r="A165" s="1" t="s">
        <v>1493</v>
      </c>
      <c r="B165" s="1" t="s">
        <v>1494</v>
      </c>
      <c r="C165" s="1" t="s">
        <v>1495</v>
      </c>
      <c r="D165" s="2" t="n">
        <v>36846</v>
      </c>
      <c r="E165" s="1" t="s">
        <v>763</v>
      </c>
      <c r="F165" s="1" t="s">
        <v>711</v>
      </c>
      <c r="G165" s="1" t="s">
        <v>722</v>
      </c>
      <c r="H165" s="1" t="s">
        <v>713</v>
      </c>
      <c r="I165" s="1" t="s">
        <v>714</v>
      </c>
      <c r="J165" s="1" t="s">
        <v>928</v>
      </c>
      <c r="K165" s="1" t="s">
        <v>716</v>
      </c>
      <c r="L165" s="1" t="s">
        <v>1496</v>
      </c>
      <c r="M165" s="1" t="s">
        <v>718</v>
      </c>
    </row>
    <row r="166" customFormat="false" ht="15" hidden="false" customHeight="false" outlineLevel="0" collapsed="false">
      <c r="A166" s="1" t="s">
        <v>1497</v>
      </c>
      <c r="B166" s="1" t="s">
        <v>1498</v>
      </c>
      <c r="C166" s="1" t="s">
        <v>1499</v>
      </c>
      <c r="D166" s="2" t="n">
        <v>36783</v>
      </c>
      <c r="E166" s="1" t="s">
        <v>710</v>
      </c>
      <c r="F166" s="1" t="s">
        <v>711</v>
      </c>
      <c r="G166" s="1" t="s">
        <v>712</v>
      </c>
      <c r="H166" s="1" t="s">
        <v>713</v>
      </c>
      <c r="I166" s="1" t="s">
        <v>714</v>
      </c>
      <c r="J166" s="1" t="s">
        <v>740</v>
      </c>
      <c r="K166" s="1" t="s">
        <v>1500</v>
      </c>
      <c r="L166" s="1" t="s">
        <v>1501</v>
      </c>
      <c r="M166" s="1" t="s">
        <v>718</v>
      </c>
    </row>
    <row r="167" customFormat="false" ht="15" hidden="false" customHeight="false" outlineLevel="0" collapsed="false">
      <c r="A167" s="1" t="s">
        <v>1502</v>
      </c>
      <c r="B167" s="1" t="s">
        <v>1503</v>
      </c>
      <c r="C167" s="1" t="s">
        <v>1504</v>
      </c>
      <c r="D167" s="2" t="n">
        <v>36894</v>
      </c>
      <c r="E167" s="1" t="s">
        <v>710</v>
      </c>
      <c r="F167" s="1" t="s">
        <v>711</v>
      </c>
      <c r="G167" s="1" t="s">
        <v>722</v>
      </c>
      <c r="H167" s="1" t="s">
        <v>713</v>
      </c>
      <c r="I167" s="1" t="s">
        <v>714</v>
      </c>
      <c r="J167" s="1" t="s">
        <v>1505</v>
      </c>
      <c r="K167" s="1" t="s">
        <v>1506</v>
      </c>
      <c r="L167" s="1" t="s">
        <v>1507</v>
      </c>
      <c r="M167" s="1" t="s">
        <v>718</v>
      </c>
    </row>
    <row r="168" customFormat="false" ht="15" hidden="false" customHeight="false" outlineLevel="0" collapsed="false">
      <c r="A168" s="1" t="s">
        <v>1508</v>
      </c>
      <c r="B168" s="1" t="s">
        <v>1509</v>
      </c>
      <c r="C168" s="1" t="s">
        <v>1510</v>
      </c>
      <c r="D168" s="2" t="n">
        <v>36611</v>
      </c>
      <c r="E168" s="1" t="s">
        <v>763</v>
      </c>
      <c r="F168" s="1" t="s">
        <v>711</v>
      </c>
      <c r="G168" s="1" t="s">
        <v>722</v>
      </c>
      <c r="H168" s="1" t="s">
        <v>713</v>
      </c>
      <c r="I168" s="1" t="s">
        <v>714</v>
      </c>
      <c r="J168" s="1" t="s">
        <v>1390</v>
      </c>
      <c r="K168" s="1" t="s">
        <v>716</v>
      </c>
      <c r="L168" s="1" t="s">
        <v>1511</v>
      </c>
      <c r="M168" s="1" t="s">
        <v>718</v>
      </c>
    </row>
    <row r="169" customFormat="false" ht="15" hidden="false" customHeight="false" outlineLevel="0" collapsed="false">
      <c r="A169" s="1" t="s">
        <v>1512</v>
      </c>
      <c r="B169" s="1" t="s">
        <v>1513</v>
      </c>
      <c r="C169" s="1" t="s">
        <v>1514</v>
      </c>
      <c r="D169" s="2" t="n">
        <v>36692</v>
      </c>
      <c r="E169" s="1" t="s">
        <v>710</v>
      </c>
      <c r="F169" s="1" t="s">
        <v>711</v>
      </c>
      <c r="G169" s="1" t="s">
        <v>722</v>
      </c>
      <c r="H169" s="1" t="s">
        <v>713</v>
      </c>
      <c r="I169" s="1" t="s">
        <v>714</v>
      </c>
      <c r="J169" s="1" t="s">
        <v>716</v>
      </c>
      <c r="K169" s="1" t="s">
        <v>716</v>
      </c>
      <c r="L169" s="1" t="s">
        <v>1515</v>
      </c>
      <c r="M169" s="1" t="s">
        <v>718</v>
      </c>
    </row>
    <row r="170" customFormat="false" ht="15" hidden="false" customHeight="false" outlineLevel="0" collapsed="false">
      <c r="A170" s="1" t="s">
        <v>1516</v>
      </c>
      <c r="B170" s="1" t="s">
        <v>1517</v>
      </c>
      <c r="C170" s="1" t="s">
        <v>1518</v>
      </c>
      <c r="D170" s="2" t="n">
        <v>36950</v>
      </c>
      <c r="E170" s="1" t="s">
        <v>763</v>
      </c>
      <c r="F170" s="1" t="s">
        <v>711</v>
      </c>
      <c r="G170" s="1" t="s">
        <v>722</v>
      </c>
      <c r="H170" s="1" t="s">
        <v>713</v>
      </c>
      <c r="I170" s="1" t="s">
        <v>714</v>
      </c>
      <c r="J170" s="1" t="s">
        <v>1519</v>
      </c>
      <c r="K170" s="1" t="s">
        <v>1520</v>
      </c>
      <c r="L170" s="1" t="s">
        <v>1521</v>
      </c>
      <c r="M170" s="1" t="s">
        <v>718</v>
      </c>
    </row>
    <row r="171" customFormat="false" ht="15" hidden="false" customHeight="false" outlineLevel="0" collapsed="false">
      <c r="A171" s="1" t="s">
        <v>1522</v>
      </c>
      <c r="B171" s="1" t="s">
        <v>1523</v>
      </c>
      <c r="C171" s="1" t="s">
        <v>1524</v>
      </c>
      <c r="D171" s="2" t="n">
        <v>36812</v>
      </c>
      <c r="E171" s="1" t="s">
        <v>710</v>
      </c>
      <c r="F171" s="1" t="s">
        <v>711</v>
      </c>
      <c r="G171" s="1" t="s">
        <v>712</v>
      </c>
      <c r="H171" s="1" t="s">
        <v>713</v>
      </c>
      <c r="I171" s="1" t="s">
        <v>714</v>
      </c>
      <c r="J171" s="1" t="s">
        <v>1505</v>
      </c>
      <c r="K171" s="1" t="s">
        <v>1525</v>
      </c>
      <c r="L171" s="1" t="s">
        <v>1526</v>
      </c>
      <c r="M171" s="1" t="s">
        <v>718</v>
      </c>
    </row>
    <row r="172" customFormat="false" ht="15" hidden="false" customHeight="false" outlineLevel="0" collapsed="false">
      <c r="A172" s="1" t="s">
        <v>1527</v>
      </c>
      <c r="B172" s="1" t="s">
        <v>1528</v>
      </c>
      <c r="C172" s="1" t="s">
        <v>1529</v>
      </c>
      <c r="D172" s="2" t="n">
        <v>37061</v>
      </c>
      <c r="E172" s="1" t="s">
        <v>763</v>
      </c>
      <c r="F172" s="1" t="s">
        <v>711</v>
      </c>
      <c r="G172" s="1" t="s">
        <v>712</v>
      </c>
      <c r="H172" s="1" t="s">
        <v>713</v>
      </c>
      <c r="I172" s="1" t="s">
        <v>714</v>
      </c>
      <c r="J172" s="1" t="s">
        <v>1530</v>
      </c>
      <c r="K172" s="1" t="s">
        <v>716</v>
      </c>
      <c r="L172" s="1" t="s">
        <v>1531</v>
      </c>
      <c r="M172" s="1" t="s">
        <v>718</v>
      </c>
    </row>
    <row r="173" customFormat="false" ht="15" hidden="false" customHeight="false" outlineLevel="0" collapsed="false">
      <c r="A173" s="1" t="s">
        <v>1532</v>
      </c>
      <c r="B173" s="1" t="s">
        <v>1533</v>
      </c>
      <c r="C173" s="1" t="s">
        <v>1534</v>
      </c>
      <c r="D173" s="2" t="n">
        <v>36632</v>
      </c>
      <c r="E173" s="1" t="s">
        <v>763</v>
      </c>
      <c r="F173" s="1" t="s">
        <v>711</v>
      </c>
      <c r="G173" s="1" t="s">
        <v>712</v>
      </c>
      <c r="H173" s="1" t="s">
        <v>713</v>
      </c>
      <c r="I173" s="1" t="s">
        <v>714</v>
      </c>
      <c r="J173" s="1" t="s">
        <v>1535</v>
      </c>
      <c r="K173" s="1" t="s">
        <v>716</v>
      </c>
      <c r="L173" s="1" t="s">
        <v>1536</v>
      </c>
      <c r="M173" s="1" t="s">
        <v>718</v>
      </c>
    </row>
    <row r="174" customFormat="false" ht="15" hidden="false" customHeight="false" outlineLevel="0" collapsed="false">
      <c r="A174" s="1" t="s">
        <v>1537</v>
      </c>
      <c r="B174" s="1" t="s">
        <v>1538</v>
      </c>
      <c r="C174" s="1" t="s">
        <v>1539</v>
      </c>
      <c r="D174" s="2" t="n">
        <v>36931</v>
      </c>
      <c r="E174" s="1" t="s">
        <v>763</v>
      </c>
      <c r="F174" s="1" t="s">
        <v>711</v>
      </c>
      <c r="G174" s="1" t="s">
        <v>712</v>
      </c>
      <c r="H174" s="1" t="s">
        <v>713</v>
      </c>
      <c r="I174" s="1" t="s">
        <v>714</v>
      </c>
      <c r="J174" s="1" t="s">
        <v>805</v>
      </c>
      <c r="K174" s="1" t="s">
        <v>716</v>
      </c>
      <c r="L174" s="1" t="s">
        <v>1540</v>
      </c>
      <c r="M174" s="1" t="s">
        <v>718</v>
      </c>
    </row>
    <row r="175" customFormat="false" ht="15" hidden="false" customHeight="false" outlineLevel="0" collapsed="false">
      <c r="A175" s="1" t="s">
        <v>1541</v>
      </c>
      <c r="B175" s="1" t="s">
        <v>1542</v>
      </c>
      <c r="C175" s="1" t="s">
        <v>1543</v>
      </c>
      <c r="D175" s="2" t="n">
        <v>36860</v>
      </c>
      <c r="E175" s="1" t="s">
        <v>763</v>
      </c>
      <c r="F175" s="1" t="s">
        <v>711</v>
      </c>
      <c r="G175" s="1" t="s">
        <v>712</v>
      </c>
      <c r="H175" s="1" t="s">
        <v>713</v>
      </c>
      <c r="I175" s="1" t="s">
        <v>714</v>
      </c>
      <c r="J175" s="1" t="s">
        <v>1544</v>
      </c>
      <c r="K175" s="1" t="s">
        <v>1545</v>
      </c>
      <c r="L175" s="1" t="s">
        <v>1546</v>
      </c>
      <c r="M175" s="1" t="s">
        <v>718</v>
      </c>
    </row>
    <row r="176" customFormat="false" ht="15" hidden="false" customHeight="false" outlineLevel="0" collapsed="false">
      <c r="A176" s="1" t="s">
        <v>1547</v>
      </c>
      <c r="B176" s="1" t="s">
        <v>1548</v>
      </c>
      <c r="C176" s="1" t="s">
        <v>1549</v>
      </c>
      <c r="D176" s="2" t="n">
        <v>36875</v>
      </c>
      <c r="E176" s="1" t="s">
        <v>710</v>
      </c>
      <c r="F176" s="1" t="s">
        <v>711</v>
      </c>
      <c r="G176" s="1" t="s">
        <v>712</v>
      </c>
      <c r="H176" s="1" t="s">
        <v>713</v>
      </c>
      <c r="I176" s="1" t="s">
        <v>714</v>
      </c>
      <c r="J176" s="1" t="s">
        <v>734</v>
      </c>
      <c r="K176" s="1" t="s">
        <v>716</v>
      </c>
      <c r="L176" s="1" t="s">
        <v>1550</v>
      </c>
      <c r="M176" s="1" t="s">
        <v>718</v>
      </c>
    </row>
    <row r="177" customFormat="false" ht="15" hidden="false" customHeight="false" outlineLevel="0" collapsed="false">
      <c r="A177" s="1" t="s">
        <v>1551</v>
      </c>
      <c r="B177" s="1" t="s">
        <v>1552</v>
      </c>
      <c r="C177" s="1" t="s">
        <v>1553</v>
      </c>
      <c r="D177" s="2" t="n">
        <v>36610</v>
      </c>
      <c r="E177" s="1" t="s">
        <v>763</v>
      </c>
      <c r="F177" s="1" t="s">
        <v>711</v>
      </c>
      <c r="G177" s="1" t="s">
        <v>722</v>
      </c>
      <c r="H177" s="1" t="s">
        <v>713</v>
      </c>
      <c r="I177" s="1" t="s">
        <v>714</v>
      </c>
      <c r="J177" s="1" t="s">
        <v>734</v>
      </c>
      <c r="K177" s="1" t="s">
        <v>1554</v>
      </c>
      <c r="L177" s="1" t="s">
        <v>1555</v>
      </c>
      <c r="M177" s="1" t="s">
        <v>718</v>
      </c>
    </row>
    <row r="178" customFormat="false" ht="15" hidden="false" customHeight="false" outlineLevel="0" collapsed="false">
      <c r="A178" s="1" t="s">
        <v>1556</v>
      </c>
      <c r="B178" s="1" t="s">
        <v>935</v>
      </c>
      <c r="C178" s="1" t="s">
        <v>1557</v>
      </c>
      <c r="D178" s="2" t="n">
        <v>36974</v>
      </c>
      <c r="E178" s="1" t="s">
        <v>710</v>
      </c>
      <c r="F178" s="1" t="s">
        <v>711</v>
      </c>
      <c r="G178" s="1" t="s">
        <v>712</v>
      </c>
      <c r="H178" s="1" t="s">
        <v>713</v>
      </c>
      <c r="I178" s="1" t="s">
        <v>714</v>
      </c>
      <c r="J178" s="1" t="s">
        <v>734</v>
      </c>
      <c r="K178" s="1" t="s">
        <v>1558</v>
      </c>
      <c r="L178" s="1" t="s">
        <v>1559</v>
      </c>
      <c r="M178" s="1" t="s">
        <v>718</v>
      </c>
    </row>
    <row r="179" customFormat="false" ht="15" hidden="false" customHeight="false" outlineLevel="0" collapsed="false">
      <c r="A179" s="1" t="s">
        <v>1560</v>
      </c>
      <c r="B179" s="1" t="s">
        <v>1561</v>
      </c>
      <c r="C179" s="1" t="s">
        <v>1562</v>
      </c>
      <c r="D179" s="2" t="n">
        <v>36329</v>
      </c>
      <c r="E179" s="1" t="s">
        <v>710</v>
      </c>
      <c r="F179" s="1" t="s">
        <v>711</v>
      </c>
      <c r="G179" s="1" t="s">
        <v>1563</v>
      </c>
      <c r="H179" s="1" t="s">
        <v>713</v>
      </c>
      <c r="I179" s="1" t="s">
        <v>714</v>
      </c>
      <c r="J179" s="1" t="s">
        <v>716</v>
      </c>
      <c r="K179" s="1" t="s">
        <v>716</v>
      </c>
      <c r="L179" s="1" t="s">
        <v>1564</v>
      </c>
      <c r="M179" s="1" t="s">
        <v>718</v>
      </c>
    </row>
    <row r="180" customFormat="false" ht="15" hidden="false" customHeight="false" outlineLevel="0" collapsed="false">
      <c r="A180" s="1" t="s">
        <v>1565</v>
      </c>
      <c r="B180" s="1" t="s">
        <v>1566</v>
      </c>
      <c r="C180" s="1" t="s">
        <v>1567</v>
      </c>
      <c r="D180" s="2" t="n">
        <v>36378</v>
      </c>
      <c r="E180" s="1" t="s">
        <v>710</v>
      </c>
      <c r="F180" s="1" t="s">
        <v>711</v>
      </c>
      <c r="G180" s="1" t="s">
        <v>712</v>
      </c>
      <c r="H180" s="1" t="s">
        <v>713</v>
      </c>
      <c r="I180" s="1" t="s">
        <v>714</v>
      </c>
      <c r="J180" s="1" t="s">
        <v>780</v>
      </c>
      <c r="K180" s="1" t="s">
        <v>1568</v>
      </c>
      <c r="L180" s="1" t="s">
        <v>1569</v>
      </c>
      <c r="M180" s="1" t="s">
        <v>718</v>
      </c>
    </row>
    <row r="181" customFormat="false" ht="15" hidden="false" customHeight="false" outlineLevel="0" collapsed="false">
      <c r="A181" s="1" t="s">
        <v>1570</v>
      </c>
      <c r="B181" s="1" t="s">
        <v>1571</v>
      </c>
      <c r="C181" s="1" t="s">
        <v>1572</v>
      </c>
      <c r="D181" s="2" t="n">
        <v>34565</v>
      </c>
      <c r="E181" s="1" t="s">
        <v>763</v>
      </c>
      <c r="F181" s="1" t="s">
        <v>711</v>
      </c>
      <c r="G181" s="1" t="s">
        <v>1573</v>
      </c>
      <c r="H181" s="1" t="s">
        <v>1574</v>
      </c>
      <c r="I181" s="1" t="s">
        <v>1575</v>
      </c>
      <c r="J181" s="1" t="s">
        <v>790</v>
      </c>
      <c r="K181" s="1" t="s">
        <v>1576</v>
      </c>
      <c r="L181" s="1" t="s">
        <v>1577</v>
      </c>
      <c r="M181" s="1" t="s">
        <v>718</v>
      </c>
    </row>
    <row r="182" customFormat="false" ht="15" hidden="false" customHeight="false" outlineLevel="0" collapsed="false">
      <c r="A182" s="1" t="s">
        <v>1578</v>
      </c>
      <c r="B182" s="1" t="s">
        <v>1579</v>
      </c>
      <c r="C182" s="1" t="s">
        <v>1572</v>
      </c>
      <c r="D182" s="2" t="n">
        <v>35281</v>
      </c>
      <c r="E182" s="1" t="s">
        <v>763</v>
      </c>
      <c r="F182" s="1" t="s">
        <v>711</v>
      </c>
      <c r="G182" s="1" t="s">
        <v>1573</v>
      </c>
      <c r="H182" s="1" t="s">
        <v>1574</v>
      </c>
      <c r="I182" s="1" t="s">
        <v>1575</v>
      </c>
      <c r="J182" s="1" t="s">
        <v>790</v>
      </c>
      <c r="K182" s="1" t="s">
        <v>1580</v>
      </c>
      <c r="L182" s="1" t="s">
        <v>1577</v>
      </c>
      <c r="M182" s="1" t="s">
        <v>718</v>
      </c>
    </row>
    <row r="183" customFormat="false" ht="15" hidden="false" customHeight="false" outlineLevel="0" collapsed="false">
      <c r="A183" s="1" t="s">
        <v>1581</v>
      </c>
      <c r="B183" s="1" t="s">
        <v>1582</v>
      </c>
      <c r="C183" s="1" t="s">
        <v>1583</v>
      </c>
      <c r="D183" s="2" t="n">
        <v>37219</v>
      </c>
      <c r="E183" s="1" t="s">
        <v>763</v>
      </c>
      <c r="F183" s="1" t="s">
        <v>711</v>
      </c>
      <c r="G183" s="1" t="s">
        <v>712</v>
      </c>
      <c r="H183" s="1" t="s">
        <v>713</v>
      </c>
      <c r="I183" s="1" t="s">
        <v>714</v>
      </c>
      <c r="J183" s="1" t="s">
        <v>1584</v>
      </c>
      <c r="K183" s="1" t="s">
        <v>1585</v>
      </c>
      <c r="L183" s="1" t="s">
        <v>1586</v>
      </c>
      <c r="M183" s="1" t="s">
        <v>718</v>
      </c>
    </row>
    <row r="184" customFormat="false" ht="15" hidden="false" customHeight="false" outlineLevel="0" collapsed="false">
      <c r="A184" s="1" t="s">
        <v>1587</v>
      </c>
      <c r="B184" s="1" t="s">
        <v>1416</v>
      </c>
      <c r="C184" s="1" t="s">
        <v>1588</v>
      </c>
      <c r="D184" s="2" t="n">
        <v>36732</v>
      </c>
      <c r="E184" s="1" t="s">
        <v>710</v>
      </c>
      <c r="F184" s="1" t="s">
        <v>711</v>
      </c>
      <c r="G184" s="1" t="s">
        <v>712</v>
      </c>
      <c r="H184" s="1" t="s">
        <v>713</v>
      </c>
      <c r="I184" s="1" t="s">
        <v>714</v>
      </c>
      <c r="J184" s="1" t="s">
        <v>1530</v>
      </c>
      <c r="K184" s="1" t="s">
        <v>716</v>
      </c>
      <c r="L184" s="1" t="s">
        <v>1589</v>
      </c>
      <c r="M184" s="1" t="s">
        <v>718</v>
      </c>
    </row>
    <row r="185" customFormat="false" ht="15" hidden="false" customHeight="false" outlineLevel="0" collapsed="false">
      <c r="A185" s="1" t="s">
        <v>1590</v>
      </c>
      <c r="B185" s="1" t="s">
        <v>1591</v>
      </c>
      <c r="C185" s="1" t="s">
        <v>1592</v>
      </c>
      <c r="D185" s="2" t="n">
        <v>36754</v>
      </c>
      <c r="E185" s="1" t="s">
        <v>710</v>
      </c>
      <c r="F185" s="1" t="s">
        <v>711</v>
      </c>
      <c r="G185" s="1" t="s">
        <v>712</v>
      </c>
      <c r="H185" s="1" t="s">
        <v>713</v>
      </c>
      <c r="I185" s="1" t="s">
        <v>714</v>
      </c>
      <c r="J185" s="1" t="s">
        <v>1172</v>
      </c>
      <c r="K185" s="1" t="s">
        <v>1593</v>
      </c>
      <c r="L185" s="1" t="s">
        <v>1594</v>
      </c>
      <c r="M185" s="1" t="s">
        <v>718</v>
      </c>
    </row>
    <row r="186" customFormat="false" ht="15" hidden="false" customHeight="false" outlineLevel="0" collapsed="false">
      <c r="A186" s="1" t="s">
        <v>1595</v>
      </c>
      <c r="B186" s="1" t="s">
        <v>1596</v>
      </c>
      <c r="C186" s="1" t="s">
        <v>1597</v>
      </c>
      <c r="D186" s="2" t="n">
        <v>37158</v>
      </c>
      <c r="E186" s="1" t="s">
        <v>710</v>
      </c>
      <c r="F186" s="1" t="s">
        <v>711</v>
      </c>
      <c r="G186" s="1" t="s">
        <v>712</v>
      </c>
      <c r="H186" s="1" t="s">
        <v>713</v>
      </c>
      <c r="I186" s="1" t="s">
        <v>714</v>
      </c>
      <c r="J186" s="1" t="s">
        <v>1144</v>
      </c>
      <c r="K186" s="1" t="s">
        <v>1598</v>
      </c>
      <c r="L186" s="1" t="s">
        <v>1599</v>
      </c>
      <c r="M186" s="1" t="s">
        <v>718</v>
      </c>
    </row>
    <row r="187" customFormat="false" ht="15" hidden="false" customHeight="false" outlineLevel="0" collapsed="false">
      <c r="A187" s="1" t="s">
        <v>1600</v>
      </c>
      <c r="B187" s="1" t="s">
        <v>1601</v>
      </c>
      <c r="C187" s="1" t="s">
        <v>1602</v>
      </c>
      <c r="D187" s="2" t="n">
        <v>35888</v>
      </c>
      <c r="E187" s="1" t="s">
        <v>763</v>
      </c>
      <c r="F187" s="1" t="s">
        <v>711</v>
      </c>
      <c r="G187" s="1" t="s">
        <v>712</v>
      </c>
      <c r="H187" s="1" t="s">
        <v>713</v>
      </c>
      <c r="I187" s="1" t="s">
        <v>714</v>
      </c>
      <c r="J187" s="1" t="s">
        <v>729</v>
      </c>
      <c r="K187" s="1" t="s">
        <v>716</v>
      </c>
      <c r="L187" s="1" t="s">
        <v>1603</v>
      </c>
      <c r="M187" s="1" t="s">
        <v>718</v>
      </c>
    </row>
    <row r="188" customFormat="false" ht="15" hidden="false" customHeight="false" outlineLevel="0" collapsed="false">
      <c r="A188" s="1" t="s">
        <v>1604</v>
      </c>
      <c r="B188" s="1" t="s">
        <v>1605</v>
      </c>
      <c r="C188" s="1" t="s">
        <v>1606</v>
      </c>
      <c r="D188" s="2" t="n">
        <v>36747</v>
      </c>
      <c r="E188" s="1" t="s">
        <v>763</v>
      </c>
      <c r="F188" s="1" t="s">
        <v>711</v>
      </c>
      <c r="G188" s="1" t="s">
        <v>712</v>
      </c>
      <c r="H188" s="1" t="s">
        <v>713</v>
      </c>
      <c r="I188" s="1" t="s">
        <v>714</v>
      </c>
      <c r="J188" s="1" t="s">
        <v>1144</v>
      </c>
      <c r="K188" s="1" t="s">
        <v>716</v>
      </c>
      <c r="L188" s="1" t="s">
        <v>1607</v>
      </c>
      <c r="M188" s="1" t="s">
        <v>718</v>
      </c>
    </row>
    <row r="189" customFormat="false" ht="15" hidden="false" customHeight="false" outlineLevel="0" collapsed="false">
      <c r="A189" s="1" t="s">
        <v>1608</v>
      </c>
      <c r="B189" s="1" t="s">
        <v>1609</v>
      </c>
      <c r="C189" s="1" t="s">
        <v>1610</v>
      </c>
      <c r="D189" s="2" t="n">
        <v>36772</v>
      </c>
      <c r="E189" s="1" t="s">
        <v>763</v>
      </c>
      <c r="F189" s="1" t="s">
        <v>711</v>
      </c>
      <c r="G189" s="1" t="s">
        <v>722</v>
      </c>
      <c r="H189" s="1" t="s">
        <v>713</v>
      </c>
      <c r="I189" s="1" t="s">
        <v>714</v>
      </c>
      <c r="J189" s="1" t="s">
        <v>1611</v>
      </c>
      <c r="K189" s="1" t="s">
        <v>716</v>
      </c>
      <c r="L189" s="1" t="s">
        <v>1612</v>
      </c>
      <c r="M189" s="1" t="s">
        <v>718</v>
      </c>
    </row>
    <row r="190" customFormat="false" ht="15" hidden="false" customHeight="false" outlineLevel="0" collapsed="false">
      <c r="A190" s="1" t="s">
        <v>1613</v>
      </c>
      <c r="B190" s="1" t="s">
        <v>1614</v>
      </c>
      <c r="C190" s="1" t="s">
        <v>1615</v>
      </c>
      <c r="D190" s="2" t="n">
        <v>36419</v>
      </c>
      <c r="E190" s="1" t="s">
        <v>710</v>
      </c>
      <c r="F190" s="1" t="s">
        <v>711</v>
      </c>
      <c r="G190" s="1" t="s">
        <v>722</v>
      </c>
      <c r="H190" s="1" t="s">
        <v>713</v>
      </c>
      <c r="I190" s="1" t="s">
        <v>714</v>
      </c>
      <c r="J190" s="1" t="s">
        <v>870</v>
      </c>
      <c r="K190" s="1" t="s">
        <v>716</v>
      </c>
      <c r="L190" s="1" t="s">
        <v>1616</v>
      </c>
      <c r="M190" s="1" t="s">
        <v>718</v>
      </c>
    </row>
    <row r="191" customFormat="false" ht="15" hidden="false" customHeight="false" outlineLevel="0" collapsed="false">
      <c r="A191" s="1" t="s">
        <v>1617</v>
      </c>
      <c r="B191" s="1" t="s">
        <v>1618</v>
      </c>
      <c r="C191" s="1" t="s">
        <v>1619</v>
      </c>
      <c r="D191" s="2" t="n">
        <v>36379</v>
      </c>
      <c r="E191" s="1" t="s">
        <v>710</v>
      </c>
      <c r="F191" s="1" t="s">
        <v>711</v>
      </c>
      <c r="G191" s="1" t="s">
        <v>712</v>
      </c>
      <c r="H191" s="1" t="s">
        <v>713</v>
      </c>
      <c r="I191" s="1" t="s">
        <v>714</v>
      </c>
      <c r="J191" s="1" t="s">
        <v>1620</v>
      </c>
      <c r="K191" s="1" t="s">
        <v>716</v>
      </c>
      <c r="L191" s="1" t="s">
        <v>1621</v>
      </c>
      <c r="M191" s="1" t="s">
        <v>718</v>
      </c>
    </row>
    <row r="192" customFormat="false" ht="15" hidden="false" customHeight="false" outlineLevel="0" collapsed="false">
      <c r="A192" s="1" t="s">
        <v>1622</v>
      </c>
      <c r="B192" s="1" t="s">
        <v>1623</v>
      </c>
      <c r="C192" s="1" t="s">
        <v>1624</v>
      </c>
      <c r="D192" s="2" t="n">
        <v>36810</v>
      </c>
      <c r="E192" s="1" t="s">
        <v>710</v>
      </c>
      <c r="F192" s="1" t="s">
        <v>711</v>
      </c>
      <c r="G192" s="1" t="s">
        <v>712</v>
      </c>
      <c r="H192" s="1" t="s">
        <v>713</v>
      </c>
      <c r="I192" s="1" t="s">
        <v>714</v>
      </c>
      <c r="J192" s="1" t="s">
        <v>716</v>
      </c>
      <c r="K192" s="1" t="s">
        <v>716</v>
      </c>
      <c r="L192" s="1" t="s">
        <v>1625</v>
      </c>
      <c r="M192" s="1" t="s">
        <v>718</v>
      </c>
    </row>
    <row r="193" customFormat="false" ht="15" hidden="false" customHeight="false" outlineLevel="0" collapsed="false">
      <c r="A193" s="1" t="s">
        <v>1626</v>
      </c>
      <c r="B193" s="1" t="s">
        <v>1627</v>
      </c>
      <c r="C193" s="1" t="s">
        <v>1628</v>
      </c>
      <c r="D193" s="2" t="n">
        <v>37074</v>
      </c>
      <c r="E193" s="1" t="s">
        <v>710</v>
      </c>
      <c r="F193" s="1" t="s">
        <v>711</v>
      </c>
      <c r="G193" s="1" t="s">
        <v>712</v>
      </c>
      <c r="H193" s="1" t="s">
        <v>713</v>
      </c>
      <c r="I193" s="1" t="s">
        <v>714</v>
      </c>
      <c r="J193" s="1" t="s">
        <v>715</v>
      </c>
      <c r="K193" s="1" t="s">
        <v>1629</v>
      </c>
      <c r="L193" s="1" t="s">
        <v>1630</v>
      </c>
      <c r="M193" s="1" t="s">
        <v>718</v>
      </c>
    </row>
    <row r="194" customFormat="false" ht="15" hidden="false" customHeight="false" outlineLevel="0" collapsed="false">
      <c r="A194" s="1" t="s">
        <v>1631</v>
      </c>
      <c r="B194" s="1" t="s">
        <v>1632</v>
      </c>
      <c r="C194" s="1" t="s">
        <v>1633</v>
      </c>
      <c r="D194" s="2" t="n">
        <v>36761</v>
      </c>
      <c r="E194" s="1" t="s">
        <v>763</v>
      </c>
      <c r="F194" s="1" t="s">
        <v>711</v>
      </c>
      <c r="G194" s="1" t="s">
        <v>712</v>
      </c>
      <c r="H194" s="1" t="s">
        <v>713</v>
      </c>
      <c r="I194" s="1" t="s">
        <v>714</v>
      </c>
      <c r="J194" s="1" t="s">
        <v>740</v>
      </c>
      <c r="K194" s="1" t="s">
        <v>716</v>
      </c>
      <c r="L194" s="1" t="s">
        <v>1634</v>
      </c>
      <c r="M194" s="1" t="s">
        <v>718</v>
      </c>
    </row>
    <row r="195" customFormat="false" ht="15" hidden="false" customHeight="false" outlineLevel="0" collapsed="false">
      <c r="A195" s="1" t="s">
        <v>1635</v>
      </c>
      <c r="B195" s="1" t="s">
        <v>1636</v>
      </c>
      <c r="C195" s="1" t="s">
        <v>1637</v>
      </c>
      <c r="D195" s="2" t="n">
        <v>36686</v>
      </c>
      <c r="E195" s="1" t="s">
        <v>710</v>
      </c>
      <c r="F195" s="1" t="s">
        <v>711</v>
      </c>
      <c r="G195" s="1" t="s">
        <v>722</v>
      </c>
      <c r="H195" s="1" t="s">
        <v>713</v>
      </c>
      <c r="I195" s="1" t="s">
        <v>714</v>
      </c>
      <c r="J195" s="1" t="s">
        <v>729</v>
      </c>
      <c r="K195" s="1" t="s">
        <v>716</v>
      </c>
      <c r="L195" s="1" t="s">
        <v>1638</v>
      </c>
      <c r="M195" s="1" t="s">
        <v>718</v>
      </c>
    </row>
    <row r="196" customFormat="false" ht="15" hidden="false" customHeight="false" outlineLevel="0" collapsed="false">
      <c r="A196" s="1" t="s">
        <v>1639</v>
      </c>
      <c r="B196" s="1" t="s">
        <v>1640</v>
      </c>
      <c r="C196" s="1" t="s">
        <v>1641</v>
      </c>
      <c r="D196" s="2" t="n">
        <v>36630</v>
      </c>
      <c r="E196" s="1" t="s">
        <v>710</v>
      </c>
      <c r="F196" s="1" t="s">
        <v>711</v>
      </c>
      <c r="G196" s="1" t="s">
        <v>712</v>
      </c>
      <c r="H196" s="1" t="s">
        <v>713</v>
      </c>
      <c r="I196" s="1" t="s">
        <v>714</v>
      </c>
      <c r="J196" s="1" t="s">
        <v>716</v>
      </c>
      <c r="K196" s="1" t="s">
        <v>716</v>
      </c>
      <c r="L196" s="1" t="s">
        <v>1642</v>
      </c>
      <c r="M196" s="1" t="s">
        <v>718</v>
      </c>
    </row>
    <row r="197" customFormat="false" ht="15" hidden="false" customHeight="false" outlineLevel="0" collapsed="false">
      <c r="A197" s="1" t="s">
        <v>1643</v>
      </c>
      <c r="B197" s="1" t="s">
        <v>1644</v>
      </c>
      <c r="C197" s="1" t="s">
        <v>1645</v>
      </c>
      <c r="D197" s="2" t="n">
        <v>36670</v>
      </c>
      <c r="E197" s="1" t="s">
        <v>763</v>
      </c>
      <c r="F197" s="1" t="s">
        <v>711</v>
      </c>
      <c r="G197" s="1" t="s">
        <v>722</v>
      </c>
      <c r="H197" s="1" t="s">
        <v>713</v>
      </c>
      <c r="I197" s="1" t="s">
        <v>714</v>
      </c>
      <c r="J197" s="1" t="s">
        <v>734</v>
      </c>
      <c r="K197" s="1" t="s">
        <v>1646</v>
      </c>
      <c r="L197" s="1" t="s">
        <v>1647</v>
      </c>
      <c r="M197" s="1" t="s">
        <v>718</v>
      </c>
    </row>
    <row r="198" customFormat="false" ht="15" hidden="false" customHeight="false" outlineLevel="0" collapsed="false">
      <c r="A198" s="1" t="s">
        <v>1648</v>
      </c>
      <c r="B198" s="1" t="s">
        <v>1538</v>
      </c>
      <c r="C198" s="1" t="s">
        <v>1649</v>
      </c>
      <c r="D198" s="2" t="n">
        <v>37194</v>
      </c>
      <c r="E198" s="1" t="s">
        <v>763</v>
      </c>
      <c r="F198" s="1" t="s">
        <v>711</v>
      </c>
      <c r="G198" s="1" t="s">
        <v>712</v>
      </c>
      <c r="H198" s="1" t="s">
        <v>713</v>
      </c>
      <c r="I198" s="1" t="s">
        <v>714</v>
      </c>
      <c r="J198" s="1" t="s">
        <v>1530</v>
      </c>
      <c r="K198" s="1" t="s">
        <v>1650</v>
      </c>
      <c r="L198" s="1" t="s">
        <v>1651</v>
      </c>
      <c r="M198" s="1" t="s">
        <v>718</v>
      </c>
    </row>
    <row r="199" customFormat="false" ht="15" hidden="false" customHeight="false" outlineLevel="0" collapsed="false">
      <c r="A199" s="1" t="s">
        <v>1652</v>
      </c>
      <c r="B199" s="1" t="s">
        <v>1653</v>
      </c>
      <c r="C199" s="1" t="s">
        <v>1654</v>
      </c>
      <c r="D199" s="2" t="n">
        <v>36777</v>
      </c>
      <c r="E199" s="1" t="s">
        <v>710</v>
      </c>
      <c r="F199" s="1" t="s">
        <v>711</v>
      </c>
      <c r="G199" s="1" t="s">
        <v>712</v>
      </c>
      <c r="H199" s="1" t="s">
        <v>713</v>
      </c>
      <c r="I199" s="1" t="s">
        <v>714</v>
      </c>
      <c r="J199" s="1" t="s">
        <v>780</v>
      </c>
      <c r="K199" s="1" t="s">
        <v>716</v>
      </c>
      <c r="L199" s="1" t="s">
        <v>1655</v>
      </c>
      <c r="M199" s="1" t="s">
        <v>718</v>
      </c>
    </row>
    <row r="200" customFormat="false" ht="15" hidden="false" customHeight="false" outlineLevel="0" collapsed="false">
      <c r="A200" s="1" t="s">
        <v>1656</v>
      </c>
      <c r="B200" s="1" t="s">
        <v>1657</v>
      </c>
      <c r="C200" s="1" t="s">
        <v>1658</v>
      </c>
      <c r="D200" s="2" t="n">
        <v>37376</v>
      </c>
      <c r="E200" s="1" t="s">
        <v>710</v>
      </c>
      <c r="F200" s="1" t="s">
        <v>711</v>
      </c>
      <c r="G200" s="1" t="s">
        <v>712</v>
      </c>
      <c r="H200" s="1" t="s">
        <v>713</v>
      </c>
      <c r="I200" s="1" t="s">
        <v>714</v>
      </c>
      <c r="J200" s="1" t="s">
        <v>1659</v>
      </c>
      <c r="K200" s="1" t="s">
        <v>1660</v>
      </c>
      <c r="L200" s="1" t="s">
        <v>1661</v>
      </c>
      <c r="M200" s="1" t="s">
        <v>718</v>
      </c>
    </row>
    <row r="201" customFormat="false" ht="15" hidden="false" customHeight="false" outlineLevel="0" collapsed="false">
      <c r="A201" s="1" t="s">
        <v>1662</v>
      </c>
      <c r="B201" s="1" t="s">
        <v>1636</v>
      </c>
      <c r="C201" s="1" t="s">
        <v>1663</v>
      </c>
      <c r="D201" s="2" t="n">
        <v>36118</v>
      </c>
      <c r="E201" s="1" t="s">
        <v>710</v>
      </c>
      <c r="F201" s="1" t="s">
        <v>711</v>
      </c>
      <c r="G201" s="1" t="s">
        <v>1664</v>
      </c>
      <c r="H201" s="1" t="s">
        <v>1438</v>
      </c>
      <c r="I201" s="1" t="s">
        <v>1665</v>
      </c>
      <c r="J201" s="1" t="s">
        <v>1439</v>
      </c>
      <c r="K201" s="1" t="s">
        <v>1666</v>
      </c>
      <c r="L201" s="1" t="s">
        <v>1441</v>
      </c>
      <c r="M201" s="1" t="s">
        <v>718</v>
      </c>
    </row>
    <row r="202" customFormat="false" ht="15" hidden="false" customHeight="false" outlineLevel="0" collapsed="false">
      <c r="A202" s="1" t="s">
        <v>1667</v>
      </c>
      <c r="B202" s="1" t="s">
        <v>1668</v>
      </c>
      <c r="C202" s="1" t="s">
        <v>1669</v>
      </c>
      <c r="D202" s="2" t="n">
        <v>35445</v>
      </c>
      <c r="E202" s="1" t="s">
        <v>710</v>
      </c>
      <c r="F202" s="1" t="s">
        <v>711</v>
      </c>
      <c r="G202" s="1" t="s">
        <v>722</v>
      </c>
      <c r="H202" s="1" t="s">
        <v>713</v>
      </c>
      <c r="I202" s="1" t="s">
        <v>714</v>
      </c>
      <c r="J202" s="1" t="s">
        <v>1670</v>
      </c>
      <c r="K202" s="1" t="s">
        <v>1671</v>
      </c>
      <c r="L202" s="1" t="s">
        <v>1672</v>
      </c>
      <c r="M202" s="1" t="s">
        <v>718</v>
      </c>
    </row>
    <row r="203" customFormat="false" ht="15" hidden="false" customHeight="false" outlineLevel="0" collapsed="false">
      <c r="A203" s="1" t="s">
        <v>1673</v>
      </c>
      <c r="B203" s="1" t="s">
        <v>1674</v>
      </c>
      <c r="C203" s="1" t="s">
        <v>1675</v>
      </c>
      <c r="D203" s="2" t="n">
        <v>36364</v>
      </c>
      <c r="E203" s="1" t="s">
        <v>763</v>
      </c>
      <c r="F203" s="1" t="s">
        <v>711</v>
      </c>
      <c r="G203" s="1" t="s">
        <v>712</v>
      </c>
      <c r="H203" s="1" t="s">
        <v>713</v>
      </c>
      <c r="I203" s="1" t="s">
        <v>714</v>
      </c>
      <c r="J203" s="1" t="s">
        <v>734</v>
      </c>
      <c r="K203" s="1" t="s">
        <v>716</v>
      </c>
      <c r="L203" s="1" t="s">
        <v>1676</v>
      </c>
      <c r="M203" s="1" t="s">
        <v>718</v>
      </c>
    </row>
    <row r="204" customFormat="false" ht="15" hidden="false" customHeight="false" outlineLevel="0" collapsed="false">
      <c r="A204" s="1" t="s">
        <v>1677</v>
      </c>
      <c r="B204" s="1" t="s">
        <v>1678</v>
      </c>
      <c r="C204" s="1" t="s">
        <v>1679</v>
      </c>
      <c r="D204" s="2" t="n">
        <v>36468</v>
      </c>
      <c r="E204" s="1" t="s">
        <v>763</v>
      </c>
      <c r="F204" s="1" t="s">
        <v>711</v>
      </c>
      <c r="G204" s="1" t="s">
        <v>775</v>
      </c>
      <c r="H204" s="1" t="s">
        <v>713</v>
      </c>
      <c r="I204" s="1" t="s">
        <v>714</v>
      </c>
      <c r="J204" s="1" t="s">
        <v>716</v>
      </c>
      <c r="K204" s="1" t="s">
        <v>716</v>
      </c>
      <c r="L204" s="1" t="s">
        <v>1680</v>
      </c>
      <c r="M204" s="1" t="s">
        <v>718</v>
      </c>
    </row>
    <row r="205" customFormat="false" ht="15" hidden="false" customHeight="false" outlineLevel="0" collapsed="false">
      <c r="A205" s="1" t="s">
        <v>1681</v>
      </c>
      <c r="B205" s="1" t="s">
        <v>1682</v>
      </c>
      <c r="C205" s="1" t="s">
        <v>1683</v>
      </c>
      <c r="D205" s="2" t="n">
        <v>37162</v>
      </c>
      <c r="E205" s="1" t="s">
        <v>763</v>
      </c>
      <c r="F205" s="1" t="s">
        <v>711</v>
      </c>
      <c r="G205" s="1" t="s">
        <v>712</v>
      </c>
      <c r="H205" s="1" t="s">
        <v>713</v>
      </c>
      <c r="I205" s="1" t="s">
        <v>714</v>
      </c>
      <c r="J205" s="1" t="s">
        <v>734</v>
      </c>
      <c r="K205" s="1" t="s">
        <v>1684</v>
      </c>
      <c r="L205" s="1" t="s">
        <v>1685</v>
      </c>
      <c r="M205" s="1" t="s">
        <v>718</v>
      </c>
    </row>
    <row r="206" customFormat="false" ht="15" hidden="false" customHeight="false" outlineLevel="0" collapsed="false">
      <c r="A206" s="1" t="s">
        <v>1686</v>
      </c>
      <c r="B206" s="1" t="s">
        <v>1687</v>
      </c>
      <c r="C206" s="1" t="s">
        <v>1688</v>
      </c>
      <c r="D206" s="2" t="n">
        <v>36698</v>
      </c>
      <c r="E206" s="1" t="s">
        <v>763</v>
      </c>
      <c r="F206" s="1" t="s">
        <v>711</v>
      </c>
      <c r="G206" s="1" t="s">
        <v>722</v>
      </c>
      <c r="H206" s="1" t="s">
        <v>713</v>
      </c>
      <c r="I206" s="1" t="s">
        <v>714</v>
      </c>
      <c r="J206" s="1" t="s">
        <v>716</v>
      </c>
      <c r="K206" s="1" t="s">
        <v>716</v>
      </c>
      <c r="L206" s="1" t="s">
        <v>1689</v>
      </c>
      <c r="M206" s="1" t="s">
        <v>718</v>
      </c>
    </row>
    <row r="207" customFormat="false" ht="15" hidden="false" customHeight="false" outlineLevel="0" collapsed="false">
      <c r="A207" s="1" t="s">
        <v>1690</v>
      </c>
      <c r="B207" s="1" t="s">
        <v>1691</v>
      </c>
      <c r="C207" s="1" t="s">
        <v>1692</v>
      </c>
      <c r="D207" s="2" t="n">
        <v>36950</v>
      </c>
      <c r="E207" s="1" t="s">
        <v>710</v>
      </c>
      <c r="F207" s="1" t="s">
        <v>711</v>
      </c>
      <c r="G207" s="1" t="s">
        <v>1693</v>
      </c>
      <c r="H207" s="1" t="s">
        <v>713</v>
      </c>
      <c r="I207" s="1" t="s">
        <v>714</v>
      </c>
      <c r="J207" s="1" t="s">
        <v>734</v>
      </c>
      <c r="K207" s="1" t="s">
        <v>716</v>
      </c>
      <c r="L207" s="1" t="s">
        <v>1694</v>
      </c>
      <c r="M207" s="1" t="s">
        <v>718</v>
      </c>
    </row>
    <row r="208" customFormat="false" ht="15" hidden="false" customHeight="false" outlineLevel="0" collapsed="false">
      <c r="A208" s="1" t="s">
        <v>1695</v>
      </c>
      <c r="B208" s="1" t="s">
        <v>1696</v>
      </c>
      <c r="C208" s="1" t="s">
        <v>1697</v>
      </c>
      <c r="D208" s="2" t="n">
        <v>36564</v>
      </c>
      <c r="E208" s="1" t="s">
        <v>710</v>
      </c>
      <c r="F208" s="1" t="s">
        <v>711</v>
      </c>
      <c r="G208" s="1" t="s">
        <v>712</v>
      </c>
      <c r="H208" s="1" t="s">
        <v>713</v>
      </c>
      <c r="I208" s="1" t="s">
        <v>714</v>
      </c>
      <c r="J208" s="1" t="s">
        <v>1390</v>
      </c>
      <c r="K208" s="1" t="s">
        <v>716</v>
      </c>
      <c r="L208" s="1" t="s">
        <v>1698</v>
      </c>
      <c r="M208" s="1" t="s">
        <v>718</v>
      </c>
    </row>
    <row r="209" customFormat="false" ht="15" hidden="false" customHeight="false" outlineLevel="0" collapsed="false">
      <c r="A209" s="1" t="s">
        <v>1699</v>
      </c>
      <c r="B209" s="1" t="s">
        <v>1700</v>
      </c>
      <c r="C209" s="1" t="s">
        <v>1701</v>
      </c>
      <c r="D209" s="2" t="n">
        <v>36454</v>
      </c>
      <c r="E209" s="1" t="s">
        <v>763</v>
      </c>
      <c r="F209" s="1" t="s">
        <v>711</v>
      </c>
      <c r="G209" s="1" t="s">
        <v>712</v>
      </c>
      <c r="H209" s="1" t="s">
        <v>713</v>
      </c>
      <c r="I209" s="1" t="s">
        <v>714</v>
      </c>
      <c r="J209" s="1" t="s">
        <v>734</v>
      </c>
      <c r="K209" s="1" t="s">
        <v>1702</v>
      </c>
      <c r="L209" s="1" t="s">
        <v>1703</v>
      </c>
      <c r="M209" s="1" t="s">
        <v>718</v>
      </c>
    </row>
    <row r="210" customFormat="false" ht="15" hidden="false" customHeight="false" outlineLevel="0" collapsed="false">
      <c r="A210" s="1" t="s">
        <v>1704</v>
      </c>
      <c r="B210" s="1" t="s">
        <v>1705</v>
      </c>
      <c r="C210" s="1" t="s">
        <v>1610</v>
      </c>
      <c r="D210" s="2" t="n">
        <v>36918</v>
      </c>
      <c r="E210" s="1" t="s">
        <v>763</v>
      </c>
      <c r="F210" s="1" t="s">
        <v>711</v>
      </c>
      <c r="G210" s="1" t="s">
        <v>712</v>
      </c>
      <c r="H210" s="1" t="s">
        <v>713</v>
      </c>
      <c r="I210" s="1" t="s">
        <v>714</v>
      </c>
      <c r="J210" s="1" t="s">
        <v>892</v>
      </c>
      <c r="K210" s="1" t="s">
        <v>1706</v>
      </c>
      <c r="L210" s="1" t="s">
        <v>1707</v>
      </c>
      <c r="M210" s="1" t="s">
        <v>718</v>
      </c>
    </row>
    <row r="211" customFormat="false" ht="15" hidden="false" customHeight="false" outlineLevel="0" collapsed="false">
      <c r="A211" s="1" t="s">
        <v>1708</v>
      </c>
      <c r="B211" s="1" t="s">
        <v>1481</v>
      </c>
      <c r="C211" s="1" t="s">
        <v>1709</v>
      </c>
      <c r="D211" s="2" t="n">
        <v>36132</v>
      </c>
      <c r="E211" s="1" t="s">
        <v>710</v>
      </c>
      <c r="F211" s="1" t="s">
        <v>711</v>
      </c>
      <c r="G211" s="1" t="s">
        <v>712</v>
      </c>
      <c r="H211" s="1" t="s">
        <v>713</v>
      </c>
      <c r="I211" s="1" t="s">
        <v>714</v>
      </c>
      <c r="J211" s="1" t="s">
        <v>716</v>
      </c>
      <c r="K211" s="1" t="s">
        <v>716</v>
      </c>
      <c r="L211" s="1" t="s">
        <v>1710</v>
      </c>
      <c r="M211" s="1" t="s">
        <v>718</v>
      </c>
    </row>
    <row r="212" customFormat="false" ht="15" hidden="false" customHeight="false" outlineLevel="0" collapsed="false">
      <c r="A212" s="1" t="s">
        <v>1711</v>
      </c>
      <c r="B212" s="1" t="s">
        <v>1712</v>
      </c>
      <c r="C212" s="1" t="s">
        <v>1713</v>
      </c>
      <c r="D212" s="2" t="n">
        <v>36441</v>
      </c>
      <c r="E212" s="1" t="s">
        <v>710</v>
      </c>
      <c r="F212" s="1" t="s">
        <v>711</v>
      </c>
      <c r="G212" s="1" t="s">
        <v>712</v>
      </c>
      <c r="H212" s="1" t="s">
        <v>713</v>
      </c>
      <c r="I212" s="1" t="s">
        <v>714</v>
      </c>
      <c r="J212" s="1" t="s">
        <v>780</v>
      </c>
      <c r="K212" s="1" t="s">
        <v>716</v>
      </c>
      <c r="L212" s="1" t="s">
        <v>1714</v>
      </c>
      <c r="M212" s="1" t="s">
        <v>718</v>
      </c>
    </row>
    <row r="213" customFormat="false" ht="15" hidden="false" customHeight="false" outlineLevel="0" collapsed="false">
      <c r="A213" s="1" t="s">
        <v>1715</v>
      </c>
      <c r="B213" s="1" t="s">
        <v>1716</v>
      </c>
      <c r="C213" s="1" t="s">
        <v>1717</v>
      </c>
      <c r="D213" s="2" t="n">
        <v>36402</v>
      </c>
      <c r="E213" s="1" t="s">
        <v>710</v>
      </c>
      <c r="F213" s="1" t="s">
        <v>711</v>
      </c>
      <c r="G213" s="1" t="s">
        <v>712</v>
      </c>
      <c r="H213" s="1" t="s">
        <v>713</v>
      </c>
      <c r="I213" s="1" t="s">
        <v>714</v>
      </c>
      <c r="J213" s="1" t="s">
        <v>1718</v>
      </c>
      <c r="K213" s="1" t="s">
        <v>716</v>
      </c>
      <c r="L213" s="1" t="s">
        <v>1719</v>
      </c>
      <c r="M213" s="1" t="s">
        <v>718</v>
      </c>
    </row>
    <row r="214" customFormat="false" ht="15" hidden="false" customHeight="false" outlineLevel="0" collapsed="false">
      <c r="A214" s="1" t="s">
        <v>1720</v>
      </c>
      <c r="B214" s="1" t="s">
        <v>1721</v>
      </c>
      <c r="C214" s="1" t="s">
        <v>1722</v>
      </c>
      <c r="D214" s="2" t="n">
        <v>36459</v>
      </c>
      <c r="E214" s="1" t="s">
        <v>763</v>
      </c>
      <c r="F214" s="1" t="s">
        <v>711</v>
      </c>
      <c r="G214" s="1" t="s">
        <v>712</v>
      </c>
      <c r="H214" s="1" t="s">
        <v>713</v>
      </c>
      <c r="I214" s="1" t="s">
        <v>714</v>
      </c>
      <c r="J214" s="1" t="s">
        <v>1723</v>
      </c>
      <c r="K214" s="1" t="s">
        <v>716</v>
      </c>
      <c r="L214" s="1" t="s">
        <v>1724</v>
      </c>
      <c r="M214" s="1" t="s">
        <v>718</v>
      </c>
    </row>
    <row r="215" customFormat="false" ht="15" hidden="false" customHeight="false" outlineLevel="0" collapsed="false">
      <c r="A215" s="1" t="s">
        <v>1725</v>
      </c>
      <c r="B215" s="1" t="s">
        <v>1726</v>
      </c>
      <c r="C215" s="1" t="s">
        <v>785</v>
      </c>
      <c r="D215" s="2" t="n">
        <v>36407</v>
      </c>
      <c r="E215" s="1" t="s">
        <v>763</v>
      </c>
      <c r="F215" s="1" t="s">
        <v>711</v>
      </c>
      <c r="G215" s="1" t="s">
        <v>722</v>
      </c>
      <c r="H215" s="1" t="s">
        <v>713</v>
      </c>
      <c r="I215" s="1" t="s">
        <v>714</v>
      </c>
      <c r="J215" s="1" t="s">
        <v>1723</v>
      </c>
      <c r="K215" s="1" t="s">
        <v>716</v>
      </c>
      <c r="L215" s="1" t="s">
        <v>786</v>
      </c>
      <c r="M215" s="1" t="s">
        <v>718</v>
      </c>
    </row>
    <row r="216" customFormat="false" ht="15" hidden="false" customHeight="false" outlineLevel="0" collapsed="false">
      <c r="A216" s="1" t="s">
        <v>1727</v>
      </c>
      <c r="B216" s="1" t="s">
        <v>1728</v>
      </c>
      <c r="C216" s="1" t="s">
        <v>1729</v>
      </c>
      <c r="D216" s="2" t="n">
        <v>36984</v>
      </c>
      <c r="E216" s="1" t="s">
        <v>763</v>
      </c>
      <c r="F216" s="1" t="s">
        <v>711</v>
      </c>
      <c r="G216" s="1" t="s">
        <v>722</v>
      </c>
      <c r="H216" s="1" t="s">
        <v>713</v>
      </c>
      <c r="I216" s="1" t="s">
        <v>714</v>
      </c>
      <c r="J216" s="1" t="s">
        <v>1723</v>
      </c>
      <c r="K216" s="1" t="s">
        <v>1730</v>
      </c>
      <c r="L216" s="1" t="s">
        <v>1731</v>
      </c>
      <c r="M216" s="1" t="s">
        <v>718</v>
      </c>
    </row>
    <row r="217" customFormat="false" ht="15" hidden="false" customHeight="false" outlineLevel="0" collapsed="false">
      <c r="A217" s="1" t="s">
        <v>1732</v>
      </c>
      <c r="B217" s="1" t="s">
        <v>1733</v>
      </c>
      <c r="C217" s="1" t="s">
        <v>1734</v>
      </c>
      <c r="D217" s="2" t="n">
        <v>36369</v>
      </c>
      <c r="E217" s="1" t="s">
        <v>763</v>
      </c>
      <c r="F217" s="1" t="s">
        <v>711</v>
      </c>
      <c r="G217" s="1" t="s">
        <v>712</v>
      </c>
      <c r="H217" s="1" t="s">
        <v>713</v>
      </c>
      <c r="I217" s="1" t="s">
        <v>714</v>
      </c>
      <c r="J217" s="1" t="s">
        <v>892</v>
      </c>
      <c r="K217" s="1" t="s">
        <v>716</v>
      </c>
      <c r="L217" s="1" t="s">
        <v>1735</v>
      </c>
      <c r="M217" s="1" t="s">
        <v>718</v>
      </c>
    </row>
    <row r="218" customFormat="false" ht="15" hidden="false" customHeight="false" outlineLevel="0" collapsed="false">
      <c r="A218" s="1" t="s">
        <v>1736</v>
      </c>
      <c r="B218" s="1" t="s">
        <v>1737</v>
      </c>
      <c r="C218" s="1" t="s">
        <v>1738</v>
      </c>
      <c r="D218" s="2" t="n">
        <v>35041</v>
      </c>
      <c r="E218" s="1" t="s">
        <v>763</v>
      </c>
      <c r="F218" s="1" t="s">
        <v>711</v>
      </c>
      <c r="G218" s="1" t="s">
        <v>1693</v>
      </c>
      <c r="H218" s="1" t="s">
        <v>713</v>
      </c>
      <c r="I218" s="1" t="s">
        <v>714</v>
      </c>
      <c r="J218" s="1" t="s">
        <v>880</v>
      </c>
      <c r="K218" s="1" t="s">
        <v>1739</v>
      </c>
      <c r="L218" s="1" t="s">
        <v>1740</v>
      </c>
      <c r="M218" s="1" t="s">
        <v>718</v>
      </c>
    </row>
    <row r="219" customFormat="false" ht="15" hidden="false" customHeight="false" outlineLevel="0" collapsed="false">
      <c r="A219" s="1" t="s">
        <v>1741</v>
      </c>
      <c r="B219" s="1" t="s">
        <v>1742</v>
      </c>
      <c r="C219" s="1" t="s">
        <v>1743</v>
      </c>
      <c r="D219" s="2" t="n">
        <v>37143</v>
      </c>
      <c r="E219" s="1" t="s">
        <v>763</v>
      </c>
      <c r="F219" s="1" t="s">
        <v>711</v>
      </c>
      <c r="G219" s="1" t="s">
        <v>712</v>
      </c>
      <c r="H219" s="1" t="s">
        <v>713</v>
      </c>
      <c r="I219" s="1" t="s">
        <v>714</v>
      </c>
      <c r="J219" s="1" t="s">
        <v>826</v>
      </c>
      <c r="K219" s="1" t="s">
        <v>1744</v>
      </c>
      <c r="L219" s="1" t="s">
        <v>1745</v>
      </c>
      <c r="M219" s="1" t="s">
        <v>718</v>
      </c>
    </row>
    <row r="220" customFormat="false" ht="15" hidden="false" customHeight="false" outlineLevel="0" collapsed="false">
      <c r="A220" s="1" t="s">
        <v>1746</v>
      </c>
      <c r="B220" s="1" t="s">
        <v>1747</v>
      </c>
      <c r="C220" s="1" t="s">
        <v>1748</v>
      </c>
      <c r="D220" s="2" t="n">
        <v>36421</v>
      </c>
      <c r="E220" s="1" t="s">
        <v>763</v>
      </c>
      <c r="F220" s="1" t="s">
        <v>711</v>
      </c>
      <c r="G220" s="1" t="s">
        <v>712</v>
      </c>
      <c r="H220" s="1" t="s">
        <v>713</v>
      </c>
      <c r="I220" s="1" t="s">
        <v>714</v>
      </c>
      <c r="J220" s="1" t="s">
        <v>1519</v>
      </c>
      <c r="K220" s="1" t="s">
        <v>716</v>
      </c>
      <c r="L220" s="1" t="s">
        <v>1749</v>
      </c>
      <c r="M220" s="1" t="s">
        <v>718</v>
      </c>
    </row>
    <row r="221" customFormat="false" ht="15" hidden="false" customHeight="false" outlineLevel="0" collapsed="false">
      <c r="A221" s="1" t="s">
        <v>1750</v>
      </c>
      <c r="B221" s="1" t="s">
        <v>1751</v>
      </c>
      <c r="C221" s="1" t="s">
        <v>1752</v>
      </c>
      <c r="D221" s="2" t="n">
        <v>36835</v>
      </c>
      <c r="E221" s="1" t="s">
        <v>710</v>
      </c>
      <c r="F221" s="1" t="s">
        <v>711</v>
      </c>
      <c r="G221" s="1" t="s">
        <v>712</v>
      </c>
      <c r="H221" s="1" t="s">
        <v>713</v>
      </c>
      <c r="I221" s="1" t="s">
        <v>714</v>
      </c>
      <c r="J221" s="1" t="s">
        <v>729</v>
      </c>
      <c r="K221" s="1" t="s">
        <v>716</v>
      </c>
      <c r="L221" s="1" t="s">
        <v>1753</v>
      </c>
      <c r="M221" s="1" t="s">
        <v>718</v>
      </c>
    </row>
    <row r="222" customFormat="false" ht="15" hidden="false" customHeight="false" outlineLevel="0" collapsed="false">
      <c r="A222" s="1" t="s">
        <v>1754</v>
      </c>
      <c r="B222" s="1" t="s">
        <v>1755</v>
      </c>
      <c r="C222" s="1" t="s">
        <v>1756</v>
      </c>
      <c r="D222" s="2" t="n">
        <v>37063</v>
      </c>
      <c r="E222" s="1" t="s">
        <v>763</v>
      </c>
      <c r="F222" s="1" t="s">
        <v>711</v>
      </c>
      <c r="G222" s="1" t="s">
        <v>722</v>
      </c>
      <c r="H222" s="1" t="s">
        <v>713</v>
      </c>
      <c r="I222" s="1" t="s">
        <v>714</v>
      </c>
      <c r="J222" s="1" t="s">
        <v>805</v>
      </c>
      <c r="K222" s="1" t="s">
        <v>1757</v>
      </c>
      <c r="L222" s="1" t="s">
        <v>1758</v>
      </c>
      <c r="M222" s="1" t="s">
        <v>718</v>
      </c>
    </row>
    <row r="223" customFormat="false" ht="15" hidden="false" customHeight="false" outlineLevel="0" collapsed="false">
      <c r="A223" s="1" t="s">
        <v>1759</v>
      </c>
      <c r="B223" s="1" t="s">
        <v>1760</v>
      </c>
      <c r="C223" s="1" t="s">
        <v>1761</v>
      </c>
      <c r="D223" s="2" t="n">
        <v>36814</v>
      </c>
      <c r="E223" s="1" t="s">
        <v>710</v>
      </c>
      <c r="F223" s="1" t="s">
        <v>711</v>
      </c>
      <c r="G223" s="1" t="s">
        <v>712</v>
      </c>
      <c r="H223" s="1" t="s">
        <v>713</v>
      </c>
      <c r="I223" s="1" t="s">
        <v>714</v>
      </c>
      <c r="J223" s="1" t="s">
        <v>1762</v>
      </c>
      <c r="K223" s="1" t="s">
        <v>1763</v>
      </c>
      <c r="L223" s="1" t="s">
        <v>1764</v>
      </c>
      <c r="M223" s="1" t="s">
        <v>718</v>
      </c>
    </row>
    <row r="224" customFormat="false" ht="15" hidden="false" customHeight="false" outlineLevel="0" collapsed="false">
      <c r="A224" s="1" t="s">
        <v>1765</v>
      </c>
      <c r="B224" s="1" t="s">
        <v>1766</v>
      </c>
      <c r="C224" s="1" t="s">
        <v>1767</v>
      </c>
      <c r="D224" s="2" t="n">
        <v>36900</v>
      </c>
      <c r="E224" s="1" t="s">
        <v>710</v>
      </c>
      <c r="F224" s="1" t="s">
        <v>711</v>
      </c>
      <c r="G224" s="1" t="s">
        <v>722</v>
      </c>
      <c r="H224" s="1" t="s">
        <v>713</v>
      </c>
      <c r="I224" s="1" t="s">
        <v>714</v>
      </c>
      <c r="J224" s="1" t="s">
        <v>1095</v>
      </c>
      <c r="K224" s="1" t="s">
        <v>1768</v>
      </c>
      <c r="L224" s="1" t="s">
        <v>1769</v>
      </c>
      <c r="M224" s="1" t="s">
        <v>718</v>
      </c>
    </row>
    <row r="225" customFormat="false" ht="15" hidden="false" customHeight="false" outlineLevel="0" collapsed="false">
      <c r="A225" s="1" t="s">
        <v>1770</v>
      </c>
      <c r="B225" s="1" t="s">
        <v>1771</v>
      </c>
      <c r="C225" s="1" t="s">
        <v>1772</v>
      </c>
      <c r="D225" s="2" t="n">
        <v>36360</v>
      </c>
      <c r="E225" s="1" t="s">
        <v>763</v>
      </c>
      <c r="F225" s="1" t="s">
        <v>711</v>
      </c>
      <c r="G225" s="1" t="s">
        <v>712</v>
      </c>
      <c r="H225" s="1" t="s">
        <v>713</v>
      </c>
      <c r="I225" s="1" t="s">
        <v>714</v>
      </c>
      <c r="J225" s="1" t="s">
        <v>729</v>
      </c>
      <c r="K225" s="1" t="s">
        <v>716</v>
      </c>
      <c r="L225" s="1" t="s">
        <v>1773</v>
      </c>
      <c r="M225" s="1" t="s">
        <v>718</v>
      </c>
    </row>
    <row r="226" customFormat="false" ht="15" hidden="false" customHeight="false" outlineLevel="0" collapsed="false">
      <c r="A226" s="1" t="s">
        <v>1774</v>
      </c>
      <c r="B226" s="1" t="s">
        <v>1775</v>
      </c>
      <c r="C226" s="1" t="s">
        <v>1776</v>
      </c>
      <c r="D226" s="2" t="n">
        <v>36874</v>
      </c>
      <c r="E226" s="1" t="s">
        <v>763</v>
      </c>
      <c r="F226" s="1" t="s">
        <v>711</v>
      </c>
      <c r="G226" s="1" t="s">
        <v>722</v>
      </c>
      <c r="H226" s="1" t="s">
        <v>713</v>
      </c>
      <c r="I226" s="1" t="s">
        <v>714</v>
      </c>
      <c r="J226" s="1" t="s">
        <v>1777</v>
      </c>
      <c r="K226" s="1" t="s">
        <v>1778</v>
      </c>
      <c r="L226" s="1" t="s">
        <v>1779</v>
      </c>
      <c r="M226" s="1" t="s">
        <v>718</v>
      </c>
    </row>
    <row r="227" customFormat="false" ht="15" hidden="false" customHeight="false" outlineLevel="0" collapsed="false">
      <c r="A227" s="1" t="s">
        <v>1780</v>
      </c>
      <c r="B227" s="1" t="s">
        <v>1781</v>
      </c>
      <c r="C227" s="1" t="s">
        <v>1782</v>
      </c>
      <c r="D227" s="2" t="n">
        <v>36489</v>
      </c>
      <c r="E227" s="1" t="s">
        <v>763</v>
      </c>
      <c r="F227" s="1" t="s">
        <v>711</v>
      </c>
      <c r="G227" s="1" t="s">
        <v>712</v>
      </c>
      <c r="H227" s="1" t="s">
        <v>713</v>
      </c>
      <c r="I227" s="1" t="s">
        <v>714</v>
      </c>
      <c r="J227" s="1" t="s">
        <v>740</v>
      </c>
      <c r="K227" s="1" t="s">
        <v>1783</v>
      </c>
      <c r="L227" s="1" t="s">
        <v>1784</v>
      </c>
      <c r="M227" s="1" t="s">
        <v>718</v>
      </c>
    </row>
    <row r="228" customFormat="false" ht="15" hidden="false" customHeight="false" outlineLevel="0" collapsed="false">
      <c r="A228" s="1" t="s">
        <v>1785</v>
      </c>
      <c r="B228" s="1" t="s">
        <v>1786</v>
      </c>
      <c r="C228" s="1" t="s">
        <v>1787</v>
      </c>
      <c r="D228" s="2" t="n">
        <v>36831</v>
      </c>
      <c r="E228" s="1" t="s">
        <v>763</v>
      </c>
      <c r="F228" s="1" t="s">
        <v>711</v>
      </c>
      <c r="G228" s="1" t="s">
        <v>712</v>
      </c>
      <c r="H228" s="1" t="s">
        <v>713</v>
      </c>
      <c r="I228" s="1" t="s">
        <v>714</v>
      </c>
      <c r="J228" s="1" t="s">
        <v>740</v>
      </c>
      <c r="K228" s="1" t="s">
        <v>1788</v>
      </c>
      <c r="L228" s="1" t="s">
        <v>1789</v>
      </c>
      <c r="M228" s="1" t="s">
        <v>718</v>
      </c>
    </row>
    <row r="229" customFormat="false" ht="15" hidden="false" customHeight="false" outlineLevel="0" collapsed="false">
      <c r="A229" s="1" t="s">
        <v>1790</v>
      </c>
      <c r="B229" s="1" t="s">
        <v>1791</v>
      </c>
      <c r="C229" s="1" t="s">
        <v>750</v>
      </c>
      <c r="D229" s="2" t="n">
        <v>36302</v>
      </c>
      <c r="E229" s="1" t="s">
        <v>710</v>
      </c>
      <c r="F229" s="1" t="s">
        <v>711</v>
      </c>
      <c r="G229" s="1" t="s">
        <v>712</v>
      </c>
      <c r="H229" s="1" t="s">
        <v>713</v>
      </c>
      <c r="I229" s="1" t="s">
        <v>714</v>
      </c>
      <c r="J229" s="1" t="s">
        <v>716</v>
      </c>
      <c r="K229" s="1" t="s">
        <v>716</v>
      </c>
      <c r="L229" s="1" t="s">
        <v>1792</v>
      </c>
      <c r="M229" s="1" t="s">
        <v>718</v>
      </c>
    </row>
    <row r="230" customFormat="false" ht="15" hidden="false" customHeight="false" outlineLevel="0" collapsed="false">
      <c r="A230" s="1" t="s">
        <v>1793</v>
      </c>
      <c r="B230" s="1" t="s">
        <v>1794</v>
      </c>
      <c r="C230" s="1" t="s">
        <v>1795</v>
      </c>
      <c r="D230" s="2" t="n">
        <v>36861</v>
      </c>
      <c r="E230" s="1" t="s">
        <v>710</v>
      </c>
      <c r="F230" s="1" t="s">
        <v>711</v>
      </c>
      <c r="G230" s="1" t="s">
        <v>722</v>
      </c>
      <c r="H230" s="1" t="s">
        <v>713</v>
      </c>
      <c r="I230" s="1" t="s">
        <v>714</v>
      </c>
      <c r="J230" s="1" t="s">
        <v>917</v>
      </c>
      <c r="K230" s="1" t="s">
        <v>1796</v>
      </c>
      <c r="L230" s="1" t="s">
        <v>1797</v>
      </c>
      <c r="M230" s="1" t="s">
        <v>718</v>
      </c>
    </row>
    <row r="231" customFormat="false" ht="15" hidden="false" customHeight="false" outlineLevel="0" collapsed="false">
      <c r="A231" s="1" t="s">
        <v>1798</v>
      </c>
      <c r="B231" s="1" t="s">
        <v>1799</v>
      </c>
      <c r="C231" s="1" t="s">
        <v>1800</v>
      </c>
      <c r="D231" s="2" t="n">
        <v>35859</v>
      </c>
      <c r="E231" s="1" t="s">
        <v>710</v>
      </c>
      <c r="F231" s="1" t="s">
        <v>711</v>
      </c>
      <c r="G231" s="1" t="s">
        <v>712</v>
      </c>
      <c r="H231" s="1" t="s">
        <v>713</v>
      </c>
      <c r="I231" s="1" t="s">
        <v>714</v>
      </c>
      <c r="J231" s="1" t="s">
        <v>716</v>
      </c>
      <c r="K231" s="1" t="s">
        <v>716</v>
      </c>
      <c r="L231" s="1" t="s">
        <v>1801</v>
      </c>
      <c r="M231" s="1" t="s">
        <v>718</v>
      </c>
    </row>
    <row r="232" customFormat="false" ht="15" hidden="false" customHeight="false" outlineLevel="0" collapsed="false">
      <c r="A232" s="1" t="s">
        <v>1802</v>
      </c>
      <c r="B232" s="1" t="s">
        <v>1803</v>
      </c>
      <c r="C232" s="1" t="s">
        <v>1804</v>
      </c>
      <c r="D232" s="2" t="n">
        <v>37466</v>
      </c>
      <c r="E232" s="1" t="s">
        <v>763</v>
      </c>
      <c r="F232" s="1" t="s">
        <v>711</v>
      </c>
      <c r="G232" s="1" t="s">
        <v>712</v>
      </c>
      <c r="H232" s="1" t="s">
        <v>713</v>
      </c>
      <c r="I232" s="1" t="s">
        <v>714</v>
      </c>
      <c r="J232" s="1" t="s">
        <v>1805</v>
      </c>
      <c r="K232" s="1" t="s">
        <v>1806</v>
      </c>
      <c r="L232" s="1" t="s">
        <v>1807</v>
      </c>
      <c r="M232" s="1" t="s">
        <v>718</v>
      </c>
    </row>
    <row r="233" customFormat="false" ht="15" hidden="false" customHeight="false" outlineLevel="0" collapsed="false">
      <c r="A233" s="1" t="s">
        <v>1808</v>
      </c>
      <c r="B233" s="1" t="s">
        <v>1809</v>
      </c>
      <c r="C233" s="1" t="s">
        <v>1810</v>
      </c>
      <c r="D233" s="2" t="n">
        <v>37184</v>
      </c>
      <c r="E233" s="1" t="s">
        <v>710</v>
      </c>
      <c r="F233" s="1" t="s">
        <v>711</v>
      </c>
      <c r="G233" s="1" t="s">
        <v>712</v>
      </c>
      <c r="H233" s="1" t="s">
        <v>713</v>
      </c>
      <c r="I233" s="1" t="s">
        <v>714</v>
      </c>
      <c r="J233" s="1" t="s">
        <v>1131</v>
      </c>
      <c r="K233" s="1" t="s">
        <v>1811</v>
      </c>
      <c r="L233" s="1" t="s">
        <v>1812</v>
      </c>
      <c r="M233" s="1" t="s">
        <v>718</v>
      </c>
    </row>
    <row r="234" customFormat="false" ht="15" hidden="false" customHeight="false" outlineLevel="0" collapsed="false">
      <c r="A234" s="1" t="s">
        <v>1813</v>
      </c>
      <c r="B234" s="1" t="s">
        <v>1814</v>
      </c>
      <c r="C234" s="1" t="s">
        <v>1815</v>
      </c>
      <c r="D234" s="2" t="n">
        <v>36318</v>
      </c>
      <c r="E234" s="1" t="s">
        <v>710</v>
      </c>
      <c r="F234" s="1" t="s">
        <v>711</v>
      </c>
      <c r="G234" s="1" t="s">
        <v>775</v>
      </c>
      <c r="H234" s="1" t="s">
        <v>713</v>
      </c>
      <c r="I234" s="1" t="s">
        <v>714</v>
      </c>
      <c r="J234" s="1" t="s">
        <v>1144</v>
      </c>
      <c r="K234" s="1" t="s">
        <v>1816</v>
      </c>
      <c r="L234" s="1" t="s">
        <v>1817</v>
      </c>
      <c r="M234" s="1" t="s">
        <v>718</v>
      </c>
    </row>
    <row r="235" customFormat="false" ht="15" hidden="false" customHeight="false" outlineLevel="0" collapsed="false">
      <c r="A235" s="1" t="s">
        <v>1818</v>
      </c>
      <c r="B235" s="1" t="s">
        <v>1819</v>
      </c>
      <c r="C235" s="1" t="s">
        <v>1820</v>
      </c>
      <c r="D235" s="2" t="n">
        <v>37158</v>
      </c>
      <c r="E235" s="1" t="s">
        <v>763</v>
      </c>
      <c r="F235" s="1" t="s">
        <v>711</v>
      </c>
      <c r="G235" s="1" t="s">
        <v>722</v>
      </c>
      <c r="H235" s="1" t="s">
        <v>713</v>
      </c>
      <c r="I235" s="1" t="s">
        <v>714</v>
      </c>
      <c r="J235" s="1" t="s">
        <v>715</v>
      </c>
      <c r="K235" s="1" t="s">
        <v>1821</v>
      </c>
      <c r="L235" s="1" t="s">
        <v>1822</v>
      </c>
      <c r="M235" s="1" t="s">
        <v>718</v>
      </c>
    </row>
    <row r="236" customFormat="false" ht="15" hidden="false" customHeight="false" outlineLevel="0" collapsed="false">
      <c r="A236" s="1" t="s">
        <v>1823</v>
      </c>
      <c r="B236" s="1" t="s">
        <v>1824</v>
      </c>
      <c r="C236" s="1" t="s">
        <v>1825</v>
      </c>
      <c r="D236" s="2" t="n">
        <v>36300</v>
      </c>
      <c r="E236" s="1" t="s">
        <v>710</v>
      </c>
      <c r="F236" s="1" t="s">
        <v>711</v>
      </c>
      <c r="G236" s="1" t="s">
        <v>712</v>
      </c>
      <c r="H236" s="1" t="s">
        <v>713</v>
      </c>
      <c r="I236" s="1" t="s">
        <v>714</v>
      </c>
      <c r="J236" s="1" t="s">
        <v>780</v>
      </c>
      <c r="K236" s="1" t="s">
        <v>1826</v>
      </c>
      <c r="L236" s="1" t="s">
        <v>1827</v>
      </c>
      <c r="M236" s="1" t="s">
        <v>718</v>
      </c>
    </row>
    <row r="237" customFormat="false" ht="15" hidden="false" customHeight="false" outlineLevel="0" collapsed="false">
      <c r="A237" s="1" t="s">
        <v>1828</v>
      </c>
      <c r="B237" s="1" t="s">
        <v>1829</v>
      </c>
      <c r="C237" s="1" t="s">
        <v>1830</v>
      </c>
      <c r="D237" s="2" t="n">
        <v>36410</v>
      </c>
      <c r="E237" s="1" t="s">
        <v>763</v>
      </c>
      <c r="F237" s="1" t="s">
        <v>711</v>
      </c>
      <c r="G237" s="1" t="s">
        <v>712</v>
      </c>
      <c r="H237" s="1" t="s">
        <v>713</v>
      </c>
      <c r="I237" s="1" t="s">
        <v>714</v>
      </c>
      <c r="J237" s="1" t="s">
        <v>805</v>
      </c>
      <c r="K237" s="1" t="s">
        <v>1831</v>
      </c>
      <c r="L237" s="1" t="s">
        <v>1832</v>
      </c>
      <c r="M237" s="1" t="s">
        <v>718</v>
      </c>
    </row>
    <row r="238" customFormat="false" ht="15" hidden="false" customHeight="false" outlineLevel="0" collapsed="false">
      <c r="A238" s="1" t="s">
        <v>1833</v>
      </c>
      <c r="B238" s="1" t="s">
        <v>1834</v>
      </c>
      <c r="C238" s="1" t="s">
        <v>1835</v>
      </c>
      <c r="D238" s="2" t="n">
        <v>36749</v>
      </c>
      <c r="E238" s="1" t="s">
        <v>763</v>
      </c>
      <c r="F238" s="1" t="s">
        <v>711</v>
      </c>
      <c r="G238" s="1" t="s">
        <v>722</v>
      </c>
      <c r="H238" s="1" t="s">
        <v>713</v>
      </c>
      <c r="I238" s="1" t="s">
        <v>714</v>
      </c>
      <c r="J238" s="1" t="s">
        <v>1398</v>
      </c>
      <c r="K238" s="1" t="s">
        <v>1836</v>
      </c>
      <c r="L238" s="1" t="s">
        <v>1837</v>
      </c>
      <c r="M238" s="1" t="s">
        <v>718</v>
      </c>
    </row>
    <row r="239" customFormat="false" ht="15" hidden="false" customHeight="false" outlineLevel="0" collapsed="false">
      <c r="A239" s="1" t="s">
        <v>1838</v>
      </c>
      <c r="B239" s="1" t="s">
        <v>1839</v>
      </c>
      <c r="C239" s="1" t="s">
        <v>1840</v>
      </c>
      <c r="D239" s="2" t="n">
        <v>36662</v>
      </c>
      <c r="E239" s="1" t="s">
        <v>710</v>
      </c>
      <c r="F239" s="1" t="s">
        <v>711</v>
      </c>
      <c r="G239" s="1" t="s">
        <v>712</v>
      </c>
      <c r="H239" s="1" t="s">
        <v>713</v>
      </c>
      <c r="I239" s="1" t="s">
        <v>714</v>
      </c>
      <c r="J239" s="1" t="s">
        <v>1841</v>
      </c>
      <c r="K239" s="1" t="s">
        <v>716</v>
      </c>
      <c r="L239" s="1" t="s">
        <v>1842</v>
      </c>
      <c r="M239" s="1" t="s">
        <v>718</v>
      </c>
    </row>
    <row r="240" customFormat="false" ht="15" hidden="false" customHeight="false" outlineLevel="0" collapsed="false">
      <c r="A240" s="1" t="s">
        <v>1843</v>
      </c>
      <c r="B240" s="1" t="s">
        <v>1844</v>
      </c>
      <c r="C240" s="1" t="s">
        <v>1845</v>
      </c>
      <c r="D240" s="2" t="n">
        <v>36888</v>
      </c>
      <c r="E240" s="1" t="s">
        <v>710</v>
      </c>
      <c r="F240" s="1" t="s">
        <v>711</v>
      </c>
      <c r="G240" s="1" t="s">
        <v>722</v>
      </c>
      <c r="H240" s="1" t="s">
        <v>713</v>
      </c>
      <c r="I240" s="1" t="s">
        <v>714</v>
      </c>
      <c r="J240" s="1" t="s">
        <v>716</v>
      </c>
      <c r="K240" s="1" t="s">
        <v>716</v>
      </c>
      <c r="L240" s="1" t="s">
        <v>1846</v>
      </c>
      <c r="M240" s="1" t="s">
        <v>718</v>
      </c>
    </row>
    <row r="241" customFormat="false" ht="15" hidden="false" customHeight="false" outlineLevel="0" collapsed="false">
      <c r="A241" s="1" t="s">
        <v>1847</v>
      </c>
      <c r="B241" s="1" t="s">
        <v>1848</v>
      </c>
      <c r="C241" s="1" t="s">
        <v>1849</v>
      </c>
      <c r="D241" s="2" t="n">
        <v>36670</v>
      </c>
      <c r="E241" s="1" t="s">
        <v>710</v>
      </c>
      <c r="F241" s="1" t="s">
        <v>711</v>
      </c>
      <c r="G241" s="1" t="s">
        <v>722</v>
      </c>
      <c r="H241" s="1" t="s">
        <v>713</v>
      </c>
      <c r="I241" s="1" t="s">
        <v>714</v>
      </c>
      <c r="J241" s="1" t="s">
        <v>1296</v>
      </c>
      <c r="K241" s="1" t="s">
        <v>1850</v>
      </c>
      <c r="L241" s="1" t="s">
        <v>1851</v>
      </c>
      <c r="M241" s="1" t="s">
        <v>718</v>
      </c>
    </row>
    <row r="242" customFormat="false" ht="15" hidden="false" customHeight="false" outlineLevel="0" collapsed="false">
      <c r="A242" s="1" t="s">
        <v>1852</v>
      </c>
      <c r="B242" s="1" t="s">
        <v>1853</v>
      </c>
      <c r="C242" s="1" t="s">
        <v>1854</v>
      </c>
      <c r="D242" s="2" t="n">
        <v>36570</v>
      </c>
      <c r="E242" s="1" t="s">
        <v>763</v>
      </c>
      <c r="F242" s="1" t="s">
        <v>711</v>
      </c>
      <c r="G242" s="1" t="s">
        <v>722</v>
      </c>
      <c r="H242" s="1" t="s">
        <v>713</v>
      </c>
      <c r="I242" s="1" t="s">
        <v>714</v>
      </c>
      <c r="J242" s="1" t="s">
        <v>1131</v>
      </c>
      <c r="K242" s="1" t="s">
        <v>1855</v>
      </c>
      <c r="L242" s="1" t="s">
        <v>1856</v>
      </c>
      <c r="M242" s="1" t="s">
        <v>718</v>
      </c>
    </row>
    <row r="243" customFormat="false" ht="15" hidden="false" customHeight="false" outlineLevel="0" collapsed="false">
      <c r="A243" s="1" t="s">
        <v>1857</v>
      </c>
      <c r="B243" s="1" t="s">
        <v>1858</v>
      </c>
      <c r="C243" s="1" t="s">
        <v>1859</v>
      </c>
      <c r="D243" s="2" t="n">
        <v>36769</v>
      </c>
      <c r="E243" s="1" t="s">
        <v>710</v>
      </c>
      <c r="F243" s="1" t="s">
        <v>711</v>
      </c>
      <c r="G243" s="1" t="s">
        <v>712</v>
      </c>
      <c r="H243" s="1" t="s">
        <v>713</v>
      </c>
      <c r="I243" s="1" t="s">
        <v>714</v>
      </c>
      <c r="J243" s="1" t="s">
        <v>1296</v>
      </c>
      <c r="K243" s="1" t="s">
        <v>1860</v>
      </c>
      <c r="L243" s="1" t="s">
        <v>1861</v>
      </c>
      <c r="M243" s="1" t="s">
        <v>718</v>
      </c>
    </row>
    <row r="244" customFormat="false" ht="15" hidden="false" customHeight="false" outlineLevel="0" collapsed="false">
      <c r="A244" s="1" t="s">
        <v>1862</v>
      </c>
      <c r="B244" s="1" t="s">
        <v>1863</v>
      </c>
      <c r="C244" s="1" t="s">
        <v>1864</v>
      </c>
      <c r="D244" s="2" t="n">
        <v>36948</v>
      </c>
      <c r="E244" s="1" t="s">
        <v>763</v>
      </c>
      <c r="F244" s="1" t="s">
        <v>711</v>
      </c>
      <c r="G244" s="1" t="s">
        <v>712</v>
      </c>
      <c r="H244" s="1" t="s">
        <v>713</v>
      </c>
      <c r="I244" s="1" t="s">
        <v>714</v>
      </c>
      <c r="J244" s="1" t="s">
        <v>1865</v>
      </c>
      <c r="K244" s="1" t="s">
        <v>1866</v>
      </c>
      <c r="L244" s="1" t="s">
        <v>1867</v>
      </c>
      <c r="M244" s="1" t="s">
        <v>718</v>
      </c>
    </row>
    <row r="245" customFormat="false" ht="15" hidden="false" customHeight="false" outlineLevel="0" collapsed="false">
      <c r="A245" s="1" t="s">
        <v>1868</v>
      </c>
      <c r="B245" s="1" t="s">
        <v>1869</v>
      </c>
      <c r="C245" s="1" t="s">
        <v>1870</v>
      </c>
      <c r="D245" s="2" t="n">
        <v>36849</v>
      </c>
      <c r="E245" s="1" t="s">
        <v>710</v>
      </c>
      <c r="F245" s="1" t="s">
        <v>711</v>
      </c>
      <c r="G245" s="1" t="s">
        <v>712</v>
      </c>
      <c r="H245" s="1" t="s">
        <v>713</v>
      </c>
      <c r="I245" s="1" t="s">
        <v>714</v>
      </c>
      <c r="J245" s="1" t="s">
        <v>729</v>
      </c>
      <c r="K245" s="1" t="s">
        <v>716</v>
      </c>
      <c r="L245" s="1" t="s">
        <v>1871</v>
      </c>
      <c r="M245" s="1" t="s">
        <v>718</v>
      </c>
    </row>
    <row r="246" customFormat="false" ht="15" hidden="false" customHeight="false" outlineLevel="0" collapsed="false">
      <c r="A246" s="1" t="s">
        <v>1872</v>
      </c>
      <c r="B246" s="1" t="s">
        <v>1873</v>
      </c>
      <c r="C246" s="1" t="s">
        <v>1874</v>
      </c>
      <c r="D246" s="2" t="n">
        <v>36649</v>
      </c>
      <c r="E246" s="1" t="s">
        <v>710</v>
      </c>
      <c r="F246" s="1" t="s">
        <v>711</v>
      </c>
      <c r="G246" s="1" t="s">
        <v>722</v>
      </c>
      <c r="H246" s="1" t="s">
        <v>713</v>
      </c>
      <c r="I246" s="1" t="s">
        <v>714</v>
      </c>
      <c r="J246" s="1" t="s">
        <v>729</v>
      </c>
      <c r="K246" s="1" t="s">
        <v>716</v>
      </c>
      <c r="L246" s="1" t="s">
        <v>1875</v>
      </c>
      <c r="M246" s="1" t="s">
        <v>718</v>
      </c>
    </row>
    <row r="247" customFormat="false" ht="15" hidden="false" customHeight="false" outlineLevel="0" collapsed="false">
      <c r="A247" s="1" t="s">
        <v>1876</v>
      </c>
      <c r="B247" s="1" t="s">
        <v>1877</v>
      </c>
      <c r="C247" s="1" t="s">
        <v>1086</v>
      </c>
      <c r="D247" s="2" t="n">
        <v>36536</v>
      </c>
      <c r="E247" s="1" t="s">
        <v>763</v>
      </c>
      <c r="F247" s="1" t="s">
        <v>711</v>
      </c>
      <c r="G247" s="1" t="s">
        <v>712</v>
      </c>
      <c r="H247" s="1" t="s">
        <v>713</v>
      </c>
      <c r="I247" s="1" t="s">
        <v>714</v>
      </c>
      <c r="J247" s="1" t="s">
        <v>1878</v>
      </c>
      <c r="K247" s="1" t="s">
        <v>716</v>
      </c>
      <c r="L247" s="1" t="s">
        <v>1879</v>
      </c>
      <c r="M247" s="1" t="s">
        <v>718</v>
      </c>
    </row>
    <row r="248" customFormat="false" ht="15" hidden="false" customHeight="false" outlineLevel="0" collapsed="false">
      <c r="A248" s="1" t="s">
        <v>1880</v>
      </c>
      <c r="B248" s="1" t="s">
        <v>1881</v>
      </c>
      <c r="C248" s="1" t="s">
        <v>1610</v>
      </c>
      <c r="D248" s="2" t="n">
        <v>36888</v>
      </c>
      <c r="E248" s="1" t="s">
        <v>763</v>
      </c>
      <c r="F248" s="1" t="s">
        <v>711</v>
      </c>
      <c r="G248" s="1" t="s">
        <v>722</v>
      </c>
      <c r="H248" s="1" t="s">
        <v>713</v>
      </c>
      <c r="I248" s="1" t="s">
        <v>714</v>
      </c>
      <c r="J248" s="1" t="s">
        <v>978</v>
      </c>
      <c r="K248" s="1" t="s">
        <v>716</v>
      </c>
      <c r="L248" s="1" t="s">
        <v>1882</v>
      </c>
      <c r="M248" s="1" t="s">
        <v>718</v>
      </c>
    </row>
    <row r="249" customFormat="false" ht="15" hidden="false" customHeight="false" outlineLevel="0" collapsed="false">
      <c r="A249" s="1" t="s">
        <v>1883</v>
      </c>
      <c r="B249" s="1" t="s">
        <v>1884</v>
      </c>
      <c r="C249" s="1" t="s">
        <v>1885</v>
      </c>
      <c r="D249" s="2" t="n">
        <v>36533</v>
      </c>
      <c r="E249" s="1" t="s">
        <v>763</v>
      </c>
      <c r="F249" s="1" t="s">
        <v>711</v>
      </c>
      <c r="G249" s="1" t="s">
        <v>722</v>
      </c>
      <c r="H249" s="1" t="s">
        <v>713</v>
      </c>
      <c r="I249" s="1" t="s">
        <v>714</v>
      </c>
      <c r="J249" s="1" t="s">
        <v>716</v>
      </c>
      <c r="K249" s="1" t="s">
        <v>716</v>
      </c>
      <c r="L249" s="1" t="s">
        <v>1886</v>
      </c>
      <c r="M249" s="1" t="s">
        <v>718</v>
      </c>
    </row>
    <row r="250" customFormat="false" ht="15" hidden="false" customHeight="false" outlineLevel="0" collapsed="false">
      <c r="A250" s="1" t="s">
        <v>1887</v>
      </c>
      <c r="B250" s="1" t="s">
        <v>1888</v>
      </c>
      <c r="C250" s="1" t="s">
        <v>1889</v>
      </c>
      <c r="D250" s="2" t="n">
        <v>36854</v>
      </c>
      <c r="E250" s="1" t="s">
        <v>710</v>
      </c>
      <c r="F250" s="1" t="s">
        <v>711</v>
      </c>
      <c r="G250" s="1" t="s">
        <v>712</v>
      </c>
      <c r="H250" s="1" t="s">
        <v>713</v>
      </c>
      <c r="I250" s="1" t="s">
        <v>714</v>
      </c>
      <c r="J250" s="1" t="s">
        <v>729</v>
      </c>
      <c r="K250" s="1" t="s">
        <v>716</v>
      </c>
      <c r="L250" s="1" t="s">
        <v>1890</v>
      </c>
      <c r="M250" s="1" t="s">
        <v>718</v>
      </c>
    </row>
    <row r="251" customFormat="false" ht="15" hidden="false" customHeight="false" outlineLevel="0" collapsed="false">
      <c r="A251" s="1" t="s">
        <v>1891</v>
      </c>
      <c r="B251" s="1" t="s">
        <v>1892</v>
      </c>
      <c r="C251" s="1" t="s">
        <v>1893</v>
      </c>
      <c r="D251" s="2" t="n">
        <v>36703</v>
      </c>
      <c r="E251" s="1" t="s">
        <v>763</v>
      </c>
      <c r="F251" s="1" t="s">
        <v>711</v>
      </c>
      <c r="G251" s="1" t="s">
        <v>712</v>
      </c>
      <c r="H251" s="1" t="s">
        <v>713</v>
      </c>
      <c r="I251" s="1" t="s">
        <v>714</v>
      </c>
      <c r="J251" s="1" t="s">
        <v>1519</v>
      </c>
      <c r="K251" s="1" t="s">
        <v>716</v>
      </c>
      <c r="L251" s="1" t="s">
        <v>1894</v>
      </c>
      <c r="M251" s="1" t="s">
        <v>718</v>
      </c>
    </row>
    <row r="252" customFormat="false" ht="15" hidden="false" customHeight="false" outlineLevel="0" collapsed="false">
      <c r="A252" s="1" t="s">
        <v>1895</v>
      </c>
      <c r="B252" s="1" t="s">
        <v>1896</v>
      </c>
      <c r="C252" s="1" t="s">
        <v>1897</v>
      </c>
      <c r="D252" s="2" t="n">
        <v>36700</v>
      </c>
      <c r="E252" s="1" t="s">
        <v>710</v>
      </c>
      <c r="F252" s="1" t="s">
        <v>711</v>
      </c>
      <c r="G252" s="1" t="s">
        <v>712</v>
      </c>
      <c r="H252" s="1" t="s">
        <v>713</v>
      </c>
      <c r="I252" s="1" t="s">
        <v>714</v>
      </c>
      <c r="J252" s="1" t="s">
        <v>1898</v>
      </c>
      <c r="K252" s="1" t="s">
        <v>1899</v>
      </c>
      <c r="L252" s="1" t="s">
        <v>1900</v>
      </c>
      <c r="M252" s="1" t="s">
        <v>718</v>
      </c>
    </row>
    <row r="253" customFormat="false" ht="15" hidden="false" customHeight="false" outlineLevel="0" collapsed="false">
      <c r="A253" s="1" t="s">
        <v>1901</v>
      </c>
      <c r="B253" s="1" t="s">
        <v>1902</v>
      </c>
      <c r="C253" s="1" t="s">
        <v>1903</v>
      </c>
      <c r="D253" s="2" t="n">
        <v>36725</v>
      </c>
      <c r="E253" s="1" t="s">
        <v>763</v>
      </c>
      <c r="F253" s="1" t="s">
        <v>711</v>
      </c>
      <c r="G253" s="1" t="s">
        <v>712</v>
      </c>
      <c r="H253" s="1" t="s">
        <v>713</v>
      </c>
      <c r="I253" s="1" t="s">
        <v>714</v>
      </c>
      <c r="J253" s="1" t="s">
        <v>1904</v>
      </c>
      <c r="K253" s="1" t="s">
        <v>716</v>
      </c>
      <c r="L253" s="1" t="s">
        <v>1905</v>
      </c>
      <c r="M253" s="1" t="s">
        <v>718</v>
      </c>
    </row>
    <row r="254" customFormat="false" ht="15" hidden="false" customHeight="false" outlineLevel="0" collapsed="false">
      <c r="A254" s="1" t="s">
        <v>1906</v>
      </c>
      <c r="B254" s="1" t="s">
        <v>1907</v>
      </c>
      <c r="C254" s="1" t="s">
        <v>1908</v>
      </c>
      <c r="D254" s="2" t="n">
        <v>36879</v>
      </c>
      <c r="E254" s="1" t="s">
        <v>710</v>
      </c>
      <c r="F254" s="1" t="s">
        <v>711</v>
      </c>
      <c r="G254" s="1" t="s">
        <v>712</v>
      </c>
      <c r="H254" s="1" t="s">
        <v>713</v>
      </c>
      <c r="I254" s="1" t="s">
        <v>714</v>
      </c>
      <c r="J254" s="1" t="s">
        <v>1909</v>
      </c>
      <c r="K254" s="1" t="s">
        <v>1910</v>
      </c>
      <c r="L254" s="1" t="s">
        <v>1911</v>
      </c>
      <c r="M254" s="1" t="s">
        <v>718</v>
      </c>
    </row>
    <row r="255" customFormat="false" ht="15" hidden="false" customHeight="false" outlineLevel="0" collapsed="false">
      <c r="A255" s="1" t="s">
        <v>1912</v>
      </c>
      <c r="B255" s="1" t="s">
        <v>1913</v>
      </c>
      <c r="C255" s="1" t="s">
        <v>1914</v>
      </c>
      <c r="D255" s="2" t="n">
        <v>36593</v>
      </c>
      <c r="E255" s="1" t="s">
        <v>710</v>
      </c>
      <c r="F255" s="1" t="s">
        <v>711</v>
      </c>
      <c r="G255" s="1" t="s">
        <v>722</v>
      </c>
      <c r="H255" s="1" t="s">
        <v>713</v>
      </c>
      <c r="I255" s="1" t="s">
        <v>714</v>
      </c>
      <c r="J255" s="1" t="s">
        <v>740</v>
      </c>
      <c r="K255" s="1" t="s">
        <v>1915</v>
      </c>
      <c r="L255" s="1" t="s">
        <v>1916</v>
      </c>
      <c r="M255" s="1" t="s">
        <v>718</v>
      </c>
    </row>
    <row r="256" customFormat="false" ht="15" hidden="false" customHeight="false" outlineLevel="0" collapsed="false">
      <c r="A256" s="1" t="s">
        <v>1917</v>
      </c>
      <c r="B256" s="1" t="s">
        <v>1918</v>
      </c>
      <c r="C256" s="1" t="s">
        <v>1919</v>
      </c>
      <c r="D256" s="2" t="n">
        <v>36670</v>
      </c>
      <c r="E256" s="1" t="s">
        <v>763</v>
      </c>
      <c r="F256" s="1" t="s">
        <v>711</v>
      </c>
      <c r="G256" s="1" t="s">
        <v>712</v>
      </c>
      <c r="H256" s="1" t="s">
        <v>713</v>
      </c>
      <c r="I256" s="1" t="s">
        <v>714</v>
      </c>
      <c r="J256" s="1" t="s">
        <v>716</v>
      </c>
      <c r="K256" s="1" t="s">
        <v>716</v>
      </c>
      <c r="L256" s="1" t="s">
        <v>1920</v>
      </c>
      <c r="M256" s="1" t="s">
        <v>718</v>
      </c>
    </row>
    <row r="257" customFormat="false" ht="15" hidden="false" customHeight="false" outlineLevel="0" collapsed="false">
      <c r="A257" s="1" t="s">
        <v>1921</v>
      </c>
      <c r="B257" s="1" t="s">
        <v>1922</v>
      </c>
      <c r="C257" s="1" t="s">
        <v>1923</v>
      </c>
      <c r="D257" s="2" t="n">
        <v>36666</v>
      </c>
      <c r="E257" s="1" t="s">
        <v>763</v>
      </c>
      <c r="F257" s="1" t="s">
        <v>711</v>
      </c>
      <c r="G257" s="1" t="s">
        <v>722</v>
      </c>
      <c r="H257" s="1" t="s">
        <v>713</v>
      </c>
      <c r="I257" s="1" t="s">
        <v>714</v>
      </c>
      <c r="J257" s="1" t="s">
        <v>1045</v>
      </c>
      <c r="K257" s="1" t="s">
        <v>1924</v>
      </c>
      <c r="L257" s="1" t="s">
        <v>1925</v>
      </c>
      <c r="M257" s="1" t="s">
        <v>718</v>
      </c>
    </row>
    <row r="258" customFormat="false" ht="15" hidden="false" customHeight="false" outlineLevel="0" collapsed="false">
      <c r="A258" s="1" t="s">
        <v>1926</v>
      </c>
      <c r="B258" s="1" t="s">
        <v>1927</v>
      </c>
      <c r="C258" s="1" t="s">
        <v>1928</v>
      </c>
      <c r="D258" s="2" t="n">
        <v>36772</v>
      </c>
      <c r="E258" s="1" t="s">
        <v>710</v>
      </c>
      <c r="F258" s="1" t="s">
        <v>711</v>
      </c>
      <c r="G258" s="1" t="s">
        <v>722</v>
      </c>
      <c r="H258" s="1" t="s">
        <v>713</v>
      </c>
      <c r="I258" s="1" t="s">
        <v>714</v>
      </c>
      <c r="J258" s="1" t="s">
        <v>821</v>
      </c>
      <c r="K258" s="1" t="s">
        <v>1929</v>
      </c>
      <c r="L258" s="1" t="s">
        <v>834</v>
      </c>
      <c r="M258" s="1" t="s">
        <v>718</v>
      </c>
    </row>
    <row r="259" customFormat="false" ht="15" hidden="false" customHeight="false" outlineLevel="0" collapsed="false">
      <c r="A259" s="1" t="s">
        <v>1930</v>
      </c>
      <c r="B259" s="1" t="s">
        <v>1931</v>
      </c>
      <c r="C259" s="1" t="s">
        <v>1932</v>
      </c>
      <c r="D259" s="2" t="n">
        <v>36843</v>
      </c>
      <c r="E259" s="1" t="s">
        <v>710</v>
      </c>
      <c r="F259" s="1" t="s">
        <v>711</v>
      </c>
      <c r="G259" s="1" t="s">
        <v>722</v>
      </c>
      <c r="H259" s="1" t="s">
        <v>713</v>
      </c>
      <c r="I259" s="1" t="s">
        <v>714</v>
      </c>
      <c r="J259" s="1" t="s">
        <v>805</v>
      </c>
      <c r="K259" s="1" t="s">
        <v>716</v>
      </c>
      <c r="L259" s="1" t="s">
        <v>1933</v>
      </c>
      <c r="M259" s="1" t="s">
        <v>718</v>
      </c>
    </row>
    <row r="260" customFormat="false" ht="15" hidden="false" customHeight="false" outlineLevel="0" collapsed="false">
      <c r="A260" s="1" t="s">
        <v>1934</v>
      </c>
      <c r="B260" s="1" t="s">
        <v>1935</v>
      </c>
      <c r="C260" s="1" t="s">
        <v>1936</v>
      </c>
      <c r="D260" s="2" t="n">
        <v>36590</v>
      </c>
      <c r="E260" s="1" t="s">
        <v>710</v>
      </c>
      <c r="F260" s="1" t="s">
        <v>711</v>
      </c>
      <c r="G260" s="1" t="s">
        <v>722</v>
      </c>
      <c r="H260" s="1" t="s">
        <v>713</v>
      </c>
      <c r="I260" s="1" t="s">
        <v>714</v>
      </c>
      <c r="J260" s="1" t="s">
        <v>716</v>
      </c>
      <c r="K260" s="1" t="s">
        <v>716</v>
      </c>
      <c r="L260" s="1" t="s">
        <v>1937</v>
      </c>
      <c r="M260" s="1" t="s">
        <v>718</v>
      </c>
    </row>
    <row r="261" customFormat="false" ht="15" hidden="false" customHeight="false" outlineLevel="0" collapsed="false">
      <c r="A261" s="1" t="s">
        <v>1938</v>
      </c>
      <c r="B261" s="1" t="s">
        <v>1939</v>
      </c>
      <c r="C261" s="1" t="s">
        <v>1940</v>
      </c>
      <c r="D261" s="2" t="n">
        <v>36662</v>
      </c>
      <c r="E261" s="1" t="s">
        <v>710</v>
      </c>
      <c r="F261" s="1" t="s">
        <v>711</v>
      </c>
      <c r="G261" s="1" t="s">
        <v>712</v>
      </c>
      <c r="H261" s="1" t="s">
        <v>713</v>
      </c>
      <c r="I261" s="1" t="s">
        <v>714</v>
      </c>
      <c r="J261" s="1" t="s">
        <v>1244</v>
      </c>
      <c r="K261" s="1" t="s">
        <v>716</v>
      </c>
      <c r="L261" s="1" t="s">
        <v>1941</v>
      </c>
      <c r="M261" s="1" t="s">
        <v>718</v>
      </c>
    </row>
    <row r="262" customFormat="false" ht="15" hidden="false" customHeight="false" outlineLevel="0" collapsed="false">
      <c r="A262" s="1" t="s">
        <v>1942</v>
      </c>
      <c r="B262" s="1" t="s">
        <v>1943</v>
      </c>
      <c r="C262" s="1" t="s">
        <v>750</v>
      </c>
      <c r="D262" s="2" t="n">
        <v>36758</v>
      </c>
      <c r="E262" s="1" t="s">
        <v>710</v>
      </c>
      <c r="F262" s="1" t="s">
        <v>711</v>
      </c>
      <c r="G262" s="1" t="s">
        <v>722</v>
      </c>
      <c r="H262" s="1" t="s">
        <v>713</v>
      </c>
      <c r="I262" s="1" t="s">
        <v>714</v>
      </c>
      <c r="J262" s="1" t="s">
        <v>959</v>
      </c>
      <c r="K262" s="1" t="s">
        <v>716</v>
      </c>
      <c r="L262" s="1" t="s">
        <v>1944</v>
      </c>
      <c r="M262" s="1" t="s">
        <v>718</v>
      </c>
    </row>
    <row r="263" customFormat="false" ht="15" hidden="false" customHeight="false" outlineLevel="0" collapsed="false">
      <c r="A263" s="1" t="s">
        <v>1945</v>
      </c>
      <c r="B263" s="1" t="s">
        <v>1946</v>
      </c>
      <c r="C263" s="1" t="s">
        <v>1947</v>
      </c>
      <c r="D263" s="2" t="n">
        <v>36533</v>
      </c>
      <c r="E263" s="1" t="s">
        <v>763</v>
      </c>
      <c r="F263" s="1" t="s">
        <v>711</v>
      </c>
      <c r="G263" s="1" t="s">
        <v>722</v>
      </c>
      <c r="H263" s="1" t="s">
        <v>713</v>
      </c>
      <c r="I263" s="1" t="s">
        <v>714</v>
      </c>
      <c r="J263" s="1" t="s">
        <v>1244</v>
      </c>
      <c r="K263" s="1" t="s">
        <v>1948</v>
      </c>
      <c r="L263" s="1" t="s">
        <v>1949</v>
      </c>
      <c r="M263" s="1" t="s">
        <v>718</v>
      </c>
    </row>
    <row r="264" customFormat="false" ht="15" hidden="false" customHeight="false" outlineLevel="0" collapsed="false">
      <c r="A264" s="1" t="s">
        <v>1950</v>
      </c>
      <c r="B264" s="1" t="s">
        <v>784</v>
      </c>
      <c r="C264" s="1" t="s">
        <v>1951</v>
      </c>
      <c r="D264" s="2" t="n">
        <v>36573</v>
      </c>
      <c r="E264" s="1" t="s">
        <v>710</v>
      </c>
      <c r="F264" s="1" t="s">
        <v>711</v>
      </c>
      <c r="G264" s="1" t="s">
        <v>1693</v>
      </c>
      <c r="H264" s="1" t="s">
        <v>713</v>
      </c>
      <c r="I264" s="1" t="s">
        <v>714</v>
      </c>
      <c r="J264" s="1" t="s">
        <v>1160</v>
      </c>
      <c r="K264" s="1" t="s">
        <v>1952</v>
      </c>
      <c r="L264" s="1" t="s">
        <v>1953</v>
      </c>
      <c r="M264" s="1" t="s">
        <v>718</v>
      </c>
    </row>
    <row r="265" customFormat="false" ht="15" hidden="false" customHeight="false" outlineLevel="0" collapsed="false">
      <c r="A265" s="1" t="s">
        <v>1954</v>
      </c>
      <c r="B265" s="1" t="s">
        <v>1955</v>
      </c>
      <c r="C265" s="1" t="s">
        <v>1956</v>
      </c>
      <c r="D265" s="2" t="n">
        <v>36807</v>
      </c>
      <c r="E265" s="1" t="s">
        <v>710</v>
      </c>
      <c r="F265" s="1" t="s">
        <v>711</v>
      </c>
      <c r="G265" s="1" t="s">
        <v>712</v>
      </c>
      <c r="H265" s="1" t="s">
        <v>713</v>
      </c>
      <c r="I265" s="1" t="s">
        <v>714</v>
      </c>
      <c r="J265" s="1" t="s">
        <v>716</v>
      </c>
      <c r="K265" s="1" t="s">
        <v>716</v>
      </c>
      <c r="L265" s="1" t="s">
        <v>1957</v>
      </c>
      <c r="M265" s="1" t="s">
        <v>718</v>
      </c>
    </row>
    <row r="266" customFormat="false" ht="15" hidden="false" customHeight="false" outlineLevel="0" collapsed="false">
      <c r="A266" s="1" t="s">
        <v>1958</v>
      </c>
      <c r="B266" s="1" t="s">
        <v>1959</v>
      </c>
      <c r="C266" s="1" t="s">
        <v>1960</v>
      </c>
      <c r="D266" s="2" t="n">
        <v>36842</v>
      </c>
      <c r="E266" s="1" t="s">
        <v>763</v>
      </c>
      <c r="F266" s="1" t="s">
        <v>711</v>
      </c>
      <c r="G266" s="1" t="s">
        <v>722</v>
      </c>
      <c r="H266" s="1" t="s">
        <v>713</v>
      </c>
      <c r="I266" s="1" t="s">
        <v>714</v>
      </c>
      <c r="J266" s="1" t="s">
        <v>928</v>
      </c>
      <c r="K266" s="1" t="s">
        <v>716</v>
      </c>
      <c r="L266" s="1" t="s">
        <v>1961</v>
      </c>
      <c r="M266" s="1" t="s">
        <v>718</v>
      </c>
    </row>
    <row r="267" customFormat="false" ht="15" hidden="false" customHeight="false" outlineLevel="0" collapsed="false">
      <c r="A267" s="1" t="s">
        <v>1962</v>
      </c>
      <c r="B267" s="1" t="s">
        <v>1963</v>
      </c>
      <c r="C267" s="1" t="s">
        <v>1964</v>
      </c>
      <c r="D267" s="2" t="n">
        <v>36582</v>
      </c>
      <c r="E267" s="1" t="s">
        <v>763</v>
      </c>
      <c r="F267" s="1" t="s">
        <v>711</v>
      </c>
      <c r="G267" s="1" t="s">
        <v>722</v>
      </c>
      <c r="H267" s="1" t="s">
        <v>713</v>
      </c>
      <c r="I267" s="1" t="s">
        <v>714</v>
      </c>
      <c r="J267" s="1" t="s">
        <v>716</v>
      </c>
      <c r="K267" s="1" t="s">
        <v>716</v>
      </c>
      <c r="L267" s="1" t="s">
        <v>1965</v>
      </c>
      <c r="M267" s="1" t="s">
        <v>718</v>
      </c>
    </row>
    <row r="268" customFormat="false" ht="15" hidden="false" customHeight="false" outlineLevel="0" collapsed="false">
      <c r="A268" s="1" t="s">
        <v>1966</v>
      </c>
      <c r="B268" s="1" t="s">
        <v>1967</v>
      </c>
      <c r="C268" s="1" t="s">
        <v>1968</v>
      </c>
      <c r="D268" s="2" t="n">
        <v>36655</v>
      </c>
      <c r="E268" s="1" t="s">
        <v>710</v>
      </c>
      <c r="F268" s="1" t="s">
        <v>711</v>
      </c>
      <c r="G268" s="1" t="s">
        <v>722</v>
      </c>
      <c r="H268" s="1" t="s">
        <v>713</v>
      </c>
      <c r="I268" s="1" t="s">
        <v>714</v>
      </c>
      <c r="J268" s="1" t="s">
        <v>745</v>
      </c>
      <c r="K268" s="1" t="s">
        <v>1969</v>
      </c>
      <c r="L268" s="1" t="s">
        <v>1970</v>
      </c>
      <c r="M268" s="1" t="s">
        <v>718</v>
      </c>
    </row>
    <row r="269" customFormat="false" ht="15" hidden="false" customHeight="false" outlineLevel="0" collapsed="false">
      <c r="A269" s="1" t="s">
        <v>1971</v>
      </c>
      <c r="B269" s="1" t="s">
        <v>1972</v>
      </c>
      <c r="C269" s="1" t="s">
        <v>1973</v>
      </c>
      <c r="D269" s="2" t="n">
        <v>36987</v>
      </c>
      <c r="E269" s="1" t="s">
        <v>763</v>
      </c>
      <c r="F269" s="1" t="s">
        <v>711</v>
      </c>
      <c r="G269" s="1" t="s">
        <v>712</v>
      </c>
      <c r="H269" s="1" t="s">
        <v>713</v>
      </c>
      <c r="I269" s="1" t="s">
        <v>714</v>
      </c>
      <c r="J269" s="1" t="s">
        <v>1172</v>
      </c>
      <c r="K269" s="1" t="s">
        <v>1974</v>
      </c>
      <c r="L269" s="1" t="s">
        <v>1975</v>
      </c>
      <c r="M269" s="1" t="s">
        <v>718</v>
      </c>
    </row>
    <row r="270" customFormat="false" ht="15" hidden="false" customHeight="false" outlineLevel="0" collapsed="false">
      <c r="A270" s="1" t="s">
        <v>1976</v>
      </c>
      <c r="B270" s="1" t="s">
        <v>1977</v>
      </c>
      <c r="C270" s="1" t="s">
        <v>1978</v>
      </c>
      <c r="D270" s="2" t="n">
        <v>37000</v>
      </c>
      <c r="E270" s="1" t="s">
        <v>763</v>
      </c>
      <c r="F270" s="1" t="s">
        <v>711</v>
      </c>
      <c r="G270" s="1" t="s">
        <v>1979</v>
      </c>
      <c r="H270" s="1" t="s">
        <v>1980</v>
      </c>
      <c r="I270" s="1" t="s">
        <v>1981</v>
      </c>
      <c r="J270" s="1" t="s">
        <v>734</v>
      </c>
      <c r="K270" s="1" t="s">
        <v>1982</v>
      </c>
      <c r="L270" s="1" t="s">
        <v>1983</v>
      </c>
      <c r="M270" s="1" t="s">
        <v>718</v>
      </c>
    </row>
    <row r="271" customFormat="false" ht="15" hidden="false" customHeight="false" outlineLevel="0" collapsed="false">
      <c r="A271" s="1" t="s">
        <v>1984</v>
      </c>
      <c r="B271" s="1" t="s">
        <v>1985</v>
      </c>
      <c r="C271" s="1" t="s">
        <v>1122</v>
      </c>
      <c r="D271" s="2" t="n">
        <v>36902</v>
      </c>
      <c r="E271" s="1" t="s">
        <v>710</v>
      </c>
      <c r="F271" s="1" t="s">
        <v>711</v>
      </c>
      <c r="G271" s="1" t="s">
        <v>712</v>
      </c>
      <c r="H271" s="1" t="s">
        <v>713</v>
      </c>
      <c r="I271" s="1" t="s">
        <v>714</v>
      </c>
      <c r="J271" s="1" t="s">
        <v>745</v>
      </c>
      <c r="K271" s="1" t="s">
        <v>1986</v>
      </c>
      <c r="L271" s="1" t="s">
        <v>1987</v>
      </c>
      <c r="M271" s="1" t="s">
        <v>718</v>
      </c>
    </row>
    <row r="272" customFormat="false" ht="15" hidden="false" customHeight="false" outlineLevel="0" collapsed="false">
      <c r="A272" s="1" t="s">
        <v>1988</v>
      </c>
      <c r="B272" s="1" t="s">
        <v>1989</v>
      </c>
      <c r="C272" s="1" t="s">
        <v>1990</v>
      </c>
      <c r="D272" s="2" t="n">
        <v>37036</v>
      </c>
      <c r="E272" s="1" t="s">
        <v>710</v>
      </c>
      <c r="F272" s="1" t="s">
        <v>711</v>
      </c>
      <c r="G272" s="1" t="s">
        <v>712</v>
      </c>
      <c r="H272" s="1" t="s">
        <v>713</v>
      </c>
      <c r="I272" s="1" t="s">
        <v>714</v>
      </c>
      <c r="J272" s="1" t="s">
        <v>1172</v>
      </c>
      <c r="K272" s="1" t="s">
        <v>716</v>
      </c>
      <c r="L272" s="1" t="s">
        <v>1991</v>
      </c>
      <c r="M272" s="1" t="s">
        <v>718</v>
      </c>
    </row>
    <row r="273" customFormat="false" ht="15" hidden="false" customHeight="false" outlineLevel="0" collapsed="false">
      <c r="A273" s="1" t="s">
        <v>1992</v>
      </c>
      <c r="B273" s="1" t="s">
        <v>1993</v>
      </c>
      <c r="C273" s="1" t="s">
        <v>1994</v>
      </c>
      <c r="D273" s="2" t="n">
        <v>37161</v>
      </c>
      <c r="E273" s="1" t="s">
        <v>763</v>
      </c>
      <c r="F273" s="1" t="s">
        <v>711</v>
      </c>
      <c r="G273" s="1" t="s">
        <v>712</v>
      </c>
      <c r="H273" s="1" t="s">
        <v>713</v>
      </c>
      <c r="I273" s="1" t="s">
        <v>714</v>
      </c>
      <c r="J273" s="1" t="s">
        <v>715</v>
      </c>
      <c r="K273" s="1" t="s">
        <v>1995</v>
      </c>
      <c r="L273" s="1" t="s">
        <v>1996</v>
      </c>
      <c r="M273" s="1" t="s">
        <v>718</v>
      </c>
    </row>
    <row r="274" customFormat="false" ht="15" hidden="false" customHeight="false" outlineLevel="0" collapsed="false">
      <c r="A274" s="1" t="s">
        <v>1997</v>
      </c>
      <c r="B274" s="1" t="s">
        <v>1998</v>
      </c>
      <c r="C274" s="1" t="s">
        <v>1999</v>
      </c>
      <c r="D274" s="2" t="n">
        <v>37251</v>
      </c>
      <c r="E274" s="1" t="s">
        <v>710</v>
      </c>
      <c r="F274" s="1" t="s">
        <v>711</v>
      </c>
      <c r="G274" s="1" t="s">
        <v>2000</v>
      </c>
      <c r="H274" s="1" t="s">
        <v>713</v>
      </c>
      <c r="I274" s="1" t="s">
        <v>714</v>
      </c>
      <c r="J274" s="1" t="s">
        <v>2001</v>
      </c>
      <c r="K274" s="1" t="s">
        <v>2002</v>
      </c>
      <c r="L274" s="1" t="s">
        <v>2003</v>
      </c>
      <c r="M274" s="1" t="s">
        <v>718</v>
      </c>
    </row>
    <row r="275" customFormat="false" ht="15" hidden="false" customHeight="false" outlineLevel="0" collapsed="false">
      <c r="A275" s="1" t="s">
        <v>2004</v>
      </c>
      <c r="B275" s="1" t="s">
        <v>2005</v>
      </c>
      <c r="C275" s="1" t="s">
        <v>2006</v>
      </c>
      <c r="D275" s="2" t="n">
        <v>37358</v>
      </c>
      <c r="E275" s="1" t="s">
        <v>710</v>
      </c>
      <c r="F275" s="1" t="s">
        <v>711</v>
      </c>
      <c r="G275" s="1" t="s">
        <v>722</v>
      </c>
      <c r="H275" s="1" t="s">
        <v>713</v>
      </c>
      <c r="I275" s="1" t="s">
        <v>714</v>
      </c>
      <c r="J275" s="1" t="s">
        <v>821</v>
      </c>
      <c r="K275" s="1" t="s">
        <v>2007</v>
      </c>
      <c r="L275" s="1" t="s">
        <v>2008</v>
      </c>
      <c r="M275" s="1" t="s">
        <v>718</v>
      </c>
    </row>
    <row r="276" customFormat="false" ht="15" hidden="false" customHeight="false" outlineLevel="0" collapsed="false">
      <c r="A276" s="1" t="s">
        <v>2009</v>
      </c>
      <c r="B276" s="1" t="s">
        <v>2010</v>
      </c>
      <c r="C276" s="1" t="s">
        <v>2011</v>
      </c>
      <c r="D276" s="2" t="n">
        <v>34791</v>
      </c>
      <c r="E276" s="1" t="s">
        <v>763</v>
      </c>
      <c r="F276" s="1" t="s">
        <v>711</v>
      </c>
      <c r="G276" s="1" t="s">
        <v>1693</v>
      </c>
      <c r="H276" s="1" t="s">
        <v>713</v>
      </c>
      <c r="I276" s="1" t="s">
        <v>714</v>
      </c>
      <c r="J276" s="1" t="s">
        <v>838</v>
      </c>
      <c r="K276" s="1" t="s">
        <v>2012</v>
      </c>
      <c r="L276" s="1" t="s">
        <v>2013</v>
      </c>
      <c r="M276" s="1" t="s">
        <v>718</v>
      </c>
    </row>
    <row r="277" customFormat="false" ht="15" hidden="false" customHeight="false" outlineLevel="0" collapsed="false">
      <c r="A277" s="1" t="s">
        <v>2014</v>
      </c>
      <c r="B277" s="1" t="s">
        <v>2015</v>
      </c>
      <c r="C277" s="1" t="s">
        <v>2016</v>
      </c>
      <c r="D277" s="2" t="n">
        <v>34957</v>
      </c>
      <c r="E277" s="1" t="s">
        <v>763</v>
      </c>
      <c r="F277" s="1" t="s">
        <v>711</v>
      </c>
      <c r="G277" s="1" t="s">
        <v>712</v>
      </c>
      <c r="H277" s="1" t="s">
        <v>713</v>
      </c>
      <c r="I277" s="1" t="s">
        <v>714</v>
      </c>
      <c r="J277" s="1" t="s">
        <v>1244</v>
      </c>
      <c r="K277" s="1" t="s">
        <v>716</v>
      </c>
      <c r="L277" s="1" t="s">
        <v>2017</v>
      </c>
      <c r="M277" s="1" t="s">
        <v>718</v>
      </c>
    </row>
    <row r="278" customFormat="false" ht="15" hidden="false" customHeight="false" outlineLevel="0" collapsed="false">
      <c r="A278" s="1" t="s">
        <v>2018</v>
      </c>
      <c r="B278" s="1" t="s">
        <v>2019</v>
      </c>
      <c r="C278" s="1" t="s">
        <v>2020</v>
      </c>
      <c r="D278" s="2" t="n">
        <v>35065</v>
      </c>
      <c r="E278" s="1" t="s">
        <v>710</v>
      </c>
      <c r="F278" s="1" t="s">
        <v>711</v>
      </c>
      <c r="G278" s="1" t="s">
        <v>722</v>
      </c>
      <c r="H278" s="1" t="s">
        <v>713</v>
      </c>
      <c r="I278" s="1" t="s">
        <v>714</v>
      </c>
      <c r="J278" s="1" t="s">
        <v>1878</v>
      </c>
      <c r="K278" s="1" t="s">
        <v>716</v>
      </c>
      <c r="L278" s="1" t="s">
        <v>2021</v>
      </c>
      <c r="M278" s="1" t="s">
        <v>718</v>
      </c>
    </row>
    <row r="279" customFormat="false" ht="15" hidden="false" customHeight="false" outlineLevel="0" collapsed="false">
      <c r="A279" s="1" t="s">
        <v>2022</v>
      </c>
      <c r="B279" s="1" t="s">
        <v>2023</v>
      </c>
      <c r="C279" s="1" t="s">
        <v>2024</v>
      </c>
      <c r="D279" s="2" t="n">
        <v>35656</v>
      </c>
      <c r="E279" s="1" t="s">
        <v>710</v>
      </c>
      <c r="F279" s="1" t="s">
        <v>711</v>
      </c>
      <c r="G279" s="1" t="s">
        <v>722</v>
      </c>
      <c r="H279" s="1" t="s">
        <v>713</v>
      </c>
      <c r="I279" s="1" t="s">
        <v>714</v>
      </c>
      <c r="J279" s="1" t="s">
        <v>734</v>
      </c>
      <c r="K279" s="1" t="s">
        <v>2025</v>
      </c>
      <c r="L279" s="1" t="s">
        <v>2026</v>
      </c>
      <c r="M279" s="1" t="s">
        <v>718</v>
      </c>
    </row>
    <row r="280" customFormat="false" ht="15" hidden="false" customHeight="false" outlineLevel="0" collapsed="false">
      <c r="A280" s="1" t="s">
        <v>2027</v>
      </c>
      <c r="B280" s="1" t="s">
        <v>2028</v>
      </c>
      <c r="C280" s="1" t="s">
        <v>2029</v>
      </c>
      <c r="D280" s="2" t="n">
        <v>35633</v>
      </c>
      <c r="E280" s="1" t="s">
        <v>710</v>
      </c>
      <c r="F280" s="1" t="s">
        <v>711</v>
      </c>
      <c r="G280" s="1" t="s">
        <v>722</v>
      </c>
      <c r="H280" s="1" t="s">
        <v>713</v>
      </c>
      <c r="I280" s="1" t="s">
        <v>714</v>
      </c>
      <c r="J280" s="1" t="s">
        <v>1390</v>
      </c>
      <c r="K280" s="1" t="s">
        <v>716</v>
      </c>
      <c r="L280" s="1" t="s">
        <v>2030</v>
      </c>
      <c r="M280" s="1" t="s">
        <v>718</v>
      </c>
    </row>
    <row r="281" customFormat="false" ht="15" hidden="false" customHeight="false" outlineLevel="0" collapsed="false">
      <c r="A281" s="1" t="s">
        <v>2031</v>
      </c>
      <c r="B281" s="1" t="s">
        <v>2032</v>
      </c>
      <c r="C281" s="1" t="s">
        <v>2011</v>
      </c>
      <c r="D281" s="2" t="n">
        <v>35662</v>
      </c>
      <c r="E281" s="1" t="s">
        <v>763</v>
      </c>
      <c r="F281" s="1" t="s">
        <v>711</v>
      </c>
      <c r="G281" s="1" t="s">
        <v>722</v>
      </c>
      <c r="H281" s="1" t="s">
        <v>713</v>
      </c>
      <c r="I281" s="1" t="s">
        <v>714</v>
      </c>
      <c r="J281" s="1" t="s">
        <v>716</v>
      </c>
      <c r="K281" s="1" t="s">
        <v>716</v>
      </c>
      <c r="L281" s="1" t="s">
        <v>2013</v>
      </c>
      <c r="M281" s="1" t="s">
        <v>718</v>
      </c>
    </row>
    <row r="282" customFormat="false" ht="15" hidden="false" customHeight="false" outlineLevel="0" collapsed="false">
      <c r="A282" s="1" t="s">
        <v>2033</v>
      </c>
      <c r="B282" s="1" t="s">
        <v>2034</v>
      </c>
      <c r="C282" s="1" t="s">
        <v>2035</v>
      </c>
      <c r="D282" s="2" t="n">
        <v>36124</v>
      </c>
      <c r="E282" s="1" t="s">
        <v>763</v>
      </c>
      <c r="F282" s="1" t="s">
        <v>711</v>
      </c>
      <c r="G282" s="1" t="s">
        <v>722</v>
      </c>
      <c r="H282" s="1" t="s">
        <v>713</v>
      </c>
      <c r="I282" s="1" t="s">
        <v>714</v>
      </c>
      <c r="J282" s="1" t="s">
        <v>2036</v>
      </c>
      <c r="K282" s="1" t="s">
        <v>2037</v>
      </c>
      <c r="L282" s="1" t="s">
        <v>2038</v>
      </c>
      <c r="M282" s="1" t="s">
        <v>718</v>
      </c>
    </row>
    <row r="283" customFormat="false" ht="15" hidden="false" customHeight="false" outlineLevel="0" collapsed="false">
      <c r="A283" s="1" t="s">
        <v>2039</v>
      </c>
      <c r="B283" s="1" t="s">
        <v>2040</v>
      </c>
      <c r="C283" s="1" t="s">
        <v>986</v>
      </c>
      <c r="D283" s="2" t="n">
        <v>36158</v>
      </c>
      <c r="E283" s="1" t="s">
        <v>763</v>
      </c>
      <c r="F283" s="1" t="s">
        <v>711</v>
      </c>
      <c r="G283" s="1" t="s">
        <v>722</v>
      </c>
      <c r="H283" s="1" t="s">
        <v>713</v>
      </c>
      <c r="I283" s="1" t="s">
        <v>714</v>
      </c>
      <c r="J283" s="1" t="s">
        <v>2041</v>
      </c>
      <c r="K283" s="1" t="s">
        <v>2042</v>
      </c>
      <c r="L283" s="1" t="s">
        <v>2043</v>
      </c>
      <c r="M283" s="1" t="s">
        <v>718</v>
      </c>
    </row>
    <row r="284" customFormat="false" ht="15" hidden="false" customHeight="false" outlineLevel="0" collapsed="false">
      <c r="A284" s="1" t="s">
        <v>2044</v>
      </c>
      <c r="B284" s="1" t="s">
        <v>2045</v>
      </c>
      <c r="C284" s="1" t="s">
        <v>2046</v>
      </c>
      <c r="D284" s="2" t="n">
        <v>36141</v>
      </c>
      <c r="E284" s="1" t="s">
        <v>710</v>
      </c>
      <c r="F284" s="1" t="s">
        <v>711</v>
      </c>
      <c r="G284" s="1" t="s">
        <v>712</v>
      </c>
      <c r="H284" s="1" t="s">
        <v>713</v>
      </c>
      <c r="I284" s="1" t="s">
        <v>714</v>
      </c>
      <c r="J284" s="1" t="s">
        <v>1390</v>
      </c>
      <c r="K284" s="1" t="s">
        <v>716</v>
      </c>
      <c r="L284" s="1" t="s">
        <v>2047</v>
      </c>
      <c r="M284" s="1" t="s">
        <v>718</v>
      </c>
    </row>
    <row r="285" customFormat="false" ht="15" hidden="false" customHeight="false" outlineLevel="0" collapsed="false">
      <c r="A285" s="1" t="s">
        <v>2048</v>
      </c>
      <c r="B285" s="1" t="s">
        <v>2049</v>
      </c>
      <c r="C285" s="1" t="s">
        <v>2050</v>
      </c>
      <c r="D285" s="2" t="n">
        <v>36451</v>
      </c>
      <c r="E285" s="1" t="s">
        <v>763</v>
      </c>
      <c r="F285" s="1" t="s">
        <v>711</v>
      </c>
      <c r="G285" s="1" t="s">
        <v>722</v>
      </c>
      <c r="H285" s="1" t="s">
        <v>713</v>
      </c>
      <c r="I285" s="1" t="s">
        <v>714</v>
      </c>
      <c r="J285" s="1" t="s">
        <v>1505</v>
      </c>
      <c r="K285" s="1" t="s">
        <v>2051</v>
      </c>
      <c r="L285" s="1" t="s">
        <v>2052</v>
      </c>
      <c r="M285" s="1" t="s">
        <v>718</v>
      </c>
    </row>
    <row r="286" customFormat="false" ht="15" hidden="false" customHeight="false" outlineLevel="0" collapsed="false">
      <c r="A286" s="1" t="s">
        <v>2053</v>
      </c>
      <c r="B286" s="1" t="s">
        <v>2054</v>
      </c>
      <c r="C286" s="1" t="s">
        <v>2024</v>
      </c>
      <c r="D286" s="2" t="n">
        <v>36172</v>
      </c>
      <c r="E286" s="1" t="s">
        <v>763</v>
      </c>
      <c r="F286" s="1" t="s">
        <v>711</v>
      </c>
      <c r="G286" s="1" t="s">
        <v>722</v>
      </c>
      <c r="H286" s="1" t="s">
        <v>713</v>
      </c>
      <c r="I286" s="1" t="s">
        <v>714</v>
      </c>
      <c r="J286" s="1" t="s">
        <v>734</v>
      </c>
      <c r="K286" s="1" t="s">
        <v>2055</v>
      </c>
      <c r="L286" s="1" t="s">
        <v>2026</v>
      </c>
      <c r="M286" s="1" t="s">
        <v>718</v>
      </c>
    </row>
    <row r="287" customFormat="false" ht="15" hidden="false" customHeight="false" outlineLevel="0" collapsed="false">
      <c r="A287" s="1" t="s">
        <v>2056</v>
      </c>
      <c r="B287" s="1" t="s">
        <v>2057</v>
      </c>
      <c r="C287" s="1" t="s">
        <v>2058</v>
      </c>
      <c r="D287" s="2" t="n">
        <v>36315</v>
      </c>
      <c r="E287" s="1" t="s">
        <v>710</v>
      </c>
      <c r="F287" s="1" t="s">
        <v>711</v>
      </c>
      <c r="G287" s="1" t="s">
        <v>722</v>
      </c>
      <c r="H287" s="1" t="s">
        <v>713</v>
      </c>
      <c r="I287" s="1" t="s">
        <v>714</v>
      </c>
      <c r="J287" s="1" t="s">
        <v>764</v>
      </c>
      <c r="K287" s="1" t="s">
        <v>716</v>
      </c>
      <c r="L287" s="1" t="s">
        <v>2059</v>
      </c>
      <c r="M287" s="1" t="s">
        <v>718</v>
      </c>
    </row>
    <row r="288" customFormat="false" ht="15" hidden="false" customHeight="false" outlineLevel="0" collapsed="false">
      <c r="A288" s="1" t="s">
        <v>2060</v>
      </c>
      <c r="B288" s="1" t="s">
        <v>2061</v>
      </c>
      <c r="C288" s="1" t="s">
        <v>2062</v>
      </c>
      <c r="D288" s="2" t="n">
        <v>36423</v>
      </c>
      <c r="E288" s="1" t="s">
        <v>763</v>
      </c>
      <c r="F288" s="1" t="s">
        <v>711</v>
      </c>
      <c r="G288" s="1" t="s">
        <v>722</v>
      </c>
      <c r="H288" s="1" t="s">
        <v>713</v>
      </c>
      <c r="I288" s="1" t="s">
        <v>714</v>
      </c>
      <c r="J288" s="1" t="s">
        <v>1904</v>
      </c>
      <c r="K288" s="1" t="s">
        <v>2063</v>
      </c>
      <c r="L288" s="1" t="s">
        <v>2064</v>
      </c>
      <c r="M288" s="1" t="s">
        <v>718</v>
      </c>
    </row>
    <row r="289" customFormat="false" ht="15" hidden="false" customHeight="false" outlineLevel="0" collapsed="false">
      <c r="A289" s="1" t="s">
        <v>2065</v>
      </c>
      <c r="B289" s="1" t="s">
        <v>2066</v>
      </c>
      <c r="C289" s="1" t="s">
        <v>2067</v>
      </c>
      <c r="D289" s="2" t="n">
        <v>36400</v>
      </c>
      <c r="E289" s="1" t="s">
        <v>763</v>
      </c>
      <c r="F289" s="1" t="s">
        <v>711</v>
      </c>
      <c r="G289" s="1" t="s">
        <v>712</v>
      </c>
      <c r="H289" s="1" t="s">
        <v>713</v>
      </c>
      <c r="I289" s="1" t="s">
        <v>714</v>
      </c>
      <c r="J289" s="1" t="s">
        <v>2068</v>
      </c>
      <c r="K289" s="1" t="s">
        <v>716</v>
      </c>
      <c r="L289" s="1" t="s">
        <v>2069</v>
      </c>
      <c r="M289" s="1" t="s">
        <v>718</v>
      </c>
    </row>
    <row r="290" customFormat="false" ht="15" hidden="false" customHeight="false" outlineLevel="0" collapsed="false">
      <c r="A290" s="1" t="s">
        <v>2070</v>
      </c>
      <c r="B290" s="1" t="s">
        <v>2071</v>
      </c>
      <c r="C290" s="1" t="s">
        <v>2072</v>
      </c>
      <c r="D290" s="2" t="n">
        <v>36193</v>
      </c>
      <c r="E290" s="1" t="s">
        <v>710</v>
      </c>
      <c r="F290" s="1" t="s">
        <v>711</v>
      </c>
      <c r="G290" s="1" t="s">
        <v>712</v>
      </c>
      <c r="H290" s="1" t="s">
        <v>713</v>
      </c>
      <c r="I290" s="1" t="s">
        <v>714</v>
      </c>
      <c r="J290" s="1" t="s">
        <v>1296</v>
      </c>
      <c r="K290" s="1" t="s">
        <v>2073</v>
      </c>
      <c r="L290" s="1" t="s">
        <v>1298</v>
      </c>
      <c r="M290" s="1" t="s">
        <v>718</v>
      </c>
    </row>
    <row r="291" customFormat="false" ht="15" hidden="false" customHeight="false" outlineLevel="0" collapsed="false">
      <c r="A291" s="1" t="s">
        <v>2074</v>
      </c>
      <c r="B291" s="1" t="s">
        <v>2075</v>
      </c>
      <c r="C291" s="1" t="s">
        <v>2076</v>
      </c>
      <c r="D291" s="2" t="n">
        <v>36445</v>
      </c>
      <c r="E291" s="1" t="s">
        <v>763</v>
      </c>
      <c r="F291" s="1" t="s">
        <v>711</v>
      </c>
      <c r="G291" s="1" t="s">
        <v>2077</v>
      </c>
      <c r="H291" s="1" t="s">
        <v>713</v>
      </c>
      <c r="I291" s="1" t="s">
        <v>714</v>
      </c>
      <c r="J291" s="1" t="s">
        <v>978</v>
      </c>
      <c r="K291" s="1" t="s">
        <v>716</v>
      </c>
      <c r="L291" s="1" t="s">
        <v>2078</v>
      </c>
      <c r="M291" s="1" t="s">
        <v>718</v>
      </c>
    </row>
    <row r="292" customFormat="false" ht="15" hidden="false" customHeight="false" outlineLevel="0" collapsed="false">
      <c r="A292" s="1" t="s">
        <v>2079</v>
      </c>
      <c r="B292" s="1" t="s">
        <v>2080</v>
      </c>
      <c r="C292" s="1" t="s">
        <v>2081</v>
      </c>
      <c r="D292" s="2" t="n">
        <v>36486</v>
      </c>
      <c r="E292" s="1" t="s">
        <v>710</v>
      </c>
      <c r="F292" s="1" t="s">
        <v>711</v>
      </c>
      <c r="G292" s="1" t="s">
        <v>2082</v>
      </c>
      <c r="H292" s="1" t="s">
        <v>2083</v>
      </c>
      <c r="I292" s="1" t="s">
        <v>2084</v>
      </c>
      <c r="J292" s="1" t="s">
        <v>745</v>
      </c>
      <c r="K292" s="1" t="s">
        <v>2085</v>
      </c>
      <c r="L292" s="1" t="s">
        <v>2086</v>
      </c>
      <c r="M292" s="1" t="s">
        <v>2083</v>
      </c>
    </row>
    <row r="293" customFormat="false" ht="15" hidden="false" customHeight="false" outlineLevel="0" collapsed="false">
      <c r="A293" s="1" t="s">
        <v>2087</v>
      </c>
      <c r="B293" s="1" t="s">
        <v>2088</v>
      </c>
      <c r="C293" s="1" t="s">
        <v>2089</v>
      </c>
      <c r="D293" s="2" t="n">
        <v>36262</v>
      </c>
      <c r="E293" s="1" t="s">
        <v>710</v>
      </c>
      <c r="F293" s="1" t="s">
        <v>711</v>
      </c>
      <c r="G293" s="1" t="s">
        <v>712</v>
      </c>
      <c r="H293" s="1" t="s">
        <v>713</v>
      </c>
      <c r="I293" s="1" t="s">
        <v>714</v>
      </c>
      <c r="J293" s="1" t="s">
        <v>716</v>
      </c>
      <c r="K293" s="1" t="s">
        <v>716</v>
      </c>
      <c r="L293" s="1" t="s">
        <v>2090</v>
      </c>
      <c r="M293" s="1" t="s">
        <v>718</v>
      </c>
    </row>
    <row r="294" customFormat="false" ht="15" hidden="false" customHeight="false" outlineLevel="0" collapsed="false">
      <c r="A294" s="1" t="s">
        <v>2091</v>
      </c>
      <c r="B294" s="1" t="s">
        <v>2092</v>
      </c>
      <c r="C294" s="1" t="s">
        <v>2093</v>
      </c>
      <c r="D294" s="2" t="n">
        <v>36511</v>
      </c>
      <c r="E294" s="1" t="s">
        <v>763</v>
      </c>
      <c r="F294" s="1" t="s">
        <v>711</v>
      </c>
      <c r="G294" s="1" t="s">
        <v>2094</v>
      </c>
      <c r="H294" s="1" t="s">
        <v>713</v>
      </c>
      <c r="I294" s="1" t="s">
        <v>714</v>
      </c>
      <c r="J294" s="1" t="s">
        <v>745</v>
      </c>
      <c r="K294" s="1" t="s">
        <v>2095</v>
      </c>
      <c r="L294" s="1" t="s">
        <v>2096</v>
      </c>
      <c r="M294" s="1" t="s">
        <v>718</v>
      </c>
    </row>
    <row r="295" customFormat="false" ht="15" hidden="false" customHeight="false" outlineLevel="0" collapsed="false">
      <c r="A295" s="1" t="s">
        <v>2097</v>
      </c>
      <c r="B295" s="1" t="s">
        <v>2098</v>
      </c>
      <c r="C295" s="1" t="s">
        <v>2099</v>
      </c>
      <c r="D295" s="2" t="n">
        <v>36258</v>
      </c>
      <c r="E295" s="1" t="s">
        <v>763</v>
      </c>
      <c r="F295" s="1" t="s">
        <v>711</v>
      </c>
      <c r="G295" s="1" t="s">
        <v>722</v>
      </c>
      <c r="H295" s="1" t="s">
        <v>713</v>
      </c>
      <c r="I295" s="1" t="s">
        <v>714</v>
      </c>
      <c r="J295" s="1" t="s">
        <v>716</v>
      </c>
      <c r="K295" s="1" t="s">
        <v>716</v>
      </c>
      <c r="L295" s="1" t="s">
        <v>2100</v>
      </c>
      <c r="M295" s="1" t="s">
        <v>718</v>
      </c>
    </row>
    <row r="296" customFormat="false" ht="15" hidden="false" customHeight="false" outlineLevel="0" collapsed="false">
      <c r="A296" s="1" t="s">
        <v>2101</v>
      </c>
      <c r="B296" s="1" t="s">
        <v>2102</v>
      </c>
      <c r="C296" s="1" t="s">
        <v>2103</v>
      </c>
      <c r="D296" s="2" t="n">
        <v>36764</v>
      </c>
      <c r="E296" s="1" t="s">
        <v>710</v>
      </c>
      <c r="F296" s="1" t="s">
        <v>711</v>
      </c>
      <c r="G296" s="1" t="s">
        <v>722</v>
      </c>
      <c r="H296" s="1" t="s">
        <v>713</v>
      </c>
      <c r="I296" s="1" t="s">
        <v>714</v>
      </c>
      <c r="J296" s="1" t="s">
        <v>928</v>
      </c>
      <c r="K296" s="1" t="s">
        <v>716</v>
      </c>
      <c r="L296" s="1" t="s">
        <v>2104</v>
      </c>
      <c r="M296" s="1" t="s">
        <v>718</v>
      </c>
    </row>
    <row r="297" customFormat="false" ht="15" hidden="false" customHeight="false" outlineLevel="0" collapsed="false">
      <c r="A297" s="1" t="s">
        <v>2105</v>
      </c>
      <c r="B297" s="1" t="s">
        <v>2106</v>
      </c>
      <c r="C297" s="1" t="s">
        <v>750</v>
      </c>
      <c r="D297" s="2" t="n">
        <v>33283</v>
      </c>
      <c r="E297" s="1" t="s">
        <v>763</v>
      </c>
      <c r="F297" s="1" t="s">
        <v>711</v>
      </c>
      <c r="G297" s="1" t="s">
        <v>722</v>
      </c>
      <c r="H297" s="1" t="s">
        <v>713</v>
      </c>
      <c r="I297" s="1" t="s">
        <v>714</v>
      </c>
      <c r="J297" s="1" t="s">
        <v>751</v>
      </c>
      <c r="K297" s="1" t="s">
        <v>2107</v>
      </c>
      <c r="L297" s="1" t="s">
        <v>753</v>
      </c>
      <c r="M297" s="1" t="s">
        <v>718</v>
      </c>
    </row>
    <row r="298" customFormat="false" ht="15" hidden="false" customHeight="false" outlineLevel="0" collapsed="false">
      <c r="A298" s="1" t="s">
        <v>2108</v>
      </c>
      <c r="B298" s="1" t="s">
        <v>2109</v>
      </c>
      <c r="C298" s="1" t="s">
        <v>2110</v>
      </c>
      <c r="D298" s="2" t="n">
        <v>34874</v>
      </c>
      <c r="E298" s="1" t="s">
        <v>710</v>
      </c>
      <c r="F298" s="1" t="s">
        <v>711</v>
      </c>
      <c r="G298" s="1" t="s">
        <v>722</v>
      </c>
      <c r="H298" s="1" t="s">
        <v>713</v>
      </c>
      <c r="I298" s="1" t="s">
        <v>714</v>
      </c>
      <c r="J298" s="1" t="s">
        <v>2111</v>
      </c>
      <c r="K298" s="1" t="s">
        <v>2112</v>
      </c>
      <c r="L298" s="1" t="s">
        <v>2113</v>
      </c>
      <c r="M298" s="1" t="s">
        <v>718</v>
      </c>
    </row>
    <row r="299" customFormat="false" ht="15" hidden="false" customHeight="false" outlineLevel="0" collapsed="false">
      <c r="A299" s="1" t="s">
        <v>2114</v>
      </c>
      <c r="B299" s="1" t="s">
        <v>2115</v>
      </c>
      <c r="C299" s="1" t="s">
        <v>2116</v>
      </c>
      <c r="D299" s="2" t="n">
        <v>34957</v>
      </c>
      <c r="E299" s="1" t="s">
        <v>710</v>
      </c>
      <c r="F299" s="1" t="s">
        <v>711</v>
      </c>
      <c r="G299" s="1" t="s">
        <v>722</v>
      </c>
      <c r="H299" s="1" t="s">
        <v>713</v>
      </c>
      <c r="I299" s="1" t="s">
        <v>714</v>
      </c>
      <c r="J299" s="1" t="s">
        <v>2117</v>
      </c>
      <c r="K299" s="1" t="s">
        <v>2118</v>
      </c>
      <c r="L299" s="1" t="s">
        <v>2119</v>
      </c>
      <c r="M299" s="1" t="s">
        <v>718</v>
      </c>
    </row>
    <row r="300" customFormat="false" ht="15" hidden="false" customHeight="false" outlineLevel="0" collapsed="false">
      <c r="A300" s="1" t="s">
        <v>2120</v>
      </c>
      <c r="B300" s="1" t="s">
        <v>989</v>
      </c>
      <c r="C300" s="1" t="s">
        <v>2121</v>
      </c>
      <c r="D300" s="2" t="n">
        <v>34586</v>
      </c>
      <c r="E300" s="1" t="s">
        <v>710</v>
      </c>
      <c r="F300" s="1" t="s">
        <v>711</v>
      </c>
      <c r="G300" s="1" t="s">
        <v>722</v>
      </c>
      <c r="H300" s="1" t="s">
        <v>713</v>
      </c>
      <c r="I300" s="1" t="s">
        <v>714</v>
      </c>
      <c r="J300" s="1" t="s">
        <v>2122</v>
      </c>
      <c r="K300" s="1" t="s">
        <v>2123</v>
      </c>
      <c r="L300" s="1" t="s">
        <v>2124</v>
      </c>
      <c r="M300" s="1" t="s">
        <v>718</v>
      </c>
    </row>
    <row r="301" customFormat="false" ht="15" hidden="false" customHeight="false" outlineLevel="0" collapsed="false">
      <c r="A301" s="1" t="s">
        <v>2125</v>
      </c>
      <c r="B301" s="1" t="s">
        <v>2126</v>
      </c>
      <c r="C301" s="1" t="s">
        <v>2127</v>
      </c>
      <c r="D301" s="2" t="n">
        <v>34872</v>
      </c>
      <c r="E301" s="1" t="s">
        <v>763</v>
      </c>
      <c r="F301" s="1" t="s">
        <v>711</v>
      </c>
      <c r="G301" s="1" t="s">
        <v>722</v>
      </c>
      <c r="H301" s="1" t="s">
        <v>713</v>
      </c>
      <c r="I301" s="1" t="s">
        <v>714</v>
      </c>
      <c r="J301" s="1" t="s">
        <v>2128</v>
      </c>
      <c r="K301" s="1" t="s">
        <v>2129</v>
      </c>
      <c r="L301" s="1" t="s">
        <v>2130</v>
      </c>
      <c r="M301" s="1" t="s">
        <v>718</v>
      </c>
    </row>
    <row r="302" customFormat="false" ht="15" hidden="false" customHeight="false" outlineLevel="0" collapsed="false">
      <c r="A302" s="1" t="s">
        <v>2131</v>
      </c>
      <c r="B302" s="1" t="s">
        <v>2132</v>
      </c>
      <c r="C302" s="1" t="s">
        <v>875</v>
      </c>
      <c r="D302" s="2" t="n">
        <v>35131</v>
      </c>
      <c r="E302" s="1" t="s">
        <v>710</v>
      </c>
      <c r="F302" s="1" t="s">
        <v>711</v>
      </c>
      <c r="G302" s="1" t="s">
        <v>712</v>
      </c>
      <c r="H302" s="1" t="s">
        <v>713</v>
      </c>
      <c r="I302" s="1" t="s">
        <v>714</v>
      </c>
      <c r="J302" s="1" t="s">
        <v>715</v>
      </c>
      <c r="K302" s="1" t="s">
        <v>2133</v>
      </c>
      <c r="L302" s="1" t="s">
        <v>877</v>
      </c>
      <c r="M302" s="1" t="s">
        <v>718</v>
      </c>
    </row>
    <row r="303" customFormat="false" ht="15" hidden="false" customHeight="false" outlineLevel="0" collapsed="false">
      <c r="A303" s="1" t="s">
        <v>2134</v>
      </c>
      <c r="B303" s="1" t="s">
        <v>2135</v>
      </c>
      <c r="C303" s="1" t="s">
        <v>2136</v>
      </c>
      <c r="D303" s="2" t="n">
        <v>34927</v>
      </c>
      <c r="E303" s="1" t="s">
        <v>710</v>
      </c>
      <c r="F303" s="1" t="s">
        <v>711</v>
      </c>
      <c r="G303" s="1" t="s">
        <v>722</v>
      </c>
      <c r="H303" s="1" t="s">
        <v>713</v>
      </c>
      <c r="I303" s="1" t="s">
        <v>714</v>
      </c>
      <c r="J303" s="1" t="s">
        <v>1898</v>
      </c>
      <c r="K303" s="1" t="s">
        <v>2137</v>
      </c>
      <c r="L303" s="1" t="s">
        <v>2138</v>
      </c>
      <c r="M303" s="1" t="s">
        <v>718</v>
      </c>
    </row>
    <row r="304" customFormat="false" ht="15" hidden="false" customHeight="false" outlineLevel="0" collapsed="false">
      <c r="A304" s="1" t="s">
        <v>2139</v>
      </c>
      <c r="B304" s="1" t="s">
        <v>2140</v>
      </c>
      <c r="C304" s="1" t="s">
        <v>2141</v>
      </c>
      <c r="D304" s="2" t="n">
        <v>35136</v>
      </c>
      <c r="E304" s="1" t="s">
        <v>710</v>
      </c>
      <c r="F304" s="1" t="s">
        <v>711</v>
      </c>
      <c r="G304" s="1" t="s">
        <v>712</v>
      </c>
      <c r="H304" s="1" t="s">
        <v>713</v>
      </c>
      <c r="I304" s="1" t="s">
        <v>714</v>
      </c>
      <c r="J304" s="1" t="s">
        <v>838</v>
      </c>
      <c r="K304" s="1" t="s">
        <v>716</v>
      </c>
      <c r="L304" s="1" t="s">
        <v>2142</v>
      </c>
      <c r="M304" s="1" t="s">
        <v>718</v>
      </c>
    </row>
    <row r="305" customFormat="false" ht="15" hidden="false" customHeight="false" outlineLevel="0" collapsed="false">
      <c r="A305" s="1" t="s">
        <v>2143</v>
      </c>
      <c r="B305" s="1" t="s">
        <v>1481</v>
      </c>
      <c r="C305" s="1" t="s">
        <v>2144</v>
      </c>
      <c r="D305" s="2" t="n">
        <v>35102</v>
      </c>
      <c r="E305" s="1" t="s">
        <v>710</v>
      </c>
      <c r="F305" s="1" t="s">
        <v>711</v>
      </c>
      <c r="G305" s="1" t="s">
        <v>722</v>
      </c>
      <c r="H305" s="1" t="s">
        <v>713</v>
      </c>
      <c r="I305" s="1" t="s">
        <v>714</v>
      </c>
      <c r="J305" s="1" t="s">
        <v>821</v>
      </c>
      <c r="K305" s="1" t="s">
        <v>2145</v>
      </c>
      <c r="L305" s="1" t="s">
        <v>2146</v>
      </c>
      <c r="M305" s="1" t="s">
        <v>718</v>
      </c>
    </row>
    <row r="306" customFormat="false" ht="15" hidden="false" customHeight="false" outlineLevel="0" collapsed="false">
      <c r="A306" s="1" t="s">
        <v>2147</v>
      </c>
      <c r="B306" s="1" t="s">
        <v>2148</v>
      </c>
      <c r="C306" s="1" t="s">
        <v>2149</v>
      </c>
      <c r="D306" s="2" t="n">
        <v>35506</v>
      </c>
      <c r="E306" s="1" t="s">
        <v>763</v>
      </c>
      <c r="F306" s="1" t="s">
        <v>711</v>
      </c>
      <c r="G306" s="1" t="s">
        <v>1220</v>
      </c>
      <c r="H306" s="1" t="s">
        <v>713</v>
      </c>
      <c r="I306" s="1" t="s">
        <v>714</v>
      </c>
      <c r="J306" s="1" t="s">
        <v>2150</v>
      </c>
      <c r="K306" s="1" t="s">
        <v>2151</v>
      </c>
      <c r="L306" s="1" t="s">
        <v>2152</v>
      </c>
      <c r="M306" s="1" t="s">
        <v>718</v>
      </c>
    </row>
    <row r="307" customFormat="false" ht="15" hidden="false" customHeight="false" outlineLevel="0" collapsed="false">
      <c r="A307" s="1" t="s">
        <v>2153</v>
      </c>
      <c r="B307" s="1" t="s">
        <v>2154</v>
      </c>
      <c r="C307" s="1" t="s">
        <v>2155</v>
      </c>
      <c r="D307" s="2" t="n">
        <v>35070</v>
      </c>
      <c r="E307" s="1" t="s">
        <v>710</v>
      </c>
      <c r="F307" s="1" t="s">
        <v>711</v>
      </c>
      <c r="G307" s="1" t="s">
        <v>712</v>
      </c>
      <c r="H307" s="1" t="s">
        <v>713</v>
      </c>
      <c r="I307" s="1" t="s">
        <v>714</v>
      </c>
      <c r="J307" s="1" t="s">
        <v>1898</v>
      </c>
      <c r="K307" s="1" t="s">
        <v>2156</v>
      </c>
      <c r="L307" s="1" t="s">
        <v>2157</v>
      </c>
      <c r="M307" s="1" t="s">
        <v>718</v>
      </c>
    </row>
    <row r="308" customFormat="false" ht="15" hidden="false" customHeight="false" outlineLevel="0" collapsed="false">
      <c r="A308" s="1" t="s">
        <v>2158</v>
      </c>
      <c r="B308" s="1" t="s">
        <v>2159</v>
      </c>
      <c r="C308" s="1" t="s">
        <v>2160</v>
      </c>
      <c r="D308" s="2" t="n">
        <v>35110</v>
      </c>
      <c r="E308" s="1" t="s">
        <v>710</v>
      </c>
      <c r="F308" s="1" t="s">
        <v>711</v>
      </c>
      <c r="G308" s="1" t="s">
        <v>722</v>
      </c>
      <c r="H308" s="1" t="s">
        <v>713</v>
      </c>
      <c r="I308" s="1" t="s">
        <v>714</v>
      </c>
      <c r="J308" s="1" t="s">
        <v>1445</v>
      </c>
      <c r="K308" s="1" t="s">
        <v>2161</v>
      </c>
      <c r="L308" s="1" t="s">
        <v>2162</v>
      </c>
      <c r="M308" s="1" t="s">
        <v>718</v>
      </c>
    </row>
    <row r="309" customFormat="false" ht="15" hidden="false" customHeight="false" outlineLevel="0" collapsed="false">
      <c r="A309" s="1" t="s">
        <v>2163</v>
      </c>
      <c r="B309" s="1" t="s">
        <v>2164</v>
      </c>
      <c r="C309" s="1" t="s">
        <v>2165</v>
      </c>
      <c r="D309" s="2" t="n">
        <v>35581</v>
      </c>
      <c r="E309" s="1" t="s">
        <v>710</v>
      </c>
      <c r="F309" s="1" t="s">
        <v>711</v>
      </c>
      <c r="G309" s="1" t="s">
        <v>722</v>
      </c>
      <c r="H309" s="1" t="s">
        <v>713</v>
      </c>
      <c r="I309" s="1" t="s">
        <v>714</v>
      </c>
      <c r="J309" s="1" t="s">
        <v>1723</v>
      </c>
      <c r="K309" s="1" t="s">
        <v>2166</v>
      </c>
      <c r="L309" s="1" t="s">
        <v>2167</v>
      </c>
      <c r="M309" s="1" t="s">
        <v>718</v>
      </c>
    </row>
    <row r="310" customFormat="false" ht="15" hidden="false" customHeight="false" outlineLevel="0" collapsed="false">
      <c r="A310" s="1" t="s">
        <v>2168</v>
      </c>
      <c r="B310" s="1" t="s">
        <v>2169</v>
      </c>
      <c r="C310" s="1" t="s">
        <v>2170</v>
      </c>
      <c r="D310" s="2" t="n">
        <v>35555</v>
      </c>
      <c r="E310" s="1" t="s">
        <v>710</v>
      </c>
      <c r="F310" s="1" t="s">
        <v>711</v>
      </c>
      <c r="G310" s="1" t="s">
        <v>712</v>
      </c>
      <c r="H310" s="1" t="s">
        <v>713</v>
      </c>
      <c r="I310" s="1" t="s">
        <v>714</v>
      </c>
      <c r="J310" s="1" t="s">
        <v>751</v>
      </c>
      <c r="K310" s="1" t="s">
        <v>2171</v>
      </c>
      <c r="L310" s="1" t="s">
        <v>2172</v>
      </c>
      <c r="M310" s="1" t="s">
        <v>718</v>
      </c>
    </row>
    <row r="311" customFormat="false" ht="15" hidden="false" customHeight="false" outlineLevel="0" collapsed="false">
      <c r="A311" s="1" t="s">
        <v>2173</v>
      </c>
      <c r="B311" s="1" t="s">
        <v>2174</v>
      </c>
      <c r="C311" s="1" t="s">
        <v>2175</v>
      </c>
      <c r="D311" s="2" t="n">
        <v>35407</v>
      </c>
      <c r="E311" s="1" t="s">
        <v>763</v>
      </c>
      <c r="F311" s="1" t="s">
        <v>711</v>
      </c>
      <c r="G311" s="1" t="s">
        <v>722</v>
      </c>
      <c r="H311" s="1" t="s">
        <v>713</v>
      </c>
      <c r="I311" s="1" t="s">
        <v>714</v>
      </c>
      <c r="J311" s="1" t="s">
        <v>1445</v>
      </c>
      <c r="K311" s="1" t="s">
        <v>2176</v>
      </c>
      <c r="L311" s="1" t="s">
        <v>2177</v>
      </c>
      <c r="M311" s="1" t="s">
        <v>718</v>
      </c>
    </row>
    <row r="312" customFormat="false" ht="15" hidden="false" customHeight="false" outlineLevel="0" collapsed="false">
      <c r="A312" s="1" t="s">
        <v>2178</v>
      </c>
      <c r="B312" s="1" t="s">
        <v>2179</v>
      </c>
      <c r="C312" s="1" t="s">
        <v>2180</v>
      </c>
      <c r="D312" s="2" t="n">
        <v>34902</v>
      </c>
      <c r="E312" s="1" t="s">
        <v>763</v>
      </c>
      <c r="F312" s="1" t="s">
        <v>711</v>
      </c>
      <c r="G312" s="1" t="s">
        <v>722</v>
      </c>
      <c r="H312" s="1" t="s">
        <v>713</v>
      </c>
      <c r="I312" s="1" t="s">
        <v>714</v>
      </c>
      <c r="J312" s="1" t="s">
        <v>2150</v>
      </c>
      <c r="K312" s="1" t="s">
        <v>2181</v>
      </c>
      <c r="L312" s="1" t="s">
        <v>2182</v>
      </c>
      <c r="M312" s="1" t="s">
        <v>718</v>
      </c>
    </row>
    <row r="313" customFormat="false" ht="15" hidden="false" customHeight="false" outlineLevel="0" collapsed="false">
      <c r="A313" s="1" t="s">
        <v>2183</v>
      </c>
      <c r="B313" s="1" t="s">
        <v>2184</v>
      </c>
      <c r="C313" s="1" t="s">
        <v>2185</v>
      </c>
      <c r="D313" s="2" t="n">
        <v>35547</v>
      </c>
      <c r="E313" s="1" t="s">
        <v>710</v>
      </c>
      <c r="F313" s="1" t="s">
        <v>711</v>
      </c>
      <c r="G313" s="1" t="s">
        <v>712</v>
      </c>
      <c r="H313" s="1" t="s">
        <v>713</v>
      </c>
      <c r="I313" s="1" t="s">
        <v>714</v>
      </c>
      <c r="J313" s="1" t="s">
        <v>1244</v>
      </c>
      <c r="K313" s="1" t="s">
        <v>716</v>
      </c>
      <c r="L313" s="1" t="s">
        <v>2186</v>
      </c>
      <c r="M313" s="1" t="s">
        <v>718</v>
      </c>
    </row>
    <row r="314" customFormat="false" ht="15" hidden="false" customHeight="false" outlineLevel="0" collapsed="false">
      <c r="A314" s="1" t="s">
        <v>2187</v>
      </c>
      <c r="B314" s="1" t="s">
        <v>2188</v>
      </c>
      <c r="C314" s="1" t="s">
        <v>2189</v>
      </c>
      <c r="D314" s="2" t="n">
        <v>35376</v>
      </c>
      <c r="E314" s="1" t="s">
        <v>763</v>
      </c>
      <c r="F314" s="1" t="s">
        <v>711</v>
      </c>
      <c r="G314" s="1" t="s">
        <v>722</v>
      </c>
      <c r="H314" s="1" t="s">
        <v>713</v>
      </c>
      <c r="I314" s="1" t="s">
        <v>714</v>
      </c>
      <c r="J314" s="1" t="s">
        <v>1530</v>
      </c>
      <c r="K314" s="1" t="s">
        <v>2190</v>
      </c>
      <c r="L314" s="1" t="s">
        <v>2191</v>
      </c>
      <c r="M314" s="1" t="s">
        <v>718</v>
      </c>
    </row>
    <row r="315" customFormat="false" ht="15" hidden="false" customHeight="false" outlineLevel="0" collapsed="false">
      <c r="A315" s="1" t="s">
        <v>2192</v>
      </c>
      <c r="B315" s="1" t="s">
        <v>2071</v>
      </c>
      <c r="C315" s="1" t="s">
        <v>2193</v>
      </c>
      <c r="D315" s="2" t="n">
        <v>35333</v>
      </c>
      <c r="E315" s="1" t="s">
        <v>710</v>
      </c>
      <c r="F315" s="1" t="s">
        <v>711</v>
      </c>
      <c r="G315" s="1" t="s">
        <v>712</v>
      </c>
      <c r="H315" s="1" t="s">
        <v>713</v>
      </c>
      <c r="I315" s="1" t="s">
        <v>714</v>
      </c>
      <c r="J315" s="1" t="s">
        <v>1244</v>
      </c>
      <c r="K315" s="1" t="s">
        <v>2194</v>
      </c>
      <c r="L315" s="1" t="s">
        <v>2195</v>
      </c>
      <c r="M315" s="1" t="s">
        <v>718</v>
      </c>
    </row>
    <row r="316" customFormat="false" ht="15" hidden="false" customHeight="false" outlineLevel="0" collapsed="false">
      <c r="A316" s="1" t="s">
        <v>2196</v>
      </c>
      <c r="B316" s="1" t="s">
        <v>2197</v>
      </c>
      <c r="C316" s="1" t="s">
        <v>2198</v>
      </c>
      <c r="D316" s="2" t="n">
        <v>35447</v>
      </c>
      <c r="E316" s="1" t="s">
        <v>763</v>
      </c>
      <c r="F316" s="1" t="s">
        <v>711</v>
      </c>
      <c r="G316" s="1" t="s">
        <v>2199</v>
      </c>
      <c r="H316" s="1" t="s">
        <v>713</v>
      </c>
      <c r="I316" s="1" t="s">
        <v>714</v>
      </c>
      <c r="J316" s="1" t="s">
        <v>805</v>
      </c>
      <c r="K316" s="1" t="s">
        <v>2200</v>
      </c>
      <c r="L316" s="1" t="s">
        <v>2201</v>
      </c>
      <c r="M316" s="1" t="s">
        <v>718</v>
      </c>
    </row>
    <row r="317" customFormat="false" ht="15" hidden="false" customHeight="false" outlineLevel="0" collapsed="false">
      <c r="A317" s="1" t="s">
        <v>2202</v>
      </c>
      <c r="B317" s="1" t="s">
        <v>2203</v>
      </c>
      <c r="C317" s="1" t="s">
        <v>2121</v>
      </c>
      <c r="D317" s="2" t="n">
        <v>35508</v>
      </c>
      <c r="E317" s="1" t="s">
        <v>710</v>
      </c>
      <c r="F317" s="1" t="s">
        <v>711</v>
      </c>
      <c r="G317" s="1" t="s">
        <v>2204</v>
      </c>
      <c r="H317" s="1" t="s">
        <v>713</v>
      </c>
      <c r="I317" s="1" t="s">
        <v>714</v>
      </c>
      <c r="J317" s="1" t="s">
        <v>2122</v>
      </c>
      <c r="K317" s="1" t="s">
        <v>2123</v>
      </c>
      <c r="L317" s="1" t="s">
        <v>2124</v>
      </c>
      <c r="M317" s="1" t="s">
        <v>718</v>
      </c>
    </row>
    <row r="318" customFormat="false" ht="15" hidden="false" customHeight="false" outlineLevel="0" collapsed="false">
      <c r="A318" s="1" t="s">
        <v>2205</v>
      </c>
      <c r="B318" s="1" t="s">
        <v>2206</v>
      </c>
      <c r="C318" s="1" t="s">
        <v>1477</v>
      </c>
      <c r="D318" s="2" t="n">
        <v>35340</v>
      </c>
      <c r="E318" s="1" t="s">
        <v>710</v>
      </c>
      <c r="F318" s="1" t="s">
        <v>711</v>
      </c>
      <c r="G318" s="1" t="s">
        <v>722</v>
      </c>
      <c r="H318" s="1" t="s">
        <v>713</v>
      </c>
      <c r="I318" s="1" t="s">
        <v>714</v>
      </c>
      <c r="J318" s="1" t="s">
        <v>1505</v>
      </c>
      <c r="K318" s="1" t="s">
        <v>2207</v>
      </c>
      <c r="L318" s="1" t="s">
        <v>1479</v>
      </c>
      <c r="M318" s="1" t="s">
        <v>718</v>
      </c>
    </row>
    <row r="319" customFormat="false" ht="15" hidden="false" customHeight="false" outlineLevel="0" collapsed="false">
      <c r="A319" s="1" t="s">
        <v>2208</v>
      </c>
      <c r="B319" s="1" t="s">
        <v>2209</v>
      </c>
      <c r="C319" s="1" t="s">
        <v>2155</v>
      </c>
      <c r="D319" s="2" t="n">
        <v>35607</v>
      </c>
      <c r="E319" s="1" t="s">
        <v>763</v>
      </c>
      <c r="F319" s="1" t="s">
        <v>711</v>
      </c>
      <c r="G319" s="1" t="s">
        <v>712</v>
      </c>
      <c r="H319" s="1" t="s">
        <v>713</v>
      </c>
      <c r="I319" s="1" t="s">
        <v>714</v>
      </c>
      <c r="J319" s="1" t="s">
        <v>1898</v>
      </c>
      <c r="K319" s="1" t="s">
        <v>2156</v>
      </c>
      <c r="L319" s="1" t="s">
        <v>2157</v>
      </c>
      <c r="M319" s="1" t="s">
        <v>718</v>
      </c>
    </row>
    <row r="320" customFormat="false" ht="15" hidden="false" customHeight="false" outlineLevel="0" collapsed="false">
      <c r="A320" s="1" t="s">
        <v>2210</v>
      </c>
      <c r="B320" s="1" t="s">
        <v>2211</v>
      </c>
      <c r="C320" s="1" t="s">
        <v>2212</v>
      </c>
      <c r="D320" s="2" t="n">
        <v>35482</v>
      </c>
      <c r="E320" s="1" t="s">
        <v>710</v>
      </c>
      <c r="F320" s="1" t="s">
        <v>711</v>
      </c>
      <c r="G320" s="1" t="s">
        <v>722</v>
      </c>
      <c r="H320" s="1" t="s">
        <v>713</v>
      </c>
      <c r="I320" s="1" t="s">
        <v>714</v>
      </c>
      <c r="J320" s="1" t="s">
        <v>2117</v>
      </c>
      <c r="K320" s="1" t="s">
        <v>2118</v>
      </c>
      <c r="L320" s="1" t="s">
        <v>2119</v>
      </c>
      <c r="M320" s="1" t="s">
        <v>718</v>
      </c>
    </row>
    <row r="321" customFormat="false" ht="15" hidden="false" customHeight="false" outlineLevel="0" collapsed="false">
      <c r="A321" s="1" t="s">
        <v>2213</v>
      </c>
      <c r="B321" s="1" t="s">
        <v>2214</v>
      </c>
      <c r="C321" s="1" t="s">
        <v>2215</v>
      </c>
      <c r="D321" s="2" t="n">
        <v>35700</v>
      </c>
      <c r="E321" s="1" t="s">
        <v>710</v>
      </c>
      <c r="F321" s="1" t="s">
        <v>711</v>
      </c>
      <c r="G321" s="1" t="s">
        <v>712</v>
      </c>
      <c r="H321" s="1" t="s">
        <v>713</v>
      </c>
      <c r="I321" s="1" t="s">
        <v>714</v>
      </c>
      <c r="J321" s="1" t="s">
        <v>928</v>
      </c>
      <c r="K321" s="1" t="s">
        <v>2216</v>
      </c>
      <c r="L321" s="1" t="s">
        <v>2217</v>
      </c>
      <c r="M321" s="1" t="s">
        <v>718</v>
      </c>
    </row>
    <row r="322" customFormat="false" ht="15" hidden="false" customHeight="false" outlineLevel="0" collapsed="false">
      <c r="A322" s="1" t="s">
        <v>2218</v>
      </c>
      <c r="B322" s="1" t="s">
        <v>2219</v>
      </c>
      <c r="C322" s="1" t="s">
        <v>1049</v>
      </c>
      <c r="D322" s="2" t="n">
        <v>35779</v>
      </c>
      <c r="E322" s="1" t="s">
        <v>763</v>
      </c>
      <c r="F322" s="1" t="s">
        <v>711</v>
      </c>
      <c r="G322" s="1" t="s">
        <v>722</v>
      </c>
      <c r="H322" s="1" t="s">
        <v>713</v>
      </c>
      <c r="I322" s="1" t="s">
        <v>714</v>
      </c>
      <c r="J322" s="1" t="s">
        <v>1131</v>
      </c>
      <c r="K322" s="1" t="s">
        <v>2220</v>
      </c>
      <c r="L322" s="1" t="s">
        <v>2221</v>
      </c>
      <c r="M322" s="1" t="s">
        <v>718</v>
      </c>
    </row>
    <row r="323" customFormat="false" ht="15" hidden="false" customHeight="false" outlineLevel="0" collapsed="false">
      <c r="A323" s="1" t="s">
        <v>2222</v>
      </c>
      <c r="B323" s="1" t="s">
        <v>2223</v>
      </c>
      <c r="C323" s="1" t="s">
        <v>2224</v>
      </c>
      <c r="D323" s="2" t="n">
        <v>35771</v>
      </c>
      <c r="E323" s="1" t="s">
        <v>763</v>
      </c>
      <c r="F323" s="1" t="s">
        <v>711</v>
      </c>
      <c r="G323" s="1" t="s">
        <v>722</v>
      </c>
      <c r="H323" s="1" t="s">
        <v>713</v>
      </c>
      <c r="I323" s="1" t="s">
        <v>714</v>
      </c>
      <c r="J323" s="1" t="s">
        <v>1131</v>
      </c>
      <c r="K323" s="1" t="s">
        <v>2225</v>
      </c>
      <c r="L323" s="1" t="s">
        <v>2226</v>
      </c>
      <c r="M323" s="1" t="s">
        <v>718</v>
      </c>
    </row>
    <row r="324" customFormat="false" ht="15" hidden="false" customHeight="false" outlineLevel="0" collapsed="false">
      <c r="A324" s="1" t="s">
        <v>2227</v>
      </c>
      <c r="B324" s="1" t="s">
        <v>2228</v>
      </c>
      <c r="C324" s="1" t="s">
        <v>1210</v>
      </c>
      <c r="D324" s="2" t="n">
        <v>35145</v>
      </c>
      <c r="E324" s="1" t="s">
        <v>710</v>
      </c>
      <c r="F324" s="1" t="s">
        <v>711</v>
      </c>
      <c r="G324" s="1" t="s">
        <v>775</v>
      </c>
      <c r="H324" s="1" t="s">
        <v>713</v>
      </c>
      <c r="I324" s="1" t="s">
        <v>714</v>
      </c>
      <c r="J324" s="1" t="s">
        <v>2150</v>
      </c>
      <c r="K324" s="1" t="s">
        <v>2229</v>
      </c>
      <c r="L324" s="1" t="s">
        <v>1211</v>
      </c>
      <c r="M324" s="1" t="s">
        <v>718</v>
      </c>
    </row>
    <row r="325" customFormat="false" ht="15" hidden="false" customHeight="false" outlineLevel="0" collapsed="false">
      <c r="A325" s="1" t="s">
        <v>2230</v>
      </c>
      <c r="B325" s="1" t="s">
        <v>2231</v>
      </c>
      <c r="C325" s="1" t="s">
        <v>2232</v>
      </c>
      <c r="D325" s="2" t="n">
        <v>35875</v>
      </c>
      <c r="E325" s="1" t="s">
        <v>710</v>
      </c>
      <c r="F325" s="1" t="s">
        <v>711</v>
      </c>
      <c r="G325" s="1" t="s">
        <v>712</v>
      </c>
      <c r="H325" s="1" t="s">
        <v>713</v>
      </c>
      <c r="I325" s="1" t="s">
        <v>714</v>
      </c>
      <c r="J325" s="1" t="s">
        <v>2150</v>
      </c>
      <c r="K325" s="1" t="s">
        <v>716</v>
      </c>
      <c r="L325" s="1" t="s">
        <v>2233</v>
      </c>
      <c r="M325" s="1" t="s">
        <v>718</v>
      </c>
    </row>
    <row r="326" customFormat="false" ht="15" hidden="false" customHeight="false" outlineLevel="0" collapsed="false">
      <c r="A326" s="1" t="s">
        <v>2234</v>
      </c>
      <c r="B326" s="1" t="s">
        <v>2235</v>
      </c>
      <c r="C326" s="1" t="s">
        <v>2236</v>
      </c>
      <c r="D326" s="2" t="n">
        <v>35426</v>
      </c>
      <c r="E326" s="1" t="s">
        <v>710</v>
      </c>
      <c r="F326" s="1" t="s">
        <v>711</v>
      </c>
      <c r="G326" s="1" t="s">
        <v>722</v>
      </c>
      <c r="H326" s="1" t="s">
        <v>713</v>
      </c>
      <c r="I326" s="1" t="s">
        <v>714</v>
      </c>
      <c r="J326" s="1" t="s">
        <v>2237</v>
      </c>
      <c r="K326" s="1" t="s">
        <v>2238</v>
      </c>
      <c r="L326" s="1" t="s">
        <v>2239</v>
      </c>
      <c r="M326" s="1" t="s">
        <v>718</v>
      </c>
    </row>
    <row r="327" customFormat="false" ht="15" hidden="false" customHeight="false" outlineLevel="0" collapsed="false">
      <c r="A327" s="1" t="s">
        <v>2240</v>
      </c>
      <c r="B327" s="1" t="s">
        <v>2241</v>
      </c>
      <c r="C327" s="1" t="s">
        <v>2242</v>
      </c>
      <c r="D327" s="2" t="n">
        <v>35613</v>
      </c>
      <c r="E327" s="1" t="s">
        <v>710</v>
      </c>
      <c r="F327" s="1" t="s">
        <v>711</v>
      </c>
      <c r="G327" s="1" t="s">
        <v>712</v>
      </c>
      <c r="H327" s="1" t="s">
        <v>713</v>
      </c>
      <c r="I327" s="1" t="s">
        <v>714</v>
      </c>
      <c r="J327" s="1" t="s">
        <v>2117</v>
      </c>
      <c r="K327" s="1" t="s">
        <v>2243</v>
      </c>
      <c r="L327" s="1" t="s">
        <v>2244</v>
      </c>
      <c r="M327" s="1" t="s">
        <v>718</v>
      </c>
    </row>
    <row r="328" customFormat="false" ht="15" hidden="false" customHeight="false" outlineLevel="0" collapsed="false">
      <c r="A328" s="1" t="s">
        <v>2245</v>
      </c>
      <c r="B328" s="1" t="s">
        <v>2246</v>
      </c>
      <c r="C328" s="1" t="s">
        <v>2247</v>
      </c>
      <c r="D328" s="2" t="n">
        <v>35920</v>
      </c>
      <c r="E328" s="1" t="s">
        <v>710</v>
      </c>
      <c r="F328" s="1" t="s">
        <v>711</v>
      </c>
      <c r="G328" s="1" t="s">
        <v>712</v>
      </c>
      <c r="H328" s="1" t="s">
        <v>713</v>
      </c>
      <c r="I328" s="1" t="s">
        <v>714</v>
      </c>
      <c r="J328" s="1" t="s">
        <v>805</v>
      </c>
      <c r="K328" s="1" t="s">
        <v>2248</v>
      </c>
      <c r="L328" s="1" t="s">
        <v>2249</v>
      </c>
      <c r="M328" s="1" t="s">
        <v>718</v>
      </c>
    </row>
    <row r="329" customFormat="false" ht="15" hidden="false" customHeight="false" outlineLevel="0" collapsed="false">
      <c r="A329" s="1" t="s">
        <v>2250</v>
      </c>
      <c r="B329" s="1" t="s">
        <v>2251</v>
      </c>
      <c r="C329" s="1" t="s">
        <v>2252</v>
      </c>
      <c r="D329" s="2" t="n">
        <v>35682</v>
      </c>
      <c r="E329" s="1" t="s">
        <v>710</v>
      </c>
      <c r="F329" s="1" t="s">
        <v>711</v>
      </c>
      <c r="G329" s="1" t="s">
        <v>722</v>
      </c>
      <c r="H329" s="1" t="s">
        <v>713</v>
      </c>
      <c r="I329" s="1" t="s">
        <v>714</v>
      </c>
      <c r="J329" s="1" t="s">
        <v>1898</v>
      </c>
      <c r="K329" s="1" t="s">
        <v>2253</v>
      </c>
      <c r="L329" s="1" t="s">
        <v>2254</v>
      </c>
      <c r="M329" s="1" t="s">
        <v>718</v>
      </c>
    </row>
    <row r="330" customFormat="false" ht="15" hidden="false" customHeight="false" outlineLevel="0" collapsed="false">
      <c r="A330" s="1" t="s">
        <v>2255</v>
      </c>
      <c r="B330" s="1" t="s">
        <v>2256</v>
      </c>
      <c r="C330" s="1" t="s">
        <v>1529</v>
      </c>
      <c r="D330" s="2" t="n">
        <v>35983</v>
      </c>
      <c r="E330" s="1" t="s">
        <v>710</v>
      </c>
      <c r="F330" s="1" t="s">
        <v>711</v>
      </c>
      <c r="G330" s="1" t="s">
        <v>712</v>
      </c>
      <c r="H330" s="1" t="s">
        <v>713</v>
      </c>
      <c r="I330" s="1" t="s">
        <v>714</v>
      </c>
      <c r="J330" s="1" t="s">
        <v>1723</v>
      </c>
      <c r="K330" s="1" t="s">
        <v>2257</v>
      </c>
      <c r="L330" s="1" t="s">
        <v>1531</v>
      </c>
      <c r="M330" s="1" t="s">
        <v>718</v>
      </c>
    </row>
    <row r="331" customFormat="false" ht="15" hidden="false" customHeight="false" outlineLevel="0" collapsed="false">
      <c r="A331" s="1" t="s">
        <v>2258</v>
      </c>
      <c r="B331" s="1" t="s">
        <v>2259</v>
      </c>
      <c r="C331" s="1" t="s">
        <v>2260</v>
      </c>
      <c r="D331" s="2" t="n">
        <v>35836</v>
      </c>
      <c r="E331" s="1" t="s">
        <v>763</v>
      </c>
      <c r="F331" s="1" t="s">
        <v>711</v>
      </c>
      <c r="G331" s="1" t="s">
        <v>722</v>
      </c>
      <c r="H331" s="1" t="s">
        <v>713</v>
      </c>
      <c r="I331" s="1" t="s">
        <v>714</v>
      </c>
      <c r="J331" s="1" t="s">
        <v>838</v>
      </c>
      <c r="K331" s="1" t="s">
        <v>716</v>
      </c>
      <c r="L331" s="1" t="s">
        <v>2261</v>
      </c>
      <c r="M331" s="1" t="s">
        <v>718</v>
      </c>
    </row>
    <row r="332" customFormat="false" ht="15" hidden="false" customHeight="false" outlineLevel="0" collapsed="false">
      <c r="A332" s="1" t="s">
        <v>2262</v>
      </c>
      <c r="B332" s="1" t="s">
        <v>2263</v>
      </c>
      <c r="C332" s="1" t="s">
        <v>1610</v>
      </c>
      <c r="D332" s="2" t="n">
        <v>35698</v>
      </c>
      <c r="E332" s="1" t="s">
        <v>710</v>
      </c>
      <c r="F332" s="1" t="s">
        <v>711</v>
      </c>
      <c r="G332" s="1" t="s">
        <v>722</v>
      </c>
      <c r="H332" s="1" t="s">
        <v>713</v>
      </c>
      <c r="I332" s="1" t="s">
        <v>714</v>
      </c>
      <c r="J332" s="1" t="s">
        <v>1398</v>
      </c>
      <c r="K332" s="1" t="s">
        <v>2264</v>
      </c>
      <c r="L332" s="1" t="s">
        <v>1707</v>
      </c>
      <c r="M332" s="1" t="s">
        <v>718</v>
      </c>
    </row>
    <row r="333" customFormat="false" ht="15" hidden="false" customHeight="false" outlineLevel="0" collapsed="false">
      <c r="A333" s="1" t="s">
        <v>2265</v>
      </c>
      <c r="B333" s="1" t="s">
        <v>2266</v>
      </c>
      <c r="C333" s="1" t="s">
        <v>2267</v>
      </c>
      <c r="D333" s="2" t="n">
        <v>35555</v>
      </c>
      <c r="E333" s="1" t="s">
        <v>710</v>
      </c>
      <c r="F333" s="1" t="s">
        <v>711</v>
      </c>
      <c r="G333" s="1" t="s">
        <v>712</v>
      </c>
      <c r="H333" s="1" t="s">
        <v>713</v>
      </c>
      <c r="I333" s="1" t="s">
        <v>714</v>
      </c>
      <c r="J333" s="1" t="s">
        <v>2268</v>
      </c>
      <c r="K333" s="1" t="s">
        <v>2269</v>
      </c>
      <c r="L333" s="1" t="s">
        <v>2270</v>
      </c>
      <c r="M333" s="1" t="s">
        <v>718</v>
      </c>
    </row>
    <row r="334" customFormat="false" ht="15" hidden="false" customHeight="false" outlineLevel="0" collapsed="false">
      <c r="A334" s="1" t="s">
        <v>2271</v>
      </c>
      <c r="B334" s="1" t="s">
        <v>2272</v>
      </c>
      <c r="C334" s="1" t="s">
        <v>1518</v>
      </c>
      <c r="D334" s="2" t="n">
        <v>35916</v>
      </c>
      <c r="E334" s="1" t="s">
        <v>763</v>
      </c>
      <c r="F334" s="1" t="s">
        <v>711</v>
      </c>
      <c r="G334" s="1" t="s">
        <v>2273</v>
      </c>
      <c r="H334" s="1" t="s">
        <v>713</v>
      </c>
      <c r="I334" s="1" t="s">
        <v>714</v>
      </c>
      <c r="J334" s="1" t="s">
        <v>2274</v>
      </c>
      <c r="K334" s="1" t="s">
        <v>2275</v>
      </c>
      <c r="L334" s="1" t="s">
        <v>2276</v>
      </c>
      <c r="M334" s="1" t="s">
        <v>718</v>
      </c>
    </row>
    <row r="335" customFormat="false" ht="15" hidden="false" customHeight="false" outlineLevel="0" collapsed="false">
      <c r="A335" s="1" t="s">
        <v>2277</v>
      </c>
      <c r="B335" s="1" t="s">
        <v>2278</v>
      </c>
      <c r="C335" s="1" t="s">
        <v>1928</v>
      </c>
      <c r="D335" s="2" t="n">
        <v>35717</v>
      </c>
      <c r="E335" s="1" t="s">
        <v>763</v>
      </c>
      <c r="F335" s="1" t="s">
        <v>711</v>
      </c>
      <c r="G335" s="1" t="s">
        <v>722</v>
      </c>
      <c r="H335" s="1" t="s">
        <v>713</v>
      </c>
      <c r="I335" s="1" t="s">
        <v>714</v>
      </c>
      <c r="J335" s="1" t="s">
        <v>821</v>
      </c>
      <c r="K335" s="1" t="s">
        <v>2279</v>
      </c>
      <c r="L335" s="1" t="s">
        <v>834</v>
      </c>
      <c r="M335" s="1" t="s">
        <v>718</v>
      </c>
    </row>
    <row r="336" customFormat="false" ht="15" hidden="false" customHeight="false" outlineLevel="0" collapsed="false">
      <c r="A336" s="1" t="s">
        <v>2280</v>
      </c>
      <c r="B336" s="1" t="s">
        <v>2281</v>
      </c>
      <c r="C336" s="1" t="s">
        <v>2282</v>
      </c>
      <c r="D336" s="2" t="n">
        <v>35026</v>
      </c>
      <c r="E336" s="1" t="s">
        <v>763</v>
      </c>
      <c r="F336" s="1" t="s">
        <v>711</v>
      </c>
      <c r="G336" s="1" t="s">
        <v>712</v>
      </c>
      <c r="H336" s="1" t="s">
        <v>713</v>
      </c>
      <c r="I336" s="1" t="s">
        <v>714</v>
      </c>
      <c r="J336" s="1" t="s">
        <v>1723</v>
      </c>
      <c r="K336" s="1" t="s">
        <v>2283</v>
      </c>
      <c r="L336" s="1" t="s">
        <v>2284</v>
      </c>
      <c r="M336" s="1" t="s">
        <v>718</v>
      </c>
    </row>
    <row r="337" customFormat="false" ht="15" hidden="false" customHeight="false" outlineLevel="0" collapsed="false">
      <c r="A337" s="1" t="s">
        <v>2285</v>
      </c>
      <c r="B337" s="1" t="s">
        <v>2286</v>
      </c>
      <c r="C337" s="1" t="s">
        <v>2287</v>
      </c>
      <c r="D337" s="2" t="n">
        <v>36074</v>
      </c>
      <c r="E337" s="1" t="s">
        <v>710</v>
      </c>
      <c r="F337" s="1" t="s">
        <v>711</v>
      </c>
      <c r="G337" s="1" t="s">
        <v>712</v>
      </c>
      <c r="H337" s="1" t="s">
        <v>713</v>
      </c>
      <c r="I337" s="1" t="s">
        <v>714</v>
      </c>
      <c r="J337" s="1" t="s">
        <v>1055</v>
      </c>
      <c r="K337" s="1" t="s">
        <v>2288</v>
      </c>
      <c r="L337" s="1" t="s">
        <v>2289</v>
      </c>
      <c r="M337" s="1" t="s">
        <v>718</v>
      </c>
    </row>
    <row r="338" customFormat="false" ht="15" hidden="false" customHeight="false" outlineLevel="0" collapsed="false">
      <c r="A338" s="1" t="s">
        <v>2290</v>
      </c>
      <c r="B338" s="1" t="s">
        <v>2291</v>
      </c>
      <c r="C338" s="1" t="s">
        <v>2292</v>
      </c>
      <c r="D338" s="2" t="n">
        <v>35818</v>
      </c>
      <c r="E338" s="1" t="s">
        <v>710</v>
      </c>
      <c r="F338" s="1" t="s">
        <v>711</v>
      </c>
      <c r="G338" s="1" t="s">
        <v>722</v>
      </c>
      <c r="H338" s="1" t="s">
        <v>713</v>
      </c>
      <c r="I338" s="1" t="s">
        <v>714</v>
      </c>
      <c r="J338" s="1" t="s">
        <v>838</v>
      </c>
      <c r="K338" s="1" t="s">
        <v>2293</v>
      </c>
      <c r="L338" s="1" t="s">
        <v>2294</v>
      </c>
      <c r="M338" s="1" t="s">
        <v>718</v>
      </c>
    </row>
    <row r="339" customFormat="false" ht="15" hidden="false" customHeight="false" outlineLevel="0" collapsed="false">
      <c r="A339" s="1" t="s">
        <v>2295</v>
      </c>
      <c r="B339" s="1" t="s">
        <v>2296</v>
      </c>
      <c r="C339" s="1" t="s">
        <v>2297</v>
      </c>
      <c r="D339" s="2" t="n">
        <v>36084</v>
      </c>
      <c r="E339" s="1" t="s">
        <v>763</v>
      </c>
      <c r="F339" s="1" t="s">
        <v>711</v>
      </c>
      <c r="G339" s="1" t="s">
        <v>722</v>
      </c>
      <c r="H339" s="1" t="s">
        <v>713</v>
      </c>
      <c r="I339" s="1" t="s">
        <v>714</v>
      </c>
      <c r="J339" s="1" t="s">
        <v>2298</v>
      </c>
      <c r="K339" s="1" t="s">
        <v>2299</v>
      </c>
      <c r="L339" s="1" t="s">
        <v>2300</v>
      </c>
      <c r="M339" s="1" t="s">
        <v>718</v>
      </c>
    </row>
    <row r="340" customFormat="false" ht="15" hidden="false" customHeight="false" outlineLevel="0" collapsed="false">
      <c r="A340" s="1" t="s">
        <v>2301</v>
      </c>
      <c r="B340" s="1" t="s">
        <v>2302</v>
      </c>
      <c r="C340" s="1" t="s">
        <v>2303</v>
      </c>
      <c r="D340" s="2" t="n">
        <v>35878</v>
      </c>
      <c r="E340" s="1" t="s">
        <v>710</v>
      </c>
      <c r="F340" s="1" t="s">
        <v>711</v>
      </c>
      <c r="G340" s="1" t="s">
        <v>722</v>
      </c>
      <c r="H340" s="1" t="s">
        <v>713</v>
      </c>
      <c r="I340" s="1" t="s">
        <v>714</v>
      </c>
      <c r="J340" s="1" t="s">
        <v>2298</v>
      </c>
      <c r="K340" s="1" t="s">
        <v>2304</v>
      </c>
      <c r="L340" s="1" t="s">
        <v>2305</v>
      </c>
      <c r="M340" s="1" t="s">
        <v>718</v>
      </c>
    </row>
    <row r="341" customFormat="false" ht="15" hidden="false" customHeight="false" outlineLevel="0" collapsed="false">
      <c r="A341" s="1" t="s">
        <v>2306</v>
      </c>
      <c r="B341" s="1" t="s">
        <v>900</v>
      </c>
      <c r="C341" s="1" t="s">
        <v>2307</v>
      </c>
      <c r="D341" s="2" t="n">
        <v>36115</v>
      </c>
      <c r="E341" s="1" t="s">
        <v>710</v>
      </c>
      <c r="F341" s="1" t="s">
        <v>711</v>
      </c>
      <c r="G341" s="1" t="s">
        <v>722</v>
      </c>
      <c r="H341" s="1" t="s">
        <v>713</v>
      </c>
      <c r="I341" s="1" t="s">
        <v>714</v>
      </c>
      <c r="J341" s="1" t="s">
        <v>2298</v>
      </c>
      <c r="K341" s="1" t="s">
        <v>2308</v>
      </c>
      <c r="L341" s="1" t="s">
        <v>2309</v>
      </c>
      <c r="M341" s="1" t="s">
        <v>718</v>
      </c>
    </row>
    <row r="342" customFormat="false" ht="15" hidden="false" customHeight="false" outlineLevel="0" collapsed="false">
      <c r="A342" s="1" t="s">
        <v>2310</v>
      </c>
      <c r="B342" s="1" t="s">
        <v>2311</v>
      </c>
      <c r="C342" s="1" t="s">
        <v>2312</v>
      </c>
      <c r="D342" s="2" t="n">
        <v>36085</v>
      </c>
      <c r="E342" s="1" t="s">
        <v>763</v>
      </c>
      <c r="F342" s="1" t="s">
        <v>711</v>
      </c>
      <c r="G342" s="1" t="s">
        <v>722</v>
      </c>
      <c r="H342" s="1" t="s">
        <v>713</v>
      </c>
      <c r="I342" s="1" t="s">
        <v>714</v>
      </c>
      <c r="J342" s="1" t="s">
        <v>1723</v>
      </c>
      <c r="K342" s="1" t="s">
        <v>2313</v>
      </c>
      <c r="L342" s="1" t="s">
        <v>2314</v>
      </c>
      <c r="M342" s="1" t="s">
        <v>718</v>
      </c>
    </row>
    <row r="343" customFormat="false" ht="15" hidden="false" customHeight="false" outlineLevel="0" collapsed="false">
      <c r="A343" s="1" t="s">
        <v>2315</v>
      </c>
      <c r="B343" s="1" t="s">
        <v>2316</v>
      </c>
      <c r="C343" s="1" t="s">
        <v>1206</v>
      </c>
      <c r="D343" s="2" t="n">
        <v>36074</v>
      </c>
      <c r="E343" s="1" t="s">
        <v>710</v>
      </c>
      <c r="F343" s="1" t="s">
        <v>711</v>
      </c>
      <c r="G343" s="1" t="s">
        <v>722</v>
      </c>
      <c r="H343" s="1" t="s">
        <v>713</v>
      </c>
      <c r="I343" s="1" t="s">
        <v>714</v>
      </c>
      <c r="J343" s="1" t="s">
        <v>2150</v>
      </c>
      <c r="K343" s="1" t="s">
        <v>2317</v>
      </c>
      <c r="L343" s="1" t="s">
        <v>1207</v>
      </c>
      <c r="M343" s="1" t="s">
        <v>718</v>
      </c>
    </row>
    <row r="344" customFormat="false" ht="15" hidden="false" customHeight="false" outlineLevel="0" collapsed="false">
      <c r="A344" s="1" t="s">
        <v>2318</v>
      </c>
      <c r="B344" s="1" t="s">
        <v>2319</v>
      </c>
      <c r="C344" s="1" t="s">
        <v>2320</v>
      </c>
      <c r="D344" s="2" t="n">
        <v>36111</v>
      </c>
      <c r="E344" s="1" t="s">
        <v>710</v>
      </c>
      <c r="F344" s="1" t="s">
        <v>711</v>
      </c>
      <c r="G344" s="1" t="s">
        <v>1450</v>
      </c>
      <c r="H344" s="1" t="s">
        <v>713</v>
      </c>
      <c r="I344" s="1" t="s">
        <v>714</v>
      </c>
      <c r="J344" s="1" t="s">
        <v>2321</v>
      </c>
      <c r="K344" s="1" t="s">
        <v>2322</v>
      </c>
      <c r="L344" s="1" t="s">
        <v>2323</v>
      </c>
      <c r="M344" s="1" t="s">
        <v>718</v>
      </c>
    </row>
    <row r="345" customFormat="false" ht="15" hidden="false" customHeight="false" outlineLevel="0" collapsed="false">
      <c r="A345" s="1" t="s">
        <v>2324</v>
      </c>
      <c r="B345" s="1" t="s">
        <v>2325</v>
      </c>
      <c r="C345" s="1" t="s">
        <v>2326</v>
      </c>
      <c r="D345" s="2" t="n">
        <v>36212</v>
      </c>
      <c r="E345" s="1" t="s">
        <v>710</v>
      </c>
      <c r="F345" s="1" t="s">
        <v>711</v>
      </c>
      <c r="G345" s="1" t="s">
        <v>712</v>
      </c>
      <c r="H345" s="1" t="s">
        <v>713</v>
      </c>
      <c r="I345" s="1" t="s">
        <v>714</v>
      </c>
      <c r="J345" s="1" t="s">
        <v>2150</v>
      </c>
      <c r="K345" s="1" t="s">
        <v>716</v>
      </c>
      <c r="L345" s="1" t="s">
        <v>2327</v>
      </c>
      <c r="M345" s="1" t="s">
        <v>718</v>
      </c>
    </row>
    <row r="346" customFormat="false" ht="15" hidden="false" customHeight="false" outlineLevel="0" collapsed="false">
      <c r="A346" s="1" t="s">
        <v>2328</v>
      </c>
      <c r="B346" s="1" t="s">
        <v>2329</v>
      </c>
      <c r="C346" s="1" t="s">
        <v>2330</v>
      </c>
      <c r="D346" s="2" t="n">
        <v>35814</v>
      </c>
      <c r="E346" s="1" t="s">
        <v>710</v>
      </c>
      <c r="F346" s="1" t="s">
        <v>711</v>
      </c>
      <c r="G346" s="1" t="s">
        <v>722</v>
      </c>
      <c r="H346" s="1" t="s">
        <v>713</v>
      </c>
      <c r="I346" s="1" t="s">
        <v>714</v>
      </c>
      <c r="J346" s="1" t="s">
        <v>838</v>
      </c>
      <c r="K346" s="1" t="s">
        <v>2331</v>
      </c>
      <c r="L346" s="1" t="s">
        <v>2332</v>
      </c>
      <c r="M346" s="1" t="s">
        <v>718</v>
      </c>
    </row>
    <row r="347" customFormat="false" ht="15" hidden="false" customHeight="false" outlineLevel="0" collapsed="false">
      <c r="A347" s="1" t="s">
        <v>2333</v>
      </c>
      <c r="B347" s="1" t="s">
        <v>2334</v>
      </c>
      <c r="C347" s="1" t="s">
        <v>2335</v>
      </c>
      <c r="D347" s="2" t="n">
        <v>36117</v>
      </c>
      <c r="E347" s="1" t="s">
        <v>763</v>
      </c>
      <c r="F347" s="1" t="s">
        <v>711</v>
      </c>
      <c r="G347" s="1" t="s">
        <v>712</v>
      </c>
      <c r="H347" s="1" t="s">
        <v>713</v>
      </c>
      <c r="I347" s="1" t="s">
        <v>714</v>
      </c>
      <c r="J347" s="1" t="s">
        <v>1244</v>
      </c>
      <c r="K347" s="1" t="s">
        <v>2336</v>
      </c>
      <c r="L347" s="1" t="s">
        <v>2337</v>
      </c>
      <c r="M347" s="1" t="s">
        <v>718</v>
      </c>
    </row>
    <row r="348" customFormat="false" ht="15" hidden="false" customHeight="false" outlineLevel="0" collapsed="false">
      <c r="A348" s="1" t="s">
        <v>2338</v>
      </c>
      <c r="B348" s="1" t="s">
        <v>2339</v>
      </c>
      <c r="C348" s="1" t="s">
        <v>2340</v>
      </c>
      <c r="D348" s="2" t="n">
        <v>36188</v>
      </c>
      <c r="E348" s="1" t="s">
        <v>710</v>
      </c>
      <c r="F348" s="1" t="s">
        <v>711</v>
      </c>
      <c r="G348" s="1" t="s">
        <v>712</v>
      </c>
      <c r="H348" s="1" t="s">
        <v>713</v>
      </c>
      <c r="I348" s="1" t="s">
        <v>714</v>
      </c>
      <c r="J348" s="1" t="s">
        <v>1530</v>
      </c>
      <c r="K348" s="1" t="s">
        <v>2341</v>
      </c>
      <c r="L348" s="1" t="s">
        <v>2342</v>
      </c>
      <c r="M348" s="1" t="s">
        <v>718</v>
      </c>
    </row>
    <row r="349" customFormat="false" ht="15" hidden="false" customHeight="false" outlineLevel="0" collapsed="false">
      <c r="A349" s="1" t="s">
        <v>2343</v>
      </c>
      <c r="B349" s="1" t="s">
        <v>2344</v>
      </c>
      <c r="C349" s="1" t="s">
        <v>2345</v>
      </c>
      <c r="D349" s="2" t="n">
        <v>36270</v>
      </c>
      <c r="E349" s="1" t="s">
        <v>710</v>
      </c>
      <c r="F349" s="1" t="s">
        <v>711</v>
      </c>
      <c r="G349" s="1" t="s">
        <v>722</v>
      </c>
      <c r="H349" s="1" t="s">
        <v>713</v>
      </c>
      <c r="I349" s="1" t="s">
        <v>714</v>
      </c>
      <c r="J349" s="1" t="s">
        <v>1505</v>
      </c>
      <c r="K349" s="1" t="s">
        <v>2346</v>
      </c>
      <c r="L349" s="1" t="s">
        <v>2347</v>
      </c>
      <c r="M349" s="1" t="s">
        <v>718</v>
      </c>
    </row>
    <row r="350" customFormat="false" ht="15" hidden="false" customHeight="false" outlineLevel="0" collapsed="false">
      <c r="A350" s="1" t="s">
        <v>2348</v>
      </c>
      <c r="B350" s="1" t="s">
        <v>2349</v>
      </c>
      <c r="C350" s="1" t="s">
        <v>2350</v>
      </c>
      <c r="D350" s="2" t="n">
        <v>36280</v>
      </c>
      <c r="E350" s="1" t="s">
        <v>710</v>
      </c>
      <c r="F350" s="1" t="s">
        <v>711</v>
      </c>
      <c r="G350" s="1" t="s">
        <v>722</v>
      </c>
      <c r="H350" s="1" t="s">
        <v>713</v>
      </c>
      <c r="I350" s="1" t="s">
        <v>714</v>
      </c>
      <c r="J350" s="1" t="s">
        <v>838</v>
      </c>
      <c r="K350" s="1" t="s">
        <v>2351</v>
      </c>
      <c r="L350" s="1" t="s">
        <v>2352</v>
      </c>
      <c r="M350" s="1" t="s">
        <v>718</v>
      </c>
    </row>
    <row r="351" customFormat="false" ht="15" hidden="false" customHeight="false" outlineLevel="0" collapsed="false">
      <c r="A351" s="1" t="s">
        <v>2353</v>
      </c>
      <c r="B351" s="1" t="s">
        <v>2354</v>
      </c>
      <c r="C351" s="1" t="s">
        <v>2355</v>
      </c>
      <c r="D351" s="2" t="n">
        <v>36304</v>
      </c>
      <c r="E351" s="1" t="s">
        <v>763</v>
      </c>
      <c r="F351" s="1" t="s">
        <v>711</v>
      </c>
      <c r="G351" s="1" t="s">
        <v>712</v>
      </c>
      <c r="H351" s="1" t="s">
        <v>713</v>
      </c>
      <c r="I351" s="1" t="s">
        <v>714</v>
      </c>
      <c r="J351" s="1" t="s">
        <v>821</v>
      </c>
      <c r="K351" s="1" t="s">
        <v>2356</v>
      </c>
      <c r="L351" s="1" t="s">
        <v>2357</v>
      </c>
      <c r="M351" s="1" t="s">
        <v>718</v>
      </c>
    </row>
    <row r="352" customFormat="false" ht="15" hidden="false" customHeight="false" outlineLevel="0" collapsed="false">
      <c r="A352" s="1" t="s">
        <v>2358</v>
      </c>
      <c r="B352" s="1" t="s">
        <v>2359</v>
      </c>
      <c r="C352" s="1" t="s">
        <v>2360</v>
      </c>
      <c r="D352" s="2" t="n">
        <v>36111</v>
      </c>
      <c r="E352" s="1" t="s">
        <v>763</v>
      </c>
      <c r="F352" s="1" t="s">
        <v>711</v>
      </c>
      <c r="G352" s="1" t="s">
        <v>722</v>
      </c>
      <c r="H352" s="1" t="s">
        <v>713</v>
      </c>
      <c r="I352" s="1" t="s">
        <v>714</v>
      </c>
      <c r="J352" s="1" t="s">
        <v>1244</v>
      </c>
      <c r="K352" s="1" t="s">
        <v>2361</v>
      </c>
      <c r="L352" s="1" t="s">
        <v>2362</v>
      </c>
      <c r="M352" s="1" t="s">
        <v>718</v>
      </c>
    </row>
    <row r="353" customFormat="false" ht="15" hidden="false" customHeight="false" outlineLevel="0" collapsed="false">
      <c r="A353" s="1" t="s">
        <v>2363</v>
      </c>
      <c r="B353" s="1" t="s">
        <v>900</v>
      </c>
      <c r="C353" s="1" t="s">
        <v>2364</v>
      </c>
      <c r="D353" s="2" t="n">
        <v>35798</v>
      </c>
      <c r="E353" s="1" t="s">
        <v>710</v>
      </c>
      <c r="F353" s="1" t="s">
        <v>711</v>
      </c>
      <c r="G353" s="1" t="s">
        <v>722</v>
      </c>
      <c r="H353" s="1" t="s">
        <v>713</v>
      </c>
      <c r="I353" s="1" t="s">
        <v>714</v>
      </c>
      <c r="J353" s="1" t="s">
        <v>1505</v>
      </c>
      <c r="K353" s="1" t="s">
        <v>2365</v>
      </c>
      <c r="L353" s="1" t="s">
        <v>2366</v>
      </c>
      <c r="M353" s="1" t="s">
        <v>718</v>
      </c>
    </row>
    <row r="354" customFormat="false" ht="15" hidden="false" customHeight="false" outlineLevel="0" collapsed="false">
      <c r="A354" s="1" t="s">
        <v>2367</v>
      </c>
      <c r="B354" s="1" t="s">
        <v>2368</v>
      </c>
      <c r="C354" s="1" t="s">
        <v>2369</v>
      </c>
      <c r="D354" s="2" t="n">
        <v>36148</v>
      </c>
      <c r="E354" s="1" t="s">
        <v>763</v>
      </c>
      <c r="F354" s="1" t="s">
        <v>711</v>
      </c>
      <c r="G354" s="1" t="s">
        <v>712</v>
      </c>
      <c r="H354" s="1" t="s">
        <v>713</v>
      </c>
      <c r="I354" s="1" t="s">
        <v>714</v>
      </c>
      <c r="J354" s="1" t="s">
        <v>2370</v>
      </c>
      <c r="K354" s="1" t="s">
        <v>2371</v>
      </c>
      <c r="L354" s="1" t="s">
        <v>2372</v>
      </c>
      <c r="M354" s="1" t="s">
        <v>718</v>
      </c>
    </row>
    <row r="355" customFormat="false" ht="15" hidden="false" customHeight="false" outlineLevel="0" collapsed="false">
      <c r="A355" s="1" t="s">
        <v>2373</v>
      </c>
      <c r="B355" s="1" t="s">
        <v>2374</v>
      </c>
      <c r="C355" s="1" t="s">
        <v>2375</v>
      </c>
      <c r="D355" s="2" t="n">
        <v>36320</v>
      </c>
      <c r="E355" s="1" t="s">
        <v>710</v>
      </c>
      <c r="F355" s="1" t="s">
        <v>711</v>
      </c>
      <c r="G355" s="1" t="s">
        <v>712</v>
      </c>
      <c r="H355" s="1" t="s">
        <v>713</v>
      </c>
      <c r="I355" s="1" t="s">
        <v>714</v>
      </c>
      <c r="J355" s="1" t="s">
        <v>821</v>
      </c>
      <c r="K355" s="1" t="s">
        <v>2376</v>
      </c>
      <c r="L355" s="1" t="s">
        <v>2377</v>
      </c>
      <c r="M355" s="1" t="s">
        <v>718</v>
      </c>
    </row>
    <row r="356" customFormat="false" ht="15" hidden="false" customHeight="false" outlineLevel="0" collapsed="false">
      <c r="A356" s="1" t="s">
        <v>2378</v>
      </c>
      <c r="B356" s="1" t="s">
        <v>2379</v>
      </c>
      <c r="C356" s="1" t="s">
        <v>2380</v>
      </c>
      <c r="D356" s="2" t="n">
        <v>36077</v>
      </c>
      <c r="E356" s="1" t="s">
        <v>763</v>
      </c>
      <c r="F356" s="1" t="s">
        <v>711</v>
      </c>
      <c r="G356" s="1" t="s">
        <v>722</v>
      </c>
      <c r="H356" s="1" t="s">
        <v>713</v>
      </c>
      <c r="I356" s="1" t="s">
        <v>714</v>
      </c>
      <c r="J356" s="1" t="s">
        <v>838</v>
      </c>
      <c r="K356" s="1" t="s">
        <v>2381</v>
      </c>
      <c r="L356" s="1" t="s">
        <v>2382</v>
      </c>
      <c r="M356" s="1" t="s">
        <v>718</v>
      </c>
    </row>
    <row r="357" customFormat="false" ht="15" hidden="false" customHeight="false" outlineLevel="0" collapsed="false">
      <c r="A357" s="1" t="s">
        <v>2383</v>
      </c>
      <c r="B357" s="1" t="s">
        <v>2384</v>
      </c>
      <c r="C357" s="1" t="s">
        <v>2385</v>
      </c>
      <c r="D357" s="2" t="n">
        <v>36230</v>
      </c>
      <c r="E357" s="1" t="s">
        <v>763</v>
      </c>
      <c r="F357" s="1" t="s">
        <v>711</v>
      </c>
      <c r="G357" s="1" t="s">
        <v>2386</v>
      </c>
      <c r="H357" s="1" t="s">
        <v>2387</v>
      </c>
      <c r="I357" s="1" t="s">
        <v>2388</v>
      </c>
      <c r="J357" s="1" t="s">
        <v>2150</v>
      </c>
      <c r="K357" s="1" t="s">
        <v>2389</v>
      </c>
      <c r="L357" s="1" t="s">
        <v>2390</v>
      </c>
      <c r="M357" s="1" t="s">
        <v>718</v>
      </c>
    </row>
    <row r="358" customFormat="false" ht="15" hidden="false" customHeight="false" outlineLevel="0" collapsed="false">
      <c r="A358" s="1" t="s">
        <v>2391</v>
      </c>
      <c r="B358" s="1" t="s">
        <v>2392</v>
      </c>
      <c r="C358" s="1" t="s">
        <v>1610</v>
      </c>
      <c r="D358" s="2" t="n">
        <v>36160</v>
      </c>
      <c r="E358" s="1" t="s">
        <v>710</v>
      </c>
      <c r="F358" s="1" t="s">
        <v>711</v>
      </c>
      <c r="G358" s="1" t="s">
        <v>722</v>
      </c>
      <c r="H358" s="1" t="s">
        <v>713</v>
      </c>
      <c r="I358" s="1" t="s">
        <v>714</v>
      </c>
      <c r="J358" s="1" t="s">
        <v>886</v>
      </c>
      <c r="K358" s="1" t="s">
        <v>2393</v>
      </c>
      <c r="L358" s="1" t="s">
        <v>1612</v>
      </c>
      <c r="M358" s="1" t="s">
        <v>718</v>
      </c>
    </row>
    <row r="359" customFormat="false" ht="15" hidden="false" customHeight="false" outlineLevel="0" collapsed="false">
      <c r="A359" s="1" t="s">
        <v>2394</v>
      </c>
      <c r="B359" s="1" t="s">
        <v>2395</v>
      </c>
      <c r="C359" s="1" t="s">
        <v>2396</v>
      </c>
      <c r="D359" s="2" t="n">
        <v>36212</v>
      </c>
      <c r="E359" s="1" t="s">
        <v>710</v>
      </c>
      <c r="F359" s="1" t="s">
        <v>711</v>
      </c>
      <c r="G359" s="1" t="s">
        <v>712</v>
      </c>
      <c r="H359" s="1" t="s">
        <v>713</v>
      </c>
      <c r="I359" s="1" t="s">
        <v>714</v>
      </c>
      <c r="J359" s="1" t="s">
        <v>1114</v>
      </c>
      <c r="K359" s="1" t="s">
        <v>2397</v>
      </c>
      <c r="L359" s="1" t="s">
        <v>2398</v>
      </c>
      <c r="M359" s="1" t="s">
        <v>718</v>
      </c>
    </row>
    <row r="360" customFormat="false" ht="15" hidden="false" customHeight="false" outlineLevel="0" collapsed="false">
      <c r="A360" s="1" t="s">
        <v>2399</v>
      </c>
      <c r="B360" s="1" t="s">
        <v>2400</v>
      </c>
      <c r="C360" s="1" t="s">
        <v>2401</v>
      </c>
      <c r="D360" s="2" t="n">
        <v>36373</v>
      </c>
      <c r="E360" s="1" t="s">
        <v>763</v>
      </c>
      <c r="F360" s="1" t="s">
        <v>711</v>
      </c>
      <c r="G360" s="1" t="s">
        <v>722</v>
      </c>
      <c r="H360" s="1" t="s">
        <v>713</v>
      </c>
      <c r="I360" s="1" t="s">
        <v>714</v>
      </c>
      <c r="J360" s="1" t="s">
        <v>751</v>
      </c>
      <c r="K360" s="1" t="s">
        <v>2402</v>
      </c>
      <c r="L360" s="1" t="s">
        <v>2403</v>
      </c>
      <c r="M360" s="1" t="s">
        <v>718</v>
      </c>
    </row>
    <row r="361" customFormat="false" ht="15" hidden="false" customHeight="false" outlineLevel="0" collapsed="false">
      <c r="A361" s="1" t="s">
        <v>2404</v>
      </c>
      <c r="B361" s="1" t="s">
        <v>2405</v>
      </c>
      <c r="C361" s="1" t="s">
        <v>2406</v>
      </c>
      <c r="D361" s="2" t="n">
        <v>36258</v>
      </c>
      <c r="E361" s="1" t="s">
        <v>710</v>
      </c>
      <c r="F361" s="1" t="s">
        <v>711</v>
      </c>
      <c r="G361" s="1" t="s">
        <v>722</v>
      </c>
      <c r="H361" s="1" t="s">
        <v>713</v>
      </c>
      <c r="I361" s="1" t="s">
        <v>714</v>
      </c>
      <c r="J361" s="1" t="s">
        <v>821</v>
      </c>
      <c r="K361" s="1" t="s">
        <v>2407</v>
      </c>
      <c r="L361" s="1" t="s">
        <v>2408</v>
      </c>
      <c r="M361" s="1" t="s">
        <v>718</v>
      </c>
    </row>
    <row r="362" customFormat="false" ht="15" hidden="false" customHeight="false" outlineLevel="0" collapsed="false">
      <c r="A362" s="1" t="s">
        <v>2409</v>
      </c>
      <c r="B362" s="1" t="s">
        <v>2410</v>
      </c>
      <c r="C362" s="1" t="s">
        <v>2411</v>
      </c>
      <c r="D362" s="2" t="n">
        <v>36403</v>
      </c>
      <c r="E362" s="1" t="s">
        <v>710</v>
      </c>
      <c r="F362" s="1" t="s">
        <v>711</v>
      </c>
      <c r="G362" s="1" t="s">
        <v>712</v>
      </c>
      <c r="H362" s="1" t="s">
        <v>713</v>
      </c>
      <c r="I362" s="1" t="s">
        <v>714</v>
      </c>
      <c r="J362" s="1" t="s">
        <v>821</v>
      </c>
      <c r="K362" s="1" t="s">
        <v>2412</v>
      </c>
      <c r="L362" s="1" t="s">
        <v>2413</v>
      </c>
      <c r="M362" s="1" t="s">
        <v>718</v>
      </c>
    </row>
    <row r="363" customFormat="false" ht="15" hidden="false" customHeight="false" outlineLevel="0" collapsed="false">
      <c r="A363" s="1" t="s">
        <v>2414</v>
      </c>
      <c r="B363" s="1" t="s">
        <v>2415</v>
      </c>
      <c r="C363" s="1" t="s">
        <v>2416</v>
      </c>
      <c r="D363" s="2" t="n">
        <v>36219</v>
      </c>
      <c r="E363" s="1" t="s">
        <v>710</v>
      </c>
      <c r="F363" s="1" t="s">
        <v>711</v>
      </c>
      <c r="G363" s="1" t="s">
        <v>722</v>
      </c>
      <c r="H363" s="1" t="s">
        <v>713</v>
      </c>
      <c r="I363" s="1" t="s">
        <v>714</v>
      </c>
      <c r="J363" s="1" t="s">
        <v>2117</v>
      </c>
      <c r="K363" s="1" t="s">
        <v>2417</v>
      </c>
      <c r="L363" s="1" t="s">
        <v>2418</v>
      </c>
      <c r="M363" s="1" t="s">
        <v>718</v>
      </c>
    </row>
    <row r="364" customFormat="false" ht="15" hidden="false" customHeight="false" outlineLevel="0" collapsed="false">
      <c r="A364" s="1" t="s">
        <v>2419</v>
      </c>
      <c r="B364" s="1" t="s">
        <v>2420</v>
      </c>
      <c r="C364" s="1" t="s">
        <v>2421</v>
      </c>
      <c r="D364" s="2" t="n">
        <v>36024</v>
      </c>
      <c r="E364" s="1" t="s">
        <v>710</v>
      </c>
      <c r="F364" s="1" t="s">
        <v>711</v>
      </c>
      <c r="G364" s="1" t="s">
        <v>712</v>
      </c>
      <c r="H364" s="1" t="s">
        <v>713</v>
      </c>
      <c r="I364" s="1" t="s">
        <v>714</v>
      </c>
      <c r="J364" s="1" t="s">
        <v>715</v>
      </c>
      <c r="K364" s="1" t="s">
        <v>716</v>
      </c>
      <c r="L364" s="1" t="s">
        <v>2422</v>
      </c>
      <c r="M364" s="1" t="s">
        <v>718</v>
      </c>
    </row>
    <row r="365" customFormat="false" ht="15" hidden="false" customHeight="false" outlineLevel="0" collapsed="false">
      <c r="A365" s="1" t="s">
        <v>2423</v>
      </c>
      <c r="B365" s="1" t="s">
        <v>2424</v>
      </c>
      <c r="C365" s="1" t="s">
        <v>1139</v>
      </c>
      <c r="D365" s="2" t="n">
        <v>36299</v>
      </c>
      <c r="E365" s="1" t="s">
        <v>763</v>
      </c>
      <c r="F365" s="1" t="s">
        <v>711</v>
      </c>
      <c r="G365" s="1" t="s">
        <v>712</v>
      </c>
      <c r="H365" s="1" t="s">
        <v>713</v>
      </c>
      <c r="I365" s="1" t="s">
        <v>714</v>
      </c>
      <c r="J365" s="1" t="s">
        <v>838</v>
      </c>
      <c r="K365" s="1" t="s">
        <v>716</v>
      </c>
      <c r="L365" s="1" t="s">
        <v>2425</v>
      </c>
      <c r="M365" s="1" t="s">
        <v>718</v>
      </c>
    </row>
    <row r="366" customFormat="false" ht="15" hidden="false" customHeight="false" outlineLevel="0" collapsed="false">
      <c r="A366" s="1" t="s">
        <v>2426</v>
      </c>
      <c r="B366" s="1" t="s">
        <v>2427</v>
      </c>
      <c r="C366" s="1" t="s">
        <v>2428</v>
      </c>
      <c r="D366" s="2" t="n">
        <v>36342</v>
      </c>
      <c r="E366" s="1" t="s">
        <v>763</v>
      </c>
      <c r="F366" s="1" t="s">
        <v>711</v>
      </c>
      <c r="G366" s="1" t="s">
        <v>722</v>
      </c>
      <c r="H366" s="1" t="s">
        <v>713</v>
      </c>
      <c r="I366" s="1" t="s">
        <v>714</v>
      </c>
      <c r="J366" s="1" t="s">
        <v>978</v>
      </c>
      <c r="K366" s="1" t="s">
        <v>2429</v>
      </c>
      <c r="L366" s="1" t="s">
        <v>2430</v>
      </c>
      <c r="M366" s="1" t="s">
        <v>718</v>
      </c>
    </row>
    <row r="367" customFormat="false" ht="15" hidden="false" customHeight="false" outlineLevel="0" collapsed="false">
      <c r="A367" s="1" t="s">
        <v>2431</v>
      </c>
      <c r="B367" s="1" t="s">
        <v>2432</v>
      </c>
      <c r="C367" s="1" t="s">
        <v>2433</v>
      </c>
      <c r="D367" s="2" t="n">
        <v>35880</v>
      </c>
      <c r="E367" s="1" t="s">
        <v>710</v>
      </c>
      <c r="F367" s="1" t="s">
        <v>711</v>
      </c>
      <c r="G367" s="1" t="s">
        <v>722</v>
      </c>
      <c r="H367" s="1" t="s">
        <v>713</v>
      </c>
      <c r="I367" s="1" t="s">
        <v>714</v>
      </c>
      <c r="J367" s="1" t="s">
        <v>2150</v>
      </c>
      <c r="K367" s="1" t="s">
        <v>2434</v>
      </c>
      <c r="L367" s="1" t="s">
        <v>2435</v>
      </c>
      <c r="M367" s="1" t="s">
        <v>718</v>
      </c>
    </row>
    <row r="368" customFormat="false" ht="15" hidden="false" customHeight="false" outlineLevel="0" collapsed="false">
      <c r="A368" s="1" t="s">
        <v>2436</v>
      </c>
      <c r="B368" s="1" t="s">
        <v>2437</v>
      </c>
      <c r="C368" s="1" t="s">
        <v>1795</v>
      </c>
      <c r="D368" s="2" t="n">
        <v>35992</v>
      </c>
      <c r="E368" s="1" t="s">
        <v>710</v>
      </c>
      <c r="F368" s="1" t="s">
        <v>711</v>
      </c>
      <c r="G368" s="1" t="s">
        <v>712</v>
      </c>
      <c r="H368" s="1" t="s">
        <v>713</v>
      </c>
      <c r="I368" s="1" t="s">
        <v>714</v>
      </c>
      <c r="J368" s="1" t="s">
        <v>2438</v>
      </c>
      <c r="K368" s="1" t="s">
        <v>2439</v>
      </c>
      <c r="L368" s="1" t="s">
        <v>1797</v>
      </c>
      <c r="M368" s="1" t="s">
        <v>718</v>
      </c>
    </row>
    <row r="369" customFormat="false" ht="15" hidden="false" customHeight="false" outlineLevel="0" collapsed="false">
      <c r="A369" s="1" t="s">
        <v>2440</v>
      </c>
      <c r="B369" s="1" t="s">
        <v>2441</v>
      </c>
      <c r="C369" s="1" t="s">
        <v>2442</v>
      </c>
      <c r="D369" s="2" t="n">
        <v>36329</v>
      </c>
      <c r="E369" s="1" t="s">
        <v>763</v>
      </c>
      <c r="F369" s="1" t="s">
        <v>711</v>
      </c>
      <c r="G369" s="1" t="s">
        <v>722</v>
      </c>
      <c r="H369" s="1" t="s">
        <v>713</v>
      </c>
      <c r="I369" s="1" t="s">
        <v>714</v>
      </c>
      <c r="J369" s="1" t="s">
        <v>1505</v>
      </c>
      <c r="K369" s="1" t="s">
        <v>2443</v>
      </c>
      <c r="L369" s="1" t="s">
        <v>2444</v>
      </c>
      <c r="M369" s="1" t="s">
        <v>718</v>
      </c>
    </row>
    <row r="370" customFormat="false" ht="15" hidden="false" customHeight="false" outlineLevel="0" collapsed="false">
      <c r="A370" s="1" t="s">
        <v>2445</v>
      </c>
      <c r="B370" s="1" t="s">
        <v>2446</v>
      </c>
      <c r="C370" s="1" t="s">
        <v>2447</v>
      </c>
      <c r="D370" s="2" t="n">
        <v>36500</v>
      </c>
      <c r="E370" s="1" t="s">
        <v>763</v>
      </c>
      <c r="F370" s="1" t="s">
        <v>711</v>
      </c>
      <c r="G370" s="1" t="s">
        <v>722</v>
      </c>
      <c r="H370" s="1" t="s">
        <v>713</v>
      </c>
      <c r="I370" s="1" t="s">
        <v>714</v>
      </c>
      <c r="J370" s="1" t="s">
        <v>715</v>
      </c>
      <c r="K370" s="1" t="s">
        <v>2448</v>
      </c>
      <c r="L370" s="1" t="s">
        <v>2449</v>
      </c>
      <c r="M370" s="1" t="s">
        <v>718</v>
      </c>
    </row>
    <row r="371" customFormat="false" ht="15" hidden="false" customHeight="false" outlineLevel="0" collapsed="false">
      <c r="A371" s="1" t="s">
        <v>2450</v>
      </c>
      <c r="B371" s="1" t="s">
        <v>2451</v>
      </c>
      <c r="C371" s="1" t="s">
        <v>2452</v>
      </c>
      <c r="D371" s="2" t="n">
        <v>36132</v>
      </c>
      <c r="E371" s="1" t="s">
        <v>710</v>
      </c>
      <c r="F371" s="1" t="s">
        <v>711</v>
      </c>
      <c r="G371" s="1" t="s">
        <v>722</v>
      </c>
      <c r="H371" s="1" t="s">
        <v>713</v>
      </c>
      <c r="I371" s="1" t="s">
        <v>714</v>
      </c>
      <c r="J371" s="1" t="s">
        <v>1131</v>
      </c>
      <c r="K371" s="1" t="s">
        <v>2453</v>
      </c>
      <c r="L371" s="1" t="s">
        <v>2454</v>
      </c>
      <c r="M371" s="1" t="s">
        <v>718</v>
      </c>
    </row>
    <row r="372" customFormat="false" ht="15" hidden="false" customHeight="false" outlineLevel="0" collapsed="false">
      <c r="A372" s="1" t="s">
        <v>2455</v>
      </c>
      <c r="B372" s="1" t="s">
        <v>2456</v>
      </c>
      <c r="C372" s="1" t="s">
        <v>2457</v>
      </c>
      <c r="D372" s="2" t="n">
        <v>36309</v>
      </c>
      <c r="E372" s="1" t="s">
        <v>710</v>
      </c>
      <c r="F372" s="1" t="s">
        <v>711</v>
      </c>
      <c r="G372" s="1" t="s">
        <v>712</v>
      </c>
      <c r="H372" s="1" t="s">
        <v>713</v>
      </c>
      <c r="I372" s="1" t="s">
        <v>714</v>
      </c>
      <c r="J372" s="1" t="s">
        <v>2117</v>
      </c>
      <c r="K372" s="1" t="s">
        <v>2458</v>
      </c>
      <c r="L372" s="1" t="s">
        <v>2459</v>
      </c>
      <c r="M372" s="1" t="s">
        <v>718</v>
      </c>
    </row>
    <row r="373" customFormat="false" ht="15" hidden="false" customHeight="false" outlineLevel="0" collapsed="false">
      <c r="A373" s="1" t="s">
        <v>2460</v>
      </c>
      <c r="B373" s="1" t="s">
        <v>2461</v>
      </c>
      <c r="C373" s="1" t="s">
        <v>2462</v>
      </c>
      <c r="D373" s="2" t="n">
        <v>36231</v>
      </c>
      <c r="E373" s="1" t="s">
        <v>710</v>
      </c>
      <c r="F373" s="1" t="s">
        <v>711</v>
      </c>
      <c r="G373" s="1" t="s">
        <v>712</v>
      </c>
      <c r="H373" s="1" t="s">
        <v>713</v>
      </c>
      <c r="I373" s="1" t="s">
        <v>714</v>
      </c>
      <c r="J373" s="1" t="s">
        <v>821</v>
      </c>
      <c r="K373" s="1" t="s">
        <v>2463</v>
      </c>
      <c r="L373" s="1" t="s">
        <v>2464</v>
      </c>
      <c r="M373" s="1" t="s">
        <v>718</v>
      </c>
    </row>
    <row r="374" customFormat="false" ht="15" hidden="false" customHeight="false" outlineLevel="0" collapsed="false">
      <c r="A374" s="1" t="s">
        <v>2465</v>
      </c>
      <c r="B374" s="1" t="s">
        <v>2466</v>
      </c>
      <c r="C374" s="1" t="s">
        <v>804</v>
      </c>
      <c r="D374" s="2" t="n">
        <v>35703</v>
      </c>
      <c r="E374" s="1" t="s">
        <v>710</v>
      </c>
      <c r="F374" s="1" t="s">
        <v>711</v>
      </c>
      <c r="G374" s="1" t="s">
        <v>712</v>
      </c>
      <c r="H374" s="1" t="s">
        <v>713</v>
      </c>
      <c r="I374" s="1" t="s">
        <v>714</v>
      </c>
      <c r="J374" s="1" t="s">
        <v>1244</v>
      </c>
      <c r="K374" s="1" t="s">
        <v>2467</v>
      </c>
      <c r="L374" s="1" t="s">
        <v>933</v>
      </c>
      <c r="M374" s="1" t="s">
        <v>718</v>
      </c>
    </row>
    <row r="375" customFormat="false" ht="15" hidden="false" customHeight="false" outlineLevel="0" collapsed="false">
      <c r="A375" s="1" t="s">
        <v>2468</v>
      </c>
      <c r="B375" s="1" t="s">
        <v>2469</v>
      </c>
      <c r="C375" s="1" t="s">
        <v>2470</v>
      </c>
      <c r="D375" s="2" t="n">
        <v>36461</v>
      </c>
      <c r="E375" s="1" t="s">
        <v>763</v>
      </c>
      <c r="F375" s="1" t="s">
        <v>711</v>
      </c>
      <c r="G375" s="1" t="s">
        <v>712</v>
      </c>
      <c r="H375" s="1" t="s">
        <v>713</v>
      </c>
      <c r="I375" s="1" t="s">
        <v>714</v>
      </c>
      <c r="J375" s="1" t="s">
        <v>1723</v>
      </c>
      <c r="K375" s="1" t="s">
        <v>2471</v>
      </c>
      <c r="L375" s="1" t="s">
        <v>2472</v>
      </c>
      <c r="M375" s="1" t="s">
        <v>718</v>
      </c>
    </row>
    <row r="376" customFormat="false" ht="15" hidden="false" customHeight="false" outlineLevel="0" collapsed="false">
      <c r="A376" s="1" t="s">
        <v>2473</v>
      </c>
      <c r="B376" s="1" t="s">
        <v>2474</v>
      </c>
      <c r="C376" s="1" t="s">
        <v>1403</v>
      </c>
      <c r="D376" s="2" t="n">
        <v>36341</v>
      </c>
      <c r="E376" s="1" t="s">
        <v>763</v>
      </c>
      <c r="F376" s="1" t="s">
        <v>711</v>
      </c>
      <c r="G376" s="1" t="s">
        <v>722</v>
      </c>
      <c r="H376" s="1" t="s">
        <v>713</v>
      </c>
      <c r="I376" s="1" t="s">
        <v>714</v>
      </c>
      <c r="J376" s="1" t="s">
        <v>1055</v>
      </c>
      <c r="K376" s="1" t="s">
        <v>2475</v>
      </c>
      <c r="L376" s="1" t="s">
        <v>2476</v>
      </c>
      <c r="M376" s="1" t="s">
        <v>718</v>
      </c>
    </row>
    <row r="377" customFormat="false" ht="15" hidden="false" customHeight="false" outlineLevel="0" collapsed="false">
      <c r="A377" s="1" t="s">
        <v>2477</v>
      </c>
      <c r="B377" s="1" t="s">
        <v>2319</v>
      </c>
      <c r="C377" s="1" t="s">
        <v>2478</v>
      </c>
      <c r="D377" s="2" t="n">
        <v>36377</v>
      </c>
      <c r="E377" s="1" t="s">
        <v>710</v>
      </c>
      <c r="F377" s="1" t="s">
        <v>711</v>
      </c>
      <c r="G377" s="1" t="s">
        <v>712</v>
      </c>
      <c r="H377" s="1" t="s">
        <v>713</v>
      </c>
      <c r="I377" s="1" t="s">
        <v>714</v>
      </c>
      <c r="J377" s="1" t="s">
        <v>1244</v>
      </c>
      <c r="K377" s="1" t="s">
        <v>2479</v>
      </c>
      <c r="L377" s="1" t="s">
        <v>2480</v>
      </c>
      <c r="M377" s="1" t="s">
        <v>718</v>
      </c>
    </row>
    <row r="378" customFormat="false" ht="15" hidden="false" customHeight="false" outlineLevel="0" collapsed="false">
      <c r="A378" s="1" t="s">
        <v>2481</v>
      </c>
      <c r="B378" s="1" t="s">
        <v>2482</v>
      </c>
      <c r="C378" s="1" t="s">
        <v>2483</v>
      </c>
      <c r="D378" s="2" t="n">
        <v>36368</v>
      </c>
      <c r="E378" s="1" t="s">
        <v>763</v>
      </c>
      <c r="F378" s="1" t="s">
        <v>711</v>
      </c>
      <c r="G378" s="1" t="s">
        <v>722</v>
      </c>
      <c r="H378" s="1" t="s">
        <v>713</v>
      </c>
      <c r="I378" s="1" t="s">
        <v>714</v>
      </c>
      <c r="J378" s="1" t="s">
        <v>1723</v>
      </c>
      <c r="K378" s="1" t="s">
        <v>2484</v>
      </c>
      <c r="L378" s="1" t="s">
        <v>2485</v>
      </c>
      <c r="M378" s="1" t="s">
        <v>718</v>
      </c>
    </row>
    <row r="379" customFormat="false" ht="15" hidden="false" customHeight="false" outlineLevel="0" collapsed="false">
      <c r="A379" s="1" t="s">
        <v>2486</v>
      </c>
      <c r="B379" s="1" t="s">
        <v>2487</v>
      </c>
      <c r="C379" s="1" t="s">
        <v>2488</v>
      </c>
      <c r="D379" s="2" t="n">
        <v>36368</v>
      </c>
      <c r="E379" s="1" t="s">
        <v>710</v>
      </c>
      <c r="F379" s="1" t="s">
        <v>711</v>
      </c>
      <c r="G379" s="1" t="s">
        <v>712</v>
      </c>
      <c r="H379" s="1" t="s">
        <v>713</v>
      </c>
      <c r="I379" s="1" t="s">
        <v>714</v>
      </c>
      <c r="J379" s="1" t="s">
        <v>2150</v>
      </c>
      <c r="K379" s="1" t="s">
        <v>2489</v>
      </c>
      <c r="L379" s="1" t="s">
        <v>2490</v>
      </c>
      <c r="M379" s="1" t="s">
        <v>718</v>
      </c>
    </row>
    <row r="380" customFormat="false" ht="15" hidden="false" customHeight="false" outlineLevel="0" collapsed="false">
      <c r="A380" s="1" t="s">
        <v>2491</v>
      </c>
      <c r="B380" s="1" t="s">
        <v>2492</v>
      </c>
      <c r="C380" s="1" t="s">
        <v>2493</v>
      </c>
      <c r="D380" s="2" t="n">
        <v>36233</v>
      </c>
      <c r="E380" s="1" t="s">
        <v>763</v>
      </c>
      <c r="F380" s="1" t="s">
        <v>711</v>
      </c>
      <c r="G380" s="1" t="s">
        <v>712</v>
      </c>
      <c r="H380" s="1" t="s">
        <v>713</v>
      </c>
      <c r="I380" s="1" t="s">
        <v>714</v>
      </c>
      <c r="J380" s="1" t="s">
        <v>838</v>
      </c>
      <c r="K380" s="1" t="s">
        <v>2494</v>
      </c>
      <c r="L380" s="1" t="s">
        <v>2495</v>
      </c>
      <c r="M380" s="1" t="s">
        <v>718</v>
      </c>
    </row>
    <row r="381" customFormat="false" ht="15" hidden="false" customHeight="false" outlineLevel="0" collapsed="false">
      <c r="A381" s="1" t="s">
        <v>2496</v>
      </c>
      <c r="B381" s="1" t="s">
        <v>2497</v>
      </c>
      <c r="C381" s="1" t="s">
        <v>2498</v>
      </c>
      <c r="D381" s="2" t="n">
        <v>36290</v>
      </c>
      <c r="E381" s="1" t="s">
        <v>763</v>
      </c>
      <c r="F381" s="1" t="s">
        <v>711</v>
      </c>
      <c r="G381" s="1" t="s">
        <v>2499</v>
      </c>
      <c r="H381" s="1" t="s">
        <v>713</v>
      </c>
      <c r="I381" s="1" t="s">
        <v>714</v>
      </c>
      <c r="J381" s="1" t="s">
        <v>1244</v>
      </c>
      <c r="K381" s="1" t="s">
        <v>2500</v>
      </c>
      <c r="L381" s="1" t="s">
        <v>2501</v>
      </c>
      <c r="M381" s="1" t="s">
        <v>718</v>
      </c>
    </row>
    <row r="382" customFormat="false" ht="15" hidden="false" customHeight="false" outlineLevel="0" collapsed="false">
      <c r="A382" s="1" t="s">
        <v>2502</v>
      </c>
      <c r="B382" s="1" t="s">
        <v>2503</v>
      </c>
      <c r="C382" s="1" t="s">
        <v>2504</v>
      </c>
      <c r="D382" s="2" t="n">
        <v>35801</v>
      </c>
      <c r="E382" s="1" t="s">
        <v>763</v>
      </c>
      <c r="F382" s="1" t="s">
        <v>711</v>
      </c>
      <c r="G382" s="1" t="s">
        <v>722</v>
      </c>
      <c r="H382" s="1" t="s">
        <v>713</v>
      </c>
      <c r="I382" s="1" t="s">
        <v>714</v>
      </c>
      <c r="J382" s="1" t="s">
        <v>928</v>
      </c>
      <c r="K382" s="1" t="s">
        <v>2505</v>
      </c>
      <c r="L382" s="1" t="s">
        <v>2506</v>
      </c>
      <c r="M382" s="1" t="s">
        <v>718</v>
      </c>
    </row>
    <row r="383" customFormat="false" ht="15" hidden="false" customHeight="false" outlineLevel="0" collapsed="false">
      <c r="A383" s="1" t="s">
        <v>2507</v>
      </c>
      <c r="B383" s="1" t="s">
        <v>2508</v>
      </c>
      <c r="C383" s="1" t="s">
        <v>2509</v>
      </c>
      <c r="D383" s="2" t="n">
        <v>36281</v>
      </c>
      <c r="E383" s="1" t="s">
        <v>710</v>
      </c>
      <c r="F383" s="1" t="s">
        <v>711</v>
      </c>
      <c r="G383" s="1" t="s">
        <v>722</v>
      </c>
      <c r="H383" s="1" t="s">
        <v>713</v>
      </c>
      <c r="I383" s="1" t="s">
        <v>714</v>
      </c>
      <c r="J383" s="1" t="s">
        <v>928</v>
      </c>
      <c r="K383" s="1" t="s">
        <v>2510</v>
      </c>
      <c r="L383" s="1" t="s">
        <v>2511</v>
      </c>
      <c r="M383" s="1" t="s">
        <v>718</v>
      </c>
    </row>
    <row r="384" customFormat="false" ht="15" hidden="false" customHeight="false" outlineLevel="0" collapsed="false">
      <c r="A384" s="1" t="s">
        <v>2512</v>
      </c>
      <c r="B384" s="1" t="s">
        <v>2513</v>
      </c>
      <c r="C384" s="1" t="s">
        <v>2514</v>
      </c>
      <c r="D384" s="2" t="n">
        <v>36282</v>
      </c>
      <c r="E384" s="1" t="s">
        <v>710</v>
      </c>
      <c r="F384" s="1" t="s">
        <v>711</v>
      </c>
      <c r="G384" s="1" t="s">
        <v>712</v>
      </c>
      <c r="H384" s="1" t="s">
        <v>713</v>
      </c>
      <c r="I384" s="1" t="s">
        <v>714</v>
      </c>
      <c r="J384" s="1" t="s">
        <v>821</v>
      </c>
      <c r="K384" s="1" t="s">
        <v>2515</v>
      </c>
      <c r="L384" s="1" t="s">
        <v>2516</v>
      </c>
      <c r="M384" s="1" t="s">
        <v>718</v>
      </c>
    </row>
    <row r="385" customFormat="false" ht="15" hidden="false" customHeight="false" outlineLevel="0" collapsed="false">
      <c r="A385" s="1" t="s">
        <v>2517</v>
      </c>
      <c r="B385" s="1" t="s">
        <v>2518</v>
      </c>
      <c r="C385" s="1" t="s">
        <v>2519</v>
      </c>
      <c r="D385" s="2" t="n">
        <v>36282</v>
      </c>
      <c r="E385" s="1" t="s">
        <v>710</v>
      </c>
      <c r="F385" s="1" t="s">
        <v>711</v>
      </c>
      <c r="G385" s="1" t="s">
        <v>2520</v>
      </c>
      <c r="H385" s="1" t="s">
        <v>713</v>
      </c>
      <c r="I385" s="1" t="s">
        <v>714</v>
      </c>
      <c r="J385" s="1" t="s">
        <v>716</v>
      </c>
      <c r="K385" s="1" t="s">
        <v>716</v>
      </c>
      <c r="L385" s="1" t="s">
        <v>2521</v>
      </c>
      <c r="M385" s="1" t="s">
        <v>718</v>
      </c>
    </row>
    <row r="386" customFormat="false" ht="15" hidden="false" customHeight="false" outlineLevel="0" collapsed="false">
      <c r="A386" s="1" t="s">
        <v>2522</v>
      </c>
      <c r="B386" s="1" t="s">
        <v>2523</v>
      </c>
      <c r="C386" s="1" t="s">
        <v>2524</v>
      </c>
      <c r="D386" s="2" t="n">
        <v>36371</v>
      </c>
      <c r="E386" s="1" t="s">
        <v>710</v>
      </c>
      <c r="F386" s="1" t="s">
        <v>711</v>
      </c>
      <c r="G386" s="1" t="s">
        <v>712</v>
      </c>
      <c r="H386" s="1" t="s">
        <v>713</v>
      </c>
      <c r="I386" s="1" t="s">
        <v>714</v>
      </c>
      <c r="J386" s="1" t="s">
        <v>2150</v>
      </c>
      <c r="K386" s="1" t="s">
        <v>2525</v>
      </c>
      <c r="L386" s="1" t="s">
        <v>2526</v>
      </c>
      <c r="M386" s="1" t="s">
        <v>718</v>
      </c>
    </row>
    <row r="387" customFormat="false" ht="15" hidden="false" customHeight="false" outlineLevel="0" collapsed="false">
      <c r="A387" s="1" t="s">
        <v>2527</v>
      </c>
      <c r="B387" s="1" t="s">
        <v>2528</v>
      </c>
      <c r="C387" s="1" t="s">
        <v>2529</v>
      </c>
      <c r="D387" s="2" t="n">
        <v>36364</v>
      </c>
      <c r="E387" s="1" t="s">
        <v>710</v>
      </c>
      <c r="F387" s="1" t="s">
        <v>711</v>
      </c>
      <c r="G387" s="1" t="s">
        <v>722</v>
      </c>
      <c r="H387" s="1" t="s">
        <v>713</v>
      </c>
      <c r="I387" s="1" t="s">
        <v>714</v>
      </c>
      <c r="J387" s="1" t="s">
        <v>2530</v>
      </c>
      <c r="K387" s="1" t="s">
        <v>2531</v>
      </c>
      <c r="L387" s="1" t="s">
        <v>2532</v>
      </c>
      <c r="M387" s="1" t="s">
        <v>718</v>
      </c>
    </row>
    <row r="388" customFormat="false" ht="15" hidden="false" customHeight="false" outlineLevel="0" collapsed="false">
      <c r="A388" s="1" t="s">
        <v>2533</v>
      </c>
      <c r="B388" s="1" t="s">
        <v>2534</v>
      </c>
      <c r="C388" s="1" t="s">
        <v>2535</v>
      </c>
      <c r="D388" s="2" t="n">
        <v>35696</v>
      </c>
      <c r="E388" s="1" t="s">
        <v>763</v>
      </c>
      <c r="F388" s="1" t="s">
        <v>711</v>
      </c>
      <c r="G388" s="1" t="s">
        <v>722</v>
      </c>
      <c r="H388" s="1" t="s">
        <v>713</v>
      </c>
      <c r="I388" s="1" t="s">
        <v>714</v>
      </c>
      <c r="J388" s="1" t="s">
        <v>2298</v>
      </c>
      <c r="K388" s="1" t="s">
        <v>2536</v>
      </c>
      <c r="L388" s="1" t="s">
        <v>2537</v>
      </c>
      <c r="M388" s="1" t="s">
        <v>718</v>
      </c>
    </row>
    <row r="389" customFormat="false" ht="15" hidden="false" customHeight="false" outlineLevel="0" collapsed="false">
      <c r="A389" s="1" t="s">
        <v>2538</v>
      </c>
      <c r="B389" s="1" t="s">
        <v>2539</v>
      </c>
      <c r="C389" s="1" t="s">
        <v>1455</v>
      </c>
      <c r="D389" s="2" t="n">
        <v>36055</v>
      </c>
      <c r="E389" s="1" t="s">
        <v>763</v>
      </c>
      <c r="F389" s="1" t="s">
        <v>711</v>
      </c>
      <c r="G389" s="1" t="s">
        <v>722</v>
      </c>
      <c r="H389" s="1" t="s">
        <v>713</v>
      </c>
      <c r="I389" s="1" t="s">
        <v>714</v>
      </c>
      <c r="J389" s="1" t="s">
        <v>2530</v>
      </c>
      <c r="K389" s="1" t="s">
        <v>2540</v>
      </c>
      <c r="L389" s="1" t="s">
        <v>2541</v>
      </c>
      <c r="M389" s="1" t="s">
        <v>718</v>
      </c>
    </row>
    <row r="390" customFormat="false" ht="15" hidden="false" customHeight="false" outlineLevel="0" collapsed="false">
      <c r="A390" s="1" t="s">
        <v>2542</v>
      </c>
      <c r="B390" s="1" t="s">
        <v>2543</v>
      </c>
      <c r="C390" s="1" t="s">
        <v>2544</v>
      </c>
      <c r="D390" s="2" t="n">
        <v>36281</v>
      </c>
      <c r="E390" s="1" t="s">
        <v>710</v>
      </c>
      <c r="F390" s="1" t="s">
        <v>711</v>
      </c>
      <c r="G390" s="1" t="s">
        <v>722</v>
      </c>
      <c r="H390" s="1" t="s">
        <v>713</v>
      </c>
      <c r="I390" s="1" t="s">
        <v>714</v>
      </c>
      <c r="J390" s="1" t="s">
        <v>821</v>
      </c>
      <c r="K390" s="1" t="s">
        <v>2545</v>
      </c>
      <c r="L390" s="1" t="s">
        <v>2546</v>
      </c>
      <c r="M390" s="1" t="s">
        <v>718</v>
      </c>
    </row>
    <row r="391" customFormat="false" ht="15" hidden="false" customHeight="false" outlineLevel="0" collapsed="false">
      <c r="A391" s="1" t="s">
        <v>2547</v>
      </c>
      <c r="B391" s="1" t="s">
        <v>2548</v>
      </c>
      <c r="C391" s="1" t="s">
        <v>2549</v>
      </c>
      <c r="D391" s="2" t="n">
        <v>36301</v>
      </c>
      <c r="E391" s="1" t="s">
        <v>763</v>
      </c>
      <c r="F391" s="1" t="s">
        <v>711</v>
      </c>
      <c r="G391" s="1" t="s">
        <v>712</v>
      </c>
      <c r="H391" s="1" t="s">
        <v>713</v>
      </c>
      <c r="I391" s="1" t="s">
        <v>714</v>
      </c>
      <c r="J391" s="1" t="s">
        <v>1584</v>
      </c>
      <c r="K391" s="1" t="s">
        <v>2550</v>
      </c>
      <c r="L391" s="1" t="s">
        <v>2551</v>
      </c>
      <c r="M391" s="1" t="s">
        <v>718</v>
      </c>
    </row>
    <row r="392" customFormat="false" ht="15" hidden="false" customHeight="false" outlineLevel="0" collapsed="false">
      <c r="A392" s="1" t="s">
        <v>2552</v>
      </c>
      <c r="B392" s="1" t="s">
        <v>2553</v>
      </c>
      <c r="C392" s="1" t="s">
        <v>2554</v>
      </c>
      <c r="D392" s="2" t="n">
        <v>36331</v>
      </c>
      <c r="E392" s="1" t="s">
        <v>710</v>
      </c>
      <c r="F392" s="1" t="s">
        <v>711</v>
      </c>
      <c r="G392" s="1" t="s">
        <v>712</v>
      </c>
      <c r="H392" s="1" t="s">
        <v>713</v>
      </c>
      <c r="I392" s="1" t="s">
        <v>714</v>
      </c>
      <c r="J392" s="1" t="s">
        <v>2117</v>
      </c>
      <c r="K392" s="1" t="s">
        <v>2555</v>
      </c>
      <c r="L392" s="1" t="s">
        <v>1363</v>
      </c>
      <c r="M392" s="1" t="s">
        <v>718</v>
      </c>
    </row>
    <row r="393" customFormat="false" ht="15" hidden="false" customHeight="false" outlineLevel="0" collapsed="false">
      <c r="A393" s="1" t="s">
        <v>2556</v>
      </c>
      <c r="B393" s="1" t="s">
        <v>2557</v>
      </c>
      <c r="C393" s="1" t="s">
        <v>2558</v>
      </c>
      <c r="D393" s="2" t="n">
        <v>36461</v>
      </c>
      <c r="E393" s="1" t="s">
        <v>763</v>
      </c>
      <c r="F393" s="1" t="s">
        <v>711</v>
      </c>
      <c r="G393" s="1" t="s">
        <v>712</v>
      </c>
      <c r="H393" s="1" t="s">
        <v>713</v>
      </c>
      <c r="I393" s="1" t="s">
        <v>714</v>
      </c>
      <c r="J393" s="1" t="s">
        <v>1584</v>
      </c>
      <c r="K393" s="1" t="s">
        <v>2559</v>
      </c>
      <c r="L393" s="1" t="s">
        <v>2560</v>
      </c>
      <c r="M393" s="1" t="s">
        <v>718</v>
      </c>
    </row>
    <row r="394" customFormat="false" ht="15" hidden="false" customHeight="false" outlineLevel="0" collapsed="false">
      <c r="A394" s="1" t="s">
        <v>2561</v>
      </c>
      <c r="B394" s="1" t="s">
        <v>2562</v>
      </c>
      <c r="C394" s="1" t="s">
        <v>2563</v>
      </c>
      <c r="D394" s="2" t="n">
        <v>36333</v>
      </c>
      <c r="E394" s="1" t="s">
        <v>763</v>
      </c>
      <c r="F394" s="1" t="s">
        <v>711</v>
      </c>
      <c r="G394" s="1" t="s">
        <v>712</v>
      </c>
      <c r="H394" s="1" t="s">
        <v>713</v>
      </c>
      <c r="I394" s="1" t="s">
        <v>714</v>
      </c>
      <c r="J394" s="1" t="s">
        <v>2564</v>
      </c>
      <c r="K394" s="1" t="s">
        <v>716</v>
      </c>
      <c r="L394" s="1" t="s">
        <v>2565</v>
      </c>
      <c r="M394" s="1" t="s">
        <v>718</v>
      </c>
    </row>
    <row r="395" customFormat="false" ht="15" hidden="false" customHeight="false" outlineLevel="0" collapsed="false">
      <c r="A395" s="1" t="s">
        <v>2566</v>
      </c>
      <c r="B395" s="1" t="s">
        <v>2567</v>
      </c>
      <c r="C395" s="1" t="s">
        <v>2568</v>
      </c>
      <c r="D395" s="2" t="n">
        <v>36162</v>
      </c>
      <c r="E395" s="1" t="s">
        <v>763</v>
      </c>
      <c r="F395" s="1" t="s">
        <v>711</v>
      </c>
      <c r="G395" s="1" t="s">
        <v>722</v>
      </c>
      <c r="H395" s="1" t="s">
        <v>713</v>
      </c>
      <c r="I395" s="1" t="s">
        <v>714</v>
      </c>
      <c r="J395" s="1" t="s">
        <v>1723</v>
      </c>
      <c r="K395" s="1" t="s">
        <v>2569</v>
      </c>
      <c r="L395" s="1" t="s">
        <v>2570</v>
      </c>
      <c r="M395" s="1" t="s">
        <v>718</v>
      </c>
    </row>
    <row r="396" customFormat="false" ht="15" hidden="false" customHeight="false" outlineLevel="0" collapsed="false">
      <c r="A396" s="1" t="s">
        <v>2571</v>
      </c>
      <c r="B396" s="1" t="s">
        <v>2572</v>
      </c>
      <c r="C396" s="1" t="s">
        <v>2573</v>
      </c>
      <c r="D396" s="2" t="n">
        <v>35813</v>
      </c>
      <c r="E396" s="1" t="s">
        <v>710</v>
      </c>
      <c r="F396" s="1" t="s">
        <v>711</v>
      </c>
      <c r="G396" s="1" t="s">
        <v>722</v>
      </c>
      <c r="H396" s="1" t="s">
        <v>713</v>
      </c>
      <c r="I396" s="1" t="s">
        <v>714</v>
      </c>
      <c r="J396" s="1" t="s">
        <v>838</v>
      </c>
      <c r="K396" s="1" t="s">
        <v>2574</v>
      </c>
      <c r="L396" s="1" t="s">
        <v>2575</v>
      </c>
      <c r="M396" s="1" t="s">
        <v>718</v>
      </c>
    </row>
    <row r="397" customFormat="false" ht="15" hidden="false" customHeight="false" outlineLevel="0" collapsed="false">
      <c r="A397" s="1" t="s">
        <v>2576</v>
      </c>
      <c r="B397" s="1" t="s">
        <v>2577</v>
      </c>
      <c r="C397" s="1" t="s">
        <v>2578</v>
      </c>
      <c r="D397" s="2" t="n">
        <v>35841</v>
      </c>
      <c r="E397" s="1" t="s">
        <v>710</v>
      </c>
      <c r="F397" s="1" t="s">
        <v>711</v>
      </c>
      <c r="G397" s="1" t="s">
        <v>722</v>
      </c>
      <c r="H397" s="1" t="s">
        <v>713</v>
      </c>
      <c r="I397" s="1" t="s">
        <v>714</v>
      </c>
      <c r="J397" s="1" t="s">
        <v>928</v>
      </c>
      <c r="K397" s="1" t="s">
        <v>2579</v>
      </c>
      <c r="L397" s="1" t="s">
        <v>2580</v>
      </c>
      <c r="M397" s="1" t="s">
        <v>718</v>
      </c>
    </row>
    <row r="398" customFormat="false" ht="15" hidden="false" customHeight="false" outlineLevel="0" collapsed="false">
      <c r="A398" s="1" t="s">
        <v>2581</v>
      </c>
      <c r="B398" s="1" t="s">
        <v>2582</v>
      </c>
      <c r="C398" s="1" t="s">
        <v>2583</v>
      </c>
      <c r="D398" s="2" t="n">
        <v>36282</v>
      </c>
      <c r="E398" s="1" t="s">
        <v>763</v>
      </c>
      <c r="F398" s="1" t="s">
        <v>711</v>
      </c>
      <c r="G398" s="1" t="s">
        <v>712</v>
      </c>
      <c r="H398" s="1" t="s">
        <v>713</v>
      </c>
      <c r="I398" s="1" t="s">
        <v>714</v>
      </c>
      <c r="J398" s="1" t="s">
        <v>1244</v>
      </c>
      <c r="K398" s="1" t="s">
        <v>2584</v>
      </c>
      <c r="L398" s="1" t="s">
        <v>2585</v>
      </c>
      <c r="M398" s="1" t="s">
        <v>718</v>
      </c>
    </row>
    <row r="399" customFormat="false" ht="15" hidden="false" customHeight="false" outlineLevel="0" collapsed="false">
      <c r="A399" s="1" t="s">
        <v>2586</v>
      </c>
      <c r="B399" s="1" t="s">
        <v>2587</v>
      </c>
      <c r="C399" s="1" t="s">
        <v>2588</v>
      </c>
      <c r="D399" s="2" t="n">
        <v>36335</v>
      </c>
      <c r="E399" s="1" t="s">
        <v>710</v>
      </c>
      <c r="F399" s="1" t="s">
        <v>711</v>
      </c>
      <c r="G399" s="1" t="s">
        <v>722</v>
      </c>
      <c r="H399" s="1" t="s">
        <v>713</v>
      </c>
      <c r="I399" s="1" t="s">
        <v>714</v>
      </c>
      <c r="J399" s="1" t="s">
        <v>838</v>
      </c>
      <c r="K399" s="1" t="s">
        <v>2589</v>
      </c>
      <c r="L399" s="1" t="s">
        <v>2590</v>
      </c>
      <c r="M399" s="1" t="s">
        <v>718</v>
      </c>
    </row>
    <row r="400" customFormat="false" ht="15" hidden="false" customHeight="false" outlineLevel="0" collapsed="false">
      <c r="A400" s="1" t="s">
        <v>2591</v>
      </c>
      <c r="B400" s="1" t="s">
        <v>2592</v>
      </c>
      <c r="C400" s="1" t="s">
        <v>2593</v>
      </c>
      <c r="D400" s="2" t="n">
        <v>36295</v>
      </c>
      <c r="E400" s="1" t="s">
        <v>763</v>
      </c>
      <c r="F400" s="1" t="s">
        <v>711</v>
      </c>
      <c r="G400" s="1" t="s">
        <v>722</v>
      </c>
      <c r="H400" s="1" t="s">
        <v>713</v>
      </c>
      <c r="I400" s="1" t="s">
        <v>714</v>
      </c>
      <c r="J400" s="1" t="s">
        <v>1898</v>
      </c>
      <c r="K400" s="1" t="s">
        <v>2594</v>
      </c>
      <c r="L400" s="1" t="s">
        <v>2595</v>
      </c>
      <c r="M400" s="1" t="s">
        <v>718</v>
      </c>
    </row>
    <row r="401" customFormat="false" ht="15" hidden="false" customHeight="false" outlineLevel="0" collapsed="false">
      <c r="A401" s="1" t="s">
        <v>2596</v>
      </c>
      <c r="B401" s="1" t="s">
        <v>2597</v>
      </c>
      <c r="C401" s="1" t="s">
        <v>2598</v>
      </c>
      <c r="D401" s="2" t="n">
        <v>36450</v>
      </c>
      <c r="E401" s="1" t="s">
        <v>763</v>
      </c>
      <c r="F401" s="1" t="s">
        <v>711</v>
      </c>
      <c r="G401" s="1" t="s">
        <v>722</v>
      </c>
      <c r="H401" s="1" t="s">
        <v>713</v>
      </c>
      <c r="I401" s="1" t="s">
        <v>714</v>
      </c>
      <c r="J401" s="1" t="s">
        <v>1244</v>
      </c>
      <c r="K401" s="1" t="s">
        <v>716</v>
      </c>
      <c r="L401" s="1" t="s">
        <v>2599</v>
      </c>
      <c r="M401" s="1" t="s">
        <v>718</v>
      </c>
    </row>
    <row r="402" customFormat="false" ht="15" hidden="false" customHeight="false" outlineLevel="0" collapsed="false">
      <c r="A402" s="1" t="s">
        <v>2600</v>
      </c>
      <c r="B402" s="1" t="s">
        <v>2601</v>
      </c>
      <c r="C402" s="1" t="s">
        <v>2369</v>
      </c>
      <c r="D402" s="2" t="n">
        <v>36402</v>
      </c>
      <c r="E402" s="1" t="s">
        <v>763</v>
      </c>
      <c r="F402" s="1" t="s">
        <v>711</v>
      </c>
      <c r="G402" s="1" t="s">
        <v>722</v>
      </c>
      <c r="H402" s="1" t="s">
        <v>713</v>
      </c>
      <c r="I402" s="1" t="s">
        <v>714</v>
      </c>
      <c r="J402" s="1" t="s">
        <v>2602</v>
      </c>
      <c r="K402" s="1" t="s">
        <v>2603</v>
      </c>
      <c r="L402" s="1" t="s">
        <v>2604</v>
      </c>
      <c r="M402" s="1" t="s">
        <v>718</v>
      </c>
    </row>
    <row r="403" customFormat="false" ht="15" hidden="false" customHeight="false" outlineLevel="0" collapsed="false">
      <c r="A403" s="1" t="s">
        <v>2605</v>
      </c>
      <c r="B403" s="1" t="s">
        <v>2606</v>
      </c>
      <c r="C403" s="1" t="s">
        <v>2607</v>
      </c>
      <c r="D403" s="2" t="n">
        <v>36325</v>
      </c>
      <c r="E403" s="1" t="s">
        <v>710</v>
      </c>
      <c r="F403" s="1" t="s">
        <v>711</v>
      </c>
      <c r="G403" s="1" t="s">
        <v>712</v>
      </c>
      <c r="H403" s="1" t="s">
        <v>713</v>
      </c>
      <c r="I403" s="1" t="s">
        <v>714</v>
      </c>
      <c r="J403" s="1" t="s">
        <v>715</v>
      </c>
      <c r="K403" s="1" t="s">
        <v>2608</v>
      </c>
      <c r="L403" s="1" t="s">
        <v>2609</v>
      </c>
      <c r="M403" s="1" t="s">
        <v>718</v>
      </c>
    </row>
    <row r="404" customFormat="false" ht="15" hidden="false" customHeight="false" outlineLevel="0" collapsed="false">
      <c r="A404" s="1" t="s">
        <v>2610</v>
      </c>
      <c r="B404" s="1" t="s">
        <v>2611</v>
      </c>
      <c r="C404" s="1" t="s">
        <v>1185</v>
      </c>
      <c r="D404" s="2" t="n">
        <v>36394</v>
      </c>
      <c r="E404" s="1" t="s">
        <v>763</v>
      </c>
      <c r="F404" s="1" t="s">
        <v>711</v>
      </c>
      <c r="G404" s="1" t="s">
        <v>722</v>
      </c>
      <c r="H404" s="1" t="s">
        <v>713</v>
      </c>
      <c r="I404" s="1" t="s">
        <v>714</v>
      </c>
      <c r="J404" s="1" t="s">
        <v>1723</v>
      </c>
      <c r="K404" s="1" t="s">
        <v>2612</v>
      </c>
      <c r="L404" s="1" t="s">
        <v>1186</v>
      </c>
      <c r="M404" s="1" t="s">
        <v>718</v>
      </c>
    </row>
    <row r="405" customFormat="false" ht="15" hidden="false" customHeight="false" outlineLevel="0" collapsed="false">
      <c r="A405" s="1" t="s">
        <v>2613</v>
      </c>
      <c r="B405" s="1" t="s">
        <v>2614</v>
      </c>
      <c r="C405" s="1" t="s">
        <v>2615</v>
      </c>
      <c r="D405" s="2" t="n">
        <v>36358</v>
      </c>
      <c r="E405" s="1" t="s">
        <v>763</v>
      </c>
      <c r="F405" s="1" t="s">
        <v>711</v>
      </c>
      <c r="G405" s="1" t="s">
        <v>722</v>
      </c>
      <c r="H405" s="1" t="s">
        <v>713</v>
      </c>
      <c r="I405" s="1" t="s">
        <v>714</v>
      </c>
      <c r="J405" s="1" t="s">
        <v>1584</v>
      </c>
      <c r="K405" s="1" t="s">
        <v>2616</v>
      </c>
      <c r="L405" s="1" t="s">
        <v>2617</v>
      </c>
      <c r="M405" s="1" t="s">
        <v>718</v>
      </c>
    </row>
    <row r="406" customFormat="false" ht="15" hidden="false" customHeight="false" outlineLevel="0" collapsed="false">
      <c r="A406" s="1" t="s">
        <v>2618</v>
      </c>
      <c r="B406" s="1" t="s">
        <v>2619</v>
      </c>
      <c r="C406" s="1" t="s">
        <v>2620</v>
      </c>
      <c r="D406" s="2" t="n">
        <v>36446</v>
      </c>
      <c r="E406" s="1" t="s">
        <v>710</v>
      </c>
      <c r="F406" s="1" t="s">
        <v>711</v>
      </c>
      <c r="G406" s="1" t="s">
        <v>712</v>
      </c>
      <c r="H406" s="1" t="s">
        <v>713</v>
      </c>
      <c r="I406" s="1" t="s">
        <v>714</v>
      </c>
      <c r="J406" s="1" t="s">
        <v>2621</v>
      </c>
      <c r="K406" s="1" t="s">
        <v>2622</v>
      </c>
      <c r="L406" s="1" t="s">
        <v>2623</v>
      </c>
      <c r="M406" s="1" t="s">
        <v>718</v>
      </c>
    </row>
    <row r="407" customFormat="false" ht="15" hidden="false" customHeight="false" outlineLevel="0" collapsed="false">
      <c r="A407" s="1" t="s">
        <v>2624</v>
      </c>
      <c r="B407" s="1" t="s">
        <v>2625</v>
      </c>
      <c r="C407" s="1" t="s">
        <v>2626</v>
      </c>
      <c r="D407" s="2" t="n">
        <v>35835</v>
      </c>
      <c r="E407" s="1" t="s">
        <v>763</v>
      </c>
      <c r="F407" s="1" t="s">
        <v>711</v>
      </c>
      <c r="G407" s="1" t="s">
        <v>712</v>
      </c>
      <c r="H407" s="1" t="s">
        <v>713</v>
      </c>
      <c r="I407" s="1" t="s">
        <v>714</v>
      </c>
      <c r="J407" s="1" t="s">
        <v>2627</v>
      </c>
      <c r="K407" s="1" t="s">
        <v>2628</v>
      </c>
      <c r="L407" s="1" t="s">
        <v>2629</v>
      </c>
      <c r="M407" s="1" t="s">
        <v>718</v>
      </c>
    </row>
    <row r="408" customFormat="false" ht="15" hidden="false" customHeight="false" outlineLevel="0" collapsed="false">
      <c r="A408" s="1" t="s">
        <v>2630</v>
      </c>
      <c r="B408" s="1" t="s">
        <v>2631</v>
      </c>
      <c r="C408" s="1" t="s">
        <v>2632</v>
      </c>
      <c r="D408" s="2" t="n">
        <v>36147</v>
      </c>
      <c r="E408" s="1" t="s">
        <v>710</v>
      </c>
      <c r="F408" s="1" t="s">
        <v>711</v>
      </c>
      <c r="G408" s="1" t="s">
        <v>712</v>
      </c>
      <c r="H408" s="1" t="s">
        <v>713</v>
      </c>
      <c r="I408" s="1" t="s">
        <v>714</v>
      </c>
      <c r="J408" s="1" t="s">
        <v>2633</v>
      </c>
      <c r="K408" s="1" t="s">
        <v>2634</v>
      </c>
      <c r="L408" s="1" t="s">
        <v>2635</v>
      </c>
      <c r="M408" s="1" t="s">
        <v>718</v>
      </c>
    </row>
    <row r="409" customFormat="false" ht="15" hidden="false" customHeight="false" outlineLevel="0" collapsed="false">
      <c r="A409" s="1" t="s">
        <v>2636</v>
      </c>
      <c r="B409" s="1" t="s">
        <v>2246</v>
      </c>
      <c r="C409" s="1" t="s">
        <v>2637</v>
      </c>
      <c r="D409" s="2" t="n">
        <v>36410</v>
      </c>
      <c r="E409" s="1" t="s">
        <v>710</v>
      </c>
      <c r="F409" s="1" t="s">
        <v>711</v>
      </c>
      <c r="G409" s="1" t="s">
        <v>2638</v>
      </c>
      <c r="H409" s="1" t="s">
        <v>713</v>
      </c>
      <c r="I409" s="1" t="s">
        <v>714</v>
      </c>
      <c r="J409" s="1" t="s">
        <v>2298</v>
      </c>
      <c r="K409" s="1" t="s">
        <v>2639</v>
      </c>
      <c r="L409" s="1" t="s">
        <v>2640</v>
      </c>
      <c r="M409" s="1" t="s">
        <v>718</v>
      </c>
    </row>
    <row r="410" customFormat="false" ht="15" hidden="false" customHeight="false" outlineLevel="0" collapsed="false">
      <c r="A410" s="1" t="s">
        <v>2641</v>
      </c>
      <c r="B410" s="1" t="s">
        <v>2642</v>
      </c>
      <c r="C410" s="1" t="s">
        <v>2643</v>
      </c>
      <c r="D410" s="2" t="n">
        <v>36510</v>
      </c>
      <c r="E410" s="1" t="s">
        <v>763</v>
      </c>
      <c r="F410" s="1" t="s">
        <v>711</v>
      </c>
      <c r="G410" s="1" t="s">
        <v>2644</v>
      </c>
      <c r="H410" s="1" t="s">
        <v>2645</v>
      </c>
      <c r="I410" s="1" t="s">
        <v>2646</v>
      </c>
      <c r="J410" s="1" t="s">
        <v>1244</v>
      </c>
      <c r="K410" s="1" t="s">
        <v>2647</v>
      </c>
      <c r="L410" s="1" t="s">
        <v>2648</v>
      </c>
      <c r="M410" s="1" t="s">
        <v>718</v>
      </c>
    </row>
    <row r="411" customFormat="false" ht="15" hidden="false" customHeight="false" outlineLevel="0" collapsed="false">
      <c r="A411" s="1" t="s">
        <v>2649</v>
      </c>
      <c r="B411" s="1" t="s">
        <v>2650</v>
      </c>
      <c r="C411" s="1" t="s">
        <v>1610</v>
      </c>
      <c r="D411" s="2" t="n">
        <v>36017</v>
      </c>
      <c r="E411" s="1" t="s">
        <v>710</v>
      </c>
      <c r="F411" s="1" t="s">
        <v>711</v>
      </c>
      <c r="G411" s="1" t="s">
        <v>712</v>
      </c>
      <c r="H411" s="1" t="s">
        <v>713</v>
      </c>
      <c r="I411" s="1" t="s">
        <v>714</v>
      </c>
      <c r="J411" s="1" t="s">
        <v>2651</v>
      </c>
      <c r="K411" s="1" t="s">
        <v>2652</v>
      </c>
      <c r="L411" s="1" t="s">
        <v>1882</v>
      </c>
      <c r="M411" s="1" t="s">
        <v>718</v>
      </c>
    </row>
    <row r="412" customFormat="false" ht="15" hidden="false" customHeight="false" outlineLevel="0" collapsed="false">
      <c r="A412" s="1" t="s">
        <v>2653</v>
      </c>
      <c r="B412" s="1" t="s">
        <v>2654</v>
      </c>
      <c r="C412" s="1" t="s">
        <v>2632</v>
      </c>
      <c r="D412" s="2" t="n">
        <v>36249</v>
      </c>
      <c r="E412" s="1" t="s">
        <v>710</v>
      </c>
      <c r="F412" s="1" t="s">
        <v>711</v>
      </c>
      <c r="G412" s="1" t="s">
        <v>722</v>
      </c>
      <c r="H412" s="1" t="s">
        <v>713</v>
      </c>
      <c r="I412" s="1" t="s">
        <v>714</v>
      </c>
      <c r="J412" s="1" t="s">
        <v>2530</v>
      </c>
      <c r="K412" s="1" t="s">
        <v>2655</v>
      </c>
      <c r="L412" s="1" t="s">
        <v>2656</v>
      </c>
      <c r="M412" s="1" t="s">
        <v>718</v>
      </c>
    </row>
    <row r="413" customFormat="false" ht="15" hidden="false" customHeight="false" outlineLevel="0" collapsed="false">
      <c r="A413" s="1" t="s">
        <v>2657</v>
      </c>
      <c r="B413" s="1" t="s">
        <v>2658</v>
      </c>
      <c r="C413" s="1" t="s">
        <v>2659</v>
      </c>
      <c r="D413" s="2" t="n">
        <v>36271</v>
      </c>
      <c r="E413" s="1" t="s">
        <v>763</v>
      </c>
      <c r="F413" s="1" t="s">
        <v>711</v>
      </c>
      <c r="G413" s="1" t="s">
        <v>722</v>
      </c>
      <c r="H413" s="1" t="s">
        <v>713</v>
      </c>
      <c r="I413" s="1" t="s">
        <v>714</v>
      </c>
      <c r="J413" s="1" t="s">
        <v>1390</v>
      </c>
      <c r="K413" s="1" t="s">
        <v>716</v>
      </c>
      <c r="L413" s="1" t="s">
        <v>2660</v>
      </c>
      <c r="M413" s="1" t="s">
        <v>718</v>
      </c>
    </row>
    <row r="414" customFormat="false" ht="15" hidden="false" customHeight="false" outlineLevel="0" collapsed="false">
      <c r="A414" s="1" t="s">
        <v>2661</v>
      </c>
      <c r="B414" s="1" t="s">
        <v>2662</v>
      </c>
      <c r="C414" s="1" t="s">
        <v>2663</v>
      </c>
      <c r="D414" s="2" t="n">
        <v>36411</v>
      </c>
      <c r="E414" s="1" t="s">
        <v>763</v>
      </c>
      <c r="F414" s="1" t="s">
        <v>711</v>
      </c>
      <c r="G414" s="1" t="s">
        <v>722</v>
      </c>
      <c r="H414" s="1" t="s">
        <v>713</v>
      </c>
      <c r="I414" s="1" t="s">
        <v>714</v>
      </c>
      <c r="J414" s="1" t="s">
        <v>2664</v>
      </c>
      <c r="K414" s="1" t="s">
        <v>2665</v>
      </c>
      <c r="L414" s="1" t="s">
        <v>2666</v>
      </c>
      <c r="M414" s="1" t="s">
        <v>718</v>
      </c>
    </row>
    <row r="415" customFormat="false" ht="15" hidden="false" customHeight="false" outlineLevel="0" collapsed="false">
      <c r="A415" s="1" t="s">
        <v>2667</v>
      </c>
      <c r="B415" s="1" t="s">
        <v>2668</v>
      </c>
      <c r="C415" s="1" t="s">
        <v>739</v>
      </c>
      <c r="D415" s="2" t="n">
        <v>36486</v>
      </c>
      <c r="E415" s="1" t="s">
        <v>763</v>
      </c>
      <c r="F415" s="1" t="s">
        <v>711</v>
      </c>
      <c r="G415" s="1" t="s">
        <v>722</v>
      </c>
      <c r="H415" s="1" t="s">
        <v>713</v>
      </c>
      <c r="I415" s="1" t="s">
        <v>714</v>
      </c>
      <c r="J415" s="1" t="s">
        <v>886</v>
      </c>
      <c r="K415" s="1" t="s">
        <v>2669</v>
      </c>
      <c r="L415" s="1" t="s">
        <v>2670</v>
      </c>
      <c r="M415" s="1" t="s">
        <v>718</v>
      </c>
    </row>
    <row r="416" customFormat="false" ht="15" hidden="false" customHeight="false" outlineLevel="0" collapsed="false">
      <c r="A416" s="1" t="s">
        <v>2671</v>
      </c>
      <c r="B416" s="1" t="s">
        <v>2672</v>
      </c>
      <c r="C416" s="1" t="s">
        <v>2673</v>
      </c>
      <c r="D416" s="2" t="n">
        <v>36079</v>
      </c>
      <c r="E416" s="1" t="s">
        <v>763</v>
      </c>
      <c r="F416" s="1" t="s">
        <v>711</v>
      </c>
      <c r="G416" s="1" t="s">
        <v>722</v>
      </c>
      <c r="H416" s="1" t="s">
        <v>713</v>
      </c>
      <c r="I416" s="1" t="s">
        <v>714</v>
      </c>
      <c r="J416" s="1" t="s">
        <v>886</v>
      </c>
      <c r="K416" s="1" t="s">
        <v>2674</v>
      </c>
      <c r="L416" s="1" t="s">
        <v>2675</v>
      </c>
      <c r="M416" s="1" t="s">
        <v>718</v>
      </c>
    </row>
    <row r="417" customFormat="false" ht="15" hidden="false" customHeight="false" outlineLevel="0" collapsed="false">
      <c r="A417" s="1" t="s">
        <v>2676</v>
      </c>
      <c r="B417" s="1" t="s">
        <v>2677</v>
      </c>
      <c r="C417" s="1" t="s">
        <v>2678</v>
      </c>
      <c r="D417" s="2" t="n">
        <v>36410</v>
      </c>
      <c r="E417" s="1" t="s">
        <v>710</v>
      </c>
      <c r="F417" s="1" t="s">
        <v>711</v>
      </c>
      <c r="G417" s="1" t="s">
        <v>712</v>
      </c>
      <c r="H417" s="1" t="s">
        <v>713</v>
      </c>
      <c r="I417" s="1" t="s">
        <v>714</v>
      </c>
      <c r="J417" s="1" t="s">
        <v>886</v>
      </c>
      <c r="K417" s="1" t="s">
        <v>2679</v>
      </c>
      <c r="L417" s="1" t="s">
        <v>2680</v>
      </c>
      <c r="M417" s="1" t="s">
        <v>718</v>
      </c>
    </row>
    <row r="418" customFormat="false" ht="15" hidden="false" customHeight="false" outlineLevel="0" collapsed="false">
      <c r="A418" s="1" t="s">
        <v>2681</v>
      </c>
      <c r="B418" s="1" t="s">
        <v>2682</v>
      </c>
      <c r="C418" s="1" t="s">
        <v>2683</v>
      </c>
      <c r="D418" s="2" t="n">
        <v>36227</v>
      </c>
      <c r="E418" s="1" t="s">
        <v>710</v>
      </c>
      <c r="F418" s="1" t="s">
        <v>711</v>
      </c>
      <c r="G418" s="1" t="s">
        <v>712</v>
      </c>
      <c r="H418" s="1" t="s">
        <v>713</v>
      </c>
      <c r="I418" s="1" t="s">
        <v>714</v>
      </c>
      <c r="J418" s="1" t="s">
        <v>2684</v>
      </c>
      <c r="K418" s="1" t="s">
        <v>2685</v>
      </c>
      <c r="L418" s="1" t="s">
        <v>2686</v>
      </c>
      <c r="M418" s="1" t="s">
        <v>718</v>
      </c>
    </row>
    <row r="419" customFormat="false" ht="15" hidden="false" customHeight="false" outlineLevel="0" collapsed="false">
      <c r="A419" s="1" t="s">
        <v>2687</v>
      </c>
      <c r="B419" s="1" t="s">
        <v>2688</v>
      </c>
      <c r="C419" s="1" t="s">
        <v>2350</v>
      </c>
      <c r="D419" s="2" t="n">
        <v>36502</v>
      </c>
      <c r="E419" s="1" t="s">
        <v>710</v>
      </c>
      <c r="F419" s="1" t="s">
        <v>711</v>
      </c>
      <c r="G419" s="1" t="s">
        <v>722</v>
      </c>
      <c r="H419" s="1" t="s">
        <v>713</v>
      </c>
      <c r="I419" s="1" t="s">
        <v>714</v>
      </c>
      <c r="J419" s="1" t="s">
        <v>821</v>
      </c>
      <c r="K419" s="1" t="s">
        <v>2689</v>
      </c>
      <c r="L419" s="1" t="s">
        <v>2690</v>
      </c>
      <c r="M419" s="1" t="s">
        <v>718</v>
      </c>
    </row>
    <row r="420" customFormat="false" ht="15" hidden="false" customHeight="false" outlineLevel="0" collapsed="false">
      <c r="A420" s="1" t="s">
        <v>2691</v>
      </c>
      <c r="B420" s="1" t="s">
        <v>2692</v>
      </c>
      <c r="C420" s="1" t="s">
        <v>2282</v>
      </c>
      <c r="D420" s="2" t="n">
        <v>36440</v>
      </c>
      <c r="E420" s="1" t="s">
        <v>763</v>
      </c>
      <c r="F420" s="1" t="s">
        <v>711</v>
      </c>
      <c r="G420" s="1" t="s">
        <v>722</v>
      </c>
      <c r="H420" s="1" t="s">
        <v>713</v>
      </c>
      <c r="I420" s="1" t="s">
        <v>714</v>
      </c>
      <c r="J420" s="1" t="s">
        <v>1723</v>
      </c>
      <c r="K420" s="1" t="s">
        <v>2283</v>
      </c>
      <c r="L420" s="1" t="s">
        <v>2284</v>
      </c>
      <c r="M420" s="1" t="s">
        <v>718</v>
      </c>
    </row>
    <row r="421" customFormat="false" ht="15" hidden="false" customHeight="false" outlineLevel="0" collapsed="false">
      <c r="A421" s="1" t="s">
        <v>2693</v>
      </c>
      <c r="B421" s="1" t="s">
        <v>2694</v>
      </c>
      <c r="C421" s="1" t="s">
        <v>1800</v>
      </c>
      <c r="D421" s="2" t="n">
        <v>36276</v>
      </c>
      <c r="E421" s="1" t="s">
        <v>763</v>
      </c>
      <c r="F421" s="1" t="s">
        <v>711</v>
      </c>
      <c r="G421" s="1" t="s">
        <v>722</v>
      </c>
      <c r="H421" s="1" t="s">
        <v>713</v>
      </c>
      <c r="I421" s="1" t="s">
        <v>714</v>
      </c>
      <c r="J421" s="1" t="s">
        <v>2564</v>
      </c>
      <c r="K421" s="1" t="s">
        <v>2695</v>
      </c>
      <c r="L421" s="1" t="s">
        <v>1801</v>
      </c>
      <c r="M421" s="1" t="s">
        <v>718</v>
      </c>
    </row>
    <row r="422" customFormat="false" ht="15" hidden="false" customHeight="false" outlineLevel="0" collapsed="false">
      <c r="A422" s="1" t="s">
        <v>2696</v>
      </c>
      <c r="B422" s="1" t="s">
        <v>2697</v>
      </c>
      <c r="C422" s="1" t="s">
        <v>2698</v>
      </c>
      <c r="D422" s="2" t="n">
        <v>36448</v>
      </c>
      <c r="E422" s="1" t="s">
        <v>763</v>
      </c>
      <c r="F422" s="1" t="s">
        <v>711</v>
      </c>
      <c r="G422" s="1" t="s">
        <v>722</v>
      </c>
      <c r="H422" s="1" t="s">
        <v>713</v>
      </c>
      <c r="I422" s="1" t="s">
        <v>714</v>
      </c>
      <c r="J422" s="1" t="s">
        <v>832</v>
      </c>
      <c r="K422" s="1" t="s">
        <v>2699</v>
      </c>
      <c r="L422" s="1" t="s">
        <v>2700</v>
      </c>
      <c r="M422" s="1" t="s">
        <v>718</v>
      </c>
    </row>
    <row r="423" customFormat="false" ht="15" hidden="false" customHeight="false" outlineLevel="0" collapsed="false">
      <c r="A423" s="1" t="s">
        <v>2701</v>
      </c>
      <c r="B423" s="1" t="s">
        <v>2702</v>
      </c>
      <c r="C423" s="1" t="s">
        <v>2703</v>
      </c>
      <c r="D423" s="2" t="n">
        <v>36368</v>
      </c>
      <c r="E423" s="1" t="s">
        <v>763</v>
      </c>
      <c r="F423" s="1" t="s">
        <v>711</v>
      </c>
      <c r="G423" s="1" t="s">
        <v>712</v>
      </c>
      <c r="H423" s="1" t="s">
        <v>713</v>
      </c>
      <c r="I423" s="1" t="s">
        <v>714</v>
      </c>
      <c r="J423" s="1" t="s">
        <v>1505</v>
      </c>
      <c r="K423" s="1" t="s">
        <v>2704</v>
      </c>
      <c r="L423" s="1" t="s">
        <v>2705</v>
      </c>
      <c r="M423" s="1" t="s">
        <v>718</v>
      </c>
    </row>
    <row r="424" customFormat="false" ht="15" hidden="false" customHeight="false" outlineLevel="0" collapsed="false">
      <c r="A424" s="1" t="s">
        <v>2706</v>
      </c>
      <c r="B424" s="1" t="s">
        <v>2707</v>
      </c>
      <c r="C424" s="1" t="s">
        <v>2708</v>
      </c>
      <c r="D424" s="2" t="n">
        <v>36070</v>
      </c>
      <c r="E424" s="1" t="s">
        <v>763</v>
      </c>
      <c r="F424" s="1" t="s">
        <v>711</v>
      </c>
      <c r="G424" s="1" t="s">
        <v>712</v>
      </c>
      <c r="H424" s="1" t="s">
        <v>713</v>
      </c>
      <c r="I424" s="1" t="s">
        <v>714</v>
      </c>
      <c r="J424" s="1" t="s">
        <v>805</v>
      </c>
      <c r="K424" s="1" t="s">
        <v>2709</v>
      </c>
      <c r="L424" s="1" t="s">
        <v>2710</v>
      </c>
      <c r="M424" s="1" t="s">
        <v>718</v>
      </c>
    </row>
    <row r="425" customFormat="false" ht="15" hidden="false" customHeight="false" outlineLevel="0" collapsed="false">
      <c r="A425" s="1" t="s">
        <v>2711</v>
      </c>
      <c r="B425" s="1" t="s">
        <v>2712</v>
      </c>
      <c r="C425" s="1" t="s">
        <v>2713</v>
      </c>
      <c r="D425" s="2" t="n">
        <v>36306</v>
      </c>
      <c r="E425" s="1" t="s">
        <v>710</v>
      </c>
      <c r="F425" s="1" t="s">
        <v>711</v>
      </c>
      <c r="G425" s="1" t="s">
        <v>712</v>
      </c>
      <c r="H425" s="1" t="s">
        <v>713</v>
      </c>
      <c r="I425" s="1" t="s">
        <v>714</v>
      </c>
      <c r="J425" s="1" t="s">
        <v>2714</v>
      </c>
      <c r="K425" s="1" t="s">
        <v>2715</v>
      </c>
      <c r="L425" s="1" t="s">
        <v>2716</v>
      </c>
      <c r="M425" s="1" t="s">
        <v>718</v>
      </c>
    </row>
    <row r="426" customFormat="false" ht="15" hidden="false" customHeight="false" outlineLevel="0" collapsed="false">
      <c r="A426" s="1" t="s">
        <v>2717</v>
      </c>
      <c r="B426" s="1" t="s">
        <v>2718</v>
      </c>
      <c r="C426" s="1" t="s">
        <v>2247</v>
      </c>
      <c r="D426" s="2" t="n">
        <v>36116</v>
      </c>
      <c r="E426" s="1" t="s">
        <v>763</v>
      </c>
      <c r="F426" s="1" t="s">
        <v>711</v>
      </c>
      <c r="G426" s="1" t="s">
        <v>722</v>
      </c>
      <c r="H426" s="1" t="s">
        <v>713</v>
      </c>
      <c r="I426" s="1" t="s">
        <v>714</v>
      </c>
      <c r="J426" s="1" t="s">
        <v>805</v>
      </c>
      <c r="K426" s="1" t="s">
        <v>2719</v>
      </c>
      <c r="L426" s="1" t="s">
        <v>2720</v>
      </c>
      <c r="M426" s="1" t="s">
        <v>718</v>
      </c>
    </row>
    <row r="427" customFormat="false" ht="15" hidden="false" customHeight="false" outlineLevel="0" collapsed="false">
      <c r="A427" s="1" t="s">
        <v>2721</v>
      </c>
      <c r="B427" s="1" t="s">
        <v>2722</v>
      </c>
      <c r="C427" s="1" t="s">
        <v>1606</v>
      </c>
      <c r="D427" s="2" t="n">
        <v>36522</v>
      </c>
      <c r="E427" s="1" t="s">
        <v>763</v>
      </c>
      <c r="F427" s="1" t="s">
        <v>711</v>
      </c>
      <c r="G427" s="1" t="s">
        <v>722</v>
      </c>
      <c r="H427" s="1" t="s">
        <v>713</v>
      </c>
      <c r="I427" s="1" t="s">
        <v>714</v>
      </c>
      <c r="J427" s="1" t="s">
        <v>2370</v>
      </c>
      <c r="K427" s="1" t="s">
        <v>2371</v>
      </c>
      <c r="L427" s="1" t="s">
        <v>2372</v>
      </c>
      <c r="M427" s="1" t="s">
        <v>718</v>
      </c>
    </row>
    <row r="428" customFormat="false" ht="15" hidden="false" customHeight="false" outlineLevel="0" collapsed="false">
      <c r="A428" s="1" t="s">
        <v>2723</v>
      </c>
      <c r="B428" s="1" t="s">
        <v>2724</v>
      </c>
      <c r="C428" s="1" t="s">
        <v>768</v>
      </c>
      <c r="D428" s="2" t="n">
        <v>36369</v>
      </c>
      <c r="E428" s="1" t="s">
        <v>763</v>
      </c>
      <c r="F428" s="1" t="s">
        <v>711</v>
      </c>
      <c r="G428" s="1" t="s">
        <v>722</v>
      </c>
      <c r="H428" s="1" t="s">
        <v>713</v>
      </c>
      <c r="I428" s="1" t="s">
        <v>714</v>
      </c>
      <c r="J428" s="1" t="s">
        <v>2725</v>
      </c>
      <c r="K428" s="1" t="s">
        <v>2726</v>
      </c>
      <c r="L428" s="1" t="s">
        <v>771</v>
      </c>
      <c r="M428" s="1" t="s">
        <v>718</v>
      </c>
    </row>
    <row r="429" customFormat="false" ht="15" hidden="false" customHeight="false" outlineLevel="0" collapsed="false">
      <c r="A429" s="1" t="s">
        <v>2727</v>
      </c>
      <c r="B429" s="1" t="s">
        <v>2728</v>
      </c>
      <c r="C429" s="1" t="s">
        <v>2729</v>
      </c>
      <c r="D429" s="2" t="n">
        <v>36275</v>
      </c>
      <c r="E429" s="1" t="s">
        <v>710</v>
      </c>
      <c r="F429" s="1" t="s">
        <v>711</v>
      </c>
      <c r="G429" s="1" t="s">
        <v>712</v>
      </c>
      <c r="H429" s="1" t="s">
        <v>713</v>
      </c>
      <c r="I429" s="1" t="s">
        <v>714</v>
      </c>
      <c r="J429" s="1" t="s">
        <v>2298</v>
      </c>
      <c r="K429" s="1" t="s">
        <v>2730</v>
      </c>
      <c r="L429" s="1" t="s">
        <v>2731</v>
      </c>
      <c r="M429" s="1" t="s">
        <v>718</v>
      </c>
    </row>
    <row r="430" customFormat="false" ht="15" hidden="false" customHeight="false" outlineLevel="0" collapsed="false">
      <c r="A430" s="1" t="s">
        <v>2732</v>
      </c>
      <c r="B430" s="1" t="s">
        <v>2733</v>
      </c>
      <c r="C430" s="1" t="s">
        <v>2734</v>
      </c>
      <c r="D430" s="2" t="n">
        <v>36325</v>
      </c>
      <c r="E430" s="1" t="s">
        <v>763</v>
      </c>
      <c r="F430" s="1" t="s">
        <v>711</v>
      </c>
      <c r="G430" s="1" t="s">
        <v>722</v>
      </c>
      <c r="H430" s="1" t="s">
        <v>713</v>
      </c>
      <c r="I430" s="1" t="s">
        <v>714</v>
      </c>
      <c r="J430" s="1" t="s">
        <v>2370</v>
      </c>
      <c r="K430" s="1" t="s">
        <v>2735</v>
      </c>
      <c r="L430" s="1" t="s">
        <v>2736</v>
      </c>
      <c r="M430" s="1" t="s">
        <v>718</v>
      </c>
    </row>
    <row r="431" customFormat="false" ht="15" hidden="false" customHeight="false" outlineLevel="0" collapsed="false">
      <c r="A431" s="1" t="s">
        <v>2737</v>
      </c>
      <c r="B431" s="1" t="s">
        <v>2738</v>
      </c>
      <c r="C431" s="1" t="s">
        <v>2739</v>
      </c>
      <c r="D431" s="2" t="n">
        <v>36404</v>
      </c>
      <c r="E431" s="1" t="s">
        <v>763</v>
      </c>
      <c r="F431" s="1" t="s">
        <v>711</v>
      </c>
      <c r="G431" s="1" t="s">
        <v>722</v>
      </c>
      <c r="H431" s="1" t="s">
        <v>713</v>
      </c>
      <c r="I431" s="1" t="s">
        <v>714</v>
      </c>
      <c r="J431" s="1" t="s">
        <v>1723</v>
      </c>
      <c r="K431" s="1" t="s">
        <v>2740</v>
      </c>
      <c r="L431" s="1" t="s">
        <v>2741</v>
      </c>
      <c r="M431" s="1" t="s">
        <v>718</v>
      </c>
    </row>
    <row r="432" customFormat="false" ht="15" hidden="false" customHeight="false" outlineLevel="0" collapsed="false">
      <c r="A432" s="1" t="s">
        <v>2742</v>
      </c>
      <c r="B432" s="1" t="s">
        <v>2256</v>
      </c>
      <c r="C432" s="1" t="s">
        <v>2743</v>
      </c>
      <c r="D432" s="2" t="n">
        <v>36453</v>
      </c>
      <c r="E432" s="1" t="s">
        <v>710</v>
      </c>
      <c r="F432" s="1" t="s">
        <v>711</v>
      </c>
      <c r="G432" s="1" t="s">
        <v>712</v>
      </c>
      <c r="H432" s="1" t="s">
        <v>713</v>
      </c>
      <c r="I432" s="1" t="s">
        <v>714</v>
      </c>
      <c r="J432" s="1" t="s">
        <v>838</v>
      </c>
      <c r="K432" s="1" t="s">
        <v>2744</v>
      </c>
      <c r="L432" s="1" t="s">
        <v>2745</v>
      </c>
      <c r="M432" s="1" t="s">
        <v>718</v>
      </c>
    </row>
    <row r="433" customFormat="false" ht="15" hidden="false" customHeight="false" outlineLevel="0" collapsed="false">
      <c r="A433" s="1" t="s">
        <v>2746</v>
      </c>
      <c r="B433" s="1" t="s">
        <v>2747</v>
      </c>
      <c r="C433" s="1" t="s">
        <v>2748</v>
      </c>
      <c r="D433" s="2" t="n">
        <v>36010</v>
      </c>
      <c r="E433" s="1" t="s">
        <v>763</v>
      </c>
      <c r="F433" s="1" t="s">
        <v>711</v>
      </c>
      <c r="G433" s="1" t="s">
        <v>712</v>
      </c>
      <c r="H433" s="1" t="s">
        <v>713</v>
      </c>
      <c r="I433" s="1" t="s">
        <v>714</v>
      </c>
      <c r="J433" s="1" t="s">
        <v>1723</v>
      </c>
      <c r="K433" s="1" t="s">
        <v>2749</v>
      </c>
      <c r="L433" s="1" t="s">
        <v>2750</v>
      </c>
      <c r="M433" s="1" t="s">
        <v>718</v>
      </c>
    </row>
    <row r="434" customFormat="false" ht="15" hidden="false" customHeight="false" outlineLevel="0" collapsed="false">
      <c r="A434" s="1" t="s">
        <v>2751</v>
      </c>
      <c r="B434" s="1" t="s">
        <v>2752</v>
      </c>
      <c r="C434" s="1" t="s">
        <v>2753</v>
      </c>
      <c r="D434" s="2" t="n">
        <v>36292</v>
      </c>
      <c r="E434" s="1" t="s">
        <v>763</v>
      </c>
      <c r="F434" s="1" t="s">
        <v>711</v>
      </c>
      <c r="G434" s="1" t="s">
        <v>722</v>
      </c>
      <c r="H434" s="1" t="s">
        <v>713</v>
      </c>
      <c r="I434" s="1" t="s">
        <v>714</v>
      </c>
      <c r="J434" s="1" t="s">
        <v>821</v>
      </c>
      <c r="K434" s="1" t="s">
        <v>2754</v>
      </c>
      <c r="L434" s="1" t="s">
        <v>2755</v>
      </c>
      <c r="M434" s="1" t="s">
        <v>718</v>
      </c>
    </row>
    <row r="435" customFormat="false" ht="15" hidden="false" customHeight="false" outlineLevel="0" collapsed="false">
      <c r="A435" s="1" t="s">
        <v>2756</v>
      </c>
      <c r="B435" s="1" t="s">
        <v>2757</v>
      </c>
      <c r="C435" s="1" t="s">
        <v>1349</v>
      </c>
      <c r="D435" s="2" t="n">
        <v>36398</v>
      </c>
      <c r="E435" s="1" t="s">
        <v>763</v>
      </c>
      <c r="F435" s="1" t="s">
        <v>711</v>
      </c>
      <c r="G435" s="1" t="s">
        <v>712</v>
      </c>
      <c r="H435" s="1" t="s">
        <v>713</v>
      </c>
      <c r="I435" s="1" t="s">
        <v>714</v>
      </c>
      <c r="J435" s="1" t="s">
        <v>2237</v>
      </c>
      <c r="K435" s="1" t="s">
        <v>2758</v>
      </c>
      <c r="L435" s="1" t="s">
        <v>2759</v>
      </c>
      <c r="M435" s="1" t="s">
        <v>718</v>
      </c>
    </row>
    <row r="436" customFormat="false" ht="15" hidden="false" customHeight="false" outlineLevel="0" collapsed="false">
      <c r="A436" s="1" t="s">
        <v>2760</v>
      </c>
      <c r="B436" s="1" t="s">
        <v>1561</v>
      </c>
      <c r="C436" s="1" t="s">
        <v>2761</v>
      </c>
      <c r="D436" s="2" t="n">
        <v>36095</v>
      </c>
      <c r="E436" s="1" t="s">
        <v>710</v>
      </c>
      <c r="F436" s="1" t="s">
        <v>711</v>
      </c>
      <c r="G436" s="1" t="s">
        <v>722</v>
      </c>
      <c r="H436" s="1" t="s">
        <v>713</v>
      </c>
      <c r="I436" s="1" t="s">
        <v>714</v>
      </c>
      <c r="J436" s="1" t="s">
        <v>1055</v>
      </c>
      <c r="K436" s="1" t="s">
        <v>2762</v>
      </c>
      <c r="L436" s="1" t="s">
        <v>2763</v>
      </c>
      <c r="M436" s="1" t="s">
        <v>718</v>
      </c>
    </row>
    <row r="437" customFormat="false" ht="15" hidden="false" customHeight="false" outlineLevel="0" collapsed="false">
      <c r="A437" s="1" t="s">
        <v>2764</v>
      </c>
      <c r="B437" s="1" t="s">
        <v>2765</v>
      </c>
      <c r="C437" s="1" t="s">
        <v>2766</v>
      </c>
      <c r="D437" s="2" t="n">
        <v>36402</v>
      </c>
      <c r="E437" s="1" t="s">
        <v>763</v>
      </c>
      <c r="F437" s="1" t="s">
        <v>711</v>
      </c>
      <c r="G437" s="1" t="s">
        <v>712</v>
      </c>
      <c r="H437" s="1" t="s">
        <v>713</v>
      </c>
      <c r="I437" s="1" t="s">
        <v>714</v>
      </c>
      <c r="J437" s="1" t="s">
        <v>1244</v>
      </c>
      <c r="K437" s="1" t="s">
        <v>2767</v>
      </c>
      <c r="L437" s="1" t="s">
        <v>2768</v>
      </c>
      <c r="M437" s="1" t="s">
        <v>718</v>
      </c>
    </row>
    <row r="438" customFormat="false" ht="15" hidden="false" customHeight="false" outlineLevel="0" collapsed="false">
      <c r="A438" s="1" t="s">
        <v>2769</v>
      </c>
      <c r="B438" s="1" t="s">
        <v>2770</v>
      </c>
      <c r="C438" s="1" t="s">
        <v>1376</v>
      </c>
      <c r="D438" s="2" t="n">
        <v>36427</v>
      </c>
      <c r="E438" s="1" t="s">
        <v>710</v>
      </c>
      <c r="F438" s="1" t="s">
        <v>711</v>
      </c>
      <c r="G438" s="1" t="s">
        <v>722</v>
      </c>
      <c r="H438" s="1" t="s">
        <v>713</v>
      </c>
      <c r="I438" s="1" t="s">
        <v>714</v>
      </c>
      <c r="J438" s="1" t="s">
        <v>1723</v>
      </c>
      <c r="K438" s="1" t="s">
        <v>2771</v>
      </c>
      <c r="L438" s="1" t="s">
        <v>1377</v>
      </c>
      <c r="M438" s="1" t="s">
        <v>718</v>
      </c>
    </row>
    <row r="439" customFormat="false" ht="15" hidden="false" customHeight="false" outlineLevel="0" collapsed="false">
      <c r="A439" s="1" t="s">
        <v>2772</v>
      </c>
      <c r="B439" s="1" t="s">
        <v>2773</v>
      </c>
      <c r="C439" s="1" t="s">
        <v>2774</v>
      </c>
      <c r="D439" s="2" t="n">
        <v>36322</v>
      </c>
      <c r="E439" s="1" t="s">
        <v>763</v>
      </c>
      <c r="F439" s="1" t="s">
        <v>711</v>
      </c>
      <c r="G439" s="1" t="s">
        <v>712</v>
      </c>
      <c r="H439" s="1" t="s">
        <v>713</v>
      </c>
      <c r="I439" s="1" t="s">
        <v>714</v>
      </c>
      <c r="J439" s="1" t="s">
        <v>2438</v>
      </c>
      <c r="K439" s="1" t="s">
        <v>2775</v>
      </c>
      <c r="L439" s="1" t="s">
        <v>2776</v>
      </c>
      <c r="M439" s="1" t="s">
        <v>718</v>
      </c>
    </row>
    <row r="440" customFormat="false" ht="15" hidden="false" customHeight="false" outlineLevel="0" collapsed="false">
      <c r="A440" s="1" t="s">
        <v>2777</v>
      </c>
      <c r="B440" s="1" t="s">
        <v>2778</v>
      </c>
      <c r="C440" s="1" t="s">
        <v>1143</v>
      </c>
      <c r="D440" s="2" t="n">
        <v>36455</v>
      </c>
      <c r="E440" s="1" t="s">
        <v>710</v>
      </c>
      <c r="F440" s="1" t="s">
        <v>711</v>
      </c>
      <c r="G440" s="1" t="s">
        <v>712</v>
      </c>
      <c r="H440" s="1" t="s">
        <v>713</v>
      </c>
      <c r="I440" s="1" t="s">
        <v>714</v>
      </c>
      <c r="J440" s="1" t="s">
        <v>2621</v>
      </c>
      <c r="K440" s="1" t="s">
        <v>2779</v>
      </c>
      <c r="L440" s="1" t="s">
        <v>2780</v>
      </c>
      <c r="M440" s="1" t="s">
        <v>718</v>
      </c>
    </row>
    <row r="441" customFormat="false" ht="15" hidden="false" customHeight="false" outlineLevel="0" collapsed="false">
      <c r="A441" s="1" t="s">
        <v>2781</v>
      </c>
      <c r="B441" s="1" t="s">
        <v>2782</v>
      </c>
      <c r="C441" s="1" t="s">
        <v>2783</v>
      </c>
      <c r="D441" s="2" t="n">
        <v>36493</v>
      </c>
      <c r="E441" s="1" t="s">
        <v>710</v>
      </c>
      <c r="F441" s="1" t="s">
        <v>711</v>
      </c>
      <c r="G441" s="1" t="s">
        <v>2784</v>
      </c>
      <c r="H441" s="1" t="s">
        <v>713</v>
      </c>
      <c r="I441" s="1" t="s">
        <v>714</v>
      </c>
      <c r="J441" s="1" t="s">
        <v>2564</v>
      </c>
      <c r="K441" s="1" t="s">
        <v>2785</v>
      </c>
      <c r="L441" s="1" t="s">
        <v>2786</v>
      </c>
      <c r="M441" s="1" t="s">
        <v>718</v>
      </c>
    </row>
    <row r="442" customFormat="false" ht="15" hidden="false" customHeight="false" outlineLevel="0" collapsed="false">
      <c r="A442" s="1" t="s">
        <v>2787</v>
      </c>
      <c r="B442" s="1" t="s">
        <v>2788</v>
      </c>
      <c r="C442" s="1" t="s">
        <v>1928</v>
      </c>
      <c r="D442" s="2" t="n">
        <v>36341</v>
      </c>
      <c r="E442" s="1" t="s">
        <v>763</v>
      </c>
      <c r="F442" s="1" t="s">
        <v>711</v>
      </c>
      <c r="G442" s="1" t="s">
        <v>722</v>
      </c>
      <c r="H442" s="1" t="s">
        <v>713</v>
      </c>
      <c r="I442" s="1" t="s">
        <v>714</v>
      </c>
      <c r="J442" s="1" t="s">
        <v>821</v>
      </c>
      <c r="K442" s="1" t="s">
        <v>2279</v>
      </c>
      <c r="L442" s="1" t="s">
        <v>2789</v>
      </c>
      <c r="M442" s="1" t="s">
        <v>718</v>
      </c>
    </row>
    <row r="443" customFormat="false" ht="15" hidden="false" customHeight="false" outlineLevel="0" collapsed="false">
      <c r="A443" s="1" t="s">
        <v>2790</v>
      </c>
      <c r="B443" s="1" t="s">
        <v>2791</v>
      </c>
      <c r="C443" s="1" t="s">
        <v>1914</v>
      </c>
      <c r="D443" s="2" t="n">
        <v>36103</v>
      </c>
      <c r="E443" s="1" t="s">
        <v>763</v>
      </c>
      <c r="F443" s="1" t="s">
        <v>711</v>
      </c>
      <c r="G443" s="1" t="s">
        <v>722</v>
      </c>
      <c r="H443" s="1" t="s">
        <v>713</v>
      </c>
      <c r="I443" s="1" t="s">
        <v>714</v>
      </c>
      <c r="J443" s="1" t="s">
        <v>1723</v>
      </c>
      <c r="K443" s="1" t="s">
        <v>2792</v>
      </c>
      <c r="L443" s="1" t="s">
        <v>2793</v>
      </c>
      <c r="M443" s="1" t="s">
        <v>718</v>
      </c>
    </row>
    <row r="444" customFormat="false" ht="15" hidden="false" customHeight="false" outlineLevel="0" collapsed="false">
      <c r="A444" s="1" t="s">
        <v>2794</v>
      </c>
      <c r="B444" s="1" t="s">
        <v>2795</v>
      </c>
      <c r="C444" s="1" t="s">
        <v>2796</v>
      </c>
      <c r="D444" s="2" t="n">
        <v>36352</v>
      </c>
      <c r="E444" s="1" t="s">
        <v>710</v>
      </c>
      <c r="F444" s="1" t="s">
        <v>711</v>
      </c>
      <c r="G444" s="1" t="s">
        <v>722</v>
      </c>
      <c r="H444" s="1" t="s">
        <v>713</v>
      </c>
      <c r="I444" s="1" t="s">
        <v>714</v>
      </c>
      <c r="J444" s="1" t="s">
        <v>1723</v>
      </c>
      <c r="K444" s="1" t="s">
        <v>2797</v>
      </c>
      <c r="L444" s="1" t="s">
        <v>2798</v>
      </c>
      <c r="M444" s="1" t="s">
        <v>718</v>
      </c>
    </row>
    <row r="445" customFormat="false" ht="15" hidden="false" customHeight="false" outlineLevel="0" collapsed="false">
      <c r="A445" s="1" t="s">
        <v>2799</v>
      </c>
      <c r="B445" s="1" t="s">
        <v>2800</v>
      </c>
      <c r="C445" s="1" t="s">
        <v>2801</v>
      </c>
      <c r="D445" s="2" t="n">
        <v>36250</v>
      </c>
      <c r="E445" s="1" t="s">
        <v>763</v>
      </c>
      <c r="F445" s="1" t="s">
        <v>711</v>
      </c>
      <c r="G445" s="1" t="s">
        <v>722</v>
      </c>
      <c r="H445" s="1" t="s">
        <v>713</v>
      </c>
      <c r="I445" s="1" t="s">
        <v>714</v>
      </c>
      <c r="J445" s="1" t="s">
        <v>715</v>
      </c>
      <c r="K445" s="1" t="s">
        <v>2802</v>
      </c>
      <c r="L445" s="1" t="s">
        <v>2803</v>
      </c>
      <c r="M445" s="1" t="s">
        <v>718</v>
      </c>
    </row>
    <row r="446" customFormat="false" ht="15" hidden="false" customHeight="false" outlineLevel="0" collapsed="false">
      <c r="A446" s="1" t="s">
        <v>2804</v>
      </c>
      <c r="B446" s="1" t="s">
        <v>2805</v>
      </c>
      <c r="C446" s="1" t="s">
        <v>2806</v>
      </c>
      <c r="D446" s="2" t="n">
        <v>36081</v>
      </c>
      <c r="E446" s="1" t="s">
        <v>710</v>
      </c>
      <c r="F446" s="1" t="s">
        <v>711</v>
      </c>
      <c r="G446" s="1" t="s">
        <v>2807</v>
      </c>
      <c r="H446" s="1" t="s">
        <v>713</v>
      </c>
      <c r="I446" s="1" t="s">
        <v>714</v>
      </c>
      <c r="J446" s="1" t="s">
        <v>1530</v>
      </c>
      <c r="K446" s="1" t="s">
        <v>2808</v>
      </c>
      <c r="L446" s="1" t="s">
        <v>2809</v>
      </c>
      <c r="M446" s="1" t="s">
        <v>718</v>
      </c>
    </row>
    <row r="447" customFormat="false" ht="15" hidden="false" customHeight="false" outlineLevel="0" collapsed="false">
      <c r="A447" s="1" t="s">
        <v>2810</v>
      </c>
      <c r="B447" s="1" t="s">
        <v>2811</v>
      </c>
      <c r="C447" s="1" t="s">
        <v>2812</v>
      </c>
      <c r="D447" s="2" t="n">
        <v>36410</v>
      </c>
      <c r="E447" s="1" t="s">
        <v>763</v>
      </c>
      <c r="F447" s="1" t="s">
        <v>711</v>
      </c>
      <c r="G447" s="1" t="s">
        <v>722</v>
      </c>
      <c r="H447" s="1" t="s">
        <v>713</v>
      </c>
      <c r="I447" s="1" t="s">
        <v>714</v>
      </c>
      <c r="J447" s="1" t="s">
        <v>805</v>
      </c>
      <c r="K447" s="1" t="s">
        <v>2813</v>
      </c>
      <c r="L447" s="1" t="s">
        <v>2814</v>
      </c>
      <c r="M447" s="1" t="s">
        <v>718</v>
      </c>
    </row>
    <row r="448" customFormat="false" ht="15" hidden="false" customHeight="false" outlineLevel="0" collapsed="false">
      <c r="A448" s="1" t="s">
        <v>2815</v>
      </c>
      <c r="B448" s="1" t="s">
        <v>2816</v>
      </c>
      <c r="C448" s="1" t="s">
        <v>2817</v>
      </c>
      <c r="D448" s="2" t="n">
        <v>36151</v>
      </c>
      <c r="E448" s="1" t="s">
        <v>763</v>
      </c>
      <c r="F448" s="1" t="s">
        <v>711</v>
      </c>
      <c r="G448" s="1" t="s">
        <v>722</v>
      </c>
      <c r="H448" s="1" t="s">
        <v>713</v>
      </c>
      <c r="I448" s="1" t="s">
        <v>714</v>
      </c>
      <c r="J448" s="1" t="s">
        <v>1244</v>
      </c>
      <c r="K448" s="1" t="s">
        <v>2818</v>
      </c>
      <c r="L448" s="1" t="s">
        <v>2819</v>
      </c>
      <c r="M448" s="1" t="s">
        <v>718</v>
      </c>
    </row>
    <row r="449" customFormat="false" ht="15" hidden="false" customHeight="false" outlineLevel="0" collapsed="false">
      <c r="A449" s="1" t="s">
        <v>2820</v>
      </c>
      <c r="B449" s="1" t="s">
        <v>1147</v>
      </c>
      <c r="C449" s="1" t="s">
        <v>2821</v>
      </c>
      <c r="D449" s="2" t="n">
        <v>36393</v>
      </c>
      <c r="E449" s="1" t="s">
        <v>710</v>
      </c>
      <c r="F449" s="1" t="s">
        <v>711</v>
      </c>
      <c r="G449" s="1" t="s">
        <v>712</v>
      </c>
      <c r="H449" s="1" t="s">
        <v>713</v>
      </c>
      <c r="I449" s="1" t="s">
        <v>714</v>
      </c>
      <c r="J449" s="1" t="s">
        <v>1244</v>
      </c>
      <c r="K449" s="1" t="s">
        <v>2822</v>
      </c>
      <c r="L449" s="1" t="s">
        <v>2823</v>
      </c>
      <c r="M449" s="1" t="s">
        <v>718</v>
      </c>
    </row>
    <row r="450" customFormat="false" ht="15" hidden="false" customHeight="false" outlineLevel="0" collapsed="false">
      <c r="A450" s="1" t="s">
        <v>2824</v>
      </c>
      <c r="B450" s="1" t="s">
        <v>2825</v>
      </c>
      <c r="C450" s="1" t="s">
        <v>2826</v>
      </c>
      <c r="D450" s="2" t="n">
        <v>36134</v>
      </c>
      <c r="E450" s="1" t="s">
        <v>763</v>
      </c>
      <c r="F450" s="1" t="s">
        <v>711</v>
      </c>
      <c r="G450" s="1" t="s">
        <v>722</v>
      </c>
      <c r="H450" s="1" t="s">
        <v>713</v>
      </c>
      <c r="I450" s="1" t="s">
        <v>714</v>
      </c>
      <c r="J450" s="1" t="s">
        <v>886</v>
      </c>
      <c r="K450" s="1" t="s">
        <v>2827</v>
      </c>
      <c r="L450" s="1" t="s">
        <v>2828</v>
      </c>
      <c r="M450" s="1" t="s">
        <v>718</v>
      </c>
    </row>
    <row r="451" customFormat="false" ht="15" hidden="false" customHeight="false" outlineLevel="0" collapsed="false">
      <c r="A451" s="1" t="s">
        <v>2829</v>
      </c>
      <c r="B451" s="1" t="s">
        <v>2830</v>
      </c>
      <c r="C451" s="1" t="s">
        <v>2831</v>
      </c>
      <c r="D451" s="2" t="n">
        <v>36179</v>
      </c>
      <c r="E451" s="1" t="s">
        <v>763</v>
      </c>
      <c r="F451" s="1" t="s">
        <v>711</v>
      </c>
      <c r="G451" s="1" t="s">
        <v>722</v>
      </c>
      <c r="H451" s="1" t="s">
        <v>713</v>
      </c>
      <c r="I451" s="1" t="s">
        <v>714</v>
      </c>
      <c r="J451" s="1" t="s">
        <v>1723</v>
      </c>
      <c r="K451" s="1" t="s">
        <v>2832</v>
      </c>
      <c r="L451" s="1" t="s">
        <v>2833</v>
      </c>
      <c r="M451" s="1" t="s">
        <v>718</v>
      </c>
    </row>
    <row r="452" customFormat="false" ht="15" hidden="false" customHeight="false" outlineLevel="0" collapsed="false">
      <c r="A452" s="1" t="s">
        <v>2834</v>
      </c>
      <c r="B452" s="1" t="s">
        <v>2835</v>
      </c>
      <c r="C452" s="1" t="s">
        <v>2836</v>
      </c>
      <c r="D452" s="2" t="n">
        <v>36503</v>
      </c>
      <c r="E452" s="1" t="s">
        <v>763</v>
      </c>
      <c r="F452" s="1" t="s">
        <v>711</v>
      </c>
      <c r="G452" s="1" t="s">
        <v>712</v>
      </c>
      <c r="H452" s="1" t="s">
        <v>713</v>
      </c>
      <c r="I452" s="1" t="s">
        <v>714</v>
      </c>
      <c r="J452" s="1" t="s">
        <v>1723</v>
      </c>
      <c r="K452" s="1" t="s">
        <v>2837</v>
      </c>
      <c r="L452" s="1" t="s">
        <v>2838</v>
      </c>
      <c r="M452" s="1" t="s">
        <v>718</v>
      </c>
    </row>
    <row r="453" customFormat="false" ht="15" hidden="false" customHeight="false" outlineLevel="0" collapsed="false">
      <c r="A453" s="1" t="s">
        <v>2839</v>
      </c>
      <c r="B453" s="1" t="s">
        <v>2840</v>
      </c>
      <c r="C453" s="1" t="s">
        <v>2643</v>
      </c>
      <c r="D453" s="2" t="n">
        <v>36395</v>
      </c>
      <c r="E453" s="1" t="s">
        <v>763</v>
      </c>
      <c r="F453" s="1" t="s">
        <v>711</v>
      </c>
      <c r="G453" s="1" t="s">
        <v>722</v>
      </c>
      <c r="H453" s="1" t="s">
        <v>713</v>
      </c>
      <c r="I453" s="1" t="s">
        <v>714</v>
      </c>
      <c r="J453" s="1" t="s">
        <v>2841</v>
      </c>
      <c r="K453" s="1" t="s">
        <v>716</v>
      </c>
      <c r="L453" s="1" t="s">
        <v>2842</v>
      </c>
      <c r="M453" s="1" t="s">
        <v>718</v>
      </c>
    </row>
    <row r="454" customFormat="false" ht="15" hidden="false" customHeight="false" outlineLevel="0" collapsed="false">
      <c r="A454" s="1" t="s">
        <v>2843</v>
      </c>
      <c r="B454" s="1" t="s">
        <v>2844</v>
      </c>
      <c r="C454" s="1" t="s">
        <v>2149</v>
      </c>
      <c r="D454" s="2" t="n">
        <v>36475</v>
      </c>
      <c r="E454" s="1" t="s">
        <v>763</v>
      </c>
      <c r="F454" s="1" t="s">
        <v>711</v>
      </c>
      <c r="G454" s="1" t="s">
        <v>1220</v>
      </c>
      <c r="H454" s="1" t="s">
        <v>713</v>
      </c>
      <c r="I454" s="1" t="s">
        <v>714</v>
      </c>
      <c r="J454" s="1" t="s">
        <v>2150</v>
      </c>
      <c r="K454" s="1" t="s">
        <v>2151</v>
      </c>
      <c r="L454" s="1" t="s">
        <v>2152</v>
      </c>
      <c r="M454" s="1" t="s">
        <v>718</v>
      </c>
    </row>
    <row r="455" customFormat="false" ht="15" hidden="false" customHeight="false" outlineLevel="0" collapsed="false">
      <c r="A455" s="1" t="s">
        <v>2845</v>
      </c>
      <c r="B455" s="1" t="s">
        <v>2846</v>
      </c>
      <c r="C455" s="1" t="s">
        <v>1214</v>
      </c>
      <c r="D455" s="2" t="n">
        <v>36408</v>
      </c>
      <c r="E455" s="1" t="s">
        <v>710</v>
      </c>
      <c r="F455" s="1" t="s">
        <v>711</v>
      </c>
      <c r="G455" s="1" t="s">
        <v>712</v>
      </c>
      <c r="H455" s="1" t="s">
        <v>713</v>
      </c>
      <c r="I455" s="1" t="s">
        <v>714</v>
      </c>
      <c r="J455" s="1" t="s">
        <v>978</v>
      </c>
      <c r="K455" s="1" t="s">
        <v>2847</v>
      </c>
      <c r="L455" s="1" t="s">
        <v>1216</v>
      </c>
      <c r="M455" s="1" t="s">
        <v>718</v>
      </c>
    </row>
    <row r="456" customFormat="false" ht="15" hidden="false" customHeight="false" outlineLevel="0" collapsed="false">
      <c r="A456" s="1" t="s">
        <v>2848</v>
      </c>
      <c r="B456" s="1" t="s">
        <v>1636</v>
      </c>
      <c r="C456" s="1" t="s">
        <v>2849</v>
      </c>
      <c r="D456" s="2" t="n">
        <v>36649</v>
      </c>
      <c r="E456" s="1" t="s">
        <v>710</v>
      </c>
      <c r="F456" s="1" t="s">
        <v>711</v>
      </c>
      <c r="G456" s="1" t="s">
        <v>722</v>
      </c>
      <c r="H456" s="1" t="s">
        <v>713</v>
      </c>
      <c r="I456" s="1" t="s">
        <v>714</v>
      </c>
      <c r="J456" s="1" t="s">
        <v>1584</v>
      </c>
      <c r="K456" s="1" t="s">
        <v>2850</v>
      </c>
      <c r="L456" s="1" t="s">
        <v>2851</v>
      </c>
      <c r="M456" s="1" t="s">
        <v>718</v>
      </c>
    </row>
    <row r="457" customFormat="false" ht="15" hidden="false" customHeight="false" outlineLevel="0" collapsed="false">
      <c r="A457" s="1" t="s">
        <v>2852</v>
      </c>
      <c r="B457" s="1" t="s">
        <v>2853</v>
      </c>
      <c r="C457" s="1" t="s">
        <v>2854</v>
      </c>
      <c r="D457" s="2" t="n">
        <v>36503</v>
      </c>
      <c r="E457" s="1" t="s">
        <v>710</v>
      </c>
      <c r="F457" s="1" t="s">
        <v>711</v>
      </c>
      <c r="G457" s="1" t="s">
        <v>712</v>
      </c>
      <c r="H457" s="1" t="s">
        <v>713</v>
      </c>
      <c r="I457" s="1" t="s">
        <v>714</v>
      </c>
      <c r="J457" s="1" t="s">
        <v>2438</v>
      </c>
      <c r="K457" s="1" t="s">
        <v>2855</v>
      </c>
      <c r="L457" s="1" t="s">
        <v>2856</v>
      </c>
      <c r="M457" s="1" t="s">
        <v>718</v>
      </c>
    </row>
    <row r="458" customFormat="false" ht="15" hidden="false" customHeight="false" outlineLevel="0" collapsed="false">
      <c r="A458" s="1" t="s">
        <v>2857</v>
      </c>
      <c r="B458" s="1" t="s">
        <v>2858</v>
      </c>
      <c r="C458" s="1" t="s">
        <v>2859</v>
      </c>
      <c r="D458" s="2" t="n">
        <v>36194</v>
      </c>
      <c r="E458" s="1" t="s">
        <v>710</v>
      </c>
      <c r="F458" s="1" t="s">
        <v>711</v>
      </c>
      <c r="G458" s="1" t="s">
        <v>722</v>
      </c>
      <c r="H458" s="1" t="s">
        <v>713</v>
      </c>
      <c r="I458" s="1" t="s">
        <v>714</v>
      </c>
      <c r="J458" s="1" t="s">
        <v>1898</v>
      </c>
      <c r="K458" s="1" t="s">
        <v>2860</v>
      </c>
      <c r="L458" s="1" t="s">
        <v>2861</v>
      </c>
      <c r="M458" s="1" t="s">
        <v>718</v>
      </c>
    </row>
    <row r="459" customFormat="false" ht="15" hidden="false" customHeight="false" outlineLevel="0" collapsed="false">
      <c r="A459" s="1" t="s">
        <v>2862</v>
      </c>
      <c r="B459" s="1" t="s">
        <v>2863</v>
      </c>
      <c r="C459" s="1" t="s">
        <v>2864</v>
      </c>
      <c r="D459" s="2" t="n">
        <v>36189</v>
      </c>
      <c r="E459" s="1" t="s">
        <v>710</v>
      </c>
      <c r="F459" s="1" t="s">
        <v>711</v>
      </c>
      <c r="G459" s="1" t="s">
        <v>722</v>
      </c>
      <c r="H459" s="1" t="s">
        <v>713</v>
      </c>
      <c r="I459" s="1" t="s">
        <v>714</v>
      </c>
      <c r="J459" s="1" t="s">
        <v>2865</v>
      </c>
      <c r="K459" s="1" t="s">
        <v>716</v>
      </c>
      <c r="L459" s="1" t="s">
        <v>2866</v>
      </c>
      <c r="M459" s="1" t="s">
        <v>718</v>
      </c>
    </row>
    <row r="460" customFormat="false" ht="15" hidden="false" customHeight="false" outlineLevel="0" collapsed="false">
      <c r="A460" s="1" t="s">
        <v>2867</v>
      </c>
      <c r="B460" s="1" t="s">
        <v>2868</v>
      </c>
      <c r="C460" s="1" t="s">
        <v>2411</v>
      </c>
      <c r="D460" s="2" t="n">
        <v>36492</v>
      </c>
      <c r="E460" s="1" t="s">
        <v>710</v>
      </c>
      <c r="F460" s="1" t="s">
        <v>711</v>
      </c>
      <c r="G460" s="1" t="s">
        <v>712</v>
      </c>
      <c r="H460" s="1" t="s">
        <v>713</v>
      </c>
      <c r="I460" s="1" t="s">
        <v>714</v>
      </c>
      <c r="J460" s="1" t="s">
        <v>821</v>
      </c>
      <c r="K460" s="1" t="s">
        <v>2869</v>
      </c>
      <c r="L460" s="1" t="s">
        <v>2870</v>
      </c>
      <c r="M460" s="1" t="s">
        <v>718</v>
      </c>
    </row>
    <row r="461" customFormat="false" ht="15" hidden="false" customHeight="false" outlineLevel="0" collapsed="false">
      <c r="A461" s="1" t="s">
        <v>2871</v>
      </c>
      <c r="B461" s="1" t="s">
        <v>2872</v>
      </c>
      <c r="C461" s="1" t="s">
        <v>1139</v>
      </c>
      <c r="D461" s="2" t="n">
        <v>36238</v>
      </c>
      <c r="E461" s="1" t="s">
        <v>710</v>
      </c>
      <c r="F461" s="1" t="s">
        <v>711</v>
      </c>
      <c r="G461" s="1" t="s">
        <v>712</v>
      </c>
      <c r="H461" s="1" t="s">
        <v>713</v>
      </c>
      <c r="I461" s="1" t="s">
        <v>714</v>
      </c>
      <c r="J461" s="1" t="s">
        <v>821</v>
      </c>
      <c r="K461" s="1" t="s">
        <v>2873</v>
      </c>
      <c r="L461" s="1" t="s">
        <v>1140</v>
      </c>
      <c r="M461" s="1" t="s">
        <v>718</v>
      </c>
    </row>
    <row r="462" customFormat="false" ht="15" hidden="false" customHeight="false" outlineLevel="0" collapsed="false">
      <c r="A462" s="1" t="s">
        <v>2874</v>
      </c>
      <c r="B462" s="1" t="s">
        <v>2875</v>
      </c>
      <c r="C462" s="1" t="s">
        <v>2876</v>
      </c>
      <c r="D462" s="2" t="n">
        <v>36855</v>
      </c>
      <c r="E462" s="1" t="s">
        <v>710</v>
      </c>
      <c r="F462" s="1" t="s">
        <v>711</v>
      </c>
      <c r="G462" s="1" t="s">
        <v>712</v>
      </c>
      <c r="H462" s="1" t="s">
        <v>713</v>
      </c>
      <c r="I462" s="1" t="s">
        <v>714</v>
      </c>
      <c r="J462" s="1" t="s">
        <v>1172</v>
      </c>
      <c r="K462" s="1" t="s">
        <v>2877</v>
      </c>
      <c r="L462" s="1" t="s">
        <v>2878</v>
      </c>
      <c r="M462" s="1" t="s">
        <v>718</v>
      </c>
    </row>
    <row r="463" customFormat="false" ht="15" hidden="false" customHeight="false" outlineLevel="0" collapsed="false">
      <c r="A463" s="1" t="s">
        <v>2879</v>
      </c>
      <c r="B463" s="1" t="s">
        <v>2880</v>
      </c>
      <c r="C463" s="1" t="s">
        <v>2881</v>
      </c>
      <c r="D463" s="2" t="n">
        <v>36176</v>
      </c>
      <c r="E463" s="1" t="s">
        <v>710</v>
      </c>
      <c r="F463" s="1" t="s">
        <v>711</v>
      </c>
      <c r="G463" s="1" t="s">
        <v>712</v>
      </c>
      <c r="H463" s="1" t="s">
        <v>713</v>
      </c>
      <c r="I463" s="1" t="s">
        <v>714</v>
      </c>
      <c r="J463" s="1" t="s">
        <v>1898</v>
      </c>
      <c r="K463" s="1" t="s">
        <v>2882</v>
      </c>
      <c r="L463" s="1" t="s">
        <v>2883</v>
      </c>
      <c r="M463" s="1" t="s">
        <v>718</v>
      </c>
    </row>
    <row r="464" customFormat="false" ht="15" hidden="false" customHeight="false" outlineLevel="0" collapsed="false">
      <c r="A464" s="1" t="s">
        <v>2884</v>
      </c>
      <c r="B464" s="1" t="s">
        <v>862</v>
      </c>
      <c r="C464" s="1" t="s">
        <v>1059</v>
      </c>
      <c r="D464" s="2" t="n">
        <v>36507</v>
      </c>
      <c r="E464" s="1" t="s">
        <v>710</v>
      </c>
      <c r="F464" s="1" t="s">
        <v>711</v>
      </c>
      <c r="G464" s="1" t="s">
        <v>712</v>
      </c>
      <c r="H464" s="1" t="s">
        <v>713</v>
      </c>
      <c r="I464" s="1" t="s">
        <v>714</v>
      </c>
      <c r="J464" s="1" t="s">
        <v>1445</v>
      </c>
      <c r="K464" s="1" t="s">
        <v>2885</v>
      </c>
      <c r="L464" s="1" t="s">
        <v>2886</v>
      </c>
      <c r="M464" s="1" t="s">
        <v>718</v>
      </c>
    </row>
    <row r="465" customFormat="false" ht="15" hidden="false" customHeight="false" outlineLevel="0" collapsed="false">
      <c r="A465" s="1" t="s">
        <v>2887</v>
      </c>
      <c r="B465" s="1" t="s">
        <v>2888</v>
      </c>
      <c r="C465" s="1" t="s">
        <v>1234</v>
      </c>
      <c r="D465" s="2" t="n">
        <v>36249</v>
      </c>
      <c r="E465" s="1" t="s">
        <v>763</v>
      </c>
      <c r="F465" s="1" t="s">
        <v>711</v>
      </c>
      <c r="G465" s="1" t="s">
        <v>722</v>
      </c>
      <c r="H465" s="1" t="s">
        <v>713</v>
      </c>
      <c r="I465" s="1" t="s">
        <v>714</v>
      </c>
      <c r="J465" s="1" t="s">
        <v>2889</v>
      </c>
      <c r="K465" s="1" t="s">
        <v>2890</v>
      </c>
      <c r="L465" s="1" t="s">
        <v>2891</v>
      </c>
      <c r="M465" s="1" t="s">
        <v>718</v>
      </c>
    </row>
    <row r="466" customFormat="false" ht="15" hidden="false" customHeight="false" outlineLevel="0" collapsed="false">
      <c r="A466" s="1" t="s">
        <v>2892</v>
      </c>
      <c r="B466" s="1" t="s">
        <v>2893</v>
      </c>
      <c r="C466" s="1" t="s">
        <v>2894</v>
      </c>
      <c r="D466" s="2" t="n">
        <v>36502</v>
      </c>
      <c r="E466" s="1" t="s">
        <v>710</v>
      </c>
      <c r="F466" s="1" t="s">
        <v>711</v>
      </c>
      <c r="G466" s="1" t="s">
        <v>712</v>
      </c>
      <c r="H466" s="1" t="s">
        <v>713</v>
      </c>
      <c r="I466" s="1" t="s">
        <v>714</v>
      </c>
      <c r="J466" s="1" t="s">
        <v>1530</v>
      </c>
      <c r="K466" s="1" t="s">
        <v>2895</v>
      </c>
      <c r="L466" s="1" t="s">
        <v>2896</v>
      </c>
      <c r="M466" s="1" t="s">
        <v>718</v>
      </c>
    </row>
    <row r="467" customFormat="false" ht="15" hidden="false" customHeight="false" outlineLevel="0" collapsed="false">
      <c r="A467" s="1" t="s">
        <v>2897</v>
      </c>
      <c r="B467" s="1" t="s">
        <v>2898</v>
      </c>
      <c r="C467" s="1" t="s">
        <v>2899</v>
      </c>
      <c r="D467" s="2" t="n">
        <v>36655</v>
      </c>
      <c r="E467" s="1" t="s">
        <v>710</v>
      </c>
      <c r="F467" s="1" t="s">
        <v>711</v>
      </c>
      <c r="G467" s="1" t="s">
        <v>712</v>
      </c>
      <c r="H467" s="1" t="s">
        <v>713</v>
      </c>
      <c r="I467" s="1" t="s">
        <v>714</v>
      </c>
      <c r="J467" s="1" t="s">
        <v>1723</v>
      </c>
      <c r="K467" s="1" t="s">
        <v>2900</v>
      </c>
      <c r="L467" s="1" t="s">
        <v>2901</v>
      </c>
      <c r="M467" s="1" t="s">
        <v>718</v>
      </c>
    </row>
    <row r="468" customFormat="false" ht="15" hidden="false" customHeight="false" outlineLevel="0" collapsed="false">
      <c r="A468" s="1" t="s">
        <v>2902</v>
      </c>
      <c r="B468" s="1" t="s">
        <v>2903</v>
      </c>
      <c r="C468" s="1" t="s">
        <v>2904</v>
      </c>
      <c r="D468" s="2" t="n">
        <v>36426</v>
      </c>
      <c r="E468" s="1" t="s">
        <v>763</v>
      </c>
      <c r="F468" s="1" t="s">
        <v>711</v>
      </c>
      <c r="G468" s="1" t="s">
        <v>722</v>
      </c>
      <c r="H468" s="1" t="s">
        <v>713</v>
      </c>
      <c r="I468" s="1" t="s">
        <v>714</v>
      </c>
      <c r="J468" s="1" t="s">
        <v>978</v>
      </c>
      <c r="K468" s="1" t="s">
        <v>2905</v>
      </c>
      <c r="L468" s="1" t="s">
        <v>2906</v>
      </c>
      <c r="M468" s="1" t="s">
        <v>718</v>
      </c>
    </row>
    <row r="469" customFormat="false" ht="15" hidden="false" customHeight="false" outlineLevel="0" collapsed="false">
      <c r="A469" s="1" t="s">
        <v>2907</v>
      </c>
      <c r="B469" s="1" t="s">
        <v>2908</v>
      </c>
      <c r="C469" s="1" t="s">
        <v>2909</v>
      </c>
      <c r="D469" s="2" t="n">
        <v>36313</v>
      </c>
      <c r="E469" s="1" t="s">
        <v>763</v>
      </c>
      <c r="F469" s="1" t="s">
        <v>711</v>
      </c>
      <c r="G469" s="1" t="s">
        <v>712</v>
      </c>
      <c r="H469" s="1" t="s">
        <v>713</v>
      </c>
      <c r="I469" s="1" t="s">
        <v>714</v>
      </c>
      <c r="J469" s="1" t="s">
        <v>2150</v>
      </c>
      <c r="K469" s="1" t="s">
        <v>2910</v>
      </c>
      <c r="L469" s="1" t="s">
        <v>2911</v>
      </c>
      <c r="M469" s="1" t="s">
        <v>718</v>
      </c>
    </row>
    <row r="470" customFormat="false" ht="15" hidden="false" customHeight="false" outlineLevel="0" collapsed="false">
      <c r="A470" s="1" t="s">
        <v>2912</v>
      </c>
      <c r="B470" s="1" t="s">
        <v>2913</v>
      </c>
      <c r="C470" s="1" t="s">
        <v>2914</v>
      </c>
      <c r="D470" s="2" t="n">
        <v>36236</v>
      </c>
      <c r="E470" s="1" t="s">
        <v>710</v>
      </c>
      <c r="F470" s="1" t="s">
        <v>711</v>
      </c>
      <c r="G470" s="1" t="s">
        <v>712</v>
      </c>
      <c r="H470" s="1" t="s">
        <v>713</v>
      </c>
      <c r="I470" s="1" t="s">
        <v>714</v>
      </c>
      <c r="J470" s="1" t="s">
        <v>2150</v>
      </c>
      <c r="K470" s="1" t="s">
        <v>2915</v>
      </c>
      <c r="L470" s="1" t="s">
        <v>2916</v>
      </c>
      <c r="M470" s="1" t="s">
        <v>718</v>
      </c>
    </row>
    <row r="471" customFormat="false" ht="15" hidden="false" customHeight="false" outlineLevel="0" collapsed="false">
      <c r="A471" s="1" t="s">
        <v>2917</v>
      </c>
      <c r="B471" s="1" t="s">
        <v>2918</v>
      </c>
      <c r="C471" s="1" t="s">
        <v>2121</v>
      </c>
      <c r="D471" s="2" t="n">
        <v>36202</v>
      </c>
      <c r="E471" s="1" t="s">
        <v>763</v>
      </c>
      <c r="F471" s="1" t="s">
        <v>711</v>
      </c>
      <c r="G471" s="1" t="s">
        <v>712</v>
      </c>
      <c r="H471" s="1" t="s">
        <v>713</v>
      </c>
      <c r="I471" s="1" t="s">
        <v>714</v>
      </c>
      <c r="J471" s="1" t="s">
        <v>1244</v>
      </c>
      <c r="K471" s="1" t="s">
        <v>2919</v>
      </c>
      <c r="L471" s="1" t="s">
        <v>2920</v>
      </c>
      <c r="M471" s="1" t="s">
        <v>718</v>
      </c>
    </row>
    <row r="472" customFormat="false" ht="15" hidden="false" customHeight="false" outlineLevel="0" collapsed="false">
      <c r="A472" s="1" t="s">
        <v>2921</v>
      </c>
      <c r="B472" s="1" t="s">
        <v>2922</v>
      </c>
      <c r="C472" s="1" t="s">
        <v>2923</v>
      </c>
      <c r="D472" s="2" t="n">
        <v>36444</v>
      </c>
      <c r="E472" s="1" t="s">
        <v>763</v>
      </c>
      <c r="F472" s="1" t="s">
        <v>711</v>
      </c>
      <c r="G472" s="1" t="s">
        <v>722</v>
      </c>
      <c r="H472" s="1" t="s">
        <v>713</v>
      </c>
      <c r="I472" s="1" t="s">
        <v>714</v>
      </c>
      <c r="J472" s="1" t="s">
        <v>832</v>
      </c>
      <c r="K472" s="1" t="s">
        <v>2924</v>
      </c>
      <c r="L472" s="1" t="s">
        <v>2925</v>
      </c>
      <c r="M472" s="1" t="s">
        <v>718</v>
      </c>
    </row>
    <row r="473" customFormat="false" ht="15" hidden="false" customHeight="false" outlineLevel="0" collapsed="false">
      <c r="A473" s="1" t="s">
        <v>2926</v>
      </c>
      <c r="B473" s="1" t="s">
        <v>2927</v>
      </c>
      <c r="C473" s="1" t="s">
        <v>2928</v>
      </c>
      <c r="D473" s="2" t="n">
        <v>36427</v>
      </c>
      <c r="E473" s="1" t="s">
        <v>763</v>
      </c>
      <c r="F473" s="1" t="s">
        <v>711</v>
      </c>
      <c r="G473" s="1" t="s">
        <v>712</v>
      </c>
      <c r="H473" s="1" t="s">
        <v>713</v>
      </c>
      <c r="I473" s="1" t="s">
        <v>714</v>
      </c>
      <c r="J473" s="1" t="s">
        <v>1723</v>
      </c>
      <c r="K473" s="1" t="s">
        <v>2929</v>
      </c>
      <c r="L473" s="1" t="s">
        <v>2930</v>
      </c>
      <c r="M473" s="1" t="s">
        <v>718</v>
      </c>
    </row>
    <row r="474" customFormat="false" ht="15" hidden="false" customHeight="false" outlineLevel="0" collapsed="false">
      <c r="A474" s="1" t="s">
        <v>2931</v>
      </c>
      <c r="B474" s="1" t="s">
        <v>2932</v>
      </c>
      <c r="C474" s="1" t="s">
        <v>2933</v>
      </c>
      <c r="D474" s="2" t="n">
        <v>36442</v>
      </c>
      <c r="E474" s="1" t="s">
        <v>763</v>
      </c>
      <c r="F474" s="1" t="s">
        <v>711</v>
      </c>
      <c r="G474" s="1" t="s">
        <v>722</v>
      </c>
      <c r="H474" s="1" t="s">
        <v>713</v>
      </c>
      <c r="I474" s="1" t="s">
        <v>714</v>
      </c>
      <c r="J474" s="1" t="s">
        <v>1244</v>
      </c>
      <c r="K474" s="1" t="s">
        <v>2934</v>
      </c>
      <c r="L474" s="1" t="s">
        <v>2935</v>
      </c>
      <c r="M474" s="1" t="s">
        <v>718</v>
      </c>
    </row>
    <row r="475" customFormat="false" ht="15" hidden="false" customHeight="false" outlineLevel="0" collapsed="false">
      <c r="A475" s="1" t="s">
        <v>2936</v>
      </c>
      <c r="B475" s="1" t="s">
        <v>2937</v>
      </c>
      <c r="C475" s="1" t="s">
        <v>2938</v>
      </c>
      <c r="D475" s="2" t="n">
        <v>36848</v>
      </c>
      <c r="E475" s="1" t="s">
        <v>763</v>
      </c>
      <c r="F475" s="1" t="s">
        <v>711</v>
      </c>
      <c r="G475" s="1" t="s">
        <v>722</v>
      </c>
      <c r="H475" s="1" t="s">
        <v>713</v>
      </c>
      <c r="I475" s="1" t="s">
        <v>714</v>
      </c>
      <c r="J475" s="1" t="s">
        <v>1505</v>
      </c>
      <c r="K475" s="1" t="s">
        <v>2939</v>
      </c>
      <c r="L475" s="1" t="s">
        <v>2940</v>
      </c>
      <c r="M475" s="1" t="s">
        <v>718</v>
      </c>
    </row>
    <row r="476" customFormat="false" ht="15" hidden="false" customHeight="false" outlineLevel="0" collapsed="false">
      <c r="A476" s="1" t="s">
        <v>2941</v>
      </c>
      <c r="B476" s="1" t="s">
        <v>2942</v>
      </c>
      <c r="C476" s="1" t="s">
        <v>2943</v>
      </c>
      <c r="D476" s="2" t="n">
        <v>36383</v>
      </c>
      <c r="E476" s="1" t="s">
        <v>710</v>
      </c>
      <c r="F476" s="1" t="s">
        <v>711</v>
      </c>
      <c r="G476" s="1" t="s">
        <v>722</v>
      </c>
      <c r="H476" s="1" t="s">
        <v>713</v>
      </c>
      <c r="I476" s="1" t="s">
        <v>714</v>
      </c>
      <c r="J476" s="1" t="s">
        <v>1244</v>
      </c>
      <c r="K476" s="1" t="s">
        <v>2944</v>
      </c>
      <c r="L476" s="1" t="s">
        <v>2945</v>
      </c>
      <c r="M476" s="1" t="s">
        <v>718</v>
      </c>
    </row>
    <row r="477" customFormat="false" ht="15" hidden="false" customHeight="false" outlineLevel="0" collapsed="false">
      <c r="A477" s="1" t="s">
        <v>2946</v>
      </c>
      <c r="B477" s="1" t="s">
        <v>2947</v>
      </c>
      <c r="C477" s="1" t="s">
        <v>2948</v>
      </c>
      <c r="D477" s="2" t="n">
        <v>36650</v>
      </c>
      <c r="E477" s="1" t="s">
        <v>763</v>
      </c>
      <c r="F477" s="1" t="s">
        <v>711</v>
      </c>
      <c r="G477" s="1" t="s">
        <v>712</v>
      </c>
      <c r="H477" s="1" t="s">
        <v>713</v>
      </c>
      <c r="I477" s="1" t="s">
        <v>714</v>
      </c>
      <c r="J477" s="1" t="s">
        <v>1244</v>
      </c>
      <c r="K477" s="1" t="s">
        <v>2949</v>
      </c>
      <c r="L477" s="1" t="s">
        <v>2950</v>
      </c>
      <c r="M477" s="1" t="s">
        <v>718</v>
      </c>
    </row>
    <row r="478" customFormat="false" ht="15" hidden="false" customHeight="false" outlineLevel="0" collapsed="false">
      <c r="A478" s="1" t="s">
        <v>2951</v>
      </c>
      <c r="B478" s="1" t="s">
        <v>1614</v>
      </c>
      <c r="C478" s="1" t="s">
        <v>1615</v>
      </c>
      <c r="D478" s="2" t="n">
        <v>36416</v>
      </c>
      <c r="E478" s="1" t="s">
        <v>710</v>
      </c>
      <c r="F478" s="1" t="s">
        <v>711</v>
      </c>
      <c r="G478" s="1" t="s">
        <v>712</v>
      </c>
      <c r="H478" s="1" t="s">
        <v>713</v>
      </c>
      <c r="I478" s="1" t="s">
        <v>714</v>
      </c>
      <c r="J478" s="1" t="s">
        <v>1244</v>
      </c>
      <c r="K478" s="1" t="s">
        <v>2952</v>
      </c>
      <c r="L478" s="1" t="s">
        <v>2953</v>
      </c>
      <c r="M478" s="1" t="s">
        <v>718</v>
      </c>
    </row>
    <row r="479" customFormat="false" ht="15" hidden="false" customHeight="false" outlineLevel="0" collapsed="false">
      <c r="A479" s="1" t="s">
        <v>2954</v>
      </c>
      <c r="B479" s="1" t="s">
        <v>2955</v>
      </c>
      <c r="C479" s="1" t="s">
        <v>2956</v>
      </c>
      <c r="D479" s="2" t="n">
        <v>35994</v>
      </c>
      <c r="E479" s="1" t="s">
        <v>710</v>
      </c>
      <c r="F479" s="1" t="s">
        <v>711</v>
      </c>
      <c r="G479" s="1" t="s">
        <v>712</v>
      </c>
      <c r="H479" s="1" t="s">
        <v>713</v>
      </c>
      <c r="I479" s="1" t="s">
        <v>714</v>
      </c>
      <c r="J479" s="1" t="s">
        <v>1244</v>
      </c>
      <c r="K479" s="1" t="s">
        <v>2957</v>
      </c>
      <c r="L479" s="1" t="s">
        <v>2958</v>
      </c>
      <c r="M479" s="1" t="s">
        <v>718</v>
      </c>
    </row>
    <row r="480" customFormat="false" ht="15" hidden="false" customHeight="false" outlineLevel="0" collapsed="false">
      <c r="A480" s="1" t="s">
        <v>2959</v>
      </c>
      <c r="B480" s="1" t="s">
        <v>2960</v>
      </c>
      <c r="C480" s="1" t="s">
        <v>2703</v>
      </c>
      <c r="D480" s="2" t="n">
        <v>36516</v>
      </c>
      <c r="E480" s="1" t="s">
        <v>763</v>
      </c>
      <c r="F480" s="1" t="s">
        <v>711</v>
      </c>
      <c r="G480" s="1" t="s">
        <v>712</v>
      </c>
      <c r="H480" s="1" t="s">
        <v>713</v>
      </c>
      <c r="I480" s="1" t="s">
        <v>714</v>
      </c>
      <c r="J480" s="1" t="s">
        <v>2438</v>
      </c>
      <c r="K480" s="1" t="s">
        <v>2961</v>
      </c>
      <c r="L480" s="1" t="s">
        <v>2962</v>
      </c>
      <c r="M480" s="1" t="s">
        <v>718</v>
      </c>
    </row>
    <row r="481" customFormat="false" ht="15" hidden="false" customHeight="false" outlineLevel="0" collapsed="false">
      <c r="A481" s="1" t="s">
        <v>2963</v>
      </c>
      <c r="B481" s="1" t="s">
        <v>2964</v>
      </c>
      <c r="C481" s="1" t="s">
        <v>2965</v>
      </c>
      <c r="D481" s="2" t="n">
        <v>36609</v>
      </c>
      <c r="E481" s="1" t="s">
        <v>763</v>
      </c>
      <c r="F481" s="1" t="s">
        <v>711</v>
      </c>
      <c r="G481" s="1" t="s">
        <v>712</v>
      </c>
      <c r="H481" s="1" t="s">
        <v>713</v>
      </c>
      <c r="I481" s="1" t="s">
        <v>714</v>
      </c>
      <c r="J481" s="1" t="s">
        <v>928</v>
      </c>
      <c r="K481" s="1" t="s">
        <v>2966</v>
      </c>
      <c r="L481" s="1" t="s">
        <v>2967</v>
      </c>
      <c r="M481" s="1" t="s">
        <v>718</v>
      </c>
    </row>
    <row r="482" customFormat="false" ht="15" hidden="false" customHeight="false" outlineLevel="0" collapsed="false">
      <c r="A482" s="1" t="s">
        <v>2968</v>
      </c>
      <c r="B482" s="1" t="s">
        <v>2969</v>
      </c>
      <c r="C482" s="1" t="s">
        <v>2970</v>
      </c>
      <c r="D482" s="2" t="n">
        <v>36480</v>
      </c>
      <c r="E482" s="1" t="s">
        <v>763</v>
      </c>
      <c r="F482" s="1" t="s">
        <v>711</v>
      </c>
      <c r="G482" s="1" t="s">
        <v>775</v>
      </c>
      <c r="H482" s="1" t="s">
        <v>713</v>
      </c>
      <c r="I482" s="1" t="s">
        <v>714</v>
      </c>
      <c r="J482" s="1" t="s">
        <v>928</v>
      </c>
      <c r="K482" s="1" t="s">
        <v>2971</v>
      </c>
      <c r="L482" s="1" t="s">
        <v>2972</v>
      </c>
      <c r="M482" s="1" t="s">
        <v>718</v>
      </c>
    </row>
    <row r="483" customFormat="false" ht="15" hidden="false" customHeight="false" outlineLevel="0" collapsed="false">
      <c r="A483" s="1" t="s">
        <v>2973</v>
      </c>
      <c r="B483" s="1" t="s">
        <v>2974</v>
      </c>
      <c r="C483" s="1" t="s">
        <v>2975</v>
      </c>
      <c r="D483" s="2" t="n">
        <v>36677</v>
      </c>
      <c r="E483" s="1" t="s">
        <v>710</v>
      </c>
      <c r="F483" s="1" t="s">
        <v>711</v>
      </c>
      <c r="G483" s="1" t="s">
        <v>722</v>
      </c>
      <c r="H483" s="1" t="s">
        <v>713</v>
      </c>
      <c r="I483" s="1" t="s">
        <v>714</v>
      </c>
      <c r="J483" s="1" t="s">
        <v>1584</v>
      </c>
      <c r="K483" s="1" t="s">
        <v>2976</v>
      </c>
      <c r="L483" s="1" t="s">
        <v>2977</v>
      </c>
      <c r="M483" s="1" t="s">
        <v>718</v>
      </c>
    </row>
    <row r="484" customFormat="false" ht="15" hidden="false" customHeight="false" outlineLevel="0" collapsed="false">
      <c r="A484" s="1" t="s">
        <v>2978</v>
      </c>
      <c r="B484" s="1" t="s">
        <v>2979</v>
      </c>
      <c r="C484" s="1" t="s">
        <v>1357</v>
      </c>
      <c r="D484" s="2" t="n">
        <v>36453</v>
      </c>
      <c r="E484" s="1" t="s">
        <v>763</v>
      </c>
      <c r="F484" s="1" t="s">
        <v>711</v>
      </c>
      <c r="G484" s="1" t="s">
        <v>712</v>
      </c>
      <c r="H484" s="1" t="s">
        <v>713</v>
      </c>
      <c r="I484" s="1" t="s">
        <v>714</v>
      </c>
      <c r="J484" s="1" t="s">
        <v>715</v>
      </c>
      <c r="K484" s="1" t="s">
        <v>2980</v>
      </c>
      <c r="L484" s="1" t="s">
        <v>1359</v>
      </c>
      <c r="M484" s="1" t="s">
        <v>718</v>
      </c>
    </row>
    <row r="485" customFormat="false" ht="15" hidden="false" customHeight="false" outlineLevel="0" collapsed="false">
      <c r="A485" s="1" t="s">
        <v>2981</v>
      </c>
      <c r="B485" s="1" t="s">
        <v>2982</v>
      </c>
      <c r="C485" s="1" t="s">
        <v>2983</v>
      </c>
      <c r="D485" s="2" t="n">
        <v>36564</v>
      </c>
      <c r="E485" s="1" t="s">
        <v>763</v>
      </c>
      <c r="F485" s="1" t="s">
        <v>711</v>
      </c>
      <c r="G485" s="1" t="s">
        <v>712</v>
      </c>
      <c r="H485" s="1" t="s">
        <v>713</v>
      </c>
      <c r="I485" s="1" t="s">
        <v>714</v>
      </c>
      <c r="J485" s="1" t="s">
        <v>715</v>
      </c>
      <c r="K485" s="1" t="s">
        <v>2984</v>
      </c>
      <c r="L485" s="1" t="s">
        <v>2985</v>
      </c>
      <c r="M485" s="1" t="s">
        <v>718</v>
      </c>
    </row>
    <row r="486" customFormat="false" ht="15" hidden="false" customHeight="false" outlineLevel="0" collapsed="false">
      <c r="A486" s="1" t="s">
        <v>2986</v>
      </c>
      <c r="B486" s="1" t="s">
        <v>2987</v>
      </c>
      <c r="C486" s="1" t="s">
        <v>2988</v>
      </c>
      <c r="D486" s="2" t="n">
        <v>36711</v>
      </c>
      <c r="E486" s="1" t="s">
        <v>763</v>
      </c>
      <c r="F486" s="1" t="s">
        <v>711</v>
      </c>
      <c r="G486" s="1" t="s">
        <v>712</v>
      </c>
      <c r="H486" s="1" t="s">
        <v>713</v>
      </c>
      <c r="I486" s="1" t="s">
        <v>714</v>
      </c>
      <c r="J486" s="1" t="s">
        <v>715</v>
      </c>
      <c r="K486" s="1" t="s">
        <v>2989</v>
      </c>
      <c r="L486" s="1" t="s">
        <v>2990</v>
      </c>
      <c r="M486" s="1" t="s">
        <v>718</v>
      </c>
    </row>
    <row r="487" customFormat="false" ht="15" hidden="false" customHeight="false" outlineLevel="0" collapsed="false">
      <c r="A487" s="1" t="s">
        <v>2991</v>
      </c>
      <c r="B487" s="1" t="s">
        <v>1888</v>
      </c>
      <c r="C487" s="1" t="s">
        <v>2992</v>
      </c>
      <c r="D487" s="2" t="n">
        <v>36519</v>
      </c>
      <c r="E487" s="1" t="s">
        <v>710</v>
      </c>
      <c r="F487" s="1" t="s">
        <v>711</v>
      </c>
      <c r="G487" s="1" t="s">
        <v>712</v>
      </c>
      <c r="H487" s="1" t="s">
        <v>713</v>
      </c>
      <c r="I487" s="1" t="s">
        <v>714</v>
      </c>
      <c r="J487" s="1" t="s">
        <v>2150</v>
      </c>
      <c r="K487" s="1" t="s">
        <v>2993</v>
      </c>
      <c r="L487" s="1" t="s">
        <v>2994</v>
      </c>
      <c r="M487" s="1" t="s">
        <v>718</v>
      </c>
    </row>
    <row r="488" customFormat="false" ht="15" hidden="false" customHeight="false" outlineLevel="0" collapsed="false">
      <c r="A488" s="1" t="s">
        <v>2995</v>
      </c>
      <c r="B488" s="1" t="s">
        <v>2996</v>
      </c>
      <c r="C488" s="1" t="s">
        <v>1421</v>
      </c>
      <c r="D488" s="2" t="n">
        <v>36201</v>
      </c>
      <c r="E488" s="1" t="s">
        <v>763</v>
      </c>
      <c r="F488" s="1" t="s">
        <v>711</v>
      </c>
      <c r="G488" s="1" t="s">
        <v>2997</v>
      </c>
      <c r="H488" s="1" t="s">
        <v>713</v>
      </c>
      <c r="I488" s="1" t="s">
        <v>714</v>
      </c>
      <c r="J488" s="1" t="s">
        <v>928</v>
      </c>
      <c r="K488" s="1" t="s">
        <v>2998</v>
      </c>
      <c r="L488" s="1" t="s">
        <v>1423</v>
      </c>
      <c r="M488" s="1" t="s">
        <v>718</v>
      </c>
    </row>
    <row r="489" customFormat="false" ht="15" hidden="false" customHeight="false" outlineLevel="0" collapsed="false">
      <c r="A489" s="1" t="s">
        <v>2999</v>
      </c>
      <c r="B489" s="1" t="s">
        <v>1147</v>
      </c>
      <c r="C489" s="1" t="s">
        <v>3000</v>
      </c>
      <c r="D489" s="2" t="n">
        <v>36333</v>
      </c>
      <c r="E489" s="1" t="s">
        <v>710</v>
      </c>
      <c r="F489" s="1" t="s">
        <v>711</v>
      </c>
      <c r="G489" s="1" t="s">
        <v>712</v>
      </c>
      <c r="H489" s="1" t="s">
        <v>713</v>
      </c>
      <c r="I489" s="1" t="s">
        <v>714</v>
      </c>
      <c r="J489" s="1" t="s">
        <v>1584</v>
      </c>
      <c r="K489" s="1" t="s">
        <v>3001</v>
      </c>
      <c r="L489" s="1" t="s">
        <v>3002</v>
      </c>
      <c r="M489" s="1" t="s">
        <v>718</v>
      </c>
    </row>
    <row r="490" customFormat="false" ht="15" hidden="false" customHeight="false" outlineLevel="0" collapsed="false">
      <c r="A490" s="1" t="s">
        <v>3003</v>
      </c>
      <c r="B490" s="1" t="s">
        <v>3004</v>
      </c>
      <c r="C490" s="1" t="s">
        <v>3005</v>
      </c>
      <c r="D490" s="2" t="n">
        <v>36086</v>
      </c>
      <c r="E490" s="1" t="s">
        <v>710</v>
      </c>
      <c r="F490" s="1" t="s">
        <v>711</v>
      </c>
      <c r="G490" s="1" t="s">
        <v>722</v>
      </c>
      <c r="H490" s="1" t="s">
        <v>713</v>
      </c>
      <c r="I490" s="1" t="s">
        <v>714</v>
      </c>
      <c r="J490" s="1" t="s">
        <v>3006</v>
      </c>
      <c r="K490" s="1" t="s">
        <v>716</v>
      </c>
      <c r="L490" s="1" t="s">
        <v>834</v>
      </c>
      <c r="M490" s="1" t="s">
        <v>718</v>
      </c>
    </row>
    <row r="491" customFormat="false" ht="15" hidden="false" customHeight="false" outlineLevel="0" collapsed="false">
      <c r="A491" s="1" t="s">
        <v>3007</v>
      </c>
      <c r="B491" s="1" t="s">
        <v>3008</v>
      </c>
      <c r="C491" s="1" t="s">
        <v>1549</v>
      </c>
      <c r="D491" s="2" t="n">
        <v>35686</v>
      </c>
      <c r="E491" s="1" t="s">
        <v>763</v>
      </c>
      <c r="F491" s="1" t="s">
        <v>711</v>
      </c>
      <c r="G491" s="1" t="s">
        <v>712</v>
      </c>
      <c r="H491" s="1" t="s">
        <v>713</v>
      </c>
      <c r="I491" s="1" t="s">
        <v>714</v>
      </c>
      <c r="J491" s="1" t="s">
        <v>978</v>
      </c>
      <c r="K491" s="1" t="s">
        <v>3009</v>
      </c>
      <c r="L491" s="1" t="s">
        <v>1550</v>
      </c>
      <c r="M491" s="1" t="s">
        <v>718</v>
      </c>
    </row>
    <row r="492" customFormat="false" ht="15" hidden="false" customHeight="false" outlineLevel="0" collapsed="false">
      <c r="A492" s="1" t="s">
        <v>3010</v>
      </c>
      <c r="B492" s="1" t="s">
        <v>3011</v>
      </c>
      <c r="C492" s="1" t="s">
        <v>3012</v>
      </c>
      <c r="D492" s="2" t="n">
        <v>36728</v>
      </c>
      <c r="E492" s="1" t="s">
        <v>763</v>
      </c>
      <c r="F492" s="1" t="s">
        <v>711</v>
      </c>
      <c r="G492" s="1" t="s">
        <v>722</v>
      </c>
      <c r="H492" s="1" t="s">
        <v>713</v>
      </c>
      <c r="I492" s="1" t="s">
        <v>714</v>
      </c>
      <c r="J492" s="1" t="s">
        <v>838</v>
      </c>
      <c r="K492" s="1" t="s">
        <v>3013</v>
      </c>
      <c r="L492" s="1" t="s">
        <v>3014</v>
      </c>
      <c r="M492" s="1" t="s">
        <v>718</v>
      </c>
    </row>
    <row r="493" customFormat="false" ht="15" hidden="false" customHeight="false" outlineLevel="0" collapsed="false">
      <c r="A493" s="1" t="s">
        <v>3015</v>
      </c>
      <c r="B493" s="1" t="s">
        <v>3016</v>
      </c>
      <c r="C493" s="1" t="s">
        <v>3017</v>
      </c>
      <c r="D493" s="2" t="n">
        <v>36433</v>
      </c>
      <c r="E493" s="1" t="s">
        <v>763</v>
      </c>
      <c r="F493" s="1" t="s">
        <v>711</v>
      </c>
      <c r="G493" s="1" t="s">
        <v>712</v>
      </c>
      <c r="H493" s="1" t="s">
        <v>713</v>
      </c>
      <c r="I493" s="1" t="s">
        <v>714</v>
      </c>
      <c r="J493" s="1" t="s">
        <v>838</v>
      </c>
      <c r="K493" s="1" t="s">
        <v>3018</v>
      </c>
      <c r="L493" s="1" t="s">
        <v>3019</v>
      </c>
      <c r="M493" s="1" t="s">
        <v>718</v>
      </c>
    </row>
    <row r="494" customFormat="false" ht="15" hidden="false" customHeight="false" outlineLevel="0" collapsed="false">
      <c r="A494" s="1" t="s">
        <v>3020</v>
      </c>
      <c r="B494" s="1" t="s">
        <v>3021</v>
      </c>
      <c r="C494" s="1" t="s">
        <v>3022</v>
      </c>
      <c r="D494" s="2" t="n">
        <v>36779</v>
      </c>
      <c r="E494" s="1" t="s">
        <v>763</v>
      </c>
      <c r="F494" s="1" t="s">
        <v>711</v>
      </c>
      <c r="G494" s="1" t="s">
        <v>712</v>
      </c>
      <c r="H494" s="1" t="s">
        <v>713</v>
      </c>
      <c r="I494" s="1" t="s">
        <v>714</v>
      </c>
      <c r="J494" s="1" t="s">
        <v>715</v>
      </c>
      <c r="K494" s="1" t="s">
        <v>3023</v>
      </c>
      <c r="L494" s="1" t="s">
        <v>3024</v>
      </c>
      <c r="M494" s="1" t="s">
        <v>718</v>
      </c>
    </row>
    <row r="495" customFormat="false" ht="15" hidden="false" customHeight="false" outlineLevel="0" collapsed="false">
      <c r="A495" s="1" t="s">
        <v>3025</v>
      </c>
      <c r="B495" s="1" t="s">
        <v>3026</v>
      </c>
      <c r="C495" s="1" t="s">
        <v>3027</v>
      </c>
      <c r="D495" s="2" t="n">
        <v>36111</v>
      </c>
      <c r="E495" s="1" t="s">
        <v>763</v>
      </c>
      <c r="F495" s="1" t="s">
        <v>711</v>
      </c>
      <c r="G495" s="1" t="s">
        <v>722</v>
      </c>
      <c r="H495" s="1" t="s">
        <v>713</v>
      </c>
      <c r="I495" s="1" t="s">
        <v>714</v>
      </c>
      <c r="J495" s="1" t="s">
        <v>1244</v>
      </c>
      <c r="K495" s="1" t="s">
        <v>3028</v>
      </c>
      <c r="L495" s="1" t="s">
        <v>3029</v>
      </c>
      <c r="M495" s="1" t="s">
        <v>718</v>
      </c>
    </row>
    <row r="496" customFormat="false" ht="15" hidden="false" customHeight="false" outlineLevel="0" collapsed="false">
      <c r="A496" s="1" t="s">
        <v>3030</v>
      </c>
      <c r="B496" s="1" t="s">
        <v>3031</v>
      </c>
      <c r="C496" s="1" t="s">
        <v>3032</v>
      </c>
      <c r="D496" s="2" t="n">
        <v>36480</v>
      </c>
      <c r="E496" s="1" t="s">
        <v>710</v>
      </c>
      <c r="F496" s="1" t="s">
        <v>711</v>
      </c>
      <c r="G496" s="1" t="s">
        <v>712</v>
      </c>
      <c r="H496" s="1" t="s">
        <v>713</v>
      </c>
      <c r="I496" s="1" t="s">
        <v>714</v>
      </c>
      <c r="J496" s="1" t="s">
        <v>1055</v>
      </c>
      <c r="K496" s="1" t="s">
        <v>3033</v>
      </c>
      <c r="L496" s="1" t="s">
        <v>3034</v>
      </c>
      <c r="M496" s="1" t="s">
        <v>718</v>
      </c>
    </row>
    <row r="497" customFormat="false" ht="15" hidden="false" customHeight="false" outlineLevel="0" collapsed="false">
      <c r="A497" s="1" t="s">
        <v>3035</v>
      </c>
      <c r="B497" s="1" t="s">
        <v>3036</v>
      </c>
      <c r="C497" s="1" t="s">
        <v>3037</v>
      </c>
      <c r="D497" s="2" t="n">
        <v>35714</v>
      </c>
      <c r="E497" s="1" t="s">
        <v>710</v>
      </c>
      <c r="F497" s="1" t="s">
        <v>711</v>
      </c>
      <c r="G497" s="1" t="s">
        <v>712</v>
      </c>
      <c r="H497" s="1" t="s">
        <v>713</v>
      </c>
      <c r="I497" s="1" t="s">
        <v>714</v>
      </c>
      <c r="J497" s="1" t="s">
        <v>1055</v>
      </c>
      <c r="K497" s="1" t="s">
        <v>3038</v>
      </c>
      <c r="L497" s="1" t="s">
        <v>3039</v>
      </c>
      <c r="M497" s="1" t="s">
        <v>718</v>
      </c>
    </row>
    <row r="498" customFormat="false" ht="15" hidden="false" customHeight="false" outlineLevel="0" collapsed="false">
      <c r="A498" s="1" t="s">
        <v>3040</v>
      </c>
      <c r="B498" s="1" t="s">
        <v>3041</v>
      </c>
      <c r="C498" s="1" t="s">
        <v>3042</v>
      </c>
      <c r="D498" s="2" t="n">
        <v>36411</v>
      </c>
      <c r="E498" s="1" t="s">
        <v>763</v>
      </c>
      <c r="F498" s="1" t="s">
        <v>711</v>
      </c>
      <c r="G498" s="1" t="s">
        <v>712</v>
      </c>
      <c r="H498" s="1" t="s">
        <v>713</v>
      </c>
      <c r="I498" s="1" t="s">
        <v>714</v>
      </c>
      <c r="J498" s="1" t="s">
        <v>751</v>
      </c>
      <c r="K498" s="1" t="s">
        <v>3043</v>
      </c>
      <c r="L498" s="1" t="s">
        <v>3044</v>
      </c>
      <c r="M498" s="1" t="s">
        <v>718</v>
      </c>
    </row>
    <row r="499" customFormat="false" ht="15" hidden="false" customHeight="false" outlineLevel="0" collapsed="false">
      <c r="A499" s="1" t="s">
        <v>3045</v>
      </c>
      <c r="B499" s="1" t="s">
        <v>3046</v>
      </c>
      <c r="C499" s="1" t="s">
        <v>3047</v>
      </c>
      <c r="D499" s="2" t="n">
        <v>36329</v>
      </c>
      <c r="E499" s="1" t="s">
        <v>763</v>
      </c>
      <c r="F499" s="1" t="s">
        <v>711</v>
      </c>
      <c r="G499" s="1" t="s">
        <v>722</v>
      </c>
      <c r="H499" s="1" t="s">
        <v>713</v>
      </c>
      <c r="I499" s="1" t="s">
        <v>714</v>
      </c>
      <c r="J499" s="1" t="s">
        <v>751</v>
      </c>
      <c r="K499" s="1" t="s">
        <v>3048</v>
      </c>
      <c r="L499" s="1" t="s">
        <v>797</v>
      </c>
      <c r="M499" s="1" t="s">
        <v>718</v>
      </c>
    </row>
    <row r="500" customFormat="false" ht="15" hidden="false" customHeight="false" outlineLevel="0" collapsed="false">
      <c r="A500" s="1" t="s">
        <v>3049</v>
      </c>
      <c r="B500" s="1" t="s">
        <v>3050</v>
      </c>
      <c r="C500" s="1" t="s">
        <v>3051</v>
      </c>
      <c r="D500" s="2" t="n">
        <v>36169</v>
      </c>
      <c r="E500" s="1" t="s">
        <v>763</v>
      </c>
      <c r="F500" s="1" t="s">
        <v>711</v>
      </c>
      <c r="G500" s="1" t="s">
        <v>1220</v>
      </c>
      <c r="H500" s="1" t="s">
        <v>713</v>
      </c>
      <c r="I500" s="1" t="s">
        <v>714</v>
      </c>
      <c r="J500" s="1" t="s">
        <v>805</v>
      </c>
      <c r="K500" s="1" t="s">
        <v>3052</v>
      </c>
      <c r="L500" s="1" t="s">
        <v>3053</v>
      </c>
      <c r="M500" s="1" t="s">
        <v>718</v>
      </c>
    </row>
    <row r="501" customFormat="false" ht="15" hidden="false" customHeight="false" outlineLevel="0" collapsed="false">
      <c r="A501" s="1" t="s">
        <v>3054</v>
      </c>
      <c r="B501" s="1" t="s">
        <v>3055</v>
      </c>
      <c r="C501" s="1" t="s">
        <v>3056</v>
      </c>
      <c r="D501" s="2" t="n">
        <v>36462</v>
      </c>
      <c r="E501" s="1" t="s">
        <v>763</v>
      </c>
      <c r="F501" s="1" t="s">
        <v>711</v>
      </c>
      <c r="G501" s="1" t="s">
        <v>712</v>
      </c>
      <c r="H501" s="1" t="s">
        <v>713</v>
      </c>
      <c r="I501" s="1" t="s">
        <v>714</v>
      </c>
      <c r="J501" s="1" t="s">
        <v>1723</v>
      </c>
      <c r="K501" s="1" t="s">
        <v>3057</v>
      </c>
      <c r="L501" s="1" t="s">
        <v>3058</v>
      </c>
      <c r="M501" s="1" t="s">
        <v>718</v>
      </c>
    </row>
    <row r="502" customFormat="false" ht="15" hidden="false" customHeight="false" outlineLevel="0" collapsed="false">
      <c r="A502" s="1" t="s">
        <v>3059</v>
      </c>
      <c r="B502" s="1" t="s">
        <v>3060</v>
      </c>
      <c r="C502" s="1" t="s">
        <v>3061</v>
      </c>
      <c r="D502" s="2" t="n">
        <v>36888</v>
      </c>
      <c r="E502" s="1" t="s">
        <v>763</v>
      </c>
      <c r="F502" s="1" t="s">
        <v>711</v>
      </c>
      <c r="G502" s="1" t="s">
        <v>722</v>
      </c>
      <c r="H502" s="1" t="s">
        <v>713</v>
      </c>
      <c r="I502" s="1" t="s">
        <v>714</v>
      </c>
      <c r="J502" s="1" t="s">
        <v>3062</v>
      </c>
      <c r="K502" s="1" t="s">
        <v>3063</v>
      </c>
      <c r="L502" s="1" t="s">
        <v>3064</v>
      </c>
      <c r="M502" s="1" t="s">
        <v>718</v>
      </c>
    </row>
    <row r="503" customFormat="false" ht="15" hidden="false" customHeight="false" outlineLevel="0" collapsed="false">
      <c r="A503" s="1" t="s">
        <v>3065</v>
      </c>
      <c r="B503" s="1" t="s">
        <v>3066</v>
      </c>
      <c r="C503" s="1" t="s">
        <v>3067</v>
      </c>
      <c r="D503" s="2" t="n">
        <v>36372</v>
      </c>
      <c r="E503" s="1" t="s">
        <v>763</v>
      </c>
      <c r="F503" s="1" t="s">
        <v>711</v>
      </c>
      <c r="G503" s="1" t="s">
        <v>2807</v>
      </c>
      <c r="H503" s="1" t="s">
        <v>713</v>
      </c>
      <c r="I503" s="1" t="s">
        <v>714</v>
      </c>
      <c r="J503" s="1" t="s">
        <v>928</v>
      </c>
      <c r="K503" s="1" t="s">
        <v>3068</v>
      </c>
      <c r="L503" s="1" t="s">
        <v>944</v>
      </c>
      <c r="M503" s="1" t="s">
        <v>718</v>
      </c>
    </row>
    <row r="504" customFormat="false" ht="15" hidden="false" customHeight="false" outlineLevel="0" collapsed="false">
      <c r="A504" s="1" t="s">
        <v>3069</v>
      </c>
      <c r="B504" s="1" t="s">
        <v>3070</v>
      </c>
      <c r="C504" s="1" t="s">
        <v>3071</v>
      </c>
      <c r="D504" s="2" t="n">
        <v>36539</v>
      </c>
      <c r="E504" s="1" t="s">
        <v>763</v>
      </c>
      <c r="F504" s="1" t="s">
        <v>711</v>
      </c>
      <c r="G504" s="1" t="s">
        <v>712</v>
      </c>
      <c r="H504" s="1" t="s">
        <v>713</v>
      </c>
      <c r="I504" s="1" t="s">
        <v>714</v>
      </c>
      <c r="J504" s="1" t="s">
        <v>2564</v>
      </c>
      <c r="K504" s="1" t="s">
        <v>3072</v>
      </c>
      <c r="L504" s="1" t="s">
        <v>3073</v>
      </c>
      <c r="M504" s="1" t="s">
        <v>718</v>
      </c>
    </row>
    <row r="505" customFormat="false" ht="15" hidden="false" customHeight="false" outlineLevel="0" collapsed="false">
      <c r="A505" s="1" t="s">
        <v>3074</v>
      </c>
      <c r="B505" s="1" t="s">
        <v>3075</v>
      </c>
      <c r="C505" s="1" t="s">
        <v>3076</v>
      </c>
      <c r="D505" s="2" t="n">
        <v>35367</v>
      </c>
      <c r="E505" s="1" t="s">
        <v>763</v>
      </c>
      <c r="F505" s="1" t="s">
        <v>711</v>
      </c>
      <c r="G505" s="1" t="s">
        <v>722</v>
      </c>
      <c r="H505" s="1" t="s">
        <v>713</v>
      </c>
      <c r="I505" s="1" t="s">
        <v>714</v>
      </c>
      <c r="J505" s="1" t="s">
        <v>3077</v>
      </c>
      <c r="K505" s="1" t="s">
        <v>3078</v>
      </c>
      <c r="L505" s="1" t="s">
        <v>2078</v>
      </c>
      <c r="M505" s="1" t="s">
        <v>718</v>
      </c>
    </row>
    <row r="506" customFormat="false" ht="15" hidden="false" customHeight="false" outlineLevel="0" collapsed="false">
      <c r="A506" s="1" t="s">
        <v>3079</v>
      </c>
      <c r="B506" s="1" t="s">
        <v>3080</v>
      </c>
      <c r="C506" s="1" t="s">
        <v>1117</v>
      </c>
      <c r="D506" s="2" t="n">
        <v>35775</v>
      </c>
      <c r="E506" s="1" t="s">
        <v>763</v>
      </c>
      <c r="F506" s="1" t="s">
        <v>711</v>
      </c>
      <c r="G506" s="1" t="s">
        <v>722</v>
      </c>
      <c r="H506" s="1" t="s">
        <v>713</v>
      </c>
      <c r="I506" s="1" t="s">
        <v>714</v>
      </c>
      <c r="J506" s="1" t="s">
        <v>1505</v>
      </c>
      <c r="K506" s="1" t="s">
        <v>2704</v>
      </c>
      <c r="L506" s="1" t="s">
        <v>2705</v>
      </c>
      <c r="M506" s="1" t="s">
        <v>718</v>
      </c>
    </row>
    <row r="507" customFormat="false" ht="15" hidden="false" customHeight="false" outlineLevel="0" collapsed="false">
      <c r="A507" s="1" t="s">
        <v>3081</v>
      </c>
      <c r="B507" s="1" t="s">
        <v>3082</v>
      </c>
      <c r="C507" s="1" t="s">
        <v>1885</v>
      </c>
      <c r="D507" s="2" t="n">
        <v>35936</v>
      </c>
      <c r="E507" s="1" t="s">
        <v>763</v>
      </c>
      <c r="F507" s="1" t="s">
        <v>711</v>
      </c>
      <c r="G507" s="1" t="s">
        <v>722</v>
      </c>
      <c r="H507" s="1" t="s">
        <v>713</v>
      </c>
      <c r="I507" s="1" t="s">
        <v>714</v>
      </c>
      <c r="J507" s="1" t="s">
        <v>838</v>
      </c>
      <c r="K507" s="1" t="s">
        <v>3083</v>
      </c>
      <c r="L507" s="1" t="s">
        <v>1886</v>
      </c>
      <c r="M507" s="1" t="s">
        <v>718</v>
      </c>
    </row>
    <row r="508" customFormat="false" ht="15" hidden="false" customHeight="false" outlineLevel="0" collapsed="false">
      <c r="A508" s="1" t="s">
        <v>3084</v>
      </c>
      <c r="B508" s="1" t="s">
        <v>3085</v>
      </c>
      <c r="C508" s="1" t="s">
        <v>3086</v>
      </c>
      <c r="D508" s="2" t="n">
        <v>35848</v>
      </c>
      <c r="E508" s="1" t="s">
        <v>763</v>
      </c>
      <c r="F508" s="1" t="s">
        <v>711</v>
      </c>
      <c r="G508" s="1" t="s">
        <v>712</v>
      </c>
      <c r="H508" s="1" t="s">
        <v>713</v>
      </c>
      <c r="I508" s="1" t="s">
        <v>714</v>
      </c>
      <c r="J508" s="1" t="s">
        <v>2564</v>
      </c>
      <c r="K508" s="1" t="s">
        <v>3087</v>
      </c>
      <c r="L508" s="1" t="s">
        <v>3088</v>
      </c>
      <c r="M508" s="1" t="s">
        <v>718</v>
      </c>
    </row>
    <row r="509" customFormat="false" ht="15" hidden="false" customHeight="false" outlineLevel="0" collapsed="false">
      <c r="A509" s="1" t="s">
        <v>3089</v>
      </c>
      <c r="B509" s="1" t="s">
        <v>3090</v>
      </c>
      <c r="C509" s="1" t="s">
        <v>3091</v>
      </c>
      <c r="D509" s="2" t="n">
        <v>36070</v>
      </c>
      <c r="E509" s="1" t="s">
        <v>763</v>
      </c>
      <c r="F509" s="1" t="s">
        <v>711</v>
      </c>
      <c r="G509" s="1" t="s">
        <v>3092</v>
      </c>
      <c r="H509" s="1" t="s">
        <v>2083</v>
      </c>
      <c r="I509" s="1" t="s">
        <v>2084</v>
      </c>
      <c r="J509" s="1" t="s">
        <v>1723</v>
      </c>
      <c r="K509" s="1" t="s">
        <v>3093</v>
      </c>
      <c r="L509" s="1" t="s">
        <v>3094</v>
      </c>
      <c r="M509" s="1" t="s">
        <v>2083</v>
      </c>
    </row>
    <row r="510" customFormat="false" ht="15" hidden="false" customHeight="false" outlineLevel="0" collapsed="false">
      <c r="A510" s="1" t="s">
        <v>3095</v>
      </c>
      <c r="B510" s="1" t="s">
        <v>3096</v>
      </c>
      <c r="C510" s="1" t="s">
        <v>3097</v>
      </c>
      <c r="D510" s="2" t="n">
        <v>36190</v>
      </c>
      <c r="E510" s="1" t="s">
        <v>763</v>
      </c>
      <c r="F510" s="1" t="s">
        <v>711</v>
      </c>
      <c r="G510" s="1" t="s">
        <v>722</v>
      </c>
      <c r="H510" s="1" t="s">
        <v>713</v>
      </c>
      <c r="I510" s="1" t="s">
        <v>714</v>
      </c>
      <c r="J510" s="1" t="s">
        <v>902</v>
      </c>
      <c r="K510" s="1" t="s">
        <v>3098</v>
      </c>
      <c r="L510" s="1" t="s">
        <v>3099</v>
      </c>
      <c r="M510" s="1" t="s">
        <v>718</v>
      </c>
    </row>
    <row r="511" customFormat="false" ht="15" hidden="false" customHeight="false" outlineLevel="0" collapsed="false">
      <c r="A511" s="1" t="s">
        <v>3100</v>
      </c>
      <c r="B511" s="1" t="s">
        <v>3101</v>
      </c>
      <c r="C511" s="1" t="s">
        <v>3102</v>
      </c>
      <c r="D511" s="2" t="n">
        <v>36454</v>
      </c>
      <c r="E511" s="1" t="s">
        <v>763</v>
      </c>
      <c r="F511" s="1" t="s">
        <v>711</v>
      </c>
      <c r="G511" s="1" t="s">
        <v>712</v>
      </c>
      <c r="H511" s="1" t="s">
        <v>713</v>
      </c>
      <c r="I511" s="1" t="s">
        <v>714</v>
      </c>
      <c r="J511" s="1" t="s">
        <v>757</v>
      </c>
      <c r="K511" s="1" t="s">
        <v>3103</v>
      </c>
      <c r="L511" s="1" t="s">
        <v>3104</v>
      </c>
      <c r="M511" s="1" t="s">
        <v>718</v>
      </c>
    </row>
    <row r="512" customFormat="false" ht="15" hidden="false" customHeight="false" outlineLevel="0" collapsed="false">
      <c r="A512" s="1" t="s">
        <v>3105</v>
      </c>
      <c r="B512" s="1" t="s">
        <v>3106</v>
      </c>
      <c r="C512" s="1" t="s">
        <v>3107</v>
      </c>
      <c r="D512" s="2" t="n">
        <v>36469</v>
      </c>
      <c r="E512" s="1" t="s">
        <v>763</v>
      </c>
      <c r="F512" s="1" t="s">
        <v>711</v>
      </c>
      <c r="G512" s="1" t="s">
        <v>2499</v>
      </c>
      <c r="H512" s="1" t="s">
        <v>713</v>
      </c>
      <c r="I512" s="1" t="s">
        <v>714</v>
      </c>
      <c r="J512" s="1" t="s">
        <v>1244</v>
      </c>
      <c r="K512" s="1" t="s">
        <v>3108</v>
      </c>
      <c r="L512" s="1" t="s">
        <v>3109</v>
      </c>
      <c r="M512" s="1" t="s">
        <v>718</v>
      </c>
    </row>
    <row r="513" customFormat="false" ht="15" hidden="false" customHeight="false" outlineLevel="0" collapsed="false">
      <c r="A513" s="1" t="s">
        <v>3110</v>
      </c>
      <c r="B513" s="1" t="s">
        <v>3111</v>
      </c>
      <c r="C513" s="1" t="s">
        <v>1729</v>
      </c>
      <c r="D513" s="2" t="n">
        <v>36390</v>
      </c>
      <c r="E513" s="1" t="s">
        <v>710</v>
      </c>
      <c r="F513" s="1" t="s">
        <v>711</v>
      </c>
      <c r="G513" s="1" t="s">
        <v>712</v>
      </c>
      <c r="H513" s="1" t="s">
        <v>713</v>
      </c>
      <c r="I513" s="1" t="s">
        <v>714</v>
      </c>
      <c r="J513" s="1" t="s">
        <v>1723</v>
      </c>
      <c r="K513" s="1" t="s">
        <v>3112</v>
      </c>
      <c r="L513" s="1" t="s">
        <v>1731</v>
      </c>
      <c r="M513" s="1" t="s">
        <v>718</v>
      </c>
    </row>
    <row r="514" customFormat="false" ht="15" hidden="false" customHeight="false" outlineLevel="0" collapsed="false">
      <c r="A514" s="1" t="s">
        <v>3113</v>
      </c>
      <c r="B514" s="1" t="s">
        <v>3114</v>
      </c>
      <c r="C514" s="1" t="s">
        <v>2170</v>
      </c>
      <c r="D514" s="2" t="n">
        <v>36892</v>
      </c>
      <c r="E514" s="1" t="s">
        <v>763</v>
      </c>
      <c r="F514" s="1" t="s">
        <v>711</v>
      </c>
      <c r="G514" s="1" t="s">
        <v>722</v>
      </c>
      <c r="H514" s="1" t="s">
        <v>713</v>
      </c>
      <c r="I514" s="1" t="s">
        <v>714</v>
      </c>
      <c r="J514" s="1" t="s">
        <v>1244</v>
      </c>
      <c r="K514" s="1" t="s">
        <v>3115</v>
      </c>
      <c r="L514" s="1" t="s">
        <v>2100</v>
      </c>
      <c r="M514" s="1" t="s">
        <v>718</v>
      </c>
    </row>
    <row r="515" customFormat="false" ht="15" hidden="false" customHeight="false" outlineLevel="0" collapsed="false">
      <c r="A515" s="1" t="s">
        <v>3116</v>
      </c>
      <c r="B515" s="1" t="s">
        <v>3117</v>
      </c>
      <c r="C515" s="1" t="s">
        <v>3118</v>
      </c>
      <c r="D515" s="2" t="n">
        <v>36421</v>
      </c>
      <c r="E515" s="1" t="s">
        <v>763</v>
      </c>
      <c r="F515" s="1" t="s">
        <v>711</v>
      </c>
      <c r="G515" s="1" t="s">
        <v>722</v>
      </c>
      <c r="H515" s="1" t="s">
        <v>713</v>
      </c>
      <c r="I515" s="1" t="s">
        <v>714</v>
      </c>
      <c r="J515" s="1" t="s">
        <v>1584</v>
      </c>
      <c r="K515" s="1" t="s">
        <v>3119</v>
      </c>
      <c r="L515" s="1" t="s">
        <v>3120</v>
      </c>
      <c r="M515" s="1" t="s">
        <v>718</v>
      </c>
    </row>
    <row r="516" customFormat="false" ht="15" hidden="false" customHeight="false" outlineLevel="0" collapsed="false">
      <c r="A516" s="1" t="s">
        <v>3121</v>
      </c>
      <c r="B516" s="1" t="s">
        <v>3122</v>
      </c>
      <c r="C516" s="1" t="s">
        <v>3123</v>
      </c>
      <c r="D516" s="2" t="n">
        <v>34355</v>
      </c>
      <c r="E516" s="1" t="s">
        <v>763</v>
      </c>
      <c r="F516" s="1" t="s">
        <v>711</v>
      </c>
      <c r="G516" s="1" t="s">
        <v>897</v>
      </c>
      <c r="H516" s="1" t="s">
        <v>713</v>
      </c>
      <c r="I516" s="1" t="s">
        <v>714</v>
      </c>
      <c r="J516" s="1" t="s">
        <v>978</v>
      </c>
      <c r="K516" s="1" t="s">
        <v>3124</v>
      </c>
      <c r="L516" s="1" t="s">
        <v>3125</v>
      </c>
      <c r="M516" s="1" t="s">
        <v>718</v>
      </c>
    </row>
    <row r="517" customFormat="false" ht="15" hidden="false" customHeight="false" outlineLevel="0" collapsed="false">
      <c r="A517" s="1" t="s">
        <v>3126</v>
      </c>
      <c r="B517" s="1" t="s">
        <v>3127</v>
      </c>
      <c r="C517" s="1" t="s">
        <v>3128</v>
      </c>
      <c r="D517" s="2" t="n">
        <v>34376</v>
      </c>
      <c r="E517" s="1" t="s">
        <v>763</v>
      </c>
      <c r="F517" s="1" t="s">
        <v>711</v>
      </c>
      <c r="G517" s="1" t="s">
        <v>722</v>
      </c>
      <c r="H517" s="1" t="s">
        <v>713</v>
      </c>
      <c r="I517" s="1" t="s">
        <v>714</v>
      </c>
      <c r="J517" s="1" t="s">
        <v>3129</v>
      </c>
      <c r="K517" s="1" t="s">
        <v>3130</v>
      </c>
      <c r="L517" s="1" t="s">
        <v>3131</v>
      </c>
      <c r="M517" s="1" t="s">
        <v>718</v>
      </c>
    </row>
    <row r="518" customFormat="false" ht="15" hidden="false" customHeight="false" outlineLevel="0" collapsed="false">
      <c r="A518" s="1" t="s">
        <v>3132</v>
      </c>
      <c r="B518" s="1" t="s">
        <v>3133</v>
      </c>
      <c r="C518" s="1" t="s">
        <v>3134</v>
      </c>
      <c r="D518" s="2" t="n">
        <v>34075</v>
      </c>
      <c r="E518" s="1" t="s">
        <v>763</v>
      </c>
      <c r="F518" s="1" t="s">
        <v>711</v>
      </c>
      <c r="G518" s="1" t="s">
        <v>712</v>
      </c>
      <c r="H518" s="1" t="s">
        <v>713</v>
      </c>
      <c r="I518" s="1" t="s">
        <v>714</v>
      </c>
      <c r="J518" s="1" t="s">
        <v>3135</v>
      </c>
      <c r="K518" s="1" t="s">
        <v>3136</v>
      </c>
      <c r="L518" s="1" t="s">
        <v>3137</v>
      </c>
      <c r="M518" s="1" t="s">
        <v>718</v>
      </c>
    </row>
    <row r="519" customFormat="false" ht="15" hidden="false" customHeight="false" outlineLevel="0" collapsed="false">
      <c r="A519" s="1" t="s">
        <v>3138</v>
      </c>
      <c r="B519" s="1" t="s">
        <v>3139</v>
      </c>
      <c r="C519" s="1" t="s">
        <v>750</v>
      </c>
      <c r="D519" s="2" t="n">
        <v>34268</v>
      </c>
      <c r="E519" s="1" t="s">
        <v>710</v>
      </c>
      <c r="F519" s="1" t="s">
        <v>711</v>
      </c>
      <c r="G519" s="1" t="s">
        <v>722</v>
      </c>
      <c r="H519" s="1" t="s">
        <v>713</v>
      </c>
      <c r="I519" s="1" t="s">
        <v>714</v>
      </c>
      <c r="J519" s="1" t="s">
        <v>1451</v>
      </c>
      <c r="K519" s="1" t="s">
        <v>3140</v>
      </c>
      <c r="L519" s="1" t="s">
        <v>753</v>
      </c>
      <c r="M519" s="1" t="s">
        <v>718</v>
      </c>
    </row>
    <row r="520" customFormat="false" ht="15" hidden="false" customHeight="false" outlineLevel="0" collapsed="false">
      <c r="A520" s="1" t="s">
        <v>3141</v>
      </c>
      <c r="B520" s="1" t="s">
        <v>3142</v>
      </c>
      <c r="C520" s="1" t="s">
        <v>3143</v>
      </c>
      <c r="D520" s="2" t="n">
        <v>34872</v>
      </c>
      <c r="E520" s="1" t="s">
        <v>710</v>
      </c>
      <c r="F520" s="1" t="s">
        <v>711</v>
      </c>
      <c r="G520" s="1" t="s">
        <v>712</v>
      </c>
      <c r="H520" s="1" t="s">
        <v>713</v>
      </c>
      <c r="I520" s="1" t="s">
        <v>714</v>
      </c>
      <c r="J520" s="1" t="s">
        <v>838</v>
      </c>
      <c r="K520" s="1" t="s">
        <v>716</v>
      </c>
      <c r="L520" s="1" t="s">
        <v>3144</v>
      </c>
      <c r="M520" s="1" t="s">
        <v>718</v>
      </c>
    </row>
    <row r="521" customFormat="false" ht="15" hidden="false" customHeight="false" outlineLevel="0" collapsed="false">
      <c r="A521" s="1" t="s">
        <v>3145</v>
      </c>
      <c r="B521" s="1" t="s">
        <v>1490</v>
      </c>
      <c r="C521" s="1" t="s">
        <v>3146</v>
      </c>
      <c r="D521" s="2" t="n">
        <v>34557</v>
      </c>
      <c r="E521" s="1" t="s">
        <v>710</v>
      </c>
      <c r="F521" s="1" t="s">
        <v>711</v>
      </c>
      <c r="G521" s="1" t="s">
        <v>722</v>
      </c>
      <c r="H521" s="1" t="s">
        <v>713</v>
      </c>
      <c r="I521" s="1" t="s">
        <v>714</v>
      </c>
      <c r="J521" s="1" t="s">
        <v>1244</v>
      </c>
      <c r="K521" s="1" t="s">
        <v>3147</v>
      </c>
      <c r="L521" s="1" t="s">
        <v>3148</v>
      </c>
      <c r="M521" s="1" t="s">
        <v>718</v>
      </c>
    </row>
    <row r="522" customFormat="false" ht="15" hidden="false" customHeight="false" outlineLevel="0" collapsed="false">
      <c r="A522" s="1" t="s">
        <v>3149</v>
      </c>
      <c r="B522" s="1" t="s">
        <v>3150</v>
      </c>
      <c r="C522" s="1" t="s">
        <v>768</v>
      </c>
      <c r="D522" s="2" t="n">
        <v>34845</v>
      </c>
      <c r="E522" s="1" t="s">
        <v>763</v>
      </c>
      <c r="F522" s="1" t="s">
        <v>711</v>
      </c>
      <c r="G522" s="1" t="s">
        <v>722</v>
      </c>
      <c r="H522" s="1" t="s">
        <v>713</v>
      </c>
      <c r="I522" s="1" t="s">
        <v>714</v>
      </c>
      <c r="J522" s="1" t="s">
        <v>3151</v>
      </c>
      <c r="K522" s="1" t="s">
        <v>770</v>
      </c>
      <c r="L522" s="1" t="s">
        <v>771</v>
      </c>
      <c r="M522" s="1" t="s">
        <v>718</v>
      </c>
    </row>
    <row r="523" customFormat="false" ht="15" hidden="false" customHeight="false" outlineLevel="0" collapsed="false">
      <c r="A523" s="1" t="s">
        <v>3152</v>
      </c>
      <c r="B523" s="1" t="s">
        <v>3153</v>
      </c>
      <c r="C523" s="1" t="s">
        <v>3154</v>
      </c>
      <c r="D523" s="2" t="n">
        <v>34945</v>
      </c>
      <c r="E523" s="1" t="s">
        <v>763</v>
      </c>
      <c r="F523" s="1" t="s">
        <v>711</v>
      </c>
      <c r="G523" s="1" t="s">
        <v>722</v>
      </c>
      <c r="H523" s="1" t="s">
        <v>713</v>
      </c>
      <c r="I523" s="1" t="s">
        <v>714</v>
      </c>
      <c r="J523" s="1" t="s">
        <v>978</v>
      </c>
      <c r="K523" s="1" t="s">
        <v>716</v>
      </c>
      <c r="L523" s="1" t="s">
        <v>3155</v>
      </c>
      <c r="M523" s="1" t="s">
        <v>718</v>
      </c>
    </row>
    <row r="524" customFormat="false" ht="15" hidden="false" customHeight="false" outlineLevel="0" collapsed="false">
      <c r="A524" s="1" t="s">
        <v>3156</v>
      </c>
      <c r="B524" s="1" t="s">
        <v>3157</v>
      </c>
      <c r="C524" s="1" t="s">
        <v>3158</v>
      </c>
      <c r="D524" s="2" t="n">
        <v>34864</v>
      </c>
      <c r="E524" s="1" t="s">
        <v>710</v>
      </c>
      <c r="F524" s="1" t="s">
        <v>711</v>
      </c>
      <c r="G524" s="1" t="s">
        <v>712</v>
      </c>
      <c r="H524" s="1" t="s">
        <v>713</v>
      </c>
      <c r="I524" s="1" t="s">
        <v>714</v>
      </c>
      <c r="J524" s="1" t="s">
        <v>1172</v>
      </c>
      <c r="K524" s="1" t="s">
        <v>3159</v>
      </c>
      <c r="L524" s="1" t="s">
        <v>3160</v>
      </c>
      <c r="M524" s="1" t="s">
        <v>718</v>
      </c>
    </row>
    <row r="525" customFormat="false" ht="15" hidden="false" customHeight="false" outlineLevel="0" collapsed="false">
      <c r="A525" s="1" t="s">
        <v>3161</v>
      </c>
      <c r="B525" s="1" t="s">
        <v>3162</v>
      </c>
      <c r="C525" s="1" t="s">
        <v>3163</v>
      </c>
      <c r="D525" s="2" t="n">
        <v>34676</v>
      </c>
      <c r="E525" s="1" t="s">
        <v>710</v>
      </c>
      <c r="F525" s="1" t="s">
        <v>711</v>
      </c>
      <c r="G525" s="1" t="s">
        <v>722</v>
      </c>
      <c r="H525" s="1" t="s">
        <v>713</v>
      </c>
      <c r="I525" s="1" t="s">
        <v>714</v>
      </c>
      <c r="J525" s="1" t="s">
        <v>1144</v>
      </c>
      <c r="K525" s="1" t="s">
        <v>3164</v>
      </c>
      <c r="L525" s="1" t="s">
        <v>3165</v>
      </c>
      <c r="M525" s="1" t="s">
        <v>718</v>
      </c>
    </row>
    <row r="526" customFormat="false" ht="15" hidden="false" customHeight="false" outlineLevel="0" collapsed="false">
      <c r="A526" s="1" t="s">
        <v>3166</v>
      </c>
      <c r="B526" s="1" t="s">
        <v>3167</v>
      </c>
      <c r="C526" s="1" t="s">
        <v>1885</v>
      </c>
      <c r="D526" s="2" t="n">
        <v>34436</v>
      </c>
      <c r="E526" s="1" t="s">
        <v>710</v>
      </c>
      <c r="F526" s="1" t="s">
        <v>711</v>
      </c>
      <c r="G526" s="1" t="s">
        <v>722</v>
      </c>
      <c r="H526" s="1" t="s">
        <v>713</v>
      </c>
      <c r="I526" s="1" t="s">
        <v>714</v>
      </c>
      <c r="J526" s="1" t="s">
        <v>838</v>
      </c>
      <c r="K526" s="1" t="s">
        <v>716</v>
      </c>
      <c r="L526" s="1" t="s">
        <v>1886</v>
      </c>
      <c r="M526" s="1" t="s">
        <v>718</v>
      </c>
    </row>
    <row r="527" customFormat="false" ht="15" hidden="false" customHeight="false" outlineLevel="0" collapsed="false">
      <c r="A527" s="1" t="s">
        <v>3168</v>
      </c>
      <c r="B527" s="1" t="s">
        <v>3169</v>
      </c>
      <c r="C527" s="1" t="s">
        <v>750</v>
      </c>
      <c r="D527" s="2" t="n">
        <v>34992</v>
      </c>
      <c r="E527" s="1" t="s">
        <v>710</v>
      </c>
      <c r="F527" s="1" t="s">
        <v>711</v>
      </c>
      <c r="G527" s="1" t="s">
        <v>3170</v>
      </c>
      <c r="H527" s="1" t="s">
        <v>713</v>
      </c>
      <c r="I527" s="1" t="s">
        <v>714</v>
      </c>
      <c r="J527" s="1" t="s">
        <v>3171</v>
      </c>
      <c r="K527" s="1" t="s">
        <v>3172</v>
      </c>
      <c r="L527" s="1" t="s">
        <v>3173</v>
      </c>
      <c r="M527" s="1" t="s">
        <v>718</v>
      </c>
    </row>
    <row r="528" customFormat="false" ht="15" hidden="false" customHeight="false" outlineLevel="0" collapsed="false">
      <c r="A528" s="1" t="s">
        <v>3174</v>
      </c>
      <c r="B528" s="1" t="s">
        <v>3175</v>
      </c>
      <c r="C528" s="1" t="s">
        <v>3176</v>
      </c>
      <c r="D528" s="2" t="n">
        <v>35062</v>
      </c>
      <c r="E528" s="1" t="s">
        <v>763</v>
      </c>
      <c r="F528" s="1" t="s">
        <v>711</v>
      </c>
      <c r="G528" s="1" t="s">
        <v>722</v>
      </c>
      <c r="H528" s="1" t="s">
        <v>713</v>
      </c>
      <c r="I528" s="1" t="s">
        <v>714</v>
      </c>
      <c r="J528" s="1" t="s">
        <v>1451</v>
      </c>
      <c r="K528" s="1" t="s">
        <v>3177</v>
      </c>
      <c r="L528" s="1" t="s">
        <v>3178</v>
      </c>
      <c r="M528" s="1" t="s">
        <v>718</v>
      </c>
    </row>
    <row r="529" customFormat="false" ht="15" hidden="false" customHeight="false" outlineLevel="0" collapsed="false">
      <c r="A529" s="1" t="s">
        <v>3179</v>
      </c>
      <c r="B529" s="1" t="s">
        <v>3180</v>
      </c>
      <c r="C529" s="1" t="s">
        <v>3181</v>
      </c>
      <c r="D529" s="2" t="n">
        <v>34628</v>
      </c>
      <c r="E529" s="1" t="s">
        <v>710</v>
      </c>
      <c r="F529" s="1" t="s">
        <v>711</v>
      </c>
      <c r="G529" s="1" t="s">
        <v>3182</v>
      </c>
      <c r="H529" s="1" t="s">
        <v>713</v>
      </c>
      <c r="I529" s="1" t="s">
        <v>714</v>
      </c>
      <c r="J529" s="1" t="s">
        <v>1611</v>
      </c>
      <c r="K529" s="1" t="s">
        <v>3183</v>
      </c>
      <c r="L529" s="1" t="s">
        <v>3184</v>
      </c>
      <c r="M529" s="1" t="s">
        <v>718</v>
      </c>
    </row>
    <row r="530" customFormat="false" ht="15" hidden="false" customHeight="false" outlineLevel="0" collapsed="false">
      <c r="A530" s="1" t="s">
        <v>3185</v>
      </c>
      <c r="B530" s="1" t="s">
        <v>3186</v>
      </c>
      <c r="C530" s="1" t="s">
        <v>1332</v>
      </c>
      <c r="D530" s="2" t="n">
        <v>35166</v>
      </c>
      <c r="E530" s="1" t="s">
        <v>763</v>
      </c>
      <c r="F530" s="1" t="s">
        <v>711</v>
      </c>
      <c r="G530" s="1" t="s">
        <v>712</v>
      </c>
      <c r="H530" s="1" t="s">
        <v>713</v>
      </c>
      <c r="I530" s="1" t="s">
        <v>714</v>
      </c>
      <c r="J530" s="1" t="s">
        <v>3187</v>
      </c>
      <c r="K530" s="1" t="s">
        <v>3188</v>
      </c>
      <c r="L530" s="1" t="s">
        <v>1334</v>
      </c>
      <c r="M530" s="1" t="s">
        <v>718</v>
      </c>
    </row>
    <row r="531" customFormat="false" ht="15" hidden="false" customHeight="false" outlineLevel="0" collapsed="false">
      <c r="A531" s="1" t="s">
        <v>3189</v>
      </c>
      <c r="B531" s="1" t="s">
        <v>3190</v>
      </c>
      <c r="C531" s="1" t="s">
        <v>3191</v>
      </c>
      <c r="D531" s="2" t="n">
        <v>34808</v>
      </c>
      <c r="E531" s="1" t="s">
        <v>710</v>
      </c>
      <c r="F531" s="1" t="s">
        <v>711</v>
      </c>
      <c r="G531" s="1" t="s">
        <v>712</v>
      </c>
      <c r="H531" s="1" t="s">
        <v>713</v>
      </c>
      <c r="I531" s="1" t="s">
        <v>714</v>
      </c>
      <c r="J531" s="1" t="s">
        <v>780</v>
      </c>
      <c r="K531" s="1" t="s">
        <v>716</v>
      </c>
      <c r="L531" s="1" t="s">
        <v>3192</v>
      </c>
      <c r="M531" s="1" t="s">
        <v>718</v>
      </c>
    </row>
    <row r="532" customFormat="false" ht="15" hidden="false" customHeight="false" outlineLevel="0" collapsed="false">
      <c r="A532" s="1" t="s">
        <v>3193</v>
      </c>
      <c r="B532" s="1" t="s">
        <v>3194</v>
      </c>
      <c r="C532" s="1" t="s">
        <v>3195</v>
      </c>
      <c r="D532" s="2" t="n">
        <v>34763</v>
      </c>
      <c r="E532" s="1" t="s">
        <v>710</v>
      </c>
      <c r="F532" s="1" t="s">
        <v>711</v>
      </c>
      <c r="G532" s="1" t="s">
        <v>722</v>
      </c>
      <c r="H532" s="1" t="s">
        <v>713</v>
      </c>
      <c r="I532" s="1" t="s">
        <v>714</v>
      </c>
      <c r="J532" s="1" t="s">
        <v>1149</v>
      </c>
      <c r="K532" s="1" t="s">
        <v>3196</v>
      </c>
      <c r="L532" s="1" t="s">
        <v>3197</v>
      </c>
      <c r="M532" s="1" t="s">
        <v>718</v>
      </c>
    </row>
    <row r="533" customFormat="false" ht="15" hidden="false" customHeight="false" outlineLevel="0" collapsed="false">
      <c r="A533" s="1" t="s">
        <v>3198</v>
      </c>
      <c r="B533" s="1" t="s">
        <v>3199</v>
      </c>
      <c r="C533" s="1" t="s">
        <v>3200</v>
      </c>
      <c r="D533" s="2" t="n">
        <v>35311</v>
      </c>
      <c r="E533" s="1" t="s">
        <v>710</v>
      </c>
      <c r="F533" s="1" t="s">
        <v>711</v>
      </c>
      <c r="G533" s="1" t="s">
        <v>722</v>
      </c>
      <c r="H533" s="1" t="s">
        <v>713</v>
      </c>
      <c r="I533" s="1" t="s">
        <v>714</v>
      </c>
      <c r="J533" s="1" t="s">
        <v>3201</v>
      </c>
      <c r="K533" s="1" t="s">
        <v>3202</v>
      </c>
      <c r="L533" s="1" t="s">
        <v>3203</v>
      </c>
      <c r="M533" s="1" t="s">
        <v>718</v>
      </c>
    </row>
    <row r="534" customFormat="false" ht="15" hidden="false" customHeight="false" outlineLevel="0" collapsed="false">
      <c r="A534" s="1" t="s">
        <v>3204</v>
      </c>
      <c r="B534" s="1" t="s">
        <v>3205</v>
      </c>
      <c r="C534" s="1" t="s">
        <v>3206</v>
      </c>
      <c r="D534" s="2" t="n">
        <v>35053</v>
      </c>
      <c r="E534" s="1" t="s">
        <v>710</v>
      </c>
      <c r="F534" s="1" t="s">
        <v>711</v>
      </c>
      <c r="G534" s="1" t="s">
        <v>712</v>
      </c>
      <c r="H534" s="1" t="s">
        <v>713</v>
      </c>
      <c r="I534" s="1" t="s">
        <v>714</v>
      </c>
      <c r="J534" s="1" t="s">
        <v>3207</v>
      </c>
      <c r="K534" s="1" t="s">
        <v>912</v>
      </c>
      <c r="L534" s="1" t="s">
        <v>913</v>
      </c>
      <c r="M534" s="1" t="s">
        <v>718</v>
      </c>
    </row>
    <row r="535" customFormat="false" ht="15" hidden="false" customHeight="false" outlineLevel="0" collapsed="false">
      <c r="A535" s="1" t="s">
        <v>3208</v>
      </c>
      <c r="B535" s="1" t="s">
        <v>3209</v>
      </c>
      <c r="C535" s="1" t="s">
        <v>3210</v>
      </c>
      <c r="D535" s="2" t="n">
        <v>35104</v>
      </c>
      <c r="E535" s="1" t="s">
        <v>763</v>
      </c>
      <c r="F535" s="1" t="s">
        <v>711</v>
      </c>
      <c r="G535" s="1" t="s">
        <v>722</v>
      </c>
      <c r="H535" s="1" t="s">
        <v>713</v>
      </c>
      <c r="I535" s="1" t="s">
        <v>714</v>
      </c>
      <c r="J535" s="1" t="s">
        <v>917</v>
      </c>
      <c r="K535" s="1" t="s">
        <v>3211</v>
      </c>
      <c r="L535" s="1" t="s">
        <v>3212</v>
      </c>
      <c r="M535" s="1" t="s">
        <v>718</v>
      </c>
    </row>
    <row r="536" customFormat="false" ht="15" hidden="false" customHeight="false" outlineLevel="0" collapsed="false">
      <c r="A536" s="1" t="s">
        <v>3213</v>
      </c>
      <c r="B536" s="1" t="s">
        <v>3214</v>
      </c>
      <c r="C536" s="1" t="s">
        <v>3215</v>
      </c>
      <c r="D536" s="2" t="n">
        <v>35645</v>
      </c>
      <c r="E536" s="1" t="s">
        <v>710</v>
      </c>
      <c r="F536" s="1" t="s">
        <v>711</v>
      </c>
      <c r="G536" s="1" t="s">
        <v>722</v>
      </c>
      <c r="H536" s="1" t="s">
        <v>713</v>
      </c>
      <c r="I536" s="1" t="s">
        <v>714</v>
      </c>
      <c r="J536" s="1" t="s">
        <v>3216</v>
      </c>
      <c r="K536" s="1" t="s">
        <v>716</v>
      </c>
      <c r="L536" s="1" t="s">
        <v>3217</v>
      </c>
      <c r="M536" s="1" t="s">
        <v>718</v>
      </c>
    </row>
    <row r="537" customFormat="false" ht="15" hidden="false" customHeight="false" outlineLevel="0" collapsed="false">
      <c r="A537" s="1" t="s">
        <v>3218</v>
      </c>
      <c r="B537" s="1" t="s">
        <v>3219</v>
      </c>
      <c r="C537" s="1" t="s">
        <v>3220</v>
      </c>
      <c r="D537" s="2" t="n">
        <v>35361</v>
      </c>
      <c r="E537" s="1" t="s">
        <v>710</v>
      </c>
      <c r="F537" s="1" t="s">
        <v>711</v>
      </c>
      <c r="G537" s="1" t="s">
        <v>712</v>
      </c>
      <c r="H537" s="1" t="s">
        <v>713</v>
      </c>
      <c r="I537" s="1" t="s">
        <v>714</v>
      </c>
      <c r="J537" s="1" t="s">
        <v>3221</v>
      </c>
      <c r="K537" s="1" t="s">
        <v>3222</v>
      </c>
      <c r="L537" s="1" t="s">
        <v>1875</v>
      </c>
      <c r="M537" s="1" t="s">
        <v>718</v>
      </c>
    </row>
    <row r="538" customFormat="false" ht="15" hidden="false" customHeight="false" outlineLevel="0" collapsed="false">
      <c r="A538" s="1" t="s">
        <v>3223</v>
      </c>
      <c r="B538" s="1" t="s">
        <v>3224</v>
      </c>
      <c r="C538" s="1" t="s">
        <v>3225</v>
      </c>
      <c r="D538" s="2" t="n">
        <v>35398</v>
      </c>
      <c r="E538" s="1" t="s">
        <v>710</v>
      </c>
      <c r="F538" s="1" t="s">
        <v>711</v>
      </c>
      <c r="G538" s="1" t="s">
        <v>712</v>
      </c>
      <c r="H538" s="1" t="s">
        <v>713</v>
      </c>
      <c r="I538" s="1" t="s">
        <v>714</v>
      </c>
      <c r="J538" s="1" t="s">
        <v>838</v>
      </c>
      <c r="K538" s="1" t="s">
        <v>3226</v>
      </c>
      <c r="L538" s="1" t="s">
        <v>3227</v>
      </c>
      <c r="M538" s="1" t="s">
        <v>718</v>
      </c>
    </row>
    <row r="539" customFormat="false" ht="15" hidden="false" customHeight="false" outlineLevel="0" collapsed="false">
      <c r="A539" s="1" t="s">
        <v>3228</v>
      </c>
      <c r="B539" s="1" t="s">
        <v>2246</v>
      </c>
      <c r="C539" s="1" t="s">
        <v>2817</v>
      </c>
      <c r="D539" s="2" t="n">
        <v>35318</v>
      </c>
      <c r="E539" s="1" t="s">
        <v>710</v>
      </c>
      <c r="F539" s="1" t="s">
        <v>711</v>
      </c>
      <c r="G539" s="1" t="s">
        <v>722</v>
      </c>
      <c r="H539" s="1" t="s">
        <v>713</v>
      </c>
      <c r="I539" s="1" t="s">
        <v>714</v>
      </c>
      <c r="J539" s="1" t="s">
        <v>1272</v>
      </c>
      <c r="K539" s="1" t="s">
        <v>3229</v>
      </c>
      <c r="L539" s="1" t="s">
        <v>2819</v>
      </c>
      <c r="M539" s="1" t="s">
        <v>718</v>
      </c>
    </row>
    <row r="540" customFormat="false" ht="15" hidden="false" customHeight="false" outlineLevel="0" collapsed="false">
      <c r="A540" s="1" t="s">
        <v>3230</v>
      </c>
      <c r="B540" s="1" t="s">
        <v>3231</v>
      </c>
      <c r="C540" s="1" t="s">
        <v>3232</v>
      </c>
      <c r="D540" s="2" t="n">
        <v>35338</v>
      </c>
      <c r="E540" s="1" t="s">
        <v>710</v>
      </c>
      <c r="F540" s="1" t="s">
        <v>711</v>
      </c>
      <c r="G540" s="1" t="s">
        <v>722</v>
      </c>
      <c r="H540" s="1" t="s">
        <v>713</v>
      </c>
      <c r="I540" s="1" t="s">
        <v>714</v>
      </c>
      <c r="J540" s="1" t="s">
        <v>3233</v>
      </c>
      <c r="K540" s="1" t="s">
        <v>3234</v>
      </c>
      <c r="L540" s="1" t="s">
        <v>3235</v>
      </c>
      <c r="M540" s="1" t="s">
        <v>718</v>
      </c>
    </row>
    <row r="541" customFormat="false" ht="15" hidden="false" customHeight="false" outlineLevel="0" collapsed="false">
      <c r="A541" s="1" t="s">
        <v>3236</v>
      </c>
      <c r="B541" s="1" t="s">
        <v>3237</v>
      </c>
      <c r="C541" s="1" t="s">
        <v>3238</v>
      </c>
      <c r="D541" s="2" t="n">
        <v>35321</v>
      </c>
      <c r="E541" s="1" t="s">
        <v>710</v>
      </c>
      <c r="F541" s="1" t="s">
        <v>711</v>
      </c>
      <c r="G541" s="1" t="s">
        <v>712</v>
      </c>
      <c r="H541" s="1" t="s">
        <v>713</v>
      </c>
      <c r="I541" s="1" t="s">
        <v>714</v>
      </c>
      <c r="J541" s="1" t="s">
        <v>1095</v>
      </c>
      <c r="K541" s="1" t="s">
        <v>3239</v>
      </c>
      <c r="L541" s="1" t="s">
        <v>3240</v>
      </c>
      <c r="M541" s="1" t="s">
        <v>718</v>
      </c>
    </row>
    <row r="542" customFormat="false" ht="15" hidden="false" customHeight="false" outlineLevel="0" collapsed="false">
      <c r="A542" s="1" t="s">
        <v>3241</v>
      </c>
      <c r="B542" s="1" t="s">
        <v>3242</v>
      </c>
      <c r="C542" s="1" t="s">
        <v>1795</v>
      </c>
      <c r="D542" s="2" t="n">
        <v>35527</v>
      </c>
      <c r="E542" s="1" t="s">
        <v>763</v>
      </c>
      <c r="F542" s="1" t="s">
        <v>711</v>
      </c>
      <c r="G542" s="1" t="s">
        <v>712</v>
      </c>
      <c r="H542" s="1" t="s">
        <v>713</v>
      </c>
      <c r="I542" s="1" t="s">
        <v>714</v>
      </c>
      <c r="J542" s="1" t="s">
        <v>3171</v>
      </c>
      <c r="K542" s="1" t="s">
        <v>3243</v>
      </c>
      <c r="L542" s="1" t="s">
        <v>3244</v>
      </c>
      <c r="M542" s="1" t="s">
        <v>718</v>
      </c>
    </row>
    <row r="543" customFormat="false" ht="15" hidden="false" customHeight="false" outlineLevel="0" collapsed="false">
      <c r="A543" s="1" t="s">
        <v>3245</v>
      </c>
      <c r="B543" s="1" t="s">
        <v>3246</v>
      </c>
      <c r="C543" s="1" t="s">
        <v>3247</v>
      </c>
      <c r="D543" s="2" t="n">
        <v>35485</v>
      </c>
      <c r="E543" s="1" t="s">
        <v>710</v>
      </c>
      <c r="F543" s="1" t="s">
        <v>711</v>
      </c>
      <c r="G543" s="1" t="s">
        <v>722</v>
      </c>
      <c r="H543" s="1" t="s">
        <v>713</v>
      </c>
      <c r="I543" s="1" t="s">
        <v>714</v>
      </c>
      <c r="J543" s="1" t="s">
        <v>3248</v>
      </c>
      <c r="K543" s="1" t="s">
        <v>3249</v>
      </c>
      <c r="L543" s="1" t="s">
        <v>3250</v>
      </c>
      <c r="M543" s="1" t="s">
        <v>718</v>
      </c>
    </row>
    <row r="544" customFormat="false" ht="15" hidden="false" customHeight="false" outlineLevel="0" collapsed="false">
      <c r="A544" s="1" t="s">
        <v>3251</v>
      </c>
      <c r="B544" s="1" t="s">
        <v>3252</v>
      </c>
      <c r="C544" s="1" t="s">
        <v>3253</v>
      </c>
      <c r="D544" s="2" t="n">
        <v>35393</v>
      </c>
      <c r="E544" s="1" t="s">
        <v>710</v>
      </c>
      <c r="F544" s="1" t="s">
        <v>711</v>
      </c>
      <c r="G544" s="1" t="s">
        <v>722</v>
      </c>
      <c r="H544" s="1" t="s">
        <v>713</v>
      </c>
      <c r="I544" s="1" t="s">
        <v>714</v>
      </c>
      <c r="J544" s="1" t="s">
        <v>3254</v>
      </c>
      <c r="K544" s="1" t="s">
        <v>3255</v>
      </c>
      <c r="L544" s="1" t="s">
        <v>3256</v>
      </c>
      <c r="M544" s="1" t="s">
        <v>718</v>
      </c>
    </row>
    <row r="545" customFormat="false" ht="15" hidden="false" customHeight="false" outlineLevel="0" collapsed="false">
      <c r="A545" s="1" t="s">
        <v>3257</v>
      </c>
      <c r="B545" s="1" t="s">
        <v>3258</v>
      </c>
      <c r="C545" s="1" t="s">
        <v>3259</v>
      </c>
      <c r="D545" s="2" t="n">
        <v>34823</v>
      </c>
      <c r="E545" s="1" t="s">
        <v>710</v>
      </c>
      <c r="F545" s="1" t="s">
        <v>711</v>
      </c>
      <c r="G545" s="1" t="s">
        <v>3260</v>
      </c>
      <c r="H545" s="1" t="s">
        <v>713</v>
      </c>
      <c r="I545" s="1" t="s">
        <v>714</v>
      </c>
      <c r="J545" s="1" t="s">
        <v>3261</v>
      </c>
      <c r="K545" s="1" t="s">
        <v>3262</v>
      </c>
      <c r="L545" s="1" t="s">
        <v>3263</v>
      </c>
      <c r="M545" s="1" t="s">
        <v>718</v>
      </c>
    </row>
    <row r="546" customFormat="false" ht="15" hidden="false" customHeight="false" outlineLevel="0" collapsed="false">
      <c r="A546" s="1" t="s">
        <v>3264</v>
      </c>
      <c r="B546" s="1" t="s">
        <v>2169</v>
      </c>
      <c r="C546" s="1" t="s">
        <v>3265</v>
      </c>
      <c r="D546" s="2" t="n">
        <v>35593</v>
      </c>
      <c r="E546" s="1" t="s">
        <v>710</v>
      </c>
      <c r="F546" s="1" t="s">
        <v>711</v>
      </c>
      <c r="G546" s="1" t="s">
        <v>722</v>
      </c>
      <c r="H546" s="1" t="s">
        <v>713</v>
      </c>
      <c r="I546" s="1" t="s">
        <v>714</v>
      </c>
      <c r="J546" s="1" t="s">
        <v>3266</v>
      </c>
      <c r="K546" s="1" t="s">
        <v>3267</v>
      </c>
      <c r="L546" s="1" t="s">
        <v>3268</v>
      </c>
      <c r="M546" s="1" t="s">
        <v>718</v>
      </c>
    </row>
    <row r="547" customFormat="false" ht="15" hidden="false" customHeight="false" outlineLevel="0" collapsed="false">
      <c r="A547" s="1" t="s">
        <v>3269</v>
      </c>
      <c r="B547" s="1" t="s">
        <v>3270</v>
      </c>
      <c r="C547" s="1" t="s">
        <v>3271</v>
      </c>
      <c r="D547" s="2" t="n">
        <v>35111</v>
      </c>
      <c r="E547" s="1" t="s">
        <v>763</v>
      </c>
      <c r="F547" s="1" t="s">
        <v>711</v>
      </c>
      <c r="G547" s="1" t="s">
        <v>712</v>
      </c>
      <c r="H547" s="1" t="s">
        <v>713</v>
      </c>
      <c r="I547" s="1" t="s">
        <v>714</v>
      </c>
      <c r="J547" s="1" t="s">
        <v>1445</v>
      </c>
      <c r="K547" s="1" t="s">
        <v>716</v>
      </c>
      <c r="L547" s="1" t="s">
        <v>3272</v>
      </c>
      <c r="M547" s="1" t="s">
        <v>718</v>
      </c>
    </row>
    <row r="548" customFormat="false" ht="15" hidden="false" customHeight="false" outlineLevel="0" collapsed="false">
      <c r="A548" s="1" t="s">
        <v>3273</v>
      </c>
      <c r="B548" s="1" t="s">
        <v>2805</v>
      </c>
      <c r="C548" s="1" t="s">
        <v>1234</v>
      </c>
      <c r="D548" s="2" t="n">
        <v>35423</v>
      </c>
      <c r="E548" s="1" t="s">
        <v>710</v>
      </c>
      <c r="F548" s="1" t="s">
        <v>711</v>
      </c>
      <c r="G548" s="1" t="s">
        <v>722</v>
      </c>
      <c r="H548" s="1" t="s">
        <v>713</v>
      </c>
      <c r="I548" s="1" t="s">
        <v>714</v>
      </c>
      <c r="J548" s="1" t="s">
        <v>3274</v>
      </c>
      <c r="K548" s="1" t="s">
        <v>3275</v>
      </c>
      <c r="L548" s="1" t="s">
        <v>1236</v>
      </c>
      <c r="M548" s="1" t="s">
        <v>718</v>
      </c>
    </row>
    <row r="549" customFormat="false" ht="15" hidden="false" customHeight="false" outlineLevel="0" collapsed="false">
      <c r="A549" s="1" t="s">
        <v>3276</v>
      </c>
      <c r="B549" s="1" t="s">
        <v>1175</v>
      </c>
      <c r="C549" s="1" t="s">
        <v>3277</v>
      </c>
      <c r="D549" s="2" t="n">
        <v>35517</v>
      </c>
      <c r="E549" s="1" t="s">
        <v>710</v>
      </c>
      <c r="F549" s="1" t="s">
        <v>711</v>
      </c>
      <c r="G549" s="1" t="s">
        <v>712</v>
      </c>
      <c r="H549" s="1" t="s">
        <v>713</v>
      </c>
      <c r="I549" s="1" t="s">
        <v>714</v>
      </c>
      <c r="J549" s="1" t="s">
        <v>3278</v>
      </c>
      <c r="K549" s="1" t="s">
        <v>3279</v>
      </c>
      <c r="L549" s="1" t="s">
        <v>3280</v>
      </c>
      <c r="M549" s="1" t="s">
        <v>718</v>
      </c>
    </row>
    <row r="550" customFormat="false" ht="15" hidden="false" customHeight="false" outlineLevel="0" collapsed="false">
      <c r="A550" s="1" t="s">
        <v>3281</v>
      </c>
      <c r="B550" s="1" t="s">
        <v>3282</v>
      </c>
      <c r="C550" s="1" t="s">
        <v>804</v>
      </c>
      <c r="D550" s="2" t="n">
        <v>35142</v>
      </c>
      <c r="E550" s="1" t="s">
        <v>710</v>
      </c>
      <c r="F550" s="1" t="s">
        <v>711</v>
      </c>
      <c r="G550" s="1" t="s">
        <v>712</v>
      </c>
      <c r="H550" s="1" t="s">
        <v>713</v>
      </c>
      <c r="I550" s="1" t="s">
        <v>714</v>
      </c>
      <c r="J550" s="1" t="s">
        <v>3283</v>
      </c>
      <c r="K550" s="1" t="s">
        <v>3284</v>
      </c>
      <c r="L550" s="1" t="s">
        <v>3285</v>
      </c>
      <c r="M550" s="1" t="s">
        <v>718</v>
      </c>
    </row>
    <row r="551" customFormat="false" ht="15" hidden="false" customHeight="false" outlineLevel="0" collapsed="false">
      <c r="A551" s="1" t="s">
        <v>3286</v>
      </c>
      <c r="B551" s="1" t="s">
        <v>3287</v>
      </c>
      <c r="C551" s="1" t="s">
        <v>2563</v>
      </c>
      <c r="D551" s="2" t="n">
        <v>35073</v>
      </c>
      <c r="E551" s="1" t="s">
        <v>710</v>
      </c>
      <c r="F551" s="1" t="s">
        <v>711</v>
      </c>
      <c r="G551" s="1" t="s">
        <v>722</v>
      </c>
      <c r="H551" s="1" t="s">
        <v>713</v>
      </c>
      <c r="I551" s="1" t="s">
        <v>714</v>
      </c>
      <c r="J551" s="1" t="s">
        <v>3288</v>
      </c>
      <c r="K551" s="1" t="s">
        <v>716</v>
      </c>
      <c r="L551" s="1" t="s">
        <v>3289</v>
      </c>
      <c r="M551" s="1" t="s">
        <v>718</v>
      </c>
    </row>
    <row r="552" customFormat="false" ht="15" hidden="false" customHeight="false" outlineLevel="0" collapsed="false">
      <c r="A552" s="1" t="s">
        <v>3290</v>
      </c>
      <c r="B552" s="1" t="s">
        <v>3291</v>
      </c>
      <c r="C552" s="1" t="s">
        <v>3292</v>
      </c>
      <c r="D552" s="2" t="n">
        <v>35445</v>
      </c>
      <c r="E552" s="1" t="s">
        <v>710</v>
      </c>
      <c r="F552" s="1" t="s">
        <v>711</v>
      </c>
      <c r="G552" s="1" t="s">
        <v>722</v>
      </c>
      <c r="H552" s="1" t="s">
        <v>713</v>
      </c>
      <c r="I552" s="1" t="s">
        <v>714</v>
      </c>
      <c r="J552" s="1" t="s">
        <v>1244</v>
      </c>
      <c r="K552" s="1" t="s">
        <v>3293</v>
      </c>
      <c r="L552" s="1" t="s">
        <v>3294</v>
      </c>
      <c r="M552" s="1" t="s">
        <v>718</v>
      </c>
    </row>
    <row r="553" customFormat="false" ht="15" hidden="false" customHeight="false" outlineLevel="0" collapsed="false">
      <c r="A553" s="1" t="s">
        <v>3295</v>
      </c>
      <c r="B553" s="1" t="s">
        <v>3296</v>
      </c>
      <c r="C553" s="1" t="s">
        <v>3297</v>
      </c>
      <c r="D553" s="2" t="n">
        <v>35512</v>
      </c>
      <c r="E553" s="1" t="s">
        <v>763</v>
      </c>
      <c r="F553" s="1" t="s">
        <v>711</v>
      </c>
      <c r="G553" s="1" t="s">
        <v>722</v>
      </c>
      <c r="H553" s="1" t="s">
        <v>713</v>
      </c>
      <c r="I553" s="1" t="s">
        <v>714</v>
      </c>
      <c r="J553" s="1" t="s">
        <v>1445</v>
      </c>
      <c r="K553" s="1" t="s">
        <v>3298</v>
      </c>
      <c r="L553" s="1" t="s">
        <v>3299</v>
      </c>
      <c r="M553" s="1" t="s">
        <v>718</v>
      </c>
    </row>
    <row r="554" customFormat="false" ht="15" hidden="false" customHeight="false" outlineLevel="0" collapsed="false">
      <c r="A554" s="1" t="s">
        <v>3300</v>
      </c>
      <c r="B554" s="1" t="s">
        <v>3301</v>
      </c>
      <c r="C554" s="1" t="s">
        <v>1371</v>
      </c>
      <c r="D554" s="2" t="n">
        <v>35537</v>
      </c>
      <c r="E554" s="1" t="s">
        <v>710</v>
      </c>
      <c r="F554" s="1" t="s">
        <v>711</v>
      </c>
      <c r="G554" s="1" t="s">
        <v>722</v>
      </c>
      <c r="H554" s="1" t="s">
        <v>713</v>
      </c>
      <c r="I554" s="1" t="s">
        <v>714</v>
      </c>
      <c r="J554" s="1" t="s">
        <v>3129</v>
      </c>
      <c r="K554" s="1" t="s">
        <v>1372</v>
      </c>
      <c r="L554" s="1" t="s">
        <v>1373</v>
      </c>
      <c r="M554" s="1" t="s">
        <v>718</v>
      </c>
    </row>
    <row r="555" customFormat="false" ht="15" hidden="false" customHeight="false" outlineLevel="0" collapsed="false">
      <c r="A555" s="1" t="s">
        <v>3302</v>
      </c>
      <c r="B555" s="1" t="s">
        <v>2256</v>
      </c>
      <c r="C555" s="1" t="s">
        <v>3303</v>
      </c>
      <c r="D555" s="2" t="n">
        <v>35503</v>
      </c>
      <c r="E555" s="1" t="s">
        <v>710</v>
      </c>
      <c r="F555" s="1" t="s">
        <v>711</v>
      </c>
      <c r="G555" s="1" t="s">
        <v>712</v>
      </c>
      <c r="H555" s="1" t="s">
        <v>713</v>
      </c>
      <c r="I555" s="1" t="s">
        <v>714</v>
      </c>
      <c r="J555" s="1" t="s">
        <v>715</v>
      </c>
      <c r="K555" s="1" t="s">
        <v>716</v>
      </c>
      <c r="L555" s="1" t="s">
        <v>3304</v>
      </c>
      <c r="M555" s="1" t="s">
        <v>718</v>
      </c>
    </row>
    <row r="556" customFormat="false" ht="15" hidden="false" customHeight="false" outlineLevel="0" collapsed="false">
      <c r="A556" s="1" t="s">
        <v>3305</v>
      </c>
      <c r="B556" s="1" t="s">
        <v>3306</v>
      </c>
      <c r="C556" s="1" t="s">
        <v>1286</v>
      </c>
      <c r="D556" s="2" t="n">
        <v>35506</v>
      </c>
      <c r="E556" s="1" t="s">
        <v>763</v>
      </c>
      <c r="F556" s="1" t="s">
        <v>711</v>
      </c>
      <c r="G556" s="1" t="s">
        <v>722</v>
      </c>
      <c r="H556" s="1" t="s">
        <v>713</v>
      </c>
      <c r="I556" s="1" t="s">
        <v>714</v>
      </c>
      <c r="J556" s="1" t="s">
        <v>1118</v>
      </c>
      <c r="K556" s="1" t="s">
        <v>1287</v>
      </c>
      <c r="L556" s="1" t="s">
        <v>1288</v>
      </c>
      <c r="M556" s="1" t="s">
        <v>718</v>
      </c>
    </row>
    <row r="557" customFormat="false" ht="15" hidden="false" customHeight="false" outlineLevel="0" collapsed="false">
      <c r="A557" s="1" t="s">
        <v>3307</v>
      </c>
      <c r="B557" s="1" t="s">
        <v>3308</v>
      </c>
      <c r="C557" s="1" t="s">
        <v>3309</v>
      </c>
      <c r="D557" s="2" t="n">
        <v>35523</v>
      </c>
      <c r="E557" s="1" t="s">
        <v>710</v>
      </c>
      <c r="F557" s="1" t="s">
        <v>711</v>
      </c>
      <c r="G557" s="1" t="s">
        <v>722</v>
      </c>
      <c r="H557" s="1" t="s">
        <v>713</v>
      </c>
      <c r="I557" s="1" t="s">
        <v>714</v>
      </c>
      <c r="J557" s="1" t="s">
        <v>3310</v>
      </c>
      <c r="K557" s="1" t="s">
        <v>3311</v>
      </c>
      <c r="L557" s="1" t="s">
        <v>3312</v>
      </c>
      <c r="M557" s="1" t="s">
        <v>718</v>
      </c>
    </row>
    <row r="558" customFormat="false" ht="15" hidden="false" customHeight="false" outlineLevel="0" collapsed="false">
      <c r="A558" s="1" t="s">
        <v>3313</v>
      </c>
      <c r="B558" s="1" t="s">
        <v>1093</v>
      </c>
      <c r="C558" s="1" t="s">
        <v>3314</v>
      </c>
      <c r="D558" s="2" t="n">
        <v>35585</v>
      </c>
      <c r="E558" s="1" t="s">
        <v>710</v>
      </c>
      <c r="F558" s="1" t="s">
        <v>711</v>
      </c>
      <c r="G558" s="1" t="s">
        <v>722</v>
      </c>
      <c r="H558" s="1" t="s">
        <v>713</v>
      </c>
      <c r="I558" s="1" t="s">
        <v>714</v>
      </c>
      <c r="J558" s="1" t="s">
        <v>1118</v>
      </c>
      <c r="K558" s="1" t="s">
        <v>3315</v>
      </c>
      <c r="L558" s="1" t="s">
        <v>3316</v>
      </c>
      <c r="M558" s="1" t="s">
        <v>718</v>
      </c>
    </row>
    <row r="559" customFormat="false" ht="15" hidden="false" customHeight="false" outlineLevel="0" collapsed="false">
      <c r="A559" s="1" t="s">
        <v>3317</v>
      </c>
      <c r="B559" s="1" t="s">
        <v>3318</v>
      </c>
      <c r="C559" s="1" t="s">
        <v>3319</v>
      </c>
      <c r="D559" s="2" t="n">
        <v>35584</v>
      </c>
      <c r="E559" s="1" t="s">
        <v>710</v>
      </c>
      <c r="F559" s="1" t="s">
        <v>711</v>
      </c>
      <c r="G559" s="1" t="s">
        <v>712</v>
      </c>
      <c r="H559" s="1" t="s">
        <v>713</v>
      </c>
      <c r="I559" s="1" t="s">
        <v>714</v>
      </c>
      <c r="J559" s="1" t="s">
        <v>3320</v>
      </c>
      <c r="K559" s="1" t="s">
        <v>3321</v>
      </c>
      <c r="L559" s="1" t="s">
        <v>3322</v>
      </c>
      <c r="M559" s="1" t="s">
        <v>718</v>
      </c>
    </row>
    <row r="560" customFormat="false" ht="15" hidden="false" customHeight="false" outlineLevel="0" collapsed="false">
      <c r="A560" s="1" t="s">
        <v>3323</v>
      </c>
      <c r="B560" s="1" t="s">
        <v>3324</v>
      </c>
      <c r="C560" s="1" t="s">
        <v>3037</v>
      </c>
      <c r="D560" s="2" t="n">
        <v>35006</v>
      </c>
      <c r="E560" s="1" t="s">
        <v>710</v>
      </c>
      <c r="F560" s="1" t="s">
        <v>711</v>
      </c>
      <c r="G560" s="1" t="s">
        <v>712</v>
      </c>
      <c r="H560" s="1" t="s">
        <v>713</v>
      </c>
      <c r="I560" s="1" t="s">
        <v>714</v>
      </c>
      <c r="J560" s="1" t="s">
        <v>3325</v>
      </c>
      <c r="K560" s="1" t="s">
        <v>3326</v>
      </c>
      <c r="L560" s="1" t="s">
        <v>3039</v>
      </c>
      <c r="M560" s="1" t="s">
        <v>718</v>
      </c>
    </row>
    <row r="561" customFormat="false" ht="15" hidden="false" customHeight="false" outlineLevel="0" collapsed="false">
      <c r="A561" s="1" t="s">
        <v>3327</v>
      </c>
      <c r="B561" s="1" t="s">
        <v>3328</v>
      </c>
      <c r="C561" s="1" t="s">
        <v>3329</v>
      </c>
      <c r="D561" s="2" t="n">
        <v>35326</v>
      </c>
      <c r="E561" s="1" t="s">
        <v>710</v>
      </c>
      <c r="F561" s="1" t="s">
        <v>711</v>
      </c>
      <c r="G561" s="1" t="s">
        <v>712</v>
      </c>
      <c r="H561" s="1" t="s">
        <v>713</v>
      </c>
      <c r="I561" s="1" t="s">
        <v>714</v>
      </c>
      <c r="J561" s="1" t="s">
        <v>715</v>
      </c>
      <c r="K561" s="1" t="s">
        <v>3330</v>
      </c>
      <c r="L561" s="1" t="s">
        <v>3331</v>
      </c>
      <c r="M561" s="1" t="s">
        <v>718</v>
      </c>
    </row>
    <row r="562" customFormat="false" ht="15" hidden="false" customHeight="false" outlineLevel="0" collapsed="false">
      <c r="A562" s="1" t="s">
        <v>3332</v>
      </c>
      <c r="B562" s="1" t="s">
        <v>3333</v>
      </c>
      <c r="C562" s="1" t="s">
        <v>1940</v>
      </c>
      <c r="D562" s="2" t="n">
        <v>35545</v>
      </c>
      <c r="E562" s="1" t="s">
        <v>763</v>
      </c>
      <c r="F562" s="1" t="s">
        <v>711</v>
      </c>
      <c r="G562" s="1" t="s">
        <v>712</v>
      </c>
      <c r="H562" s="1" t="s">
        <v>713</v>
      </c>
      <c r="I562" s="1" t="s">
        <v>714</v>
      </c>
      <c r="J562" s="1" t="s">
        <v>745</v>
      </c>
      <c r="K562" s="1" t="s">
        <v>3334</v>
      </c>
      <c r="L562" s="1" t="s">
        <v>1941</v>
      </c>
      <c r="M562" s="1" t="s">
        <v>718</v>
      </c>
    </row>
    <row r="563" customFormat="false" ht="15" hidden="false" customHeight="false" outlineLevel="0" collapsed="false">
      <c r="A563" s="1" t="s">
        <v>3335</v>
      </c>
      <c r="B563" s="1" t="s">
        <v>3336</v>
      </c>
      <c r="C563" s="1" t="s">
        <v>804</v>
      </c>
      <c r="D563" s="2" t="n">
        <v>35353</v>
      </c>
      <c r="E563" s="1" t="s">
        <v>763</v>
      </c>
      <c r="F563" s="1" t="s">
        <v>711</v>
      </c>
      <c r="G563" s="1" t="s">
        <v>712</v>
      </c>
      <c r="H563" s="1" t="s">
        <v>713</v>
      </c>
      <c r="I563" s="1" t="s">
        <v>714</v>
      </c>
      <c r="J563" s="1" t="s">
        <v>838</v>
      </c>
      <c r="K563" s="1" t="s">
        <v>3337</v>
      </c>
      <c r="L563" s="1" t="s">
        <v>3338</v>
      </c>
      <c r="M563" s="1" t="s">
        <v>718</v>
      </c>
    </row>
    <row r="564" customFormat="false" ht="15" hidden="false" customHeight="false" outlineLevel="0" collapsed="false">
      <c r="A564" s="1" t="s">
        <v>3339</v>
      </c>
      <c r="B564" s="1" t="s">
        <v>3340</v>
      </c>
      <c r="C564" s="1" t="s">
        <v>3341</v>
      </c>
      <c r="D564" s="2" t="n">
        <v>35643</v>
      </c>
      <c r="E564" s="1" t="s">
        <v>763</v>
      </c>
      <c r="F564" s="1" t="s">
        <v>711</v>
      </c>
      <c r="G564" s="1" t="s">
        <v>722</v>
      </c>
      <c r="H564" s="1" t="s">
        <v>713</v>
      </c>
      <c r="I564" s="1" t="s">
        <v>714</v>
      </c>
      <c r="J564" s="1" t="s">
        <v>1144</v>
      </c>
      <c r="K564" s="1" t="s">
        <v>716</v>
      </c>
      <c r="L564" s="1" t="s">
        <v>3342</v>
      </c>
      <c r="M564" s="1" t="s">
        <v>718</v>
      </c>
    </row>
    <row r="565" customFormat="false" ht="15" hidden="false" customHeight="false" outlineLevel="0" collapsed="false">
      <c r="A565" s="1" t="s">
        <v>3343</v>
      </c>
      <c r="B565" s="1" t="s">
        <v>3344</v>
      </c>
      <c r="C565" s="1" t="s">
        <v>3345</v>
      </c>
      <c r="D565" s="2" t="n">
        <v>34940</v>
      </c>
      <c r="E565" s="1" t="s">
        <v>710</v>
      </c>
      <c r="F565" s="1" t="s">
        <v>711</v>
      </c>
      <c r="G565" s="1" t="s">
        <v>722</v>
      </c>
      <c r="H565" s="1" t="s">
        <v>713</v>
      </c>
      <c r="I565" s="1" t="s">
        <v>714</v>
      </c>
      <c r="J565" s="1" t="s">
        <v>3346</v>
      </c>
      <c r="K565" s="1" t="s">
        <v>3347</v>
      </c>
      <c r="L565" s="1" t="s">
        <v>2985</v>
      </c>
      <c r="M565" s="1" t="s">
        <v>718</v>
      </c>
    </row>
    <row r="566" customFormat="false" ht="15" hidden="false" customHeight="false" outlineLevel="0" collapsed="false">
      <c r="A566" s="1" t="s">
        <v>3348</v>
      </c>
      <c r="B566" s="1" t="s">
        <v>3349</v>
      </c>
      <c r="C566" s="1" t="s">
        <v>3350</v>
      </c>
      <c r="D566" s="2" t="n">
        <v>35408</v>
      </c>
      <c r="E566" s="1" t="s">
        <v>710</v>
      </c>
      <c r="F566" s="1" t="s">
        <v>711</v>
      </c>
      <c r="G566" s="1" t="s">
        <v>722</v>
      </c>
      <c r="H566" s="1" t="s">
        <v>713</v>
      </c>
      <c r="I566" s="1" t="s">
        <v>714</v>
      </c>
      <c r="J566" s="1" t="s">
        <v>1144</v>
      </c>
      <c r="K566" s="1" t="s">
        <v>3351</v>
      </c>
      <c r="L566" s="1" t="s">
        <v>817</v>
      </c>
      <c r="M566" s="1" t="s">
        <v>718</v>
      </c>
    </row>
    <row r="567" customFormat="false" ht="15" hidden="false" customHeight="false" outlineLevel="0" collapsed="false">
      <c r="A567" s="1" t="s">
        <v>3352</v>
      </c>
      <c r="B567" s="1" t="s">
        <v>3353</v>
      </c>
      <c r="C567" s="1" t="s">
        <v>3354</v>
      </c>
      <c r="D567" s="2" t="n">
        <v>35291</v>
      </c>
      <c r="E567" s="1" t="s">
        <v>710</v>
      </c>
      <c r="F567" s="1" t="s">
        <v>711</v>
      </c>
      <c r="G567" s="1" t="s">
        <v>712</v>
      </c>
      <c r="H567" s="1" t="s">
        <v>713</v>
      </c>
      <c r="I567" s="1" t="s">
        <v>714</v>
      </c>
      <c r="J567" s="1" t="s">
        <v>3355</v>
      </c>
      <c r="K567" s="1" t="s">
        <v>3356</v>
      </c>
      <c r="L567" s="1" t="s">
        <v>3357</v>
      </c>
      <c r="M567" s="1" t="s">
        <v>718</v>
      </c>
    </row>
    <row r="568" customFormat="false" ht="15" hidden="false" customHeight="false" outlineLevel="0" collapsed="false">
      <c r="A568" s="1" t="s">
        <v>3358</v>
      </c>
      <c r="B568" s="1" t="s">
        <v>3359</v>
      </c>
      <c r="C568" s="1" t="s">
        <v>3360</v>
      </c>
      <c r="D568" s="2" t="n">
        <v>35418</v>
      </c>
      <c r="E568" s="1" t="s">
        <v>763</v>
      </c>
      <c r="F568" s="1" t="s">
        <v>711</v>
      </c>
      <c r="G568" s="1" t="s">
        <v>722</v>
      </c>
      <c r="H568" s="1" t="s">
        <v>713</v>
      </c>
      <c r="I568" s="1" t="s">
        <v>714</v>
      </c>
      <c r="J568" s="1" t="s">
        <v>978</v>
      </c>
      <c r="K568" s="1" t="s">
        <v>3361</v>
      </c>
      <c r="L568" s="1" t="s">
        <v>856</v>
      </c>
      <c r="M568" s="1" t="s">
        <v>718</v>
      </c>
    </row>
    <row r="569" customFormat="false" ht="15" hidden="false" customHeight="false" outlineLevel="0" collapsed="false">
      <c r="A569" s="1" t="s">
        <v>3362</v>
      </c>
      <c r="B569" s="1" t="s">
        <v>3363</v>
      </c>
      <c r="C569" s="1" t="s">
        <v>3364</v>
      </c>
      <c r="D569" s="2" t="n">
        <v>35211</v>
      </c>
      <c r="E569" s="1" t="s">
        <v>710</v>
      </c>
      <c r="F569" s="1" t="s">
        <v>711</v>
      </c>
      <c r="G569" s="1" t="s">
        <v>712</v>
      </c>
      <c r="H569" s="1" t="s">
        <v>713</v>
      </c>
      <c r="I569" s="1" t="s">
        <v>714</v>
      </c>
      <c r="J569" s="1" t="s">
        <v>3365</v>
      </c>
      <c r="K569" s="1" t="s">
        <v>3366</v>
      </c>
      <c r="L569" s="1" t="s">
        <v>3367</v>
      </c>
      <c r="M569" s="1" t="s">
        <v>718</v>
      </c>
    </row>
    <row r="570" customFormat="false" ht="15" hidden="false" customHeight="false" outlineLevel="0" collapsed="false">
      <c r="A570" s="1" t="s">
        <v>3368</v>
      </c>
      <c r="B570" s="1" t="s">
        <v>2045</v>
      </c>
      <c r="C570" s="1" t="s">
        <v>3369</v>
      </c>
      <c r="D570" s="2" t="n">
        <v>35486</v>
      </c>
      <c r="E570" s="1" t="s">
        <v>710</v>
      </c>
      <c r="F570" s="1" t="s">
        <v>711</v>
      </c>
      <c r="G570" s="1" t="s">
        <v>722</v>
      </c>
      <c r="H570" s="1" t="s">
        <v>713</v>
      </c>
      <c r="I570" s="1" t="s">
        <v>714</v>
      </c>
      <c r="J570" s="1" t="s">
        <v>3370</v>
      </c>
      <c r="K570" s="1" t="s">
        <v>716</v>
      </c>
      <c r="L570" s="1" t="s">
        <v>3371</v>
      </c>
      <c r="M570" s="1" t="s">
        <v>718</v>
      </c>
    </row>
    <row r="571" customFormat="false" ht="15" hidden="false" customHeight="false" outlineLevel="0" collapsed="false">
      <c r="A571" s="1" t="s">
        <v>3372</v>
      </c>
      <c r="B571" s="1" t="s">
        <v>3349</v>
      </c>
      <c r="C571" s="1" t="s">
        <v>3373</v>
      </c>
      <c r="D571" s="2" t="n">
        <v>35655</v>
      </c>
      <c r="E571" s="1" t="s">
        <v>710</v>
      </c>
      <c r="F571" s="1" t="s">
        <v>711</v>
      </c>
      <c r="G571" s="1" t="s">
        <v>712</v>
      </c>
      <c r="H571" s="1" t="s">
        <v>713</v>
      </c>
      <c r="I571" s="1" t="s">
        <v>714</v>
      </c>
      <c r="J571" s="1" t="s">
        <v>780</v>
      </c>
      <c r="K571" s="1" t="s">
        <v>716</v>
      </c>
      <c r="L571" s="1" t="s">
        <v>3374</v>
      </c>
      <c r="M571" s="1" t="s">
        <v>718</v>
      </c>
    </row>
    <row r="572" customFormat="false" ht="15" hidden="false" customHeight="false" outlineLevel="0" collapsed="false">
      <c r="A572" s="1" t="s">
        <v>3375</v>
      </c>
      <c r="B572" s="1" t="s">
        <v>3376</v>
      </c>
      <c r="C572" s="1" t="s">
        <v>3377</v>
      </c>
      <c r="D572" s="2" t="n">
        <v>35193</v>
      </c>
      <c r="E572" s="1" t="s">
        <v>763</v>
      </c>
      <c r="F572" s="1" t="s">
        <v>711</v>
      </c>
      <c r="G572" s="1" t="s">
        <v>722</v>
      </c>
      <c r="H572" s="1" t="s">
        <v>713</v>
      </c>
      <c r="I572" s="1" t="s">
        <v>714</v>
      </c>
      <c r="J572" s="1" t="s">
        <v>3378</v>
      </c>
      <c r="K572" s="1" t="s">
        <v>3379</v>
      </c>
      <c r="L572" s="1" t="s">
        <v>3380</v>
      </c>
      <c r="M572" s="1" t="s">
        <v>718</v>
      </c>
    </row>
    <row r="573" customFormat="false" ht="15" hidden="false" customHeight="false" outlineLevel="0" collapsed="false">
      <c r="A573" s="1" t="s">
        <v>3381</v>
      </c>
      <c r="B573" s="1" t="s">
        <v>3382</v>
      </c>
      <c r="C573" s="1" t="s">
        <v>3383</v>
      </c>
      <c r="D573" s="2" t="n">
        <v>35333</v>
      </c>
      <c r="E573" s="1" t="s">
        <v>710</v>
      </c>
      <c r="F573" s="1" t="s">
        <v>711</v>
      </c>
      <c r="G573" s="1" t="s">
        <v>722</v>
      </c>
      <c r="H573" s="1" t="s">
        <v>713</v>
      </c>
      <c r="I573" s="1" t="s">
        <v>714</v>
      </c>
      <c r="J573" s="1" t="s">
        <v>3384</v>
      </c>
      <c r="K573" s="1" t="s">
        <v>716</v>
      </c>
      <c r="L573" s="1" t="s">
        <v>3385</v>
      </c>
      <c r="M573" s="1" t="s">
        <v>718</v>
      </c>
    </row>
    <row r="574" customFormat="false" ht="15" hidden="false" customHeight="false" outlineLevel="0" collapsed="false">
      <c r="A574" s="1" t="s">
        <v>3386</v>
      </c>
      <c r="B574" s="1" t="s">
        <v>3387</v>
      </c>
      <c r="C574" s="1" t="s">
        <v>3388</v>
      </c>
      <c r="D574" s="2" t="n">
        <v>35077</v>
      </c>
      <c r="E574" s="1" t="s">
        <v>763</v>
      </c>
      <c r="F574" s="1" t="s">
        <v>711</v>
      </c>
      <c r="G574" s="1" t="s">
        <v>712</v>
      </c>
      <c r="H574" s="1" t="s">
        <v>713</v>
      </c>
      <c r="I574" s="1" t="s">
        <v>714</v>
      </c>
      <c r="J574" s="1" t="s">
        <v>3389</v>
      </c>
      <c r="K574" s="1" t="s">
        <v>716</v>
      </c>
      <c r="L574" s="1" t="s">
        <v>3390</v>
      </c>
      <c r="M574" s="1" t="s">
        <v>718</v>
      </c>
    </row>
    <row r="575" customFormat="false" ht="15" hidden="false" customHeight="false" outlineLevel="0" collapsed="false">
      <c r="A575" s="1" t="s">
        <v>3391</v>
      </c>
      <c r="B575" s="1" t="s">
        <v>3392</v>
      </c>
      <c r="C575" s="1" t="s">
        <v>3393</v>
      </c>
      <c r="D575" s="2" t="n">
        <v>35427</v>
      </c>
      <c r="E575" s="1" t="s">
        <v>710</v>
      </c>
      <c r="F575" s="1" t="s">
        <v>711</v>
      </c>
      <c r="G575" s="1" t="s">
        <v>722</v>
      </c>
      <c r="H575" s="1" t="s">
        <v>713</v>
      </c>
      <c r="I575" s="1" t="s">
        <v>714</v>
      </c>
      <c r="J575" s="1" t="s">
        <v>3394</v>
      </c>
      <c r="K575" s="1" t="s">
        <v>3395</v>
      </c>
      <c r="L575" s="1" t="s">
        <v>3396</v>
      </c>
      <c r="M575" s="1" t="s">
        <v>718</v>
      </c>
    </row>
    <row r="576" customFormat="false" ht="15" hidden="false" customHeight="false" outlineLevel="0" collapsed="false">
      <c r="A576" s="1" t="s">
        <v>3397</v>
      </c>
      <c r="B576" s="1" t="s">
        <v>3398</v>
      </c>
      <c r="C576" s="1" t="s">
        <v>3399</v>
      </c>
      <c r="D576" s="2" t="n">
        <v>35614</v>
      </c>
      <c r="E576" s="1" t="s">
        <v>763</v>
      </c>
      <c r="F576" s="1" t="s">
        <v>711</v>
      </c>
      <c r="G576" s="1" t="s">
        <v>712</v>
      </c>
      <c r="H576" s="1" t="s">
        <v>713</v>
      </c>
      <c r="I576" s="1" t="s">
        <v>714</v>
      </c>
      <c r="J576" s="1" t="s">
        <v>821</v>
      </c>
      <c r="K576" s="1" t="s">
        <v>3400</v>
      </c>
      <c r="L576" s="1" t="s">
        <v>3401</v>
      </c>
      <c r="M576" s="1" t="s">
        <v>718</v>
      </c>
    </row>
    <row r="577" customFormat="false" ht="15" hidden="false" customHeight="false" outlineLevel="0" collapsed="false">
      <c r="A577" s="1" t="s">
        <v>3402</v>
      </c>
      <c r="B577" s="1" t="s">
        <v>3403</v>
      </c>
      <c r="C577" s="1" t="s">
        <v>986</v>
      </c>
      <c r="D577" s="2" t="n">
        <v>35485</v>
      </c>
      <c r="E577" s="1" t="s">
        <v>763</v>
      </c>
      <c r="F577" s="1" t="s">
        <v>711</v>
      </c>
      <c r="G577" s="1" t="s">
        <v>722</v>
      </c>
      <c r="H577" s="1" t="s">
        <v>713</v>
      </c>
      <c r="I577" s="1" t="s">
        <v>714</v>
      </c>
      <c r="J577" s="1" t="s">
        <v>3404</v>
      </c>
      <c r="K577" s="1" t="s">
        <v>716</v>
      </c>
      <c r="L577" s="1" t="s">
        <v>2043</v>
      </c>
      <c r="M577" s="1" t="s">
        <v>718</v>
      </c>
    </row>
    <row r="578" customFormat="false" ht="15" hidden="false" customHeight="false" outlineLevel="0" collapsed="false">
      <c r="A578" s="1" t="s">
        <v>3405</v>
      </c>
      <c r="B578" s="1" t="s">
        <v>3406</v>
      </c>
      <c r="C578" s="1" t="s">
        <v>3407</v>
      </c>
      <c r="D578" s="2" t="n">
        <v>35565</v>
      </c>
      <c r="E578" s="1" t="s">
        <v>763</v>
      </c>
      <c r="F578" s="1" t="s">
        <v>711</v>
      </c>
      <c r="G578" s="1" t="s">
        <v>712</v>
      </c>
      <c r="H578" s="1" t="s">
        <v>713</v>
      </c>
      <c r="I578" s="1" t="s">
        <v>714</v>
      </c>
      <c r="J578" s="1" t="s">
        <v>3408</v>
      </c>
      <c r="K578" s="1" t="s">
        <v>3409</v>
      </c>
      <c r="L578" s="1" t="s">
        <v>3410</v>
      </c>
      <c r="M578" s="1" t="s">
        <v>718</v>
      </c>
    </row>
    <row r="579" customFormat="false" ht="15" hidden="false" customHeight="false" outlineLevel="0" collapsed="false">
      <c r="A579" s="1" t="s">
        <v>3411</v>
      </c>
      <c r="B579" s="1" t="s">
        <v>3412</v>
      </c>
      <c r="C579" s="1" t="s">
        <v>3413</v>
      </c>
      <c r="D579" s="2" t="n">
        <v>35539</v>
      </c>
      <c r="E579" s="1" t="s">
        <v>763</v>
      </c>
      <c r="F579" s="1" t="s">
        <v>711</v>
      </c>
      <c r="G579" s="1" t="s">
        <v>722</v>
      </c>
      <c r="H579" s="1" t="s">
        <v>713</v>
      </c>
      <c r="I579" s="1" t="s">
        <v>714</v>
      </c>
      <c r="J579" s="1" t="s">
        <v>1244</v>
      </c>
      <c r="K579" s="1" t="s">
        <v>3414</v>
      </c>
      <c r="L579" s="1" t="s">
        <v>3415</v>
      </c>
      <c r="M579" s="1" t="s">
        <v>718</v>
      </c>
    </row>
    <row r="580" customFormat="false" ht="15" hidden="false" customHeight="false" outlineLevel="0" collapsed="false">
      <c r="A580" s="1" t="s">
        <v>3416</v>
      </c>
      <c r="B580" s="1" t="s">
        <v>3417</v>
      </c>
      <c r="C580" s="1" t="s">
        <v>3418</v>
      </c>
      <c r="D580" s="2" t="n">
        <v>35776</v>
      </c>
      <c r="E580" s="1" t="s">
        <v>763</v>
      </c>
      <c r="F580" s="1" t="s">
        <v>711</v>
      </c>
      <c r="G580" s="1" t="s">
        <v>722</v>
      </c>
      <c r="H580" s="1" t="s">
        <v>713</v>
      </c>
      <c r="I580" s="1" t="s">
        <v>714</v>
      </c>
      <c r="J580" s="1" t="s">
        <v>3419</v>
      </c>
      <c r="K580" s="1" t="s">
        <v>3420</v>
      </c>
      <c r="L580" s="1" t="s">
        <v>3421</v>
      </c>
      <c r="M580" s="1" t="s">
        <v>718</v>
      </c>
    </row>
    <row r="581" customFormat="false" ht="15" hidden="false" customHeight="false" outlineLevel="0" collapsed="false">
      <c r="A581" s="1" t="s">
        <v>3422</v>
      </c>
      <c r="B581" s="1" t="s">
        <v>3423</v>
      </c>
      <c r="C581" s="1" t="s">
        <v>1049</v>
      </c>
      <c r="D581" s="2" t="n">
        <v>35136</v>
      </c>
      <c r="E581" s="1" t="s">
        <v>763</v>
      </c>
      <c r="F581" s="1" t="s">
        <v>711</v>
      </c>
      <c r="G581" s="1" t="s">
        <v>722</v>
      </c>
      <c r="H581" s="1" t="s">
        <v>713</v>
      </c>
      <c r="I581" s="1" t="s">
        <v>714</v>
      </c>
      <c r="J581" s="1" t="s">
        <v>3424</v>
      </c>
      <c r="K581" s="1" t="s">
        <v>3425</v>
      </c>
      <c r="L581" s="1" t="s">
        <v>2221</v>
      </c>
      <c r="M581" s="1" t="s">
        <v>718</v>
      </c>
    </row>
    <row r="582" customFormat="false" ht="15" hidden="false" customHeight="false" outlineLevel="0" collapsed="false">
      <c r="A582" s="1" t="s">
        <v>3426</v>
      </c>
      <c r="B582" s="1" t="s">
        <v>3427</v>
      </c>
      <c r="C582" s="1" t="s">
        <v>3428</v>
      </c>
      <c r="D582" s="2" t="n">
        <v>35766</v>
      </c>
      <c r="E582" s="1" t="s">
        <v>710</v>
      </c>
      <c r="F582" s="1" t="s">
        <v>711</v>
      </c>
      <c r="G582" s="1" t="s">
        <v>722</v>
      </c>
      <c r="H582" s="1" t="s">
        <v>713</v>
      </c>
      <c r="I582" s="1" t="s">
        <v>714</v>
      </c>
      <c r="J582" s="1" t="s">
        <v>1530</v>
      </c>
      <c r="K582" s="1" t="s">
        <v>3429</v>
      </c>
      <c r="L582" s="1" t="s">
        <v>3430</v>
      </c>
      <c r="M582" s="1" t="s">
        <v>718</v>
      </c>
    </row>
    <row r="583" customFormat="false" ht="15" hidden="false" customHeight="false" outlineLevel="0" collapsed="false">
      <c r="A583" s="1" t="s">
        <v>3431</v>
      </c>
      <c r="B583" s="1" t="s">
        <v>3432</v>
      </c>
      <c r="C583" s="1" t="s">
        <v>3433</v>
      </c>
      <c r="D583" s="2" t="n">
        <v>35607</v>
      </c>
      <c r="E583" s="1" t="s">
        <v>710</v>
      </c>
      <c r="F583" s="1" t="s">
        <v>711</v>
      </c>
      <c r="G583" s="1" t="s">
        <v>712</v>
      </c>
      <c r="H583" s="1" t="s">
        <v>713</v>
      </c>
      <c r="I583" s="1" t="s">
        <v>714</v>
      </c>
      <c r="J583" s="1" t="s">
        <v>716</v>
      </c>
      <c r="K583" s="1" t="s">
        <v>3434</v>
      </c>
      <c r="L583" s="1" t="s">
        <v>2454</v>
      </c>
      <c r="M583" s="1" t="s">
        <v>718</v>
      </c>
    </row>
    <row r="584" customFormat="false" ht="15" hidden="false" customHeight="false" outlineLevel="0" collapsed="false">
      <c r="A584" s="1" t="s">
        <v>3435</v>
      </c>
      <c r="B584" s="1" t="s">
        <v>3436</v>
      </c>
      <c r="C584" s="1" t="s">
        <v>3437</v>
      </c>
      <c r="D584" s="2" t="n">
        <v>2</v>
      </c>
      <c r="E584" s="1" t="s">
        <v>710</v>
      </c>
      <c r="F584" s="1" t="s">
        <v>711</v>
      </c>
      <c r="G584" s="1" t="s">
        <v>712</v>
      </c>
      <c r="H584" s="1" t="s">
        <v>713</v>
      </c>
      <c r="I584" s="1" t="s">
        <v>714</v>
      </c>
      <c r="J584" s="1" t="s">
        <v>3438</v>
      </c>
      <c r="K584" s="1" t="s">
        <v>3439</v>
      </c>
      <c r="L584" s="1" t="s">
        <v>3440</v>
      </c>
      <c r="M584" s="1" t="s">
        <v>718</v>
      </c>
    </row>
    <row r="585" customFormat="false" ht="15" hidden="false" customHeight="false" outlineLevel="0" collapsed="false">
      <c r="A585" s="1" t="s">
        <v>3441</v>
      </c>
      <c r="B585" s="1" t="s">
        <v>3442</v>
      </c>
      <c r="C585" s="1" t="s">
        <v>3443</v>
      </c>
      <c r="D585" s="2" t="n">
        <v>35909</v>
      </c>
      <c r="E585" s="1" t="s">
        <v>763</v>
      </c>
      <c r="F585" s="1" t="s">
        <v>711</v>
      </c>
      <c r="G585" s="1" t="s">
        <v>712</v>
      </c>
      <c r="H585" s="1" t="s">
        <v>713</v>
      </c>
      <c r="I585" s="1" t="s">
        <v>714</v>
      </c>
      <c r="J585" s="1" t="s">
        <v>3444</v>
      </c>
      <c r="K585" s="1" t="s">
        <v>3445</v>
      </c>
      <c r="L585" s="1" t="s">
        <v>3446</v>
      </c>
      <c r="M585" s="1" t="s">
        <v>718</v>
      </c>
    </row>
    <row r="586" customFormat="false" ht="15" hidden="false" customHeight="false" outlineLevel="0" collapsed="false">
      <c r="A586" s="1" t="s">
        <v>3447</v>
      </c>
      <c r="B586" s="1" t="s">
        <v>3448</v>
      </c>
      <c r="C586" s="1" t="s">
        <v>1210</v>
      </c>
      <c r="D586" s="2" t="n">
        <v>34705</v>
      </c>
      <c r="E586" s="1" t="s">
        <v>710</v>
      </c>
      <c r="F586" s="1" t="s">
        <v>711</v>
      </c>
      <c r="G586" s="1" t="s">
        <v>775</v>
      </c>
      <c r="H586" s="1" t="s">
        <v>713</v>
      </c>
      <c r="I586" s="1" t="s">
        <v>714</v>
      </c>
      <c r="J586" s="1" t="s">
        <v>3171</v>
      </c>
      <c r="K586" s="1" t="s">
        <v>3449</v>
      </c>
      <c r="L586" s="1" t="s">
        <v>3450</v>
      </c>
      <c r="M586" s="1" t="s">
        <v>718</v>
      </c>
    </row>
    <row r="587" customFormat="false" ht="15" hidden="false" customHeight="false" outlineLevel="0" collapsed="false">
      <c r="A587" s="1" t="s">
        <v>3451</v>
      </c>
      <c r="B587" s="1" t="s">
        <v>1716</v>
      </c>
      <c r="C587" s="1" t="s">
        <v>3452</v>
      </c>
      <c r="D587" s="2" t="n">
        <v>35897</v>
      </c>
      <c r="E587" s="1" t="s">
        <v>710</v>
      </c>
      <c r="F587" s="1" t="s">
        <v>711</v>
      </c>
      <c r="G587" s="1" t="s">
        <v>712</v>
      </c>
      <c r="H587" s="1" t="s">
        <v>713</v>
      </c>
      <c r="I587" s="1" t="s">
        <v>714</v>
      </c>
      <c r="J587" s="1" t="s">
        <v>716</v>
      </c>
      <c r="K587" s="1" t="s">
        <v>3453</v>
      </c>
      <c r="L587" s="1" t="s">
        <v>3454</v>
      </c>
      <c r="M587" s="1" t="s">
        <v>718</v>
      </c>
    </row>
    <row r="588" customFormat="false" ht="15" hidden="false" customHeight="false" outlineLevel="0" collapsed="false">
      <c r="A588" s="1" t="s">
        <v>3455</v>
      </c>
      <c r="B588" s="1" t="s">
        <v>3456</v>
      </c>
      <c r="C588" s="1" t="s">
        <v>3457</v>
      </c>
      <c r="D588" s="2" t="n">
        <v>35877</v>
      </c>
      <c r="E588" s="1" t="s">
        <v>763</v>
      </c>
      <c r="F588" s="1" t="s">
        <v>711</v>
      </c>
      <c r="G588" s="1" t="s">
        <v>722</v>
      </c>
      <c r="H588" s="1" t="s">
        <v>713</v>
      </c>
      <c r="I588" s="1" t="s">
        <v>714</v>
      </c>
      <c r="J588" s="1" t="s">
        <v>3458</v>
      </c>
      <c r="K588" s="1" t="s">
        <v>3459</v>
      </c>
      <c r="L588" s="1" t="s">
        <v>3460</v>
      </c>
      <c r="M588" s="1" t="s">
        <v>718</v>
      </c>
    </row>
    <row r="589" customFormat="false" ht="15" hidden="false" customHeight="false" outlineLevel="0" collapsed="false">
      <c r="A589" s="1" t="s">
        <v>3461</v>
      </c>
      <c r="B589" s="1" t="s">
        <v>3462</v>
      </c>
      <c r="C589" s="1" t="s">
        <v>3463</v>
      </c>
      <c r="D589" s="2" t="n">
        <v>35333</v>
      </c>
      <c r="E589" s="1" t="s">
        <v>710</v>
      </c>
      <c r="F589" s="1" t="s">
        <v>711</v>
      </c>
      <c r="G589" s="1" t="s">
        <v>3464</v>
      </c>
      <c r="H589" s="1" t="s">
        <v>713</v>
      </c>
      <c r="I589" s="1" t="s">
        <v>714</v>
      </c>
      <c r="J589" s="1" t="s">
        <v>3465</v>
      </c>
      <c r="K589" s="1" t="s">
        <v>3466</v>
      </c>
      <c r="L589" s="1" t="s">
        <v>3467</v>
      </c>
      <c r="M589" s="1" t="s">
        <v>718</v>
      </c>
    </row>
    <row r="590" customFormat="false" ht="15" hidden="false" customHeight="false" outlineLevel="0" collapsed="false">
      <c r="A590" s="1" t="s">
        <v>3468</v>
      </c>
      <c r="B590" s="1" t="s">
        <v>3469</v>
      </c>
      <c r="C590" s="1" t="s">
        <v>958</v>
      </c>
      <c r="D590" s="2" t="n">
        <v>35669</v>
      </c>
      <c r="E590" s="1" t="s">
        <v>763</v>
      </c>
      <c r="F590" s="1" t="s">
        <v>711</v>
      </c>
      <c r="G590" s="1" t="s">
        <v>722</v>
      </c>
      <c r="H590" s="1" t="s">
        <v>713</v>
      </c>
      <c r="I590" s="1" t="s">
        <v>714</v>
      </c>
      <c r="J590" s="1" t="s">
        <v>3470</v>
      </c>
      <c r="K590" s="1" t="s">
        <v>3471</v>
      </c>
      <c r="L590" s="1" t="s">
        <v>3472</v>
      </c>
      <c r="M590" s="1" t="s">
        <v>718</v>
      </c>
    </row>
    <row r="591" customFormat="false" ht="15" hidden="false" customHeight="false" outlineLevel="0" collapsed="false">
      <c r="A591" s="1" t="s">
        <v>3473</v>
      </c>
      <c r="B591" s="1" t="s">
        <v>3474</v>
      </c>
      <c r="C591" s="1" t="s">
        <v>1455</v>
      </c>
      <c r="D591" s="2" t="n">
        <v>35871</v>
      </c>
      <c r="E591" s="1" t="s">
        <v>710</v>
      </c>
      <c r="F591" s="1" t="s">
        <v>711</v>
      </c>
      <c r="G591" s="1" t="s">
        <v>722</v>
      </c>
      <c r="H591" s="1" t="s">
        <v>713</v>
      </c>
      <c r="I591" s="1" t="s">
        <v>714</v>
      </c>
      <c r="J591" s="1" t="s">
        <v>3475</v>
      </c>
      <c r="K591" s="1" t="s">
        <v>3476</v>
      </c>
      <c r="L591" s="1" t="s">
        <v>3477</v>
      </c>
      <c r="M591" s="1" t="s">
        <v>718</v>
      </c>
    </row>
    <row r="592" customFormat="false" ht="15" hidden="false" customHeight="false" outlineLevel="0" collapsed="false">
      <c r="A592" s="1" t="s">
        <v>3478</v>
      </c>
      <c r="B592" s="1" t="s">
        <v>3479</v>
      </c>
      <c r="C592" s="1" t="s">
        <v>3480</v>
      </c>
      <c r="D592" s="2" t="n">
        <v>35641</v>
      </c>
      <c r="E592" s="1" t="s">
        <v>710</v>
      </c>
      <c r="F592" s="1" t="s">
        <v>711</v>
      </c>
      <c r="G592" s="1" t="s">
        <v>712</v>
      </c>
      <c r="H592" s="1" t="s">
        <v>713</v>
      </c>
      <c r="I592" s="1" t="s">
        <v>714</v>
      </c>
      <c r="J592" s="1" t="s">
        <v>3481</v>
      </c>
      <c r="K592" s="1" t="s">
        <v>3482</v>
      </c>
      <c r="L592" s="1" t="s">
        <v>1603</v>
      </c>
      <c r="M592" s="1" t="s">
        <v>718</v>
      </c>
    </row>
    <row r="593" customFormat="false" ht="15" hidden="false" customHeight="false" outlineLevel="0" collapsed="false">
      <c r="A593" s="1" t="s">
        <v>3483</v>
      </c>
      <c r="B593" s="1" t="s">
        <v>3484</v>
      </c>
      <c r="C593" s="1" t="s">
        <v>3485</v>
      </c>
      <c r="D593" s="2" t="n">
        <v>35899</v>
      </c>
      <c r="E593" s="1" t="s">
        <v>710</v>
      </c>
      <c r="F593" s="1" t="s">
        <v>711</v>
      </c>
      <c r="G593" s="1" t="s">
        <v>712</v>
      </c>
      <c r="H593" s="1" t="s">
        <v>713</v>
      </c>
      <c r="I593" s="1" t="s">
        <v>714</v>
      </c>
      <c r="J593" s="1" t="s">
        <v>1451</v>
      </c>
      <c r="K593" s="1" t="s">
        <v>3486</v>
      </c>
      <c r="L593" s="1" t="s">
        <v>3487</v>
      </c>
      <c r="M593" s="1" t="s">
        <v>718</v>
      </c>
    </row>
    <row r="594" customFormat="false" ht="15" hidden="false" customHeight="false" outlineLevel="0" collapsed="false">
      <c r="A594" s="1" t="s">
        <v>3488</v>
      </c>
      <c r="B594" s="1" t="s">
        <v>1623</v>
      </c>
      <c r="C594" s="1" t="s">
        <v>2663</v>
      </c>
      <c r="D594" s="2" t="n">
        <v>35727</v>
      </c>
      <c r="E594" s="1" t="s">
        <v>710</v>
      </c>
      <c r="F594" s="1" t="s">
        <v>711</v>
      </c>
      <c r="G594" s="1" t="s">
        <v>722</v>
      </c>
      <c r="H594" s="1" t="s">
        <v>713</v>
      </c>
      <c r="I594" s="1" t="s">
        <v>714</v>
      </c>
      <c r="J594" s="1" t="s">
        <v>1611</v>
      </c>
      <c r="K594" s="1" t="s">
        <v>3489</v>
      </c>
      <c r="L594" s="1" t="s">
        <v>2666</v>
      </c>
      <c r="M594" s="1" t="s">
        <v>718</v>
      </c>
    </row>
    <row r="595" customFormat="false" ht="15" hidden="false" customHeight="false" outlineLevel="0" collapsed="false">
      <c r="A595" s="1" t="s">
        <v>3490</v>
      </c>
      <c r="B595" s="1" t="s">
        <v>3491</v>
      </c>
      <c r="C595" s="1" t="s">
        <v>3492</v>
      </c>
      <c r="D595" s="2" t="n">
        <v>35770</v>
      </c>
      <c r="E595" s="1" t="s">
        <v>710</v>
      </c>
      <c r="F595" s="1" t="s">
        <v>711</v>
      </c>
      <c r="G595" s="1" t="s">
        <v>712</v>
      </c>
      <c r="H595" s="1" t="s">
        <v>713</v>
      </c>
      <c r="I595" s="1" t="s">
        <v>714</v>
      </c>
      <c r="J595" s="1" t="s">
        <v>3493</v>
      </c>
      <c r="K595" s="1" t="s">
        <v>3494</v>
      </c>
      <c r="L595" s="1" t="s">
        <v>2047</v>
      </c>
      <c r="M595" s="1" t="s">
        <v>718</v>
      </c>
    </row>
    <row r="596" customFormat="false" ht="15" hidden="false" customHeight="false" outlineLevel="0" collapsed="false">
      <c r="A596" s="1" t="s">
        <v>3495</v>
      </c>
      <c r="B596" s="1" t="s">
        <v>3496</v>
      </c>
      <c r="C596" s="1" t="s">
        <v>3497</v>
      </c>
      <c r="D596" s="2" t="n">
        <v>35990</v>
      </c>
      <c r="E596" s="1" t="s">
        <v>710</v>
      </c>
      <c r="F596" s="1" t="s">
        <v>711</v>
      </c>
      <c r="G596" s="1" t="s">
        <v>712</v>
      </c>
      <c r="H596" s="1" t="s">
        <v>713</v>
      </c>
      <c r="I596" s="1" t="s">
        <v>714</v>
      </c>
      <c r="J596" s="1" t="s">
        <v>1010</v>
      </c>
      <c r="K596" s="1" t="s">
        <v>3498</v>
      </c>
      <c r="L596" s="1" t="s">
        <v>3499</v>
      </c>
      <c r="M596" s="1" t="s">
        <v>718</v>
      </c>
    </row>
    <row r="597" customFormat="false" ht="15" hidden="false" customHeight="false" outlineLevel="0" collapsed="false">
      <c r="A597" s="1" t="s">
        <v>3500</v>
      </c>
      <c r="B597" s="1" t="s">
        <v>1397</v>
      </c>
      <c r="C597" s="1" t="s">
        <v>3501</v>
      </c>
      <c r="D597" s="2" t="n">
        <v>35571</v>
      </c>
      <c r="E597" s="1" t="s">
        <v>710</v>
      </c>
      <c r="F597" s="1" t="s">
        <v>711</v>
      </c>
      <c r="G597" s="1" t="s">
        <v>722</v>
      </c>
      <c r="H597" s="1" t="s">
        <v>713</v>
      </c>
      <c r="I597" s="1" t="s">
        <v>714</v>
      </c>
      <c r="J597" s="1" t="s">
        <v>3502</v>
      </c>
      <c r="K597" s="1" t="s">
        <v>3503</v>
      </c>
      <c r="L597" s="1" t="s">
        <v>3504</v>
      </c>
      <c r="M597" s="1" t="s">
        <v>718</v>
      </c>
    </row>
    <row r="598" customFormat="false" ht="15" hidden="false" customHeight="false" outlineLevel="0" collapsed="false">
      <c r="A598" s="1" t="s">
        <v>3505</v>
      </c>
      <c r="B598" s="1" t="s">
        <v>3506</v>
      </c>
      <c r="C598" s="1" t="s">
        <v>3507</v>
      </c>
      <c r="D598" s="2" t="n">
        <v>35878</v>
      </c>
      <c r="E598" s="1" t="s">
        <v>763</v>
      </c>
      <c r="F598" s="1" t="s">
        <v>711</v>
      </c>
      <c r="G598" s="1" t="s">
        <v>712</v>
      </c>
      <c r="H598" s="1" t="s">
        <v>713</v>
      </c>
      <c r="I598" s="1" t="s">
        <v>714</v>
      </c>
      <c r="J598" s="1" t="s">
        <v>3508</v>
      </c>
      <c r="K598" s="1" t="s">
        <v>3509</v>
      </c>
      <c r="L598" s="1" t="s">
        <v>2357</v>
      </c>
      <c r="M598" s="1" t="s">
        <v>718</v>
      </c>
    </row>
    <row r="599" customFormat="false" ht="15" hidden="false" customHeight="false" outlineLevel="0" collapsed="false">
      <c r="A599" s="1" t="s">
        <v>3510</v>
      </c>
      <c r="B599" s="1" t="s">
        <v>2487</v>
      </c>
      <c r="C599" s="1" t="s">
        <v>3511</v>
      </c>
      <c r="D599" s="2" t="n">
        <v>35968</v>
      </c>
      <c r="E599" s="1" t="s">
        <v>710</v>
      </c>
      <c r="F599" s="1" t="s">
        <v>711</v>
      </c>
      <c r="G599" s="1" t="s">
        <v>722</v>
      </c>
      <c r="H599" s="1" t="s">
        <v>713</v>
      </c>
      <c r="I599" s="1" t="s">
        <v>714</v>
      </c>
      <c r="J599" s="1" t="s">
        <v>3512</v>
      </c>
      <c r="K599" s="1" t="s">
        <v>3513</v>
      </c>
      <c r="L599" s="1" t="s">
        <v>3514</v>
      </c>
      <c r="M599" s="1" t="s">
        <v>718</v>
      </c>
    </row>
    <row r="600" customFormat="false" ht="15" hidden="false" customHeight="false" outlineLevel="0" collapsed="false">
      <c r="A600" s="1" t="s">
        <v>3515</v>
      </c>
      <c r="B600" s="1" t="s">
        <v>3516</v>
      </c>
      <c r="C600" s="1" t="s">
        <v>1455</v>
      </c>
      <c r="D600" s="2" t="n">
        <v>35880</v>
      </c>
      <c r="E600" s="1" t="s">
        <v>763</v>
      </c>
      <c r="F600" s="1" t="s">
        <v>711</v>
      </c>
      <c r="G600" s="1" t="s">
        <v>722</v>
      </c>
      <c r="H600" s="1" t="s">
        <v>713</v>
      </c>
      <c r="I600" s="1" t="s">
        <v>714</v>
      </c>
      <c r="J600" s="1" t="s">
        <v>3517</v>
      </c>
      <c r="K600" s="1" t="s">
        <v>3518</v>
      </c>
      <c r="L600" s="1" t="s">
        <v>3519</v>
      </c>
      <c r="M600" s="1" t="s">
        <v>718</v>
      </c>
    </row>
    <row r="601" customFormat="false" ht="15" hidden="false" customHeight="false" outlineLevel="0" collapsed="false">
      <c r="A601" s="1" t="s">
        <v>3520</v>
      </c>
      <c r="B601" s="1" t="s">
        <v>3521</v>
      </c>
      <c r="C601" s="1" t="s">
        <v>3522</v>
      </c>
      <c r="D601" s="2" t="n">
        <v>35965</v>
      </c>
      <c r="E601" s="1" t="s">
        <v>710</v>
      </c>
      <c r="F601" s="1" t="s">
        <v>711</v>
      </c>
      <c r="G601" s="1" t="s">
        <v>722</v>
      </c>
      <c r="H601" s="1" t="s">
        <v>713</v>
      </c>
      <c r="I601" s="1" t="s">
        <v>714</v>
      </c>
      <c r="J601" s="1" t="s">
        <v>3523</v>
      </c>
      <c r="K601" s="1" t="s">
        <v>3524</v>
      </c>
      <c r="L601" s="1" t="s">
        <v>3525</v>
      </c>
      <c r="M601" s="1" t="s">
        <v>718</v>
      </c>
    </row>
    <row r="602" customFormat="false" ht="15" hidden="false" customHeight="false" outlineLevel="0" collapsed="false">
      <c r="A602" s="1" t="s">
        <v>3526</v>
      </c>
      <c r="B602" s="1" t="s">
        <v>2770</v>
      </c>
      <c r="C602" s="1" t="s">
        <v>1143</v>
      </c>
      <c r="D602" s="2" t="n">
        <v>35886</v>
      </c>
      <c r="E602" s="1" t="s">
        <v>710</v>
      </c>
      <c r="F602" s="1" t="s">
        <v>711</v>
      </c>
      <c r="G602" s="1" t="s">
        <v>712</v>
      </c>
      <c r="H602" s="1" t="s">
        <v>713</v>
      </c>
      <c r="I602" s="1" t="s">
        <v>714</v>
      </c>
      <c r="J602" s="1" t="s">
        <v>1144</v>
      </c>
      <c r="K602" s="1" t="s">
        <v>3527</v>
      </c>
      <c r="L602" s="1" t="s">
        <v>1145</v>
      </c>
      <c r="M602" s="1" t="s">
        <v>718</v>
      </c>
    </row>
    <row r="603" customFormat="false" ht="15" hidden="false" customHeight="false" outlineLevel="0" collapsed="false">
      <c r="A603" s="1" t="s">
        <v>3528</v>
      </c>
      <c r="B603" s="1" t="s">
        <v>3529</v>
      </c>
      <c r="C603" s="1" t="s">
        <v>2483</v>
      </c>
      <c r="D603" s="2" t="n">
        <v>35956</v>
      </c>
      <c r="E603" s="1" t="s">
        <v>710</v>
      </c>
      <c r="F603" s="1" t="s">
        <v>711</v>
      </c>
      <c r="G603" s="1" t="s">
        <v>712</v>
      </c>
      <c r="H603" s="1" t="s">
        <v>713</v>
      </c>
      <c r="I603" s="1" t="s">
        <v>714</v>
      </c>
      <c r="J603" s="1" t="s">
        <v>780</v>
      </c>
      <c r="K603" s="1" t="s">
        <v>3530</v>
      </c>
      <c r="L603" s="1" t="s">
        <v>3531</v>
      </c>
      <c r="M603" s="1" t="s">
        <v>718</v>
      </c>
    </row>
    <row r="604" customFormat="false" ht="15" hidden="false" customHeight="false" outlineLevel="0" collapsed="false">
      <c r="A604" s="1" t="s">
        <v>3532</v>
      </c>
      <c r="B604" s="1" t="s">
        <v>3533</v>
      </c>
      <c r="C604" s="1" t="s">
        <v>3354</v>
      </c>
      <c r="D604" s="2" t="n">
        <v>35212</v>
      </c>
      <c r="E604" s="1" t="s">
        <v>763</v>
      </c>
      <c r="F604" s="1" t="s">
        <v>711</v>
      </c>
      <c r="G604" s="1" t="s">
        <v>722</v>
      </c>
      <c r="H604" s="1" t="s">
        <v>713</v>
      </c>
      <c r="I604" s="1" t="s">
        <v>714</v>
      </c>
      <c r="J604" s="1" t="s">
        <v>3534</v>
      </c>
      <c r="K604" s="1" t="s">
        <v>3535</v>
      </c>
      <c r="L604" s="1" t="s">
        <v>3536</v>
      </c>
      <c r="M604" s="1" t="s">
        <v>718</v>
      </c>
    </row>
    <row r="605" customFormat="false" ht="15" hidden="false" customHeight="false" outlineLevel="0" collapsed="false">
      <c r="A605" s="1" t="s">
        <v>3537</v>
      </c>
      <c r="B605" s="1" t="s">
        <v>3538</v>
      </c>
      <c r="C605" s="1" t="s">
        <v>3539</v>
      </c>
      <c r="D605" s="2" t="n">
        <v>35899</v>
      </c>
      <c r="E605" s="1" t="s">
        <v>710</v>
      </c>
      <c r="F605" s="1" t="s">
        <v>711</v>
      </c>
      <c r="G605" s="1" t="s">
        <v>712</v>
      </c>
      <c r="H605" s="1" t="s">
        <v>713</v>
      </c>
      <c r="I605" s="1" t="s">
        <v>714</v>
      </c>
      <c r="J605" s="1" t="s">
        <v>3540</v>
      </c>
      <c r="K605" s="1" t="s">
        <v>3541</v>
      </c>
      <c r="L605" s="1" t="s">
        <v>3542</v>
      </c>
      <c r="M605" s="1" t="s">
        <v>718</v>
      </c>
    </row>
    <row r="606" customFormat="false" ht="15" hidden="false" customHeight="false" outlineLevel="0" collapsed="false">
      <c r="A606" s="1" t="s">
        <v>3543</v>
      </c>
      <c r="B606" s="1" t="s">
        <v>3544</v>
      </c>
      <c r="C606" s="1" t="s">
        <v>3545</v>
      </c>
      <c r="D606" s="2" t="n">
        <v>35861</v>
      </c>
      <c r="E606" s="1" t="s">
        <v>710</v>
      </c>
      <c r="F606" s="1" t="s">
        <v>711</v>
      </c>
      <c r="G606" s="1" t="s">
        <v>722</v>
      </c>
      <c r="H606" s="1" t="s">
        <v>713</v>
      </c>
      <c r="I606" s="1" t="s">
        <v>714</v>
      </c>
      <c r="J606" s="1" t="s">
        <v>3546</v>
      </c>
      <c r="K606" s="1" t="s">
        <v>3547</v>
      </c>
      <c r="L606" s="1" t="s">
        <v>3548</v>
      </c>
      <c r="M606" s="1" t="s">
        <v>718</v>
      </c>
    </row>
    <row r="607" customFormat="false" ht="15" hidden="false" customHeight="false" outlineLevel="0" collapsed="false">
      <c r="A607" s="1" t="s">
        <v>3549</v>
      </c>
      <c r="B607" s="1" t="s">
        <v>3550</v>
      </c>
      <c r="C607" s="1" t="s">
        <v>750</v>
      </c>
      <c r="D607" s="2" t="n">
        <v>35806</v>
      </c>
      <c r="E607" s="1" t="s">
        <v>763</v>
      </c>
      <c r="F607" s="1" t="s">
        <v>711</v>
      </c>
      <c r="G607" s="1" t="s">
        <v>722</v>
      </c>
      <c r="H607" s="1" t="s">
        <v>713</v>
      </c>
      <c r="I607" s="1" t="s">
        <v>714</v>
      </c>
      <c r="J607" s="1" t="s">
        <v>3551</v>
      </c>
      <c r="K607" s="1" t="s">
        <v>3552</v>
      </c>
      <c r="L607" s="1" t="s">
        <v>3553</v>
      </c>
      <c r="M607" s="1" t="s">
        <v>718</v>
      </c>
    </row>
    <row r="608" customFormat="false" ht="15" hidden="false" customHeight="false" outlineLevel="0" collapsed="false">
      <c r="A608" s="1" t="s">
        <v>3554</v>
      </c>
      <c r="B608" s="1" t="s">
        <v>3555</v>
      </c>
      <c r="C608" s="1" t="s">
        <v>3556</v>
      </c>
      <c r="D608" s="2" t="n">
        <v>35448</v>
      </c>
      <c r="E608" s="1" t="s">
        <v>710</v>
      </c>
      <c r="F608" s="1" t="s">
        <v>711</v>
      </c>
      <c r="G608" s="1" t="s">
        <v>722</v>
      </c>
      <c r="H608" s="1" t="s">
        <v>713</v>
      </c>
      <c r="I608" s="1" t="s">
        <v>714</v>
      </c>
      <c r="J608" s="1" t="s">
        <v>3557</v>
      </c>
      <c r="K608" s="1" t="s">
        <v>3558</v>
      </c>
      <c r="L608" s="1" t="s">
        <v>2750</v>
      </c>
      <c r="M608" s="1" t="s">
        <v>718</v>
      </c>
    </row>
    <row r="609" customFormat="false" ht="15" hidden="false" customHeight="false" outlineLevel="0" collapsed="false">
      <c r="A609" s="1" t="s">
        <v>3559</v>
      </c>
      <c r="B609" s="1" t="s">
        <v>3560</v>
      </c>
      <c r="C609" s="1" t="s">
        <v>2267</v>
      </c>
      <c r="D609" s="2" t="n">
        <v>35902</v>
      </c>
      <c r="E609" s="1" t="s">
        <v>710</v>
      </c>
      <c r="F609" s="1" t="s">
        <v>711</v>
      </c>
      <c r="G609" s="1" t="s">
        <v>722</v>
      </c>
      <c r="H609" s="1" t="s">
        <v>713</v>
      </c>
      <c r="I609" s="1" t="s">
        <v>714</v>
      </c>
      <c r="J609" s="1" t="s">
        <v>3561</v>
      </c>
      <c r="K609" s="1" t="s">
        <v>3562</v>
      </c>
      <c r="L609" s="1" t="s">
        <v>2270</v>
      </c>
      <c r="M609" s="1" t="s">
        <v>718</v>
      </c>
    </row>
    <row r="610" customFormat="false" ht="15" hidden="false" customHeight="false" outlineLevel="0" collapsed="false">
      <c r="A610" s="1" t="s">
        <v>3563</v>
      </c>
      <c r="B610" s="1" t="s">
        <v>3564</v>
      </c>
      <c r="C610" s="1" t="s">
        <v>3565</v>
      </c>
      <c r="D610" s="2" t="n">
        <v>35994</v>
      </c>
      <c r="E610" s="1" t="s">
        <v>763</v>
      </c>
      <c r="F610" s="1" t="s">
        <v>711</v>
      </c>
      <c r="G610" s="1" t="s">
        <v>722</v>
      </c>
      <c r="H610" s="1" t="s">
        <v>713</v>
      </c>
      <c r="I610" s="1" t="s">
        <v>714</v>
      </c>
      <c r="J610" s="1" t="s">
        <v>3566</v>
      </c>
      <c r="K610" s="1" t="s">
        <v>3567</v>
      </c>
      <c r="L610" s="1" t="s">
        <v>3568</v>
      </c>
      <c r="M610" s="1" t="s">
        <v>718</v>
      </c>
    </row>
    <row r="611" customFormat="false" ht="15" hidden="false" customHeight="false" outlineLevel="0" collapsed="false">
      <c r="A611" s="1" t="s">
        <v>3569</v>
      </c>
      <c r="B611" s="1" t="s">
        <v>3570</v>
      </c>
      <c r="C611" s="1" t="s">
        <v>3571</v>
      </c>
      <c r="D611" s="2" t="n">
        <v>35823</v>
      </c>
      <c r="E611" s="1" t="s">
        <v>710</v>
      </c>
      <c r="F611" s="1" t="s">
        <v>711</v>
      </c>
      <c r="G611" s="1" t="s">
        <v>722</v>
      </c>
      <c r="H611" s="1" t="s">
        <v>713</v>
      </c>
      <c r="I611" s="1" t="s">
        <v>714</v>
      </c>
      <c r="J611" s="1" t="s">
        <v>1010</v>
      </c>
      <c r="K611" s="1" t="s">
        <v>3572</v>
      </c>
      <c r="L611" s="1" t="s">
        <v>3573</v>
      </c>
      <c r="M611" s="1" t="s">
        <v>718</v>
      </c>
    </row>
    <row r="612" customFormat="false" ht="15" hidden="false" customHeight="false" outlineLevel="0" collapsed="false">
      <c r="A612" s="1" t="s">
        <v>3574</v>
      </c>
      <c r="B612" s="1" t="s">
        <v>3575</v>
      </c>
      <c r="C612" s="1" t="s">
        <v>1234</v>
      </c>
      <c r="D612" s="2" t="n">
        <v>35987</v>
      </c>
      <c r="E612" s="1" t="s">
        <v>763</v>
      </c>
      <c r="F612" s="1" t="s">
        <v>711</v>
      </c>
      <c r="G612" s="1" t="s">
        <v>722</v>
      </c>
      <c r="H612" s="1" t="s">
        <v>713</v>
      </c>
      <c r="I612" s="1" t="s">
        <v>714</v>
      </c>
      <c r="J612" s="1" t="s">
        <v>3576</v>
      </c>
      <c r="K612" s="1" t="s">
        <v>3577</v>
      </c>
      <c r="L612" s="1" t="s">
        <v>3578</v>
      </c>
      <c r="M612" s="1" t="s">
        <v>718</v>
      </c>
    </row>
    <row r="613" customFormat="false" ht="15" hidden="false" customHeight="false" outlineLevel="0" collapsed="false">
      <c r="A613" s="1" t="s">
        <v>3579</v>
      </c>
      <c r="B613" s="1" t="s">
        <v>3580</v>
      </c>
      <c r="C613" s="1" t="s">
        <v>1357</v>
      </c>
      <c r="D613" s="2" t="n">
        <v>35786</v>
      </c>
      <c r="E613" s="1" t="s">
        <v>763</v>
      </c>
      <c r="F613" s="1" t="s">
        <v>711</v>
      </c>
      <c r="G613" s="1" t="s">
        <v>722</v>
      </c>
      <c r="H613" s="1" t="s">
        <v>713</v>
      </c>
      <c r="I613" s="1" t="s">
        <v>714</v>
      </c>
      <c r="J613" s="1" t="s">
        <v>715</v>
      </c>
      <c r="K613" s="1" t="s">
        <v>716</v>
      </c>
      <c r="L613" s="1" t="s">
        <v>1359</v>
      </c>
      <c r="M613" s="1" t="s">
        <v>718</v>
      </c>
    </row>
    <row r="614" customFormat="false" ht="15" hidden="false" customHeight="false" outlineLevel="0" collapsed="false">
      <c r="A614" s="1" t="s">
        <v>3581</v>
      </c>
      <c r="B614" s="1" t="s">
        <v>3582</v>
      </c>
      <c r="C614" s="1" t="s">
        <v>3583</v>
      </c>
      <c r="D614" s="2" t="n">
        <v>35951</v>
      </c>
      <c r="E614" s="1" t="s">
        <v>763</v>
      </c>
      <c r="F614" s="1" t="s">
        <v>711</v>
      </c>
      <c r="G614" s="1" t="s">
        <v>712</v>
      </c>
      <c r="H614" s="1" t="s">
        <v>713</v>
      </c>
      <c r="I614" s="1" t="s">
        <v>714</v>
      </c>
      <c r="J614" s="1" t="s">
        <v>3171</v>
      </c>
      <c r="K614" s="1" t="s">
        <v>3584</v>
      </c>
      <c r="L614" s="1" t="s">
        <v>3585</v>
      </c>
      <c r="M614" s="1" t="s">
        <v>718</v>
      </c>
    </row>
    <row r="615" customFormat="false" ht="15" hidden="false" customHeight="false" outlineLevel="0" collapsed="false">
      <c r="A615" s="1" t="s">
        <v>3586</v>
      </c>
      <c r="B615" s="1" t="s">
        <v>3587</v>
      </c>
      <c r="C615" s="1" t="s">
        <v>3588</v>
      </c>
      <c r="D615" s="2" t="n">
        <v>35955</v>
      </c>
      <c r="E615" s="1" t="s">
        <v>763</v>
      </c>
      <c r="F615" s="1" t="s">
        <v>711</v>
      </c>
      <c r="G615" s="1" t="s">
        <v>722</v>
      </c>
      <c r="H615" s="1" t="s">
        <v>713</v>
      </c>
      <c r="I615" s="1" t="s">
        <v>714</v>
      </c>
      <c r="J615" s="1" t="s">
        <v>978</v>
      </c>
      <c r="K615" s="1" t="s">
        <v>716</v>
      </c>
      <c r="L615" s="1" t="s">
        <v>3589</v>
      </c>
      <c r="M615" s="1" t="s">
        <v>718</v>
      </c>
    </row>
    <row r="616" customFormat="false" ht="15" hidden="false" customHeight="false" outlineLevel="0" collapsed="false">
      <c r="A616" s="1" t="s">
        <v>3590</v>
      </c>
      <c r="B616" s="1" t="s">
        <v>3591</v>
      </c>
      <c r="C616" s="1" t="s">
        <v>3592</v>
      </c>
      <c r="D616" s="2" t="n">
        <v>36081</v>
      </c>
      <c r="E616" s="1" t="s">
        <v>710</v>
      </c>
      <c r="F616" s="1" t="s">
        <v>711</v>
      </c>
      <c r="G616" s="1" t="s">
        <v>712</v>
      </c>
      <c r="H616" s="1" t="s">
        <v>713</v>
      </c>
      <c r="I616" s="1" t="s">
        <v>714</v>
      </c>
      <c r="J616" s="1" t="s">
        <v>3593</v>
      </c>
      <c r="K616" s="1" t="s">
        <v>3594</v>
      </c>
      <c r="L616" s="1" t="s">
        <v>3595</v>
      </c>
      <c r="M616" s="1" t="s">
        <v>718</v>
      </c>
    </row>
    <row r="617" customFormat="false" ht="15" hidden="false" customHeight="false" outlineLevel="0" collapsed="false">
      <c r="A617" s="1" t="s">
        <v>3596</v>
      </c>
      <c r="B617" s="1" t="s">
        <v>3597</v>
      </c>
      <c r="C617" s="1" t="s">
        <v>3598</v>
      </c>
      <c r="D617" s="2" t="n">
        <v>35827</v>
      </c>
      <c r="E617" s="1" t="s">
        <v>710</v>
      </c>
      <c r="F617" s="1" t="s">
        <v>711</v>
      </c>
      <c r="G617" s="1" t="s">
        <v>712</v>
      </c>
      <c r="H617" s="1" t="s">
        <v>713</v>
      </c>
      <c r="I617" s="1" t="s">
        <v>714</v>
      </c>
      <c r="J617" s="1" t="s">
        <v>1010</v>
      </c>
      <c r="K617" s="1" t="s">
        <v>3599</v>
      </c>
      <c r="L617" s="1" t="s">
        <v>2710</v>
      </c>
      <c r="M617" s="1" t="s">
        <v>718</v>
      </c>
    </row>
    <row r="618" customFormat="false" ht="15" hidden="false" customHeight="false" outlineLevel="0" collapsed="false">
      <c r="A618" s="1" t="s">
        <v>3600</v>
      </c>
      <c r="B618" s="1" t="s">
        <v>3601</v>
      </c>
      <c r="C618" s="1" t="s">
        <v>3598</v>
      </c>
      <c r="D618" s="2" t="n">
        <v>35827</v>
      </c>
      <c r="E618" s="1" t="s">
        <v>710</v>
      </c>
      <c r="F618" s="1" t="s">
        <v>711</v>
      </c>
      <c r="G618" s="1" t="s">
        <v>712</v>
      </c>
      <c r="H618" s="1" t="s">
        <v>713</v>
      </c>
      <c r="I618" s="1" t="s">
        <v>714</v>
      </c>
      <c r="J618" s="1" t="s">
        <v>1010</v>
      </c>
      <c r="K618" s="1" t="s">
        <v>3599</v>
      </c>
      <c r="L618" s="1" t="s">
        <v>2710</v>
      </c>
      <c r="M618" s="1" t="s">
        <v>718</v>
      </c>
    </row>
    <row r="619" customFormat="false" ht="15" hidden="false" customHeight="false" outlineLevel="0" collapsed="false">
      <c r="A619" s="1" t="s">
        <v>3602</v>
      </c>
      <c r="B619" s="1" t="s">
        <v>3603</v>
      </c>
      <c r="C619" s="1" t="s">
        <v>3604</v>
      </c>
      <c r="D619" s="2" t="n">
        <v>35909</v>
      </c>
      <c r="E619" s="1" t="s">
        <v>763</v>
      </c>
      <c r="F619" s="1" t="s">
        <v>711</v>
      </c>
      <c r="G619" s="1" t="s">
        <v>722</v>
      </c>
      <c r="H619" s="1" t="s">
        <v>713</v>
      </c>
      <c r="I619" s="1" t="s">
        <v>714</v>
      </c>
      <c r="J619" s="1" t="s">
        <v>780</v>
      </c>
      <c r="K619" s="1" t="s">
        <v>3605</v>
      </c>
      <c r="L619" s="1" t="s">
        <v>2833</v>
      </c>
      <c r="M619" s="1" t="s">
        <v>718</v>
      </c>
    </row>
    <row r="620" customFormat="false" ht="15" hidden="false" customHeight="false" outlineLevel="0" collapsed="false">
      <c r="A620" s="1" t="s">
        <v>3606</v>
      </c>
      <c r="B620" s="1" t="s">
        <v>2451</v>
      </c>
      <c r="C620" s="1" t="s">
        <v>3607</v>
      </c>
      <c r="D620" s="2" t="n">
        <v>36031</v>
      </c>
      <c r="E620" s="1" t="s">
        <v>710</v>
      </c>
      <c r="F620" s="1" t="s">
        <v>711</v>
      </c>
      <c r="G620" s="1" t="s">
        <v>712</v>
      </c>
      <c r="H620" s="1" t="s">
        <v>713</v>
      </c>
      <c r="I620" s="1" t="s">
        <v>714</v>
      </c>
      <c r="J620" s="1" t="s">
        <v>3608</v>
      </c>
      <c r="K620" s="1" t="s">
        <v>3609</v>
      </c>
      <c r="L620" s="1" t="s">
        <v>3610</v>
      </c>
      <c r="M620" s="1" t="s">
        <v>718</v>
      </c>
    </row>
    <row r="621" customFormat="false" ht="15" hidden="false" customHeight="false" outlineLevel="0" collapsed="false">
      <c r="A621" s="1" t="s">
        <v>3611</v>
      </c>
      <c r="B621" s="1" t="s">
        <v>3612</v>
      </c>
      <c r="C621" s="1" t="s">
        <v>3613</v>
      </c>
      <c r="D621" s="2" t="n">
        <v>35675</v>
      </c>
      <c r="E621" s="1" t="s">
        <v>763</v>
      </c>
      <c r="F621" s="1" t="s">
        <v>711</v>
      </c>
      <c r="G621" s="1" t="s">
        <v>722</v>
      </c>
      <c r="H621" s="1" t="s">
        <v>713</v>
      </c>
      <c r="I621" s="1" t="s">
        <v>714</v>
      </c>
      <c r="J621" s="1" t="s">
        <v>3614</v>
      </c>
      <c r="K621" s="1" t="s">
        <v>3615</v>
      </c>
      <c r="L621" s="1" t="s">
        <v>3616</v>
      </c>
      <c r="M621" s="1" t="s">
        <v>718</v>
      </c>
    </row>
    <row r="622" customFormat="false" ht="15" hidden="false" customHeight="false" outlineLevel="0" collapsed="false">
      <c r="A622" s="1" t="s">
        <v>3617</v>
      </c>
      <c r="B622" s="1" t="s">
        <v>3618</v>
      </c>
      <c r="C622" s="1" t="s">
        <v>3619</v>
      </c>
      <c r="D622" s="2" t="n">
        <v>36027</v>
      </c>
      <c r="E622" s="1" t="s">
        <v>763</v>
      </c>
      <c r="F622" s="1" t="s">
        <v>711</v>
      </c>
      <c r="G622" s="1" t="s">
        <v>712</v>
      </c>
      <c r="H622" s="1" t="s">
        <v>713</v>
      </c>
      <c r="I622" s="1" t="s">
        <v>714</v>
      </c>
      <c r="J622" s="1" t="s">
        <v>3620</v>
      </c>
      <c r="K622" s="1" t="s">
        <v>3621</v>
      </c>
      <c r="L622" s="1" t="s">
        <v>3622</v>
      </c>
      <c r="M622" s="1" t="s">
        <v>718</v>
      </c>
    </row>
    <row r="623" customFormat="false" ht="15" hidden="false" customHeight="false" outlineLevel="0" collapsed="false">
      <c r="A623" s="1" t="s">
        <v>3623</v>
      </c>
      <c r="B623" s="1" t="s">
        <v>3624</v>
      </c>
      <c r="C623" s="1" t="s">
        <v>1122</v>
      </c>
      <c r="D623" s="2" t="n">
        <v>36084</v>
      </c>
      <c r="E623" s="1" t="s">
        <v>763</v>
      </c>
      <c r="F623" s="1" t="s">
        <v>711</v>
      </c>
      <c r="G623" s="1" t="s">
        <v>712</v>
      </c>
      <c r="H623" s="1" t="s">
        <v>713</v>
      </c>
      <c r="I623" s="1" t="s">
        <v>714</v>
      </c>
      <c r="J623" s="1" t="s">
        <v>1244</v>
      </c>
      <c r="K623" s="1" t="s">
        <v>1986</v>
      </c>
      <c r="L623" s="1" t="s">
        <v>1987</v>
      </c>
      <c r="M623" s="1" t="s">
        <v>718</v>
      </c>
    </row>
    <row r="624" customFormat="false" ht="15" hidden="false" customHeight="false" outlineLevel="0" collapsed="false">
      <c r="A624" s="1" t="s">
        <v>3625</v>
      </c>
      <c r="B624" s="1" t="s">
        <v>3626</v>
      </c>
      <c r="C624" s="1" t="s">
        <v>3627</v>
      </c>
      <c r="D624" s="2" t="n">
        <v>35983</v>
      </c>
      <c r="E624" s="1" t="s">
        <v>710</v>
      </c>
      <c r="F624" s="1" t="s">
        <v>711</v>
      </c>
      <c r="G624" s="1" t="s">
        <v>712</v>
      </c>
      <c r="H624" s="1" t="s">
        <v>713</v>
      </c>
      <c r="I624" s="1" t="s">
        <v>714</v>
      </c>
      <c r="J624" s="1" t="s">
        <v>3628</v>
      </c>
      <c r="K624" s="1" t="s">
        <v>3629</v>
      </c>
      <c r="L624" s="1" t="s">
        <v>3630</v>
      </c>
      <c r="M624" s="1" t="s">
        <v>718</v>
      </c>
    </row>
    <row r="625" customFormat="false" ht="15" hidden="false" customHeight="false" outlineLevel="0" collapsed="false">
      <c r="A625" s="1" t="s">
        <v>3631</v>
      </c>
      <c r="B625" s="1" t="s">
        <v>3632</v>
      </c>
      <c r="C625" s="1" t="s">
        <v>3633</v>
      </c>
      <c r="D625" s="2" t="n">
        <v>36029</v>
      </c>
      <c r="E625" s="1" t="s">
        <v>710</v>
      </c>
      <c r="F625" s="1" t="s">
        <v>711</v>
      </c>
      <c r="G625" s="1" t="s">
        <v>722</v>
      </c>
      <c r="H625" s="1" t="s">
        <v>713</v>
      </c>
      <c r="I625" s="1" t="s">
        <v>714</v>
      </c>
      <c r="J625" s="1" t="s">
        <v>1530</v>
      </c>
      <c r="K625" s="1" t="s">
        <v>3634</v>
      </c>
      <c r="L625" s="1" t="s">
        <v>3635</v>
      </c>
      <c r="M625" s="1" t="s">
        <v>718</v>
      </c>
    </row>
    <row r="626" customFormat="false" ht="15" hidden="false" customHeight="false" outlineLevel="0" collapsed="false">
      <c r="A626" s="1" t="s">
        <v>3636</v>
      </c>
      <c r="B626" s="1" t="s">
        <v>3637</v>
      </c>
      <c r="C626" s="1" t="s">
        <v>2643</v>
      </c>
      <c r="D626" s="2" t="n">
        <v>35577</v>
      </c>
      <c r="E626" s="1" t="s">
        <v>710</v>
      </c>
      <c r="F626" s="1" t="s">
        <v>711</v>
      </c>
      <c r="G626" s="1" t="s">
        <v>722</v>
      </c>
      <c r="H626" s="1" t="s">
        <v>713</v>
      </c>
      <c r="I626" s="1" t="s">
        <v>714</v>
      </c>
      <c r="J626" s="1" t="s">
        <v>769</v>
      </c>
      <c r="K626" s="1" t="s">
        <v>716</v>
      </c>
      <c r="L626" s="1" t="s">
        <v>2842</v>
      </c>
      <c r="M626" s="1" t="s">
        <v>718</v>
      </c>
    </row>
    <row r="627" customFormat="false" ht="15" hidden="false" customHeight="false" outlineLevel="0" collapsed="false">
      <c r="A627" s="1" t="s">
        <v>3638</v>
      </c>
      <c r="B627" s="1" t="s">
        <v>3639</v>
      </c>
      <c r="C627" s="1" t="s">
        <v>3640</v>
      </c>
      <c r="D627" s="2" t="n">
        <v>35789</v>
      </c>
      <c r="E627" s="1" t="s">
        <v>763</v>
      </c>
      <c r="F627" s="1" t="s">
        <v>711</v>
      </c>
      <c r="G627" s="1" t="s">
        <v>722</v>
      </c>
      <c r="H627" s="1" t="s">
        <v>713</v>
      </c>
      <c r="I627" s="1" t="s">
        <v>714</v>
      </c>
      <c r="J627" s="1" t="s">
        <v>3641</v>
      </c>
      <c r="K627" s="1" t="s">
        <v>3642</v>
      </c>
      <c r="L627" s="1" t="s">
        <v>3643</v>
      </c>
      <c r="M627" s="1" t="s">
        <v>718</v>
      </c>
    </row>
    <row r="628" customFormat="false" ht="15" hidden="false" customHeight="false" outlineLevel="0" collapsed="false">
      <c r="A628" s="1" t="s">
        <v>3644</v>
      </c>
      <c r="B628" s="1" t="s">
        <v>3645</v>
      </c>
      <c r="C628" s="1" t="s">
        <v>3646</v>
      </c>
      <c r="D628" s="2" t="n">
        <v>36135</v>
      </c>
      <c r="E628" s="1" t="s">
        <v>763</v>
      </c>
      <c r="F628" s="1" t="s">
        <v>711</v>
      </c>
      <c r="G628" s="1" t="s">
        <v>712</v>
      </c>
      <c r="H628" s="1" t="s">
        <v>713</v>
      </c>
      <c r="I628" s="1" t="s">
        <v>714</v>
      </c>
      <c r="J628" s="1" t="s">
        <v>723</v>
      </c>
      <c r="K628" s="1" t="s">
        <v>3647</v>
      </c>
      <c r="L628" s="1" t="s">
        <v>2430</v>
      </c>
      <c r="M628" s="1" t="s">
        <v>718</v>
      </c>
    </row>
    <row r="629" customFormat="false" ht="15" hidden="false" customHeight="false" outlineLevel="0" collapsed="false">
      <c r="A629" s="1" t="s">
        <v>3648</v>
      </c>
      <c r="B629" s="1" t="s">
        <v>3649</v>
      </c>
      <c r="C629" s="1" t="s">
        <v>3650</v>
      </c>
      <c r="D629" s="2" t="n">
        <v>36141</v>
      </c>
      <c r="E629" s="1" t="s">
        <v>763</v>
      </c>
      <c r="F629" s="1" t="s">
        <v>711</v>
      </c>
      <c r="G629" s="1" t="s">
        <v>722</v>
      </c>
      <c r="H629" s="1" t="s">
        <v>713</v>
      </c>
      <c r="I629" s="1" t="s">
        <v>714</v>
      </c>
      <c r="J629" s="1" t="s">
        <v>3651</v>
      </c>
      <c r="K629" s="1" t="s">
        <v>3652</v>
      </c>
      <c r="L629" s="1" t="s">
        <v>3653</v>
      </c>
      <c r="M629" s="1" t="s">
        <v>718</v>
      </c>
    </row>
    <row r="630" customFormat="false" ht="15" hidden="false" customHeight="false" outlineLevel="0" collapsed="false">
      <c r="A630" s="1" t="s">
        <v>3654</v>
      </c>
      <c r="B630" s="1" t="s">
        <v>3655</v>
      </c>
      <c r="C630" s="1" t="s">
        <v>3656</v>
      </c>
      <c r="D630" s="2" t="n">
        <v>36077</v>
      </c>
      <c r="E630" s="1" t="s">
        <v>710</v>
      </c>
      <c r="F630" s="1" t="s">
        <v>711</v>
      </c>
      <c r="G630" s="1" t="s">
        <v>712</v>
      </c>
      <c r="H630" s="1" t="s">
        <v>713</v>
      </c>
      <c r="I630" s="1" t="s">
        <v>714</v>
      </c>
      <c r="J630" s="1" t="s">
        <v>1010</v>
      </c>
      <c r="K630" s="1" t="s">
        <v>716</v>
      </c>
      <c r="L630" s="1" t="s">
        <v>3657</v>
      </c>
      <c r="M630" s="1" t="s">
        <v>718</v>
      </c>
    </row>
    <row r="631" customFormat="false" ht="15" hidden="false" customHeight="false" outlineLevel="0" collapsed="false">
      <c r="A631" s="1" t="s">
        <v>3658</v>
      </c>
      <c r="B631" s="1" t="s">
        <v>3659</v>
      </c>
      <c r="C631" s="1" t="s">
        <v>3660</v>
      </c>
      <c r="D631" s="2" t="n">
        <v>36105</v>
      </c>
      <c r="E631" s="1" t="s">
        <v>763</v>
      </c>
      <c r="F631" s="1" t="s">
        <v>711</v>
      </c>
      <c r="G631" s="1" t="s">
        <v>712</v>
      </c>
      <c r="H631" s="1" t="s">
        <v>713</v>
      </c>
      <c r="I631" s="1" t="s">
        <v>714</v>
      </c>
      <c r="J631" s="1" t="s">
        <v>3661</v>
      </c>
      <c r="K631" s="1" t="s">
        <v>3662</v>
      </c>
      <c r="L631" s="1" t="s">
        <v>3663</v>
      </c>
      <c r="M631" s="1" t="s">
        <v>718</v>
      </c>
    </row>
    <row r="632" customFormat="false" ht="15" hidden="false" customHeight="false" outlineLevel="0" collapsed="false">
      <c r="A632" s="1" t="s">
        <v>3664</v>
      </c>
      <c r="B632" s="1" t="s">
        <v>3665</v>
      </c>
      <c r="C632" s="1" t="s">
        <v>739</v>
      </c>
      <c r="D632" s="2" t="n">
        <v>35996</v>
      </c>
      <c r="E632" s="1" t="s">
        <v>710</v>
      </c>
      <c r="F632" s="1" t="s">
        <v>711</v>
      </c>
      <c r="G632" s="1" t="s">
        <v>722</v>
      </c>
      <c r="H632" s="1" t="s">
        <v>713</v>
      </c>
      <c r="I632" s="1" t="s">
        <v>714</v>
      </c>
      <c r="J632" s="1" t="s">
        <v>3666</v>
      </c>
      <c r="K632" s="1" t="s">
        <v>3667</v>
      </c>
      <c r="L632" s="1" t="s">
        <v>3668</v>
      </c>
      <c r="M632" s="1" t="s">
        <v>718</v>
      </c>
    </row>
    <row r="633" customFormat="false" ht="15" hidden="false" customHeight="false" outlineLevel="0" collapsed="false">
      <c r="A633" s="1" t="s">
        <v>3669</v>
      </c>
      <c r="B633" s="1" t="s">
        <v>3670</v>
      </c>
      <c r="C633" s="1" t="s">
        <v>3671</v>
      </c>
      <c r="D633" s="2" t="n">
        <v>36049</v>
      </c>
      <c r="E633" s="1" t="s">
        <v>710</v>
      </c>
      <c r="F633" s="1" t="s">
        <v>711</v>
      </c>
      <c r="G633" s="1" t="s">
        <v>722</v>
      </c>
      <c r="H633" s="1" t="s">
        <v>713</v>
      </c>
      <c r="I633" s="1" t="s">
        <v>714</v>
      </c>
      <c r="J633" s="1" t="s">
        <v>3672</v>
      </c>
      <c r="K633" s="1" t="s">
        <v>3673</v>
      </c>
      <c r="L633" s="1" t="s">
        <v>3674</v>
      </c>
      <c r="M633" s="1" t="s">
        <v>718</v>
      </c>
    </row>
    <row r="634" customFormat="false" ht="15" hidden="false" customHeight="false" outlineLevel="0" collapsed="false">
      <c r="A634" s="1" t="s">
        <v>3675</v>
      </c>
      <c r="B634" s="1" t="s">
        <v>3676</v>
      </c>
      <c r="C634" s="1" t="s">
        <v>3677</v>
      </c>
      <c r="D634" s="2" t="n">
        <v>35860</v>
      </c>
      <c r="E634" s="1" t="s">
        <v>763</v>
      </c>
      <c r="F634" s="1" t="s">
        <v>711</v>
      </c>
      <c r="G634" s="1" t="s">
        <v>712</v>
      </c>
      <c r="H634" s="1" t="s">
        <v>713</v>
      </c>
      <c r="I634" s="1" t="s">
        <v>714</v>
      </c>
      <c r="J634" s="1" t="s">
        <v>3678</v>
      </c>
      <c r="K634" s="1" t="s">
        <v>3679</v>
      </c>
      <c r="L634" s="1" t="s">
        <v>2182</v>
      </c>
      <c r="M634" s="1" t="s">
        <v>718</v>
      </c>
    </row>
    <row r="635" customFormat="false" ht="15" hidden="false" customHeight="false" outlineLevel="0" collapsed="false">
      <c r="A635" s="1" t="s">
        <v>3680</v>
      </c>
      <c r="B635" s="1" t="s">
        <v>3681</v>
      </c>
      <c r="C635" s="1" t="s">
        <v>3682</v>
      </c>
      <c r="D635" s="2" t="n">
        <v>35497</v>
      </c>
      <c r="E635" s="1" t="s">
        <v>710</v>
      </c>
      <c r="F635" s="1" t="s">
        <v>711</v>
      </c>
      <c r="G635" s="1" t="s">
        <v>712</v>
      </c>
      <c r="H635" s="1" t="s">
        <v>713</v>
      </c>
      <c r="I635" s="1" t="s">
        <v>714</v>
      </c>
      <c r="J635" s="1" t="s">
        <v>3683</v>
      </c>
      <c r="K635" s="1" t="s">
        <v>3684</v>
      </c>
      <c r="L635" s="1" t="s">
        <v>3685</v>
      </c>
      <c r="M635" s="1" t="s">
        <v>718</v>
      </c>
    </row>
    <row r="636" customFormat="false" ht="15" hidden="false" customHeight="false" outlineLevel="0" collapsed="false">
      <c r="A636" s="1" t="s">
        <v>3686</v>
      </c>
      <c r="B636" s="1" t="s">
        <v>3687</v>
      </c>
      <c r="C636" s="1" t="s">
        <v>3688</v>
      </c>
      <c r="D636" s="2" t="n">
        <v>36049</v>
      </c>
      <c r="E636" s="1" t="s">
        <v>763</v>
      </c>
      <c r="F636" s="1" t="s">
        <v>711</v>
      </c>
      <c r="G636" s="1" t="s">
        <v>722</v>
      </c>
      <c r="H636" s="1" t="s">
        <v>713</v>
      </c>
      <c r="I636" s="1" t="s">
        <v>714</v>
      </c>
      <c r="J636" s="1" t="s">
        <v>917</v>
      </c>
      <c r="K636" s="1" t="s">
        <v>3689</v>
      </c>
      <c r="L636" s="1" t="s">
        <v>3690</v>
      </c>
      <c r="M636" s="1" t="s">
        <v>718</v>
      </c>
    </row>
    <row r="637" customFormat="false" ht="15" hidden="false" customHeight="false" outlineLevel="0" collapsed="false">
      <c r="A637" s="1" t="s">
        <v>3691</v>
      </c>
      <c r="B637" s="1" t="s">
        <v>3692</v>
      </c>
      <c r="C637" s="1" t="s">
        <v>1266</v>
      </c>
      <c r="D637" s="2" t="n">
        <v>36091</v>
      </c>
      <c r="E637" s="1" t="s">
        <v>763</v>
      </c>
      <c r="F637" s="1" t="s">
        <v>711</v>
      </c>
      <c r="G637" s="1" t="s">
        <v>712</v>
      </c>
      <c r="H637" s="1" t="s">
        <v>713</v>
      </c>
      <c r="I637" s="1" t="s">
        <v>714</v>
      </c>
      <c r="J637" s="1" t="s">
        <v>821</v>
      </c>
      <c r="K637" s="1" t="s">
        <v>1267</v>
      </c>
      <c r="L637" s="1" t="s">
        <v>1268</v>
      </c>
      <c r="M637" s="1" t="s">
        <v>718</v>
      </c>
    </row>
    <row r="638" customFormat="false" ht="15" hidden="false" customHeight="false" outlineLevel="0" collapsed="false">
      <c r="A638" s="1" t="s">
        <v>3693</v>
      </c>
      <c r="B638" s="1" t="s">
        <v>3694</v>
      </c>
      <c r="C638" s="1" t="s">
        <v>3695</v>
      </c>
      <c r="D638" s="2" t="n">
        <v>36056</v>
      </c>
      <c r="E638" s="1" t="s">
        <v>763</v>
      </c>
      <c r="F638" s="1" t="s">
        <v>711</v>
      </c>
      <c r="G638" s="1" t="s">
        <v>722</v>
      </c>
      <c r="H638" s="1" t="s">
        <v>713</v>
      </c>
      <c r="I638" s="1" t="s">
        <v>714</v>
      </c>
      <c r="J638" s="1" t="s">
        <v>780</v>
      </c>
      <c r="K638" s="1" t="s">
        <v>3696</v>
      </c>
      <c r="L638" s="1" t="s">
        <v>3697</v>
      </c>
      <c r="M638" s="1" t="s">
        <v>718</v>
      </c>
    </row>
    <row r="639" customFormat="false" ht="15" hidden="false" customHeight="false" outlineLevel="0" collapsed="false">
      <c r="A639" s="1" t="s">
        <v>3698</v>
      </c>
      <c r="B639" s="1" t="s">
        <v>3699</v>
      </c>
      <c r="C639" s="1" t="s">
        <v>3700</v>
      </c>
      <c r="D639" s="2" t="n">
        <v>35651</v>
      </c>
      <c r="E639" s="1" t="s">
        <v>763</v>
      </c>
      <c r="F639" s="1" t="s">
        <v>711</v>
      </c>
      <c r="G639" s="1" t="s">
        <v>722</v>
      </c>
      <c r="H639" s="1" t="s">
        <v>713</v>
      </c>
      <c r="I639" s="1" t="s">
        <v>714</v>
      </c>
      <c r="J639" s="1" t="s">
        <v>3701</v>
      </c>
      <c r="K639" s="1" t="s">
        <v>3702</v>
      </c>
      <c r="L639" s="1" t="s">
        <v>3703</v>
      </c>
      <c r="M639" s="1" t="s">
        <v>718</v>
      </c>
    </row>
    <row r="640" customFormat="false" ht="15" hidden="false" customHeight="false" outlineLevel="0" collapsed="false">
      <c r="A640" s="1" t="s">
        <v>3704</v>
      </c>
      <c r="B640" s="1" t="s">
        <v>3705</v>
      </c>
      <c r="C640" s="1" t="s">
        <v>3706</v>
      </c>
      <c r="D640" s="2" t="n">
        <v>36172</v>
      </c>
      <c r="E640" s="1" t="s">
        <v>710</v>
      </c>
      <c r="F640" s="1" t="s">
        <v>711</v>
      </c>
      <c r="G640" s="1" t="s">
        <v>712</v>
      </c>
      <c r="H640" s="1" t="s">
        <v>713</v>
      </c>
      <c r="I640" s="1" t="s">
        <v>714</v>
      </c>
      <c r="J640" s="1" t="s">
        <v>3707</v>
      </c>
      <c r="K640" s="1" t="s">
        <v>3708</v>
      </c>
      <c r="L640" s="1" t="s">
        <v>3709</v>
      </c>
      <c r="M640" s="1" t="s">
        <v>718</v>
      </c>
    </row>
    <row r="641" customFormat="false" ht="15" hidden="false" customHeight="false" outlineLevel="0" collapsed="false">
      <c r="A641" s="1" t="s">
        <v>3710</v>
      </c>
      <c r="B641" s="1" t="s">
        <v>3711</v>
      </c>
      <c r="C641" s="1" t="s">
        <v>3712</v>
      </c>
      <c r="D641" s="2" t="n">
        <v>36125</v>
      </c>
      <c r="E641" s="1" t="s">
        <v>710</v>
      </c>
      <c r="F641" s="1" t="s">
        <v>711</v>
      </c>
      <c r="G641" s="1" t="s">
        <v>712</v>
      </c>
      <c r="H641" s="1" t="s">
        <v>713</v>
      </c>
      <c r="I641" s="1" t="s">
        <v>714</v>
      </c>
      <c r="J641" s="1" t="s">
        <v>859</v>
      </c>
      <c r="K641" s="1" t="s">
        <v>3713</v>
      </c>
      <c r="L641" s="1" t="s">
        <v>3714</v>
      </c>
      <c r="M641" s="1" t="s">
        <v>718</v>
      </c>
    </row>
    <row r="642" customFormat="false" ht="15" hidden="false" customHeight="false" outlineLevel="0" collapsed="false">
      <c r="A642" s="1" t="s">
        <v>3715</v>
      </c>
      <c r="B642" s="1" t="s">
        <v>3716</v>
      </c>
      <c r="C642" s="1" t="s">
        <v>756</v>
      </c>
      <c r="D642" s="2" t="n">
        <v>36055</v>
      </c>
      <c r="E642" s="1" t="s">
        <v>763</v>
      </c>
      <c r="F642" s="1" t="s">
        <v>711</v>
      </c>
      <c r="G642" s="1" t="s">
        <v>722</v>
      </c>
      <c r="H642" s="1" t="s">
        <v>713</v>
      </c>
      <c r="I642" s="1" t="s">
        <v>714</v>
      </c>
      <c r="J642" s="1" t="s">
        <v>1445</v>
      </c>
      <c r="K642" s="1" t="s">
        <v>3717</v>
      </c>
      <c r="L642" s="1" t="s">
        <v>3718</v>
      </c>
      <c r="M642" s="1" t="s">
        <v>718</v>
      </c>
    </row>
    <row r="643" customFormat="false" ht="15" hidden="false" customHeight="false" outlineLevel="0" collapsed="false">
      <c r="A643" s="1" t="s">
        <v>3719</v>
      </c>
      <c r="B643" s="1" t="s">
        <v>3720</v>
      </c>
      <c r="C643" s="1" t="s">
        <v>3721</v>
      </c>
      <c r="D643" s="2" t="n">
        <v>35916</v>
      </c>
      <c r="E643" s="1" t="s">
        <v>763</v>
      </c>
      <c r="F643" s="1" t="s">
        <v>711</v>
      </c>
      <c r="G643" s="1" t="s">
        <v>722</v>
      </c>
      <c r="H643" s="1" t="s">
        <v>713</v>
      </c>
      <c r="I643" s="1" t="s">
        <v>714</v>
      </c>
      <c r="J643" s="1" t="s">
        <v>3722</v>
      </c>
      <c r="K643" s="1" t="s">
        <v>3723</v>
      </c>
      <c r="L643" s="1" t="s">
        <v>3724</v>
      </c>
      <c r="M643" s="1" t="s">
        <v>718</v>
      </c>
    </row>
    <row r="644" customFormat="false" ht="15" hidden="false" customHeight="false" outlineLevel="0" collapsed="false">
      <c r="A644" s="1" t="s">
        <v>3725</v>
      </c>
      <c r="B644" s="1" t="s">
        <v>1464</v>
      </c>
      <c r="C644" s="1" t="s">
        <v>1932</v>
      </c>
      <c r="D644" s="2" t="n">
        <v>35911</v>
      </c>
      <c r="E644" s="1" t="s">
        <v>710</v>
      </c>
      <c r="F644" s="1" t="s">
        <v>711</v>
      </c>
      <c r="G644" s="1" t="s">
        <v>712</v>
      </c>
      <c r="H644" s="1" t="s">
        <v>713</v>
      </c>
      <c r="I644" s="1" t="s">
        <v>714</v>
      </c>
      <c r="J644" s="1" t="s">
        <v>1010</v>
      </c>
      <c r="K644" s="1" t="s">
        <v>3726</v>
      </c>
      <c r="L644" s="1" t="s">
        <v>1933</v>
      </c>
      <c r="M644" s="1" t="s">
        <v>718</v>
      </c>
    </row>
    <row r="645" customFormat="false" ht="15" hidden="false" customHeight="false" outlineLevel="0" collapsed="false">
      <c r="A645" s="1" t="s">
        <v>3727</v>
      </c>
      <c r="B645" s="1" t="s">
        <v>3728</v>
      </c>
      <c r="C645" s="1" t="s">
        <v>1610</v>
      </c>
      <c r="D645" s="2" t="n">
        <v>36096</v>
      </c>
      <c r="E645" s="1" t="s">
        <v>763</v>
      </c>
      <c r="F645" s="1" t="s">
        <v>711</v>
      </c>
      <c r="G645" s="1" t="s">
        <v>722</v>
      </c>
      <c r="H645" s="1" t="s">
        <v>713</v>
      </c>
      <c r="I645" s="1" t="s">
        <v>714</v>
      </c>
      <c r="J645" s="1" t="s">
        <v>1451</v>
      </c>
      <c r="K645" s="1" t="s">
        <v>716</v>
      </c>
      <c r="L645" s="1" t="s">
        <v>1707</v>
      </c>
      <c r="M645" s="1" t="s">
        <v>718</v>
      </c>
    </row>
    <row r="646" customFormat="false" ht="15" hidden="false" customHeight="false" outlineLevel="0" collapsed="false">
      <c r="A646" s="1" t="s">
        <v>3729</v>
      </c>
      <c r="B646" s="1" t="s">
        <v>3730</v>
      </c>
      <c r="C646" s="1" t="s">
        <v>3731</v>
      </c>
      <c r="D646" s="2" t="n">
        <v>36048</v>
      </c>
      <c r="E646" s="1" t="s">
        <v>710</v>
      </c>
      <c r="F646" s="1" t="s">
        <v>711</v>
      </c>
      <c r="G646" s="1" t="s">
        <v>722</v>
      </c>
      <c r="H646" s="1" t="s">
        <v>713</v>
      </c>
      <c r="I646" s="1" t="s">
        <v>714</v>
      </c>
      <c r="J646" s="1" t="s">
        <v>3732</v>
      </c>
      <c r="K646" s="1" t="s">
        <v>3733</v>
      </c>
      <c r="L646" s="1" t="s">
        <v>3734</v>
      </c>
      <c r="M646" s="1" t="s">
        <v>718</v>
      </c>
    </row>
    <row r="647" customFormat="false" ht="15" hidden="false" customHeight="false" outlineLevel="0" collapsed="false">
      <c r="A647" s="1" t="s">
        <v>3735</v>
      </c>
      <c r="B647" s="1" t="s">
        <v>3736</v>
      </c>
      <c r="C647" s="1" t="s">
        <v>3737</v>
      </c>
      <c r="D647" s="2" t="n">
        <v>35852</v>
      </c>
      <c r="E647" s="1" t="s">
        <v>763</v>
      </c>
      <c r="F647" s="1" t="s">
        <v>711</v>
      </c>
      <c r="G647" s="1" t="s">
        <v>722</v>
      </c>
      <c r="H647" s="1" t="s">
        <v>713</v>
      </c>
      <c r="I647" s="1" t="s">
        <v>714</v>
      </c>
      <c r="J647" s="1" t="s">
        <v>3207</v>
      </c>
      <c r="K647" s="1" t="s">
        <v>3738</v>
      </c>
      <c r="L647" s="1" t="s">
        <v>3739</v>
      </c>
      <c r="M647" s="1" t="s">
        <v>718</v>
      </c>
    </row>
    <row r="648" customFormat="false" ht="15" hidden="false" customHeight="false" outlineLevel="0" collapsed="false">
      <c r="A648" s="1" t="s">
        <v>3740</v>
      </c>
      <c r="B648" s="1" t="s">
        <v>3741</v>
      </c>
      <c r="C648" s="1" t="s">
        <v>3742</v>
      </c>
      <c r="D648" s="2" t="n">
        <v>36011</v>
      </c>
      <c r="E648" s="1" t="s">
        <v>763</v>
      </c>
      <c r="F648" s="1" t="s">
        <v>711</v>
      </c>
      <c r="G648" s="1" t="s">
        <v>722</v>
      </c>
      <c r="H648" s="1" t="s">
        <v>713</v>
      </c>
      <c r="I648" s="1" t="s">
        <v>714</v>
      </c>
      <c r="J648" s="1" t="s">
        <v>1010</v>
      </c>
      <c r="K648" s="1" t="s">
        <v>1011</v>
      </c>
      <c r="L648" s="1" t="s">
        <v>1012</v>
      </c>
      <c r="M648" s="1" t="s">
        <v>718</v>
      </c>
    </row>
    <row r="649" customFormat="false" ht="15" hidden="false" customHeight="false" outlineLevel="0" collapsed="false">
      <c r="A649" s="1" t="s">
        <v>3743</v>
      </c>
      <c r="B649" s="1" t="s">
        <v>3744</v>
      </c>
      <c r="C649" s="1" t="s">
        <v>3745</v>
      </c>
      <c r="D649" s="2" t="n">
        <v>35670</v>
      </c>
      <c r="E649" s="1" t="s">
        <v>710</v>
      </c>
      <c r="F649" s="1" t="s">
        <v>711</v>
      </c>
      <c r="G649" s="1" t="s">
        <v>712</v>
      </c>
      <c r="H649" s="1" t="s">
        <v>713</v>
      </c>
      <c r="I649" s="1" t="s">
        <v>714</v>
      </c>
      <c r="J649" s="1" t="s">
        <v>3746</v>
      </c>
      <c r="K649" s="1" t="s">
        <v>3747</v>
      </c>
      <c r="L649" s="1" t="s">
        <v>3748</v>
      </c>
      <c r="M649" s="1" t="s">
        <v>718</v>
      </c>
    </row>
    <row r="650" customFormat="false" ht="15" hidden="false" customHeight="false" outlineLevel="0" collapsed="false">
      <c r="A650" s="1" t="s">
        <v>3749</v>
      </c>
      <c r="B650" s="1" t="s">
        <v>3750</v>
      </c>
      <c r="C650" s="1" t="s">
        <v>3751</v>
      </c>
      <c r="D650" s="2" t="n">
        <v>35690</v>
      </c>
      <c r="E650" s="1" t="s">
        <v>763</v>
      </c>
      <c r="F650" s="1" t="s">
        <v>711</v>
      </c>
      <c r="G650" s="1" t="s">
        <v>712</v>
      </c>
      <c r="H650" s="1" t="s">
        <v>713</v>
      </c>
      <c r="I650" s="1" t="s">
        <v>714</v>
      </c>
      <c r="J650" s="1" t="s">
        <v>3752</v>
      </c>
      <c r="K650" s="1" t="s">
        <v>3753</v>
      </c>
      <c r="L650" s="1" t="s">
        <v>3754</v>
      </c>
      <c r="M650" s="1" t="s">
        <v>718</v>
      </c>
    </row>
    <row r="651" customFormat="false" ht="15" hidden="false" customHeight="false" outlineLevel="0" collapsed="false">
      <c r="A651" s="1" t="s">
        <v>3755</v>
      </c>
      <c r="B651" s="1" t="s">
        <v>3756</v>
      </c>
      <c r="C651" s="1" t="s">
        <v>3751</v>
      </c>
      <c r="D651" s="2" t="n">
        <v>35690</v>
      </c>
      <c r="E651" s="1" t="s">
        <v>763</v>
      </c>
      <c r="F651" s="1" t="s">
        <v>711</v>
      </c>
      <c r="G651" s="1" t="s">
        <v>712</v>
      </c>
      <c r="H651" s="1" t="s">
        <v>713</v>
      </c>
      <c r="I651" s="1" t="s">
        <v>714</v>
      </c>
      <c r="J651" s="1" t="s">
        <v>3752</v>
      </c>
      <c r="K651" s="1" t="s">
        <v>3753</v>
      </c>
      <c r="L651" s="1" t="s">
        <v>3754</v>
      </c>
      <c r="M651" s="1" t="s">
        <v>718</v>
      </c>
    </row>
    <row r="652" customFormat="false" ht="15" hidden="false" customHeight="false" outlineLevel="0" collapsed="false">
      <c r="A652" s="1" t="s">
        <v>3757</v>
      </c>
      <c r="B652" s="1" t="s">
        <v>3758</v>
      </c>
      <c r="C652" s="1" t="s">
        <v>1491</v>
      </c>
      <c r="D652" s="2" t="n">
        <v>35979</v>
      </c>
      <c r="E652" s="1" t="s">
        <v>710</v>
      </c>
      <c r="F652" s="1" t="s">
        <v>711</v>
      </c>
      <c r="G652" s="1" t="s">
        <v>722</v>
      </c>
      <c r="H652" s="1" t="s">
        <v>713</v>
      </c>
      <c r="I652" s="1" t="s">
        <v>714</v>
      </c>
      <c r="J652" s="1" t="s">
        <v>1431</v>
      </c>
      <c r="K652" s="1" t="s">
        <v>3759</v>
      </c>
      <c r="L652" s="1" t="s">
        <v>3760</v>
      </c>
      <c r="M652" s="1" t="s">
        <v>718</v>
      </c>
    </row>
    <row r="653" customFormat="false" ht="15" hidden="false" customHeight="false" outlineLevel="0" collapsed="false">
      <c r="A653" s="1" t="s">
        <v>3761</v>
      </c>
      <c r="B653" s="1" t="s">
        <v>3762</v>
      </c>
      <c r="C653" s="1" t="s">
        <v>3763</v>
      </c>
      <c r="D653" s="2" t="n">
        <v>35717</v>
      </c>
      <c r="E653" s="1" t="s">
        <v>710</v>
      </c>
      <c r="F653" s="1" t="s">
        <v>711</v>
      </c>
      <c r="G653" s="1" t="s">
        <v>722</v>
      </c>
      <c r="H653" s="1" t="s">
        <v>713</v>
      </c>
      <c r="I653" s="1" t="s">
        <v>714</v>
      </c>
      <c r="J653" s="1" t="s">
        <v>780</v>
      </c>
      <c r="K653" s="1" t="s">
        <v>3764</v>
      </c>
      <c r="L653" s="1" t="s">
        <v>1655</v>
      </c>
      <c r="M653" s="1" t="s">
        <v>718</v>
      </c>
    </row>
    <row r="654" customFormat="false" ht="15" hidden="false" customHeight="false" outlineLevel="0" collapsed="false">
      <c r="A654" s="1" t="s">
        <v>3765</v>
      </c>
      <c r="B654" s="1" t="s">
        <v>3766</v>
      </c>
      <c r="C654" s="1" t="s">
        <v>3660</v>
      </c>
      <c r="D654" s="2" t="n">
        <v>36002</v>
      </c>
      <c r="E654" s="1" t="s">
        <v>710</v>
      </c>
      <c r="F654" s="1" t="s">
        <v>711</v>
      </c>
      <c r="G654" s="1" t="s">
        <v>722</v>
      </c>
      <c r="H654" s="1" t="s">
        <v>713</v>
      </c>
      <c r="I654" s="1" t="s">
        <v>714</v>
      </c>
      <c r="J654" s="1" t="s">
        <v>3767</v>
      </c>
      <c r="K654" s="1" t="s">
        <v>3768</v>
      </c>
      <c r="L654" s="1" t="s">
        <v>1119</v>
      </c>
      <c r="M654" s="1" t="s">
        <v>718</v>
      </c>
    </row>
    <row r="655" customFormat="false" ht="15" hidden="false" customHeight="false" outlineLevel="0" collapsed="false">
      <c r="A655" s="1" t="s">
        <v>3769</v>
      </c>
      <c r="B655" s="1" t="s">
        <v>3770</v>
      </c>
      <c r="C655" s="1" t="s">
        <v>2121</v>
      </c>
      <c r="D655" s="2" t="n">
        <v>36089</v>
      </c>
      <c r="E655" s="1" t="s">
        <v>763</v>
      </c>
      <c r="F655" s="1" t="s">
        <v>711</v>
      </c>
      <c r="G655" s="1" t="s">
        <v>712</v>
      </c>
      <c r="H655" s="1" t="s">
        <v>713</v>
      </c>
      <c r="I655" s="1" t="s">
        <v>714</v>
      </c>
      <c r="J655" s="1" t="s">
        <v>3557</v>
      </c>
      <c r="K655" s="1" t="s">
        <v>3771</v>
      </c>
      <c r="L655" s="1" t="s">
        <v>3772</v>
      </c>
      <c r="M655" s="1" t="s">
        <v>718</v>
      </c>
    </row>
    <row r="656" customFormat="false" ht="15" hidden="false" customHeight="false" outlineLevel="0" collapsed="false">
      <c r="A656" s="1" t="s">
        <v>3773</v>
      </c>
      <c r="B656" s="1" t="s">
        <v>3774</v>
      </c>
      <c r="C656" s="1" t="s">
        <v>3775</v>
      </c>
      <c r="D656" s="2" t="n">
        <v>36117</v>
      </c>
      <c r="E656" s="1" t="s">
        <v>763</v>
      </c>
      <c r="F656" s="1" t="s">
        <v>711</v>
      </c>
      <c r="G656" s="1" t="s">
        <v>722</v>
      </c>
      <c r="H656" s="1" t="s">
        <v>713</v>
      </c>
      <c r="I656" s="1" t="s">
        <v>714</v>
      </c>
      <c r="J656" s="1" t="s">
        <v>3776</v>
      </c>
      <c r="K656" s="1" t="s">
        <v>3777</v>
      </c>
      <c r="L656" s="1" t="s">
        <v>3778</v>
      </c>
      <c r="M656" s="1" t="s">
        <v>718</v>
      </c>
    </row>
    <row r="657" customFormat="false" ht="15" hidden="false" customHeight="false" outlineLevel="0" collapsed="false">
      <c r="A657" s="1" t="s">
        <v>3779</v>
      </c>
      <c r="B657" s="1" t="s">
        <v>3780</v>
      </c>
      <c r="C657" s="1" t="s">
        <v>3781</v>
      </c>
      <c r="D657" s="2" t="n">
        <v>35897</v>
      </c>
      <c r="E657" s="1" t="s">
        <v>710</v>
      </c>
      <c r="F657" s="1" t="s">
        <v>711</v>
      </c>
      <c r="G657" s="1" t="s">
        <v>722</v>
      </c>
      <c r="H657" s="1" t="s">
        <v>713</v>
      </c>
      <c r="I657" s="1" t="s">
        <v>714</v>
      </c>
      <c r="J657" s="1" t="s">
        <v>780</v>
      </c>
      <c r="K657" s="1" t="s">
        <v>3782</v>
      </c>
      <c r="L657" s="1" t="s">
        <v>3783</v>
      </c>
      <c r="M657" s="1" t="s">
        <v>718</v>
      </c>
    </row>
    <row r="658" customFormat="false" ht="15" hidden="false" customHeight="false" outlineLevel="0" collapsed="false">
      <c r="A658" s="1" t="s">
        <v>3784</v>
      </c>
      <c r="B658" s="1" t="s">
        <v>3785</v>
      </c>
      <c r="C658" s="1" t="s">
        <v>1606</v>
      </c>
      <c r="D658" s="2" t="n">
        <v>36163</v>
      </c>
      <c r="E658" s="1" t="s">
        <v>763</v>
      </c>
      <c r="F658" s="1" t="s">
        <v>711</v>
      </c>
      <c r="G658" s="1" t="s">
        <v>722</v>
      </c>
      <c r="H658" s="1" t="s">
        <v>713</v>
      </c>
      <c r="I658" s="1" t="s">
        <v>714</v>
      </c>
      <c r="J658" s="1" t="s">
        <v>3786</v>
      </c>
      <c r="K658" s="1" t="s">
        <v>716</v>
      </c>
      <c r="L658" s="1" t="s">
        <v>2372</v>
      </c>
      <c r="M658" s="1" t="s">
        <v>718</v>
      </c>
    </row>
    <row r="659" customFormat="false" ht="15" hidden="false" customHeight="false" outlineLevel="0" collapsed="false">
      <c r="A659" s="1" t="s">
        <v>3787</v>
      </c>
      <c r="B659" s="1" t="s">
        <v>3788</v>
      </c>
      <c r="C659" s="1" t="s">
        <v>3789</v>
      </c>
      <c r="D659" s="2" t="n">
        <v>36192</v>
      </c>
      <c r="E659" s="1" t="s">
        <v>763</v>
      </c>
      <c r="F659" s="1" t="s">
        <v>711</v>
      </c>
      <c r="G659" s="1" t="s">
        <v>1220</v>
      </c>
      <c r="H659" s="1" t="s">
        <v>713</v>
      </c>
      <c r="I659" s="1" t="s">
        <v>714</v>
      </c>
      <c r="J659" s="1" t="s">
        <v>3790</v>
      </c>
      <c r="K659" s="1" t="s">
        <v>3791</v>
      </c>
      <c r="L659" s="1" t="s">
        <v>3792</v>
      </c>
      <c r="M659" s="1" t="s">
        <v>718</v>
      </c>
    </row>
    <row r="660" customFormat="false" ht="15" hidden="false" customHeight="false" outlineLevel="0" collapsed="false">
      <c r="A660" s="1" t="s">
        <v>3793</v>
      </c>
      <c r="B660" s="1" t="s">
        <v>2650</v>
      </c>
      <c r="C660" s="1" t="s">
        <v>3794</v>
      </c>
      <c r="D660" s="2" t="n">
        <v>35868</v>
      </c>
      <c r="E660" s="1" t="s">
        <v>710</v>
      </c>
      <c r="F660" s="1" t="s">
        <v>711</v>
      </c>
      <c r="G660" s="1" t="s">
        <v>712</v>
      </c>
      <c r="H660" s="1" t="s">
        <v>713</v>
      </c>
      <c r="I660" s="1" t="s">
        <v>714</v>
      </c>
      <c r="J660" s="1" t="s">
        <v>3786</v>
      </c>
      <c r="K660" s="1" t="s">
        <v>3795</v>
      </c>
      <c r="L660" s="1" t="s">
        <v>3796</v>
      </c>
      <c r="M660" s="1" t="s">
        <v>718</v>
      </c>
    </row>
    <row r="661" customFormat="false" ht="15" hidden="false" customHeight="false" outlineLevel="0" collapsed="false">
      <c r="A661" s="1" t="s">
        <v>3797</v>
      </c>
      <c r="B661" s="1" t="s">
        <v>3798</v>
      </c>
      <c r="C661" s="1" t="s">
        <v>2326</v>
      </c>
      <c r="D661" s="2" t="n">
        <v>35562</v>
      </c>
      <c r="E661" s="1" t="s">
        <v>763</v>
      </c>
      <c r="F661" s="1" t="s">
        <v>711</v>
      </c>
      <c r="G661" s="1" t="s">
        <v>3799</v>
      </c>
      <c r="H661" s="1" t="s">
        <v>713</v>
      </c>
      <c r="I661" s="1" t="s">
        <v>714</v>
      </c>
      <c r="J661" s="1" t="s">
        <v>3678</v>
      </c>
      <c r="K661" s="1" t="s">
        <v>3800</v>
      </c>
      <c r="L661" s="1" t="s">
        <v>2327</v>
      </c>
      <c r="M661" s="1" t="s">
        <v>718</v>
      </c>
    </row>
    <row r="662" customFormat="false" ht="15" hidden="false" customHeight="false" outlineLevel="0" collapsed="false">
      <c r="A662" s="1" t="s">
        <v>3801</v>
      </c>
      <c r="B662" s="1" t="s">
        <v>3802</v>
      </c>
      <c r="C662" s="1" t="s">
        <v>739</v>
      </c>
      <c r="D662" s="2" t="n">
        <v>35723</v>
      </c>
      <c r="E662" s="1" t="s">
        <v>763</v>
      </c>
      <c r="F662" s="1" t="s">
        <v>711</v>
      </c>
      <c r="G662" s="1" t="s">
        <v>722</v>
      </c>
      <c r="H662" s="1" t="s">
        <v>713</v>
      </c>
      <c r="I662" s="1" t="s">
        <v>714</v>
      </c>
      <c r="J662" s="1" t="s">
        <v>3746</v>
      </c>
      <c r="K662" s="1" t="s">
        <v>3803</v>
      </c>
      <c r="L662" s="1" t="s">
        <v>3804</v>
      </c>
      <c r="M662" s="1" t="s">
        <v>718</v>
      </c>
    </row>
    <row r="663" customFormat="false" ht="15" hidden="false" customHeight="false" outlineLevel="0" collapsed="false">
      <c r="A663" s="1" t="s">
        <v>3805</v>
      </c>
      <c r="B663" s="1" t="s">
        <v>3806</v>
      </c>
      <c r="C663" s="1" t="s">
        <v>3807</v>
      </c>
      <c r="D663" s="2" t="n">
        <v>35872</v>
      </c>
      <c r="E663" s="1" t="s">
        <v>763</v>
      </c>
      <c r="F663" s="1" t="s">
        <v>711</v>
      </c>
      <c r="G663" s="1" t="s">
        <v>722</v>
      </c>
      <c r="H663" s="1" t="s">
        <v>713</v>
      </c>
      <c r="I663" s="1" t="s">
        <v>714</v>
      </c>
      <c r="J663" s="1" t="s">
        <v>3808</v>
      </c>
      <c r="K663" s="1" t="s">
        <v>716</v>
      </c>
      <c r="L663" s="1" t="s">
        <v>3809</v>
      </c>
      <c r="M663" s="1" t="s">
        <v>718</v>
      </c>
    </row>
    <row r="664" customFormat="false" ht="15" hidden="false" customHeight="false" outlineLevel="0" collapsed="false">
      <c r="A664" s="1" t="s">
        <v>3810</v>
      </c>
      <c r="B664" s="1" t="s">
        <v>3811</v>
      </c>
      <c r="C664" s="1" t="s">
        <v>3812</v>
      </c>
      <c r="D664" s="2" t="n">
        <v>35630</v>
      </c>
      <c r="E664" s="1" t="s">
        <v>763</v>
      </c>
      <c r="F664" s="1" t="s">
        <v>711</v>
      </c>
      <c r="G664" s="1" t="s">
        <v>722</v>
      </c>
      <c r="H664" s="1" t="s">
        <v>713</v>
      </c>
      <c r="I664" s="1" t="s">
        <v>714</v>
      </c>
      <c r="J664" s="1" t="s">
        <v>3813</v>
      </c>
      <c r="K664" s="1" t="s">
        <v>3814</v>
      </c>
      <c r="L664" s="1" t="s">
        <v>2700</v>
      </c>
      <c r="M664" s="1" t="s">
        <v>718</v>
      </c>
    </row>
    <row r="665" customFormat="false" ht="15" hidden="false" customHeight="false" outlineLevel="0" collapsed="false">
      <c r="A665" s="1" t="s">
        <v>3815</v>
      </c>
      <c r="B665" s="1" t="s">
        <v>3816</v>
      </c>
      <c r="C665" s="1" t="s">
        <v>3817</v>
      </c>
      <c r="D665" s="2" t="n">
        <v>36056</v>
      </c>
      <c r="E665" s="1" t="s">
        <v>763</v>
      </c>
      <c r="F665" s="1" t="s">
        <v>711</v>
      </c>
      <c r="G665" s="1" t="s">
        <v>712</v>
      </c>
      <c r="H665" s="1" t="s">
        <v>713</v>
      </c>
      <c r="I665" s="1" t="s">
        <v>714</v>
      </c>
      <c r="J665" s="1" t="s">
        <v>3818</v>
      </c>
      <c r="K665" s="1" t="s">
        <v>3819</v>
      </c>
      <c r="L665" s="1" t="s">
        <v>3820</v>
      </c>
      <c r="M665" s="1" t="s">
        <v>718</v>
      </c>
    </row>
    <row r="666" customFormat="false" ht="15" hidden="false" customHeight="false" outlineLevel="0" collapsed="false">
      <c r="A666" s="1" t="s">
        <v>3821</v>
      </c>
      <c r="B666" s="1" t="s">
        <v>3822</v>
      </c>
      <c r="C666" s="1" t="s">
        <v>3823</v>
      </c>
      <c r="D666" s="2" t="n">
        <v>36117</v>
      </c>
      <c r="E666" s="1" t="s">
        <v>710</v>
      </c>
      <c r="F666" s="1" t="s">
        <v>711</v>
      </c>
      <c r="G666" s="1" t="s">
        <v>712</v>
      </c>
      <c r="H666" s="1" t="s">
        <v>713</v>
      </c>
      <c r="I666" s="1" t="s">
        <v>714</v>
      </c>
      <c r="J666" s="1" t="s">
        <v>821</v>
      </c>
      <c r="K666" s="1" t="s">
        <v>3824</v>
      </c>
      <c r="L666" s="1" t="s">
        <v>3825</v>
      </c>
      <c r="M666" s="1" t="s">
        <v>718</v>
      </c>
    </row>
    <row r="667" customFormat="false" ht="15" hidden="false" customHeight="false" outlineLevel="0" collapsed="false">
      <c r="A667" s="1" t="s">
        <v>3826</v>
      </c>
      <c r="B667" s="1" t="s">
        <v>3827</v>
      </c>
      <c r="C667" s="1" t="s">
        <v>3828</v>
      </c>
      <c r="D667" s="2" t="n">
        <v>36089</v>
      </c>
      <c r="E667" s="1" t="s">
        <v>710</v>
      </c>
      <c r="F667" s="1" t="s">
        <v>711</v>
      </c>
      <c r="G667" s="1" t="s">
        <v>712</v>
      </c>
      <c r="H667" s="1" t="s">
        <v>713</v>
      </c>
      <c r="I667" s="1" t="s">
        <v>714</v>
      </c>
      <c r="J667" s="1" t="s">
        <v>3829</v>
      </c>
      <c r="K667" s="1" t="s">
        <v>3830</v>
      </c>
      <c r="L667" s="1" t="s">
        <v>3831</v>
      </c>
      <c r="M667" s="1" t="s">
        <v>718</v>
      </c>
    </row>
    <row r="668" customFormat="false" ht="15" hidden="false" customHeight="false" outlineLevel="0" collapsed="false">
      <c r="A668" s="1" t="s">
        <v>3832</v>
      </c>
      <c r="B668" s="1" t="s">
        <v>3833</v>
      </c>
      <c r="C668" s="1" t="s">
        <v>3834</v>
      </c>
      <c r="D668" s="2" t="n">
        <v>35853</v>
      </c>
      <c r="E668" s="1" t="s">
        <v>763</v>
      </c>
      <c r="F668" s="1" t="s">
        <v>711</v>
      </c>
      <c r="G668" s="1" t="s">
        <v>712</v>
      </c>
      <c r="H668" s="1" t="s">
        <v>713</v>
      </c>
      <c r="I668" s="1" t="s">
        <v>714</v>
      </c>
      <c r="J668" s="1" t="s">
        <v>3835</v>
      </c>
      <c r="K668" s="1" t="s">
        <v>3836</v>
      </c>
      <c r="L668" s="1" t="s">
        <v>3837</v>
      </c>
      <c r="M668" s="1" t="s">
        <v>718</v>
      </c>
    </row>
    <row r="669" customFormat="false" ht="15" hidden="false" customHeight="false" outlineLevel="0" collapsed="false">
      <c r="A669" s="1" t="s">
        <v>3838</v>
      </c>
      <c r="B669" s="1" t="s">
        <v>3839</v>
      </c>
      <c r="C669" s="1" t="s">
        <v>3840</v>
      </c>
      <c r="D669" s="2" t="n">
        <v>36004</v>
      </c>
      <c r="E669" s="1" t="s">
        <v>763</v>
      </c>
      <c r="F669" s="1" t="s">
        <v>711</v>
      </c>
      <c r="G669" s="1" t="s">
        <v>722</v>
      </c>
      <c r="H669" s="1" t="s">
        <v>713</v>
      </c>
      <c r="I669" s="1" t="s">
        <v>714</v>
      </c>
      <c r="J669" s="1" t="s">
        <v>3841</v>
      </c>
      <c r="K669" s="1" t="s">
        <v>3842</v>
      </c>
      <c r="L669" s="1" t="s">
        <v>2640</v>
      </c>
      <c r="M669" s="1" t="s">
        <v>718</v>
      </c>
    </row>
    <row r="670" customFormat="false" ht="15" hidden="false" customHeight="false" outlineLevel="0" collapsed="false">
      <c r="A670" s="1" t="s">
        <v>3843</v>
      </c>
      <c r="B670" s="1" t="s">
        <v>3844</v>
      </c>
      <c r="C670" s="1" t="s">
        <v>3845</v>
      </c>
      <c r="D670" s="2" t="n">
        <v>36247</v>
      </c>
      <c r="E670" s="1" t="s">
        <v>763</v>
      </c>
      <c r="F670" s="1" t="s">
        <v>711</v>
      </c>
      <c r="G670" s="1" t="s">
        <v>712</v>
      </c>
      <c r="H670" s="1" t="s">
        <v>713</v>
      </c>
      <c r="I670" s="1" t="s">
        <v>714</v>
      </c>
      <c r="J670" s="1" t="s">
        <v>3846</v>
      </c>
      <c r="K670" s="1" t="s">
        <v>716</v>
      </c>
      <c r="L670" s="1" t="s">
        <v>3847</v>
      </c>
      <c r="M670" s="1" t="s">
        <v>718</v>
      </c>
    </row>
    <row r="671" customFormat="false" ht="15" hidden="false" customHeight="false" outlineLevel="0" collapsed="false">
      <c r="A671" s="1" t="s">
        <v>3848</v>
      </c>
      <c r="B671" s="1" t="s">
        <v>3849</v>
      </c>
      <c r="C671" s="1" t="s">
        <v>3850</v>
      </c>
      <c r="D671" s="2" t="n">
        <v>36144</v>
      </c>
      <c r="E671" s="1" t="s">
        <v>763</v>
      </c>
      <c r="F671" s="1" t="s">
        <v>711</v>
      </c>
      <c r="G671" s="1" t="s">
        <v>712</v>
      </c>
      <c r="H671" s="1" t="s">
        <v>713</v>
      </c>
      <c r="I671" s="1" t="s">
        <v>714</v>
      </c>
      <c r="J671" s="1" t="s">
        <v>3851</v>
      </c>
      <c r="K671" s="1" t="s">
        <v>3852</v>
      </c>
      <c r="L671" s="1" t="s">
        <v>3853</v>
      </c>
      <c r="M671" s="1" t="s">
        <v>718</v>
      </c>
    </row>
    <row r="672" customFormat="false" ht="15" hidden="false" customHeight="false" outlineLevel="0" collapsed="false">
      <c r="A672" s="1" t="s">
        <v>3854</v>
      </c>
      <c r="B672" s="1" t="s">
        <v>3855</v>
      </c>
      <c r="C672" s="1" t="s">
        <v>3856</v>
      </c>
      <c r="D672" s="2" t="n">
        <v>36257</v>
      </c>
      <c r="E672" s="1" t="s">
        <v>710</v>
      </c>
      <c r="F672" s="1" t="s">
        <v>711</v>
      </c>
      <c r="G672" s="1" t="s">
        <v>712</v>
      </c>
      <c r="H672" s="1" t="s">
        <v>713</v>
      </c>
      <c r="I672" s="1" t="s">
        <v>714</v>
      </c>
      <c r="J672" s="1" t="s">
        <v>3678</v>
      </c>
      <c r="K672" s="1" t="s">
        <v>3857</v>
      </c>
      <c r="L672" s="1" t="s">
        <v>3858</v>
      </c>
      <c r="M672" s="1" t="s">
        <v>718</v>
      </c>
    </row>
    <row r="673" customFormat="false" ht="15" hidden="false" customHeight="false" outlineLevel="0" collapsed="false">
      <c r="A673" s="1" t="s">
        <v>3859</v>
      </c>
      <c r="B673" s="1" t="s">
        <v>3860</v>
      </c>
      <c r="C673" s="1" t="s">
        <v>1210</v>
      </c>
      <c r="D673" s="2" t="n">
        <v>35637</v>
      </c>
      <c r="E673" s="1" t="s">
        <v>763</v>
      </c>
      <c r="F673" s="1" t="s">
        <v>711</v>
      </c>
      <c r="G673" s="1" t="s">
        <v>775</v>
      </c>
      <c r="H673" s="1" t="s">
        <v>713</v>
      </c>
      <c r="I673" s="1" t="s">
        <v>714</v>
      </c>
      <c r="J673" s="1" t="s">
        <v>3861</v>
      </c>
      <c r="K673" s="1" t="s">
        <v>3862</v>
      </c>
      <c r="L673" s="1" t="s">
        <v>1211</v>
      </c>
      <c r="M673" s="1" t="s">
        <v>718</v>
      </c>
    </row>
    <row r="674" customFormat="false" ht="15" hidden="false" customHeight="false" outlineLevel="0" collapsed="false">
      <c r="A674" s="1" t="s">
        <v>3863</v>
      </c>
      <c r="B674" s="1" t="s">
        <v>3864</v>
      </c>
      <c r="C674" s="1" t="s">
        <v>3865</v>
      </c>
      <c r="D674" s="2" t="n">
        <v>36122</v>
      </c>
      <c r="E674" s="1" t="s">
        <v>763</v>
      </c>
      <c r="F674" s="1" t="s">
        <v>711</v>
      </c>
      <c r="G674" s="1" t="s">
        <v>712</v>
      </c>
      <c r="H674" s="1" t="s">
        <v>713</v>
      </c>
      <c r="I674" s="1" t="s">
        <v>714</v>
      </c>
      <c r="J674" s="1" t="s">
        <v>780</v>
      </c>
      <c r="K674" s="1" t="s">
        <v>3866</v>
      </c>
      <c r="L674" s="1" t="s">
        <v>3867</v>
      </c>
      <c r="M674" s="1" t="s">
        <v>718</v>
      </c>
    </row>
    <row r="675" customFormat="false" ht="15" hidden="false" customHeight="false" outlineLevel="0" collapsed="false">
      <c r="A675" s="1" t="s">
        <v>3868</v>
      </c>
      <c r="B675" s="1" t="s">
        <v>3869</v>
      </c>
      <c r="C675" s="1" t="s">
        <v>3870</v>
      </c>
      <c r="D675" s="2" t="n">
        <v>36058</v>
      </c>
      <c r="E675" s="1" t="s">
        <v>763</v>
      </c>
      <c r="F675" s="1" t="s">
        <v>711</v>
      </c>
      <c r="G675" s="1" t="s">
        <v>712</v>
      </c>
      <c r="H675" s="1" t="s">
        <v>713</v>
      </c>
      <c r="I675" s="1" t="s">
        <v>714</v>
      </c>
      <c r="J675" s="1" t="s">
        <v>1244</v>
      </c>
      <c r="K675" s="1" t="s">
        <v>3871</v>
      </c>
      <c r="L675" s="1" t="s">
        <v>3872</v>
      </c>
      <c r="M675" s="1" t="s">
        <v>718</v>
      </c>
    </row>
    <row r="676" customFormat="false" ht="15" hidden="false" customHeight="false" outlineLevel="0" collapsed="false">
      <c r="A676" s="1" t="s">
        <v>3873</v>
      </c>
      <c r="B676" s="1" t="s">
        <v>3874</v>
      </c>
      <c r="C676" s="1" t="s">
        <v>3875</v>
      </c>
      <c r="D676" s="2" t="n">
        <v>35823</v>
      </c>
      <c r="E676" s="1" t="s">
        <v>763</v>
      </c>
      <c r="F676" s="1" t="s">
        <v>711</v>
      </c>
      <c r="G676" s="1" t="s">
        <v>722</v>
      </c>
      <c r="H676" s="1" t="s">
        <v>713</v>
      </c>
      <c r="I676" s="1" t="s">
        <v>714</v>
      </c>
      <c r="J676" s="1" t="s">
        <v>1611</v>
      </c>
      <c r="K676" s="1" t="s">
        <v>3183</v>
      </c>
      <c r="L676" s="1" t="s">
        <v>3184</v>
      </c>
      <c r="M676" s="1" t="s">
        <v>718</v>
      </c>
    </row>
    <row r="677" customFormat="false" ht="15" hidden="false" customHeight="false" outlineLevel="0" collapsed="false">
      <c r="A677" s="1" t="s">
        <v>3876</v>
      </c>
      <c r="B677" s="1" t="s">
        <v>3877</v>
      </c>
      <c r="C677" s="1" t="s">
        <v>3878</v>
      </c>
      <c r="D677" s="2" t="n">
        <v>35441</v>
      </c>
      <c r="E677" s="1" t="s">
        <v>710</v>
      </c>
      <c r="F677" s="1" t="s">
        <v>711</v>
      </c>
      <c r="G677" s="1" t="s">
        <v>722</v>
      </c>
      <c r="H677" s="1" t="s">
        <v>713</v>
      </c>
      <c r="I677" s="1" t="s">
        <v>714</v>
      </c>
      <c r="J677" s="1" t="s">
        <v>3879</v>
      </c>
      <c r="K677" s="1" t="s">
        <v>3880</v>
      </c>
      <c r="L677" s="1" t="s">
        <v>3881</v>
      </c>
      <c r="M677" s="1" t="s">
        <v>718</v>
      </c>
    </row>
    <row r="678" customFormat="false" ht="15" hidden="false" customHeight="false" outlineLevel="0" collapsed="false">
      <c r="A678" s="1" t="s">
        <v>3882</v>
      </c>
      <c r="B678" s="1" t="s">
        <v>3883</v>
      </c>
      <c r="C678" s="1" t="s">
        <v>3884</v>
      </c>
      <c r="D678" s="2" t="n">
        <v>36102</v>
      </c>
      <c r="E678" s="1" t="s">
        <v>763</v>
      </c>
      <c r="F678" s="1" t="s">
        <v>711</v>
      </c>
      <c r="G678" s="1" t="s">
        <v>712</v>
      </c>
      <c r="H678" s="1" t="s">
        <v>713</v>
      </c>
      <c r="I678" s="1" t="s">
        <v>714</v>
      </c>
      <c r="J678" s="1" t="s">
        <v>3365</v>
      </c>
      <c r="K678" s="1" t="s">
        <v>3885</v>
      </c>
      <c r="L678" s="1" t="s">
        <v>3886</v>
      </c>
      <c r="M678" s="1" t="s">
        <v>718</v>
      </c>
    </row>
    <row r="679" customFormat="false" ht="15" hidden="false" customHeight="false" outlineLevel="0" collapsed="false">
      <c r="A679" s="1" t="s">
        <v>3887</v>
      </c>
      <c r="B679" s="1" t="s">
        <v>3888</v>
      </c>
      <c r="C679" s="1" t="s">
        <v>3889</v>
      </c>
      <c r="D679" s="2" t="n">
        <v>35414</v>
      </c>
      <c r="E679" s="1" t="s">
        <v>763</v>
      </c>
      <c r="F679" s="1" t="s">
        <v>711</v>
      </c>
      <c r="G679" s="1" t="s">
        <v>722</v>
      </c>
      <c r="H679" s="1" t="s">
        <v>713</v>
      </c>
      <c r="I679" s="1" t="s">
        <v>714</v>
      </c>
      <c r="J679" s="1" t="s">
        <v>1244</v>
      </c>
      <c r="K679" s="1" t="s">
        <v>3890</v>
      </c>
      <c r="L679" s="1" t="s">
        <v>1965</v>
      </c>
      <c r="M679" s="1" t="s">
        <v>718</v>
      </c>
    </row>
    <row r="680" customFormat="false" ht="15" hidden="false" customHeight="false" outlineLevel="0" collapsed="false">
      <c r="A680" s="1" t="s">
        <v>3891</v>
      </c>
      <c r="B680" s="1" t="s">
        <v>1538</v>
      </c>
      <c r="C680" s="1" t="s">
        <v>3892</v>
      </c>
      <c r="D680" s="2" t="n">
        <v>35806</v>
      </c>
      <c r="E680" s="1" t="s">
        <v>763</v>
      </c>
      <c r="F680" s="1" t="s">
        <v>711</v>
      </c>
      <c r="G680" s="1" t="s">
        <v>1563</v>
      </c>
      <c r="H680" s="1" t="s">
        <v>713</v>
      </c>
      <c r="I680" s="1" t="s">
        <v>714</v>
      </c>
      <c r="J680" s="1" t="s">
        <v>3893</v>
      </c>
      <c r="K680" s="1" t="s">
        <v>716</v>
      </c>
      <c r="L680" s="1" t="s">
        <v>3894</v>
      </c>
      <c r="M680" s="1" t="s">
        <v>718</v>
      </c>
    </row>
    <row r="681" customFormat="false" ht="15" hidden="false" customHeight="false" outlineLevel="0" collapsed="false">
      <c r="A681" s="1" t="s">
        <v>3895</v>
      </c>
      <c r="B681" s="1" t="s">
        <v>3896</v>
      </c>
      <c r="C681" s="1" t="s">
        <v>3897</v>
      </c>
      <c r="D681" s="2" t="n">
        <v>36031</v>
      </c>
      <c r="E681" s="1" t="s">
        <v>763</v>
      </c>
      <c r="F681" s="1" t="s">
        <v>711</v>
      </c>
      <c r="G681" s="1" t="s">
        <v>712</v>
      </c>
      <c r="H681" s="1" t="s">
        <v>713</v>
      </c>
      <c r="I681" s="1" t="s">
        <v>714</v>
      </c>
      <c r="J681" s="1" t="s">
        <v>821</v>
      </c>
      <c r="K681" s="1" t="s">
        <v>3898</v>
      </c>
      <c r="L681" s="1" t="s">
        <v>3899</v>
      </c>
      <c r="M681" s="1" t="s">
        <v>718</v>
      </c>
    </row>
    <row r="682" customFormat="false" ht="15" hidden="false" customHeight="false" outlineLevel="0" collapsed="false">
      <c r="A682" s="1" t="s">
        <v>3900</v>
      </c>
      <c r="B682" s="1" t="s">
        <v>3901</v>
      </c>
      <c r="C682" s="1" t="s">
        <v>3902</v>
      </c>
      <c r="D682" s="2" t="n">
        <v>34698</v>
      </c>
      <c r="E682" s="1" t="s">
        <v>710</v>
      </c>
      <c r="F682" s="1" t="s">
        <v>711</v>
      </c>
      <c r="G682" s="1" t="s">
        <v>712</v>
      </c>
      <c r="H682" s="1" t="s">
        <v>713</v>
      </c>
      <c r="I682" s="1" t="s">
        <v>714</v>
      </c>
      <c r="J682" s="1" t="s">
        <v>3903</v>
      </c>
      <c r="K682" s="1" t="s">
        <v>3904</v>
      </c>
      <c r="L682" s="1" t="s">
        <v>3905</v>
      </c>
      <c r="M682" s="1" t="s">
        <v>718</v>
      </c>
    </row>
    <row r="683" customFormat="false" ht="15" hidden="false" customHeight="false" outlineLevel="0" collapsed="false">
      <c r="A683" s="1" t="s">
        <v>3906</v>
      </c>
      <c r="B683" s="1" t="s">
        <v>3907</v>
      </c>
      <c r="C683" s="1" t="s">
        <v>3908</v>
      </c>
      <c r="D683" s="2" t="n">
        <v>36123</v>
      </c>
      <c r="E683" s="1" t="s">
        <v>763</v>
      </c>
      <c r="F683" s="1" t="s">
        <v>711</v>
      </c>
      <c r="G683" s="1" t="s">
        <v>712</v>
      </c>
      <c r="H683" s="1" t="s">
        <v>713</v>
      </c>
      <c r="I683" s="1" t="s">
        <v>714</v>
      </c>
      <c r="J683" s="1" t="s">
        <v>3909</v>
      </c>
      <c r="K683" s="1" t="s">
        <v>3910</v>
      </c>
      <c r="L683" s="1" t="s">
        <v>3911</v>
      </c>
      <c r="M683" s="1" t="s">
        <v>718</v>
      </c>
    </row>
    <row r="684" customFormat="false" ht="15" hidden="false" customHeight="false" outlineLevel="0" collapsed="false">
      <c r="A684" s="1" t="s">
        <v>3912</v>
      </c>
      <c r="B684" s="1" t="s">
        <v>3913</v>
      </c>
      <c r="C684" s="1" t="s">
        <v>3914</v>
      </c>
      <c r="D684" s="2" t="n">
        <v>36328</v>
      </c>
      <c r="E684" s="1" t="s">
        <v>763</v>
      </c>
      <c r="F684" s="1" t="s">
        <v>711</v>
      </c>
      <c r="G684" s="1" t="s">
        <v>722</v>
      </c>
      <c r="H684" s="1" t="s">
        <v>713</v>
      </c>
      <c r="I684" s="1" t="s">
        <v>714</v>
      </c>
      <c r="J684" s="1" t="s">
        <v>1904</v>
      </c>
      <c r="K684" s="1" t="s">
        <v>3915</v>
      </c>
      <c r="L684" s="1" t="s">
        <v>3916</v>
      </c>
      <c r="M684" s="1" t="s">
        <v>718</v>
      </c>
    </row>
    <row r="685" customFormat="false" ht="15" hidden="false" customHeight="false" outlineLevel="0" collapsed="false">
      <c r="A685" s="1" t="s">
        <v>3917</v>
      </c>
      <c r="B685" s="1" t="s">
        <v>3918</v>
      </c>
      <c r="C685" s="1" t="s">
        <v>1637</v>
      </c>
      <c r="D685" s="2" t="n">
        <v>36416</v>
      </c>
      <c r="E685" s="1" t="s">
        <v>710</v>
      </c>
      <c r="F685" s="1" t="s">
        <v>711</v>
      </c>
      <c r="G685" s="1" t="s">
        <v>712</v>
      </c>
      <c r="H685" s="1" t="s">
        <v>713</v>
      </c>
      <c r="I685" s="1" t="s">
        <v>714</v>
      </c>
      <c r="J685" s="1" t="s">
        <v>892</v>
      </c>
      <c r="K685" s="1" t="s">
        <v>3919</v>
      </c>
      <c r="L685" s="1" t="s">
        <v>3920</v>
      </c>
      <c r="M685" s="1" t="s">
        <v>718</v>
      </c>
    </row>
    <row r="686" customFormat="false" ht="15" hidden="false" customHeight="false" outlineLevel="0" collapsed="false">
      <c r="A686" s="1" t="s">
        <v>3921</v>
      </c>
      <c r="B686" s="1" t="s">
        <v>3922</v>
      </c>
      <c r="C686" s="1" t="s">
        <v>1104</v>
      </c>
      <c r="D686" s="2" t="n">
        <v>36344</v>
      </c>
      <c r="E686" s="1" t="s">
        <v>710</v>
      </c>
      <c r="F686" s="1" t="s">
        <v>711</v>
      </c>
      <c r="G686" s="1" t="s">
        <v>712</v>
      </c>
      <c r="H686" s="1" t="s">
        <v>713</v>
      </c>
      <c r="I686" s="1" t="s">
        <v>714</v>
      </c>
      <c r="J686" s="1" t="s">
        <v>3923</v>
      </c>
      <c r="K686" s="1" t="s">
        <v>3924</v>
      </c>
      <c r="L686" s="1" t="s">
        <v>1106</v>
      </c>
      <c r="M686" s="1" t="s">
        <v>718</v>
      </c>
    </row>
    <row r="687" customFormat="false" ht="15" hidden="false" customHeight="false" outlineLevel="0" collapsed="false">
      <c r="A687" s="1" t="s">
        <v>3925</v>
      </c>
      <c r="B687" s="1" t="s">
        <v>3926</v>
      </c>
      <c r="C687" s="1" t="s">
        <v>3017</v>
      </c>
      <c r="D687" s="2" t="n">
        <v>35483</v>
      </c>
      <c r="E687" s="1" t="s">
        <v>710</v>
      </c>
      <c r="F687" s="1" t="s">
        <v>711</v>
      </c>
      <c r="G687" s="1" t="s">
        <v>722</v>
      </c>
      <c r="H687" s="1" t="s">
        <v>713</v>
      </c>
      <c r="I687" s="1" t="s">
        <v>714</v>
      </c>
      <c r="J687" s="1" t="s">
        <v>1451</v>
      </c>
      <c r="K687" s="1" t="s">
        <v>716</v>
      </c>
      <c r="L687" s="1" t="s">
        <v>3927</v>
      </c>
      <c r="M687" s="1" t="s">
        <v>718</v>
      </c>
    </row>
    <row r="688" customFormat="false" ht="15" hidden="false" customHeight="false" outlineLevel="0" collapsed="false">
      <c r="A688" s="1" t="s">
        <v>3928</v>
      </c>
      <c r="B688" s="1" t="s">
        <v>2451</v>
      </c>
      <c r="C688" s="1" t="s">
        <v>3929</v>
      </c>
      <c r="D688" s="2" t="n">
        <v>35773</v>
      </c>
      <c r="E688" s="1" t="s">
        <v>710</v>
      </c>
      <c r="F688" s="1" t="s">
        <v>711</v>
      </c>
      <c r="G688" s="1" t="s">
        <v>712</v>
      </c>
      <c r="H688" s="1" t="s">
        <v>713</v>
      </c>
      <c r="I688" s="1" t="s">
        <v>714</v>
      </c>
      <c r="J688" s="1" t="s">
        <v>3818</v>
      </c>
      <c r="K688" s="1" t="s">
        <v>3930</v>
      </c>
      <c r="L688" s="1" t="s">
        <v>3931</v>
      </c>
      <c r="M688" s="1" t="s">
        <v>718</v>
      </c>
    </row>
    <row r="689" customFormat="false" ht="15" hidden="false" customHeight="false" outlineLevel="0" collapsed="false">
      <c r="A689" s="1" t="s">
        <v>3932</v>
      </c>
      <c r="B689" s="1" t="s">
        <v>3933</v>
      </c>
      <c r="C689" s="1" t="s">
        <v>3934</v>
      </c>
      <c r="D689" s="2" t="n">
        <v>36609</v>
      </c>
      <c r="E689" s="1" t="s">
        <v>763</v>
      </c>
      <c r="F689" s="1" t="s">
        <v>711</v>
      </c>
      <c r="G689" s="1" t="s">
        <v>712</v>
      </c>
      <c r="H689" s="1" t="s">
        <v>713</v>
      </c>
      <c r="I689" s="1" t="s">
        <v>714</v>
      </c>
      <c r="J689" s="1" t="s">
        <v>3935</v>
      </c>
      <c r="K689" s="1" t="s">
        <v>3936</v>
      </c>
      <c r="L689" s="1" t="s">
        <v>3937</v>
      </c>
      <c r="M689" s="1" t="s">
        <v>718</v>
      </c>
    </row>
    <row r="690" customFormat="false" ht="15" hidden="false" customHeight="false" outlineLevel="0" collapsed="false">
      <c r="A690" s="1" t="s">
        <v>3938</v>
      </c>
      <c r="B690" s="1" t="s">
        <v>3939</v>
      </c>
      <c r="C690" s="1" t="s">
        <v>3940</v>
      </c>
      <c r="D690" s="2" t="n">
        <v>36223</v>
      </c>
      <c r="E690" s="1" t="s">
        <v>763</v>
      </c>
      <c r="F690" s="1" t="s">
        <v>711</v>
      </c>
      <c r="G690" s="1" t="s">
        <v>712</v>
      </c>
      <c r="H690" s="1" t="s">
        <v>713</v>
      </c>
      <c r="I690" s="1" t="s">
        <v>714</v>
      </c>
      <c r="J690" s="1" t="s">
        <v>3941</v>
      </c>
      <c r="K690" s="1" t="s">
        <v>716</v>
      </c>
      <c r="L690" s="1" t="s">
        <v>3942</v>
      </c>
      <c r="M690" s="1" t="s">
        <v>718</v>
      </c>
    </row>
    <row r="691" customFormat="false" ht="15" hidden="false" customHeight="false" outlineLevel="0" collapsed="false">
      <c r="A691" s="1" t="s">
        <v>3943</v>
      </c>
      <c r="B691" s="1" t="s">
        <v>3944</v>
      </c>
      <c r="C691" s="1" t="s">
        <v>3945</v>
      </c>
      <c r="D691" s="2" t="n">
        <v>36095</v>
      </c>
      <c r="E691" s="1" t="s">
        <v>763</v>
      </c>
      <c r="F691" s="1" t="s">
        <v>711</v>
      </c>
      <c r="G691" s="1" t="s">
        <v>712</v>
      </c>
      <c r="H691" s="1" t="s">
        <v>713</v>
      </c>
      <c r="I691" s="1" t="s">
        <v>714</v>
      </c>
      <c r="J691" s="1" t="s">
        <v>1010</v>
      </c>
      <c r="K691" s="1" t="s">
        <v>3946</v>
      </c>
      <c r="L691" s="1" t="s">
        <v>3947</v>
      </c>
      <c r="M691" s="1" t="s">
        <v>718</v>
      </c>
    </row>
    <row r="692" customFormat="false" ht="15" hidden="false" customHeight="false" outlineLevel="0" collapsed="false">
      <c r="A692" s="1" t="s">
        <v>3948</v>
      </c>
      <c r="B692" s="1" t="s">
        <v>3949</v>
      </c>
      <c r="C692" s="1" t="s">
        <v>3950</v>
      </c>
      <c r="D692" s="2" t="n">
        <v>36108</v>
      </c>
      <c r="E692" s="1" t="s">
        <v>763</v>
      </c>
      <c r="F692" s="1" t="s">
        <v>711</v>
      </c>
      <c r="G692" s="1" t="s">
        <v>712</v>
      </c>
      <c r="H692" s="1" t="s">
        <v>713</v>
      </c>
      <c r="I692" s="1" t="s">
        <v>714</v>
      </c>
      <c r="J692" s="1" t="s">
        <v>821</v>
      </c>
      <c r="K692" s="1" t="s">
        <v>3951</v>
      </c>
      <c r="L692" s="1" t="s">
        <v>3952</v>
      </c>
      <c r="M692" s="1" t="s">
        <v>718</v>
      </c>
    </row>
    <row r="693" customFormat="false" ht="15" hidden="false" customHeight="false" outlineLevel="0" collapsed="false">
      <c r="A693" s="1" t="s">
        <v>3953</v>
      </c>
      <c r="B693" s="1" t="s">
        <v>3954</v>
      </c>
      <c r="C693" s="1" t="s">
        <v>2743</v>
      </c>
      <c r="D693" s="2" t="n">
        <v>35936</v>
      </c>
      <c r="E693" s="1" t="s">
        <v>763</v>
      </c>
      <c r="F693" s="1" t="s">
        <v>711</v>
      </c>
      <c r="G693" s="1" t="s">
        <v>712</v>
      </c>
      <c r="H693" s="1" t="s">
        <v>713</v>
      </c>
      <c r="I693" s="1" t="s">
        <v>714</v>
      </c>
      <c r="J693" s="1" t="s">
        <v>3955</v>
      </c>
      <c r="K693" s="1" t="s">
        <v>3956</v>
      </c>
      <c r="L693" s="1" t="s">
        <v>2745</v>
      </c>
      <c r="M693" s="1" t="s">
        <v>718</v>
      </c>
    </row>
    <row r="694" customFormat="false" ht="15" hidden="false" customHeight="false" outlineLevel="0" collapsed="false">
      <c r="A694" s="1" t="s">
        <v>3957</v>
      </c>
      <c r="B694" s="1" t="s">
        <v>3958</v>
      </c>
      <c r="C694" s="1" t="s">
        <v>3959</v>
      </c>
      <c r="D694" s="2" t="n">
        <v>36026</v>
      </c>
      <c r="E694" s="1" t="s">
        <v>763</v>
      </c>
      <c r="F694" s="1" t="s">
        <v>711</v>
      </c>
      <c r="G694" s="1" t="s">
        <v>722</v>
      </c>
      <c r="H694" s="1" t="s">
        <v>713</v>
      </c>
      <c r="I694" s="1" t="s">
        <v>714</v>
      </c>
      <c r="J694" s="1" t="s">
        <v>3960</v>
      </c>
      <c r="K694" s="1" t="s">
        <v>3961</v>
      </c>
      <c r="L694" s="1" t="s">
        <v>1334</v>
      </c>
      <c r="M694" s="1" t="s">
        <v>718</v>
      </c>
    </row>
    <row r="695" customFormat="false" ht="15" hidden="false" customHeight="false" outlineLevel="0" collapsed="false">
      <c r="A695" s="1" t="s">
        <v>3962</v>
      </c>
      <c r="B695" s="1" t="s">
        <v>3963</v>
      </c>
      <c r="C695" s="1" t="s">
        <v>3964</v>
      </c>
      <c r="D695" s="2" t="n">
        <v>35745</v>
      </c>
      <c r="E695" s="1" t="s">
        <v>763</v>
      </c>
      <c r="F695" s="1" t="s">
        <v>711</v>
      </c>
      <c r="G695" s="1" t="s">
        <v>712</v>
      </c>
      <c r="H695" s="1" t="s">
        <v>713</v>
      </c>
      <c r="I695" s="1" t="s">
        <v>714</v>
      </c>
      <c r="J695" s="1" t="s">
        <v>3678</v>
      </c>
      <c r="K695" s="1" t="s">
        <v>3965</v>
      </c>
      <c r="L695" s="1" t="s">
        <v>3966</v>
      </c>
      <c r="M695" s="1" t="s">
        <v>718</v>
      </c>
    </row>
    <row r="696" customFormat="false" ht="15" hidden="false" customHeight="false" outlineLevel="0" collapsed="false">
      <c r="A696" s="1" t="s">
        <v>3967</v>
      </c>
      <c r="B696" s="1" t="s">
        <v>3968</v>
      </c>
      <c r="C696" s="1" t="s">
        <v>3964</v>
      </c>
      <c r="D696" s="2" t="n">
        <v>35745</v>
      </c>
      <c r="E696" s="1" t="s">
        <v>763</v>
      </c>
      <c r="F696" s="1" t="s">
        <v>711</v>
      </c>
      <c r="G696" s="1" t="s">
        <v>712</v>
      </c>
      <c r="H696" s="1" t="s">
        <v>713</v>
      </c>
      <c r="I696" s="1" t="s">
        <v>714</v>
      </c>
      <c r="J696" s="1" t="s">
        <v>3678</v>
      </c>
      <c r="K696" s="1" t="s">
        <v>3965</v>
      </c>
      <c r="L696" s="1" t="s">
        <v>3966</v>
      </c>
      <c r="M696" s="1" t="s">
        <v>718</v>
      </c>
    </row>
    <row r="697" customFormat="false" ht="15" hidden="false" customHeight="false" outlineLevel="0" collapsed="false">
      <c r="A697" s="1" t="s">
        <v>3969</v>
      </c>
      <c r="B697" s="1" t="s">
        <v>3970</v>
      </c>
      <c r="C697" s="1" t="s">
        <v>1064</v>
      </c>
      <c r="D697" s="2" t="n">
        <v>35847</v>
      </c>
      <c r="E697" s="1" t="s">
        <v>763</v>
      </c>
      <c r="F697" s="1" t="s">
        <v>711</v>
      </c>
      <c r="G697" s="1" t="s">
        <v>722</v>
      </c>
      <c r="H697" s="1" t="s">
        <v>713</v>
      </c>
      <c r="I697" s="1" t="s">
        <v>714</v>
      </c>
      <c r="J697" s="1" t="s">
        <v>780</v>
      </c>
      <c r="K697" s="1" t="s">
        <v>3971</v>
      </c>
      <c r="L697" s="1" t="s">
        <v>1065</v>
      </c>
      <c r="M697" s="1" t="s">
        <v>718</v>
      </c>
    </row>
    <row r="698" customFormat="false" ht="15" hidden="false" customHeight="false" outlineLevel="0" collapsed="false">
      <c r="A698" s="1" t="s">
        <v>3972</v>
      </c>
      <c r="B698" s="1" t="s">
        <v>3973</v>
      </c>
      <c r="C698" s="1" t="s">
        <v>3974</v>
      </c>
      <c r="D698" s="2" t="n">
        <v>36076</v>
      </c>
      <c r="E698" s="1" t="s">
        <v>763</v>
      </c>
      <c r="F698" s="1" t="s">
        <v>711</v>
      </c>
      <c r="G698" s="1" t="s">
        <v>3975</v>
      </c>
      <c r="H698" s="1" t="s">
        <v>713</v>
      </c>
      <c r="I698" s="1" t="s">
        <v>714</v>
      </c>
      <c r="J698" s="1" t="s">
        <v>3976</v>
      </c>
      <c r="K698" s="1" t="s">
        <v>3977</v>
      </c>
      <c r="L698" s="1" t="s">
        <v>3978</v>
      </c>
      <c r="M698" s="1" t="s">
        <v>718</v>
      </c>
    </row>
    <row r="699" customFormat="false" ht="15" hidden="false" customHeight="false" outlineLevel="0" collapsed="false">
      <c r="A699" s="1" t="s">
        <v>3979</v>
      </c>
      <c r="B699" s="1" t="s">
        <v>3980</v>
      </c>
      <c r="C699" s="1" t="s">
        <v>1076</v>
      </c>
      <c r="D699" s="2" t="n">
        <v>35722</v>
      </c>
      <c r="E699" s="1" t="s">
        <v>763</v>
      </c>
      <c r="F699" s="1" t="s">
        <v>711</v>
      </c>
      <c r="G699" s="1" t="s">
        <v>2000</v>
      </c>
      <c r="H699" s="1" t="s">
        <v>713</v>
      </c>
      <c r="I699" s="1" t="s">
        <v>714</v>
      </c>
      <c r="J699" s="1" t="s">
        <v>3325</v>
      </c>
      <c r="K699" s="1" t="s">
        <v>3981</v>
      </c>
      <c r="L699" s="1" t="s">
        <v>1077</v>
      </c>
      <c r="M699" s="1" t="s">
        <v>718</v>
      </c>
    </row>
    <row r="700" customFormat="false" ht="15" hidden="false" customHeight="false" outlineLevel="0" collapsed="false">
      <c r="A700" s="1" t="s">
        <v>3982</v>
      </c>
      <c r="B700" s="1" t="s">
        <v>3983</v>
      </c>
      <c r="C700" s="1" t="s">
        <v>2796</v>
      </c>
      <c r="D700" s="2" t="n">
        <v>35983</v>
      </c>
      <c r="E700" s="1" t="s">
        <v>710</v>
      </c>
      <c r="F700" s="1" t="s">
        <v>711</v>
      </c>
      <c r="G700" s="1" t="s">
        <v>722</v>
      </c>
      <c r="H700" s="1" t="s">
        <v>713</v>
      </c>
      <c r="I700" s="1" t="s">
        <v>714</v>
      </c>
      <c r="J700" s="1" t="s">
        <v>780</v>
      </c>
      <c r="K700" s="1" t="s">
        <v>3984</v>
      </c>
      <c r="L700" s="1" t="s">
        <v>3985</v>
      </c>
      <c r="M700" s="1" t="s">
        <v>718</v>
      </c>
    </row>
    <row r="701" customFormat="false" ht="15" hidden="false" customHeight="false" outlineLevel="0" collapsed="false">
      <c r="A701" s="1" t="s">
        <v>3986</v>
      </c>
      <c r="B701" s="1" t="s">
        <v>1242</v>
      </c>
      <c r="C701" s="1" t="s">
        <v>3987</v>
      </c>
      <c r="D701" s="2" t="n">
        <v>35194</v>
      </c>
      <c r="E701" s="1" t="s">
        <v>710</v>
      </c>
      <c r="F701" s="1" t="s">
        <v>711</v>
      </c>
      <c r="G701" s="1" t="s">
        <v>712</v>
      </c>
      <c r="H701" s="1" t="s">
        <v>713</v>
      </c>
      <c r="I701" s="1" t="s">
        <v>714</v>
      </c>
      <c r="J701" s="1" t="s">
        <v>3988</v>
      </c>
      <c r="K701" s="1" t="s">
        <v>3989</v>
      </c>
      <c r="L701" s="1" t="s">
        <v>2289</v>
      </c>
      <c r="M701" s="1" t="s">
        <v>718</v>
      </c>
    </row>
    <row r="702" customFormat="false" ht="15" hidden="false" customHeight="false" outlineLevel="0" collapsed="false">
      <c r="A702" s="1" t="s">
        <v>3990</v>
      </c>
      <c r="B702" s="1" t="s">
        <v>3991</v>
      </c>
      <c r="C702" s="1" t="s">
        <v>2965</v>
      </c>
      <c r="D702" s="2" t="n">
        <v>34830</v>
      </c>
      <c r="E702" s="1" t="s">
        <v>763</v>
      </c>
      <c r="F702" s="1" t="s">
        <v>711</v>
      </c>
      <c r="G702" s="1" t="s">
        <v>712</v>
      </c>
      <c r="H702" s="1" t="s">
        <v>713</v>
      </c>
      <c r="I702" s="1" t="s">
        <v>714</v>
      </c>
      <c r="J702" s="1" t="s">
        <v>780</v>
      </c>
      <c r="K702" s="1" t="s">
        <v>3992</v>
      </c>
      <c r="L702" s="1" t="s">
        <v>3993</v>
      </c>
      <c r="M702" s="1" t="s">
        <v>718</v>
      </c>
    </row>
    <row r="703" customFormat="false" ht="15" hidden="false" customHeight="false" outlineLevel="0" collapsed="false">
      <c r="A703" s="1" t="s">
        <v>3994</v>
      </c>
      <c r="B703" s="1" t="s">
        <v>3995</v>
      </c>
      <c r="C703" s="1" t="s">
        <v>3996</v>
      </c>
      <c r="D703" s="2" t="n">
        <v>36105</v>
      </c>
      <c r="E703" s="1" t="s">
        <v>763</v>
      </c>
      <c r="F703" s="1" t="s">
        <v>711</v>
      </c>
      <c r="G703" s="1" t="s">
        <v>712</v>
      </c>
      <c r="H703" s="1" t="s">
        <v>713</v>
      </c>
      <c r="I703" s="1" t="s">
        <v>714</v>
      </c>
      <c r="J703" s="1" t="s">
        <v>1530</v>
      </c>
      <c r="K703" s="1" t="s">
        <v>3997</v>
      </c>
      <c r="L703" s="1" t="s">
        <v>3998</v>
      </c>
      <c r="M703" s="1" t="s">
        <v>718</v>
      </c>
    </row>
    <row r="704" customFormat="false" ht="15" hidden="false" customHeight="false" outlineLevel="0" collapsed="false">
      <c r="A704" s="1" t="s">
        <v>3999</v>
      </c>
      <c r="B704" s="1" t="s">
        <v>4000</v>
      </c>
      <c r="C704" s="1" t="s">
        <v>1180</v>
      </c>
      <c r="D704" s="2" t="n">
        <v>36035</v>
      </c>
      <c r="E704" s="1" t="s">
        <v>763</v>
      </c>
      <c r="F704" s="1" t="s">
        <v>711</v>
      </c>
      <c r="G704" s="1" t="s">
        <v>712</v>
      </c>
      <c r="H704" s="1" t="s">
        <v>713</v>
      </c>
      <c r="I704" s="1" t="s">
        <v>714</v>
      </c>
      <c r="J704" s="1" t="s">
        <v>4001</v>
      </c>
      <c r="K704" s="1" t="s">
        <v>4002</v>
      </c>
      <c r="L704" s="1" t="s">
        <v>717</v>
      </c>
      <c r="M704" s="1" t="s">
        <v>718</v>
      </c>
    </row>
    <row r="705" customFormat="false" ht="15" hidden="false" customHeight="false" outlineLevel="0" collapsed="false">
      <c r="A705" s="1" t="s">
        <v>4003</v>
      </c>
      <c r="B705" s="1" t="s">
        <v>4004</v>
      </c>
      <c r="C705" s="1" t="s">
        <v>4005</v>
      </c>
      <c r="D705" s="2" t="n">
        <v>36484</v>
      </c>
      <c r="E705" s="1" t="s">
        <v>710</v>
      </c>
      <c r="F705" s="1" t="s">
        <v>711</v>
      </c>
      <c r="G705" s="1" t="s">
        <v>722</v>
      </c>
      <c r="H705" s="1" t="s">
        <v>713</v>
      </c>
      <c r="I705" s="1" t="s">
        <v>714</v>
      </c>
      <c r="J705" s="1" t="s">
        <v>740</v>
      </c>
      <c r="K705" s="1" t="s">
        <v>4006</v>
      </c>
      <c r="L705" s="1" t="s">
        <v>4007</v>
      </c>
      <c r="M705" s="1" t="s">
        <v>718</v>
      </c>
    </row>
    <row r="706" customFormat="false" ht="15" hidden="false" customHeight="false" outlineLevel="0" collapsed="false">
      <c r="A706" s="1" t="s">
        <v>4008</v>
      </c>
      <c r="B706" s="1" t="s">
        <v>4009</v>
      </c>
      <c r="C706" s="1" t="s">
        <v>750</v>
      </c>
      <c r="D706" s="2" t="n">
        <v>35943</v>
      </c>
      <c r="E706" s="1" t="s">
        <v>763</v>
      </c>
      <c r="F706" s="1" t="s">
        <v>711</v>
      </c>
      <c r="G706" s="1" t="s">
        <v>712</v>
      </c>
      <c r="H706" s="1" t="s">
        <v>713</v>
      </c>
      <c r="I706" s="1" t="s">
        <v>714</v>
      </c>
      <c r="J706" s="1" t="s">
        <v>3517</v>
      </c>
      <c r="K706" s="1" t="s">
        <v>716</v>
      </c>
      <c r="L706" s="1" t="s">
        <v>765</v>
      </c>
      <c r="M706" s="1" t="s">
        <v>718</v>
      </c>
    </row>
    <row r="707" customFormat="false" ht="15" hidden="false" customHeight="false" outlineLevel="0" collapsed="false">
      <c r="A707" s="1" t="s">
        <v>4010</v>
      </c>
      <c r="B707" s="1" t="s">
        <v>4011</v>
      </c>
      <c r="C707" s="1" t="s">
        <v>4012</v>
      </c>
      <c r="D707" s="2" t="n">
        <v>36497</v>
      </c>
      <c r="E707" s="1" t="s">
        <v>763</v>
      </c>
      <c r="F707" s="1" t="s">
        <v>711</v>
      </c>
      <c r="G707" s="1" t="s">
        <v>712</v>
      </c>
      <c r="H707" s="1" t="s">
        <v>713</v>
      </c>
      <c r="I707" s="1" t="s">
        <v>714</v>
      </c>
      <c r="J707" s="1" t="s">
        <v>4013</v>
      </c>
      <c r="K707" s="1" t="s">
        <v>4014</v>
      </c>
      <c r="L707" s="1" t="s">
        <v>4015</v>
      </c>
      <c r="M707" s="1" t="s">
        <v>718</v>
      </c>
    </row>
    <row r="708" customFormat="false" ht="15" hidden="false" customHeight="false" outlineLevel="0" collapsed="false">
      <c r="A708" s="1" t="s">
        <v>4016</v>
      </c>
      <c r="B708" s="1" t="s">
        <v>4017</v>
      </c>
      <c r="C708" s="1" t="s">
        <v>4018</v>
      </c>
      <c r="D708" s="2" t="n">
        <v>36017</v>
      </c>
      <c r="E708" s="1" t="s">
        <v>710</v>
      </c>
      <c r="F708" s="1" t="s">
        <v>711</v>
      </c>
      <c r="G708" s="1" t="s">
        <v>712</v>
      </c>
      <c r="H708" s="1" t="s">
        <v>713</v>
      </c>
      <c r="I708" s="1" t="s">
        <v>714</v>
      </c>
      <c r="J708" s="1" t="s">
        <v>4019</v>
      </c>
      <c r="K708" s="1" t="s">
        <v>4020</v>
      </c>
      <c r="L708" s="1" t="s">
        <v>4021</v>
      </c>
      <c r="M708" s="1" t="s">
        <v>718</v>
      </c>
    </row>
    <row r="709" customFormat="false" ht="15" hidden="false" customHeight="false" outlineLevel="0" collapsed="false">
      <c r="A709" s="1" t="s">
        <v>4022</v>
      </c>
      <c r="B709" s="1" t="s">
        <v>4023</v>
      </c>
      <c r="C709" s="1" t="s">
        <v>4024</v>
      </c>
      <c r="D709" s="2" t="n">
        <v>35318</v>
      </c>
      <c r="E709" s="1" t="s">
        <v>710</v>
      </c>
      <c r="F709" s="1" t="s">
        <v>711</v>
      </c>
      <c r="G709" s="1" t="s">
        <v>722</v>
      </c>
      <c r="H709" s="1" t="s">
        <v>713</v>
      </c>
      <c r="I709" s="1" t="s">
        <v>714</v>
      </c>
      <c r="J709" s="1" t="s">
        <v>3517</v>
      </c>
      <c r="K709" s="1" t="s">
        <v>4025</v>
      </c>
      <c r="L709" s="1" t="s">
        <v>4026</v>
      </c>
      <c r="M709" s="1" t="s">
        <v>718</v>
      </c>
    </row>
    <row r="710" customFormat="false" ht="15" hidden="false" customHeight="false" outlineLevel="0" collapsed="false">
      <c r="A710" s="1" t="s">
        <v>4027</v>
      </c>
      <c r="B710" s="1" t="s">
        <v>4028</v>
      </c>
      <c r="C710" s="1" t="s">
        <v>4029</v>
      </c>
      <c r="D710" s="2" t="n">
        <v>36590</v>
      </c>
      <c r="E710" s="1" t="s">
        <v>710</v>
      </c>
      <c r="F710" s="1" t="s">
        <v>711</v>
      </c>
      <c r="G710" s="1" t="s">
        <v>712</v>
      </c>
      <c r="H710" s="1" t="s">
        <v>713</v>
      </c>
      <c r="I710" s="1" t="s">
        <v>714</v>
      </c>
      <c r="J710" s="1" t="s">
        <v>4030</v>
      </c>
      <c r="K710" s="1" t="s">
        <v>4031</v>
      </c>
      <c r="L710" s="1" t="s">
        <v>4032</v>
      </c>
      <c r="M710" s="1" t="s">
        <v>718</v>
      </c>
    </row>
    <row r="711" customFormat="false" ht="15" hidden="false" customHeight="false" outlineLevel="0" collapsed="false">
      <c r="A711" s="1" t="s">
        <v>4033</v>
      </c>
      <c r="B711" s="1" t="s">
        <v>4034</v>
      </c>
      <c r="C711" s="1" t="s">
        <v>4035</v>
      </c>
      <c r="D711" s="2" t="n">
        <v>35454</v>
      </c>
      <c r="E711" s="1" t="s">
        <v>710</v>
      </c>
      <c r="F711" s="1" t="s">
        <v>711</v>
      </c>
      <c r="G711" s="1" t="s">
        <v>722</v>
      </c>
      <c r="H711" s="1" t="s">
        <v>713</v>
      </c>
      <c r="I711" s="1" t="s">
        <v>714</v>
      </c>
      <c r="J711" s="1" t="s">
        <v>3325</v>
      </c>
      <c r="K711" s="1" t="s">
        <v>4036</v>
      </c>
      <c r="L711" s="1" t="s">
        <v>4037</v>
      </c>
      <c r="M711" s="1" t="s">
        <v>718</v>
      </c>
    </row>
    <row r="712" customFormat="false" ht="15" hidden="false" customHeight="false" outlineLevel="0" collapsed="false">
      <c r="A712" s="1" t="s">
        <v>4038</v>
      </c>
      <c r="B712" s="1" t="s">
        <v>4039</v>
      </c>
      <c r="C712" s="1" t="s">
        <v>4040</v>
      </c>
      <c r="D712" s="2" t="n">
        <v>36349</v>
      </c>
      <c r="E712" s="1" t="s">
        <v>763</v>
      </c>
      <c r="F712" s="1" t="s">
        <v>711</v>
      </c>
      <c r="G712" s="1" t="s">
        <v>1693</v>
      </c>
      <c r="H712" s="1" t="s">
        <v>713</v>
      </c>
      <c r="I712" s="1" t="s">
        <v>714</v>
      </c>
      <c r="J712" s="1" t="s">
        <v>745</v>
      </c>
      <c r="K712" s="1" t="s">
        <v>4041</v>
      </c>
      <c r="L712" s="1" t="s">
        <v>4042</v>
      </c>
      <c r="M712" s="1" t="s">
        <v>718</v>
      </c>
    </row>
    <row r="713" customFormat="false" ht="15" hidden="false" customHeight="false" outlineLevel="0" collapsed="false">
      <c r="A713" s="1" t="s">
        <v>4043</v>
      </c>
      <c r="B713" s="1" t="s">
        <v>2441</v>
      </c>
      <c r="C713" s="1" t="s">
        <v>4044</v>
      </c>
      <c r="D713" s="2" t="n">
        <v>36484</v>
      </c>
      <c r="E713" s="1" t="s">
        <v>763</v>
      </c>
      <c r="F713" s="1" t="s">
        <v>711</v>
      </c>
      <c r="G713" s="1" t="s">
        <v>712</v>
      </c>
      <c r="H713" s="1" t="s">
        <v>713</v>
      </c>
      <c r="I713" s="1" t="s">
        <v>714</v>
      </c>
      <c r="J713" s="1" t="s">
        <v>838</v>
      </c>
      <c r="K713" s="1" t="s">
        <v>4045</v>
      </c>
      <c r="L713" s="1" t="s">
        <v>4046</v>
      </c>
      <c r="M713" s="1" t="s">
        <v>718</v>
      </c>
    </row>
    <row r="714" customFormat="false" ht="15" hidden="false" customHeight="false" outlineLevel="0" collapsed="false">
      <c r="A714" s="1" t="s">
        <v>4047</v>
      </c>
      <c r="B714" s="1" t="s">
        <v>4048</v>
      </c>
      <c r="C714" s="1" t="s">
        <v>4049</v>
      </c>
      <c r="D714" s="2" t="n">
        <v>36531</v>
      </c>
      <c r="E714" s="1" t="s">
        <v>763</v>
      </c>
      <c r="F714" s="1" t="s">
        <v>711</v>
      </c>
      <c r="G714" s="1" t="s">
        <v>722</v>
      </c>
      <c r="H714" s="1" t="s">
        <v>713</v>
      </c>
      <c r="I714" s="1" t="s">
        <v>714</v>
      </c>
      <c r="J714" s="1" t="s">
        <v>4050</v>
      </c>
      <c r="K714" s="1" t="s">
        <v>4051</v>
      </c>
      <c r="L714" s="1" t="s">
        <v>4052</v>
      </c>
      <c r="M714" s="1" t="s">
        <v>718</v>
      </c>
    </row>
    <row r="715" customFormat="false" ht="15" hidden="false" customHeight="false" outlineLevel="0" collapsed="false">
      <c r="A715" s="1" t="s">
        <v>4053</v>
      </c>
      <c r="B715" s="1" t="s">
        <v>727</v>
      </c>
      <c r="C715" s="1" t="s">
        <v>4054</v>
      </c>
      <c r="D715" s="2" t="n">
        <v>35887</v>
      </c>
      <c r="E715" s="1" t="s">
        <v>710</v>
      </c>
      <c r="F715" s="1" t="s">
        <v>711</v>
      </c>
      <c r="G715" s="1" t="s">
        <v>712</v>
      </c>
      <c r="H715" s="1" t="s">
        <v>713</v>
      </c>
      <c r="I715" s="1" t="s">
        <v>714</v>
      </c>
      <c r="J715" s="1" t="s">
        <v>780</v>
      </c>
      <c r="K715" s="1" t="s">
        <v>4055</v>
      </c>
      <c r="L715" s="1" t="s">
        <v>4056</v>
      </c>
      <c r="M715" s="1" t="s">
        <v>718</v>
      </c>
    </row>
    <row r="716" customFormat="false" ht="15" hidden="false" customHeight="false" outlineLevel="0" collapsed="false">
      <c r="A716" s="1" t="s">
        <v>4057</v>
      </c>
      <c r="B716" s="1" t="s">
        <v>4058</v>
      </c>
      <c r="C716" s="1" t="s">
        <v>4059</v>
      </c>
      <c r="D716" s="2" t="n">
        <v>35907</v>
      </c>
      <c r="E716" s="1" t="s">
        <v>710</v>
      </c>
      <c r="F716" s="1" t="s">
        <v>711</v>
      </c>
      <c r="G716" s="1" t="s">
        <v>947</v>
      </c>
      <c r="H716" s="1" t="s">
        <v>713</v>
      </c>
      <c r="I716" s="1" t="s">
        <v>714</v>
      </c>
      <c r="J716" s="1" t="s">
        <v>3752</v>
      </c>
      <c r="K716" s="1" t="s">
        <v>4060</v>
      </c>
      <c r="L716" s="1" t="s">
        <v>4061</v>
      </c>
      <c r="M716" s="1" t="s">
        <v>718</v>
      </c>
    </row>
    <row r="717" customFormat="false" ht="15" hidden="false" customHeight="false" outlineLevel="0" collapsed="false">
      <c r="A717" s="1" t="s">
        <v>4062</v>
      </c>
      <c r="B717" s="1" t="s">
        <v>4063</v>
      </c>
      <c r="C717" s="1" t="s">
        <v>4064</v>
      </c>
      <c r="D717" s="2" t="n">
        <v>35811</v>
      </c>
      <c r="E717" s="1" t="s">
        <v>763</v>
      </c>
      <c r="F717" s="1" t="s">
        <v>711</v>
      </c>
      <c r="G717" s="1" t="s">
        <v>722</v>
      </c>
      <c r="H717" s="1" t="s">
        <v>713</v>
      </c>
      <c r="I717" s="1" t="s">
        <v>714</v>
      </c>
      <c r="J717" s="1" t="s">
        <v>4065</v>
      </c>
      <c r="K717" s="1" t="s">
        <v>827</v>
      </c>
      <c r="L717" s="1" t="s">
        <v>828</v>
      </c>
      <c r="M717" s="1" t="s">
        <v>718</v>
      </c>
    </row>
    <row r="718" customFormat="false" ht="15" hidden="false" customHeight="false" outlineLevel="0" collapsed="false">
      <c r="A718" s="1" t="s">
        <v>4066</v>
      </c>
      <c r="B718" s="1" t="s">
        <v>4067</v>
      </c>
      <c r="C718" s="1" t="s">
        <v>4068</v>
      </c>
      <c r="D718" s="2" t="n">
        <v>35954</v>
      </c>
      <c r="E718" s="1" t="s">
        <v>763</v>
      </c>
      <c r="F718" s="1" t="s">
        <v>711</v>
      </c>
      <c r="G718" s="1" t="s">
        <v>712</v>
      </c>
      <c r="H718" s="1" t="s">
        <v>713</v>
      </c>
      <c r="I718" s="1" t="s">
        <v>714</v>
      </c>
      <c r="J718" s="1" t="s">
        <v>3481</v>
      </c>
      <c r="K718" s="1" t="s">
        <v>4069</v>
      </c>
      <c r="L718" s="1" t="s">
        <v>4070</v>
      </c>
      <c r="M718" s="1" t="s">
        <v>718</v>
      </c>
    </row>
    <row r="719" customFormat="false" ht="15" hidden="false" customHeight="false" outlineLevel="0" collapsed="false">
      <c r="A719" s="1" t="s">
        <v>4071</v>
      </c>
      <c r="B719" s="1" t="s">
        <v>3901</v>
      </c>
      <c r="C719" s="1" t="s">
        <v>4072</v>
      </c>
      <c r="D719" s="2" t="n">
        <v>35999</v>
      </c>
      <c r="E719" s="1" t="s">
        <v>710</v>
      </c>
      <c r="F719" s="1" t="s">
        <v>711</v>
      </c>
      <c r="G719" s="1" t="s">
        <v>722</v>
      </c>
      <c r="H719" s="1" t="s">
        <v>713</v>
      </c>
      <c r="I719" s="1" t="s">
        <v>714</v>
      </c>
      <c r="J719" s="1" t="s">
        <v>4073</v>
      </c>
      <c r="K719" s="1" t="s">
        <v>4074</v>
      </c>
      <c r="L719" s="1" t="s">
        <v>4075</v>
      </c>
      <c r="M719" s="1" t="s">
        <v>718</v>
      </c>
    </row>
    <row r="720" customFormat="false" ht="15" hidden="false" customHeight="false" outlineLevel="0" collapsed="false">
      <c r="A720" s="1" t="s">
        <v>4076</v>
      </c>
      <c r="B720" s="1" t="s">
        <v>4077</v>
      </c>
      <c r="C720" s="1" t="s">
        <v>4078</v>
      </c>
      <c r="D720" s="2" t="n">
        <v>35471</v>
      </c>
      <c r="E720" s="1" t="s">
        <v>710</v>
      </c>
      <c r="F720" s="1" t="s">
        <v>711</v>
      </c>
      <c r="G720" s="1" t="s">
        <v>712</v>
      </c>
      <c r="H720" s="1" t="s">
        <v>713</v>
      </c>
      <c r="I720" s="1" t="s">
        <v>714</v>
      </c>
      <c r="J720" s="1" t="s">
        <v>4079</v>
      </c>
      <c r="K720" s="1" t="s">
        <v>4080</v>
      </c>
      <c r="L720" s="1" t="s">
        <v>4081</v>
      </c>
      <c r="M720" s="1" t="s">
        <v>718</v>
      </c>
    </row>
    <row r="721" customFormat="false" ht="15" hidden="false" customHeight="false" outlineLevel="0" collapsed="false">
      <c r="A721" s="1" t="s">
        <v>4082</v>
      </c>
      <c r="B721" s="1" t="s">
        <v>3432</v>
      </c>
      <c r="C721" s="1" t="s">
        <v>4083</v>
      </c>
      <c r="D721" s="2" t="n">
        <v>35860</v>
      </c>
      <c r="E721" s="1" t="s">
        <v>710</v>
      </c>
      <c r="F721" s="1" t="s">
        <v>711</v>
      </c>
      <c r="G721" s="1" t="s">
        <v>722</v>
      </c>
      <c r="H721" s="1" t="s">
        <v>713</v>
      </c>
      <c r="I721" s="1" t="s">
        <v>714</v>
      </c>
      <c r="J721" s="1" t="s">
        <v>4084</v>
      </c>
      <c r="K721" s="1" t="s">
        <v>4085</v>
      </c>
      <c r="L721" s="1" t="s">
        <v>4086</v>
      </c>
      <c r="M721" s="1" t="s">
        <v>718</v>
      </c>
    </row>
    <row r="722" customFormat="false" ht="15" hidden="false" customHeight="false" outlineLevel="0" collapsed="false">
      <c r="A722" s="1" t="s">
        <v>4087</v>
      </c>
      <c r="B722" s="1" t="s">
        <v>4088</v>
      </c>
      <c r="C722" s="1" t="s">
        <v>4089</v>
      </c>
      <c r="D722" s="2" t="n">
        <v>34494</v>
      </c>
      <c r="E722" s="1" t="s">
        <v>710</v>
      </c>
      <c r="F722" s="1" t="s">
        <v>711</v>
      </c>
      <c r="G722" s="1" t="s">
        <v>4090</v>
      </c>
      <c r="H722" s="1" t="s">
        <v>713</v>
      </c>
      <c r="I722" s="1" t="s">
        <v>714</v>
      </c>
      <c r="J722" s="1" t="s">
        <v>3879</v>
      </c>
      <c r="K722" s="1" t="s">
        <v>4091</v>
      </c>
      <c r="L722" s="1" t="s">
        <v>3881</v>
      </c>
      <c r="M722" s="1" t="s">
        <v>718</v>
      </c>
    </row>
    <row r="723" customFormat="false" ht="15" hidden="false" customHeight="false" outlineLevel="0" collapsed="false">
      <c r="A723" s="1" t="s">
        <v>4092</v>
      </c>
      <c r="B723" s="1" t="s">
        <v>4093</v>
      </c>
      <c r="C723" s="1" t="s">
        <v>2081</v>
      </c>
      <c r="D723" s="2" t="n">
        <v>35676</v>
      </c>
      <c r="E723" s="1" t="s">
        <v>763</v>
      </c>
      <c r="F723" s="1" t="s">
        <v>711</v>
      </c>
      <c r="G723" s="1" t="s">
        <v>2082</v>
      </c>
      <c r="H723" s="1" t="s">
        <v>2083</v>
      </c>
      <c r="I723" s="1" t="s">
        <v>2084</v>
      </c>
      <c r="J723" s="1" t="s">
        <v>1244</v>
      </c>
      <c r="K723" s="1" t="s">
        <v>2085</v>
      </c>
      <c r="L723" s="1" t="s">
        <v>2086</v>
      </c>
      <c r="M723" s="1" t="s">
        <v>2083</v>
      </c>
    </row>
    <row r="724" customFormat="false" ht="15" hidden="false" customHeight="false" outlineLevel="0" collapsed="false">
      <c r="A724" s="1" t="s">
        <v>4094</v>
      </c>
      <c r="B724" s="1" t="s">
        <v>1668</v>
      </c>
      <c r="C724" s="1" t="s">
        <v>4095</v>
      </c>
      <c r="D724" s="2" t="n">
        <v>35768</v>
      </c>
      <c r="E724" s="1" t="s">
        <v>710</v>
      </c>
      <c r="F724" s="1" t="s">
        <v>711</v>
      </c>
      <c r="G724" s="1" t="s">
        <v>4096</v>
      </c>
      <c r="H724" s="1" t="s">
        <v>2083</v>
      </c>
      <c r="I724" s="1" t="s">
        <v>2084</v>
      </c>
      <c r="J724" s="1" t="s">
        <v>1451</v>
      </c>
      <c r="K724" s="1" t="s">
        <v>716</v>
      </c>
      <c r="L724" s="1" t="s">
        <v>4097</v>
      </c>
      <c r="M724" s="1" t="s">
        <v>2083</v>
      </c>
    </row>
    <row r="725" customFormat="false" ht="15" hidden="false" customHeight="false" outlineLevel="0" collapsed="false">
      <c r="A725" s="1" t="s">
        <v>4098</v>
      </c>
      <c r="B725" s="1" t="s">
        <v>4099</v>
      </c>
      <c r="C725" s="1" t="s">
        <v>4100</v>
      </c>
      <c r="D725" s="2" t="n">
        <v>35814</v>
      </c>
      <c r="E725" s="1" t="s">
        <v>763</v>
      </c>
      <c r="F725" s="1" t="s">
        <v>711</v>
      </c>
      <c r="G725" s="1" t="s">
        <v>722</v>
      </c>
      <c r="H725" s="1" t="s">
        <v>713</v>
      </c>
      <c r="I725" s="1" t="s">
        <v>714</v>
      </c>
      <c r="J725" s="1" t="s">
        <v>1451</v>
      </c>
      <c r="K725" s="1" t="s">
        <v>4101</v>
      </c>
      <c r="L725" s="1" t="s">
        <v>4102</v>
      </c>
      <c r="M725" s="1" t="s">
        <v>718</v>
      </c>
    </row>
    <row r="726" customFormat="false" ht="15" hidden="false" customHeight="false" outlineLevel="0" collapsed="false">
      <c r="A726" s="1" t="s">
        <v>4103</v>
      </c>
      <c r="B726" s="1" t="s">
        <v>4104</v>
      </c>
      <c r="C726" s="1" t="s">
        <v>2020</v>
      </c>
      <c r="D726" s="2" t="n">
        <v>35803</v>
      </c>
      <c r="E726" s="1" t="s">
        <v>763</v>
      </c>
      <c r="F726" s="1" t="s">
        <v>711</v>
      </c>
      <c r="G726" s="1" t="s">
        <v>722</v>
      </c>
      <c r="H726" s="1" t="s">
        <v>713</v>
      </c>
      <c r="I726" s="1" t="s">
        <v>714</v>
      </c>
      <c r="J726" s="1" t="s">
        <v>3941</v>
      </c>
      <c r="K726" s="1" t="s">
        <v>4074</v>
      </c>
      <c r="L726" s="1" t="s">
        <v>2021</v>
      </c>
      <c r="M726" s="1" t="s">
        <v>718</v>
      </c>
    </row>
    <row r="727" customFormat="false" ht="15" hidden="false" customHeight="false" outlineLevel="0" collapsed="false">
      <c r="A727" s="1" t="s">
        <v>4105</v>
      </c>
      <c r="B727" s="1" t="s">
        <v>4106</v>
      </c>
      <c r="C727" s="1" t="s">
        <v>4107</v>
      </c>
      <c r="D727" s="2" t="n">
        <v>36111</v>
      </c>
      <c r="E727" s="1" t="s">
        <v>763</v>
      </c>
      <c r="F727" s="1" t="s">
        <v>711</v>
      </c>
      <c r="G727" s="1" t="s">
        <v>712</v>
      </c>
      <c r="H727" s="1" t="s">
        <v>713</v>
      </c>
      <c r="I727" s="1" t="s">
        <v>714</v>
      </c>
      <c r="J727" s="1" t="s">
        <v>3481</v>
      </c>
      <c r="K727" s="1" t="s">
        <v>4108</v>
      </c>
      <c r="L727" s="1" t="s">
        <v>4109</v>
      </c>
      <c r="M727" s="1" t="s">
        <v>718</v>
      </c>
    </row>
    <row r="728" customFormat="false" ht="15" hidden="false" customHeight="false" outlineLevel="0" collapsed="false">
      <c r="A728" s="1" t="s">
        <v>4110</v>
      </c>
      <c r="B728" s="1" t="s">
        <v>4111</v>
      </c>
      <c r="C728" s="1" t="s">
        <v>2093</v>
      </c>
      <c r="D728" s="2" t="n">
        <v>35901</v>
      </c>
      <c r="E728" s="1" t="s">
        <v>763</v>
      </c>
      <c r="F728" s="1" t="s">
        <v>711</v>
      </c>
      <c r="G728" s="1" t="s">
        <v>722</v>
      </c>
      <c r="H728" s="1" t="s">
        <v>713</v>
      </c>
      <c r="I728" s="1" t="s">
        <v>714</v>
      </c>
      <c r="J728" s="1" t="s">
        <v>1272</v>
      </c>
      <c r="K728" s="1" t="s">
        <v>4112</v>
      </c>
      <c r="L728" s="1" t="s">
        <v>2096</v>
      </c>
      <c r="M728" s="1" t="s">
        <v>718</v>
      </c>
    </row>
    <row r="729" customFormat="false" ht="15" hidden="false" customHeight="false" outlineLevel="0" collapsed="false">
      <c r="A729" s="1" t="s">
        <v>4113</v>
      </c>
      <c r="B729" s="1" t="s">
        <v>4114</v>
      </c>
      <c r="C729" s="1" t="s">
        <v>4115</v>
      </c>
      <c r="D729" s="2" t="n">
        <v>35921</v>
      </c>
      <c r="E729" s="1" t="s">
        <v>710</v>
      </c>
      <c r="F729" s="1" t="s">
        <v>711</v>
      </c>
      <c r="G729" s="1" t="s">
        <v>722</v>
      </c>
      <c r="H729" s="1" t="s">
        <v>713</v>
      </c>
      <c r="I729" s="1" t="s">
        <v>714</v>
      </c>
      <c r="J729" s="1" t="s">
        <v>917</v>
      </c>
      <c r="K729" s="1" t="s">
        <v>4116</v>
      </c>
      <c r="L729" s="1" t="s">
        <v>4117</v>
      </c>
      <c r="M729" s="1" t="s">
        <v>718</v>
      </c>
    </row>
    <row r="730" customFormat="false" ht="15" hidden="false" customHeight="false" outlineLevel="0" collapsed="false">
      <c r="A730" s="1" t="s">
        <v>4118</v>
      </c>
      <c r="B730" s="1" t="s">
        <v>4119</v>
      </c>
      <c r="C730" s="1" t="s">
        <v>4120</v>
      </c>
      <c r="D730" s="2" t="n">
        <v>36226</v>
      </c>
      <c r="E730" s="1" t="s">
        <v>763</v>
      </c>
      <c r="F730" s="1" t="s">
        <v>711</v>
      </c>
      <c r="G730" s="1" t="s">
        <v>722</v>
      </c>
      <c r="H730" s="1" t="s">
        <v>713</v>
      </c>
      <c r="I730" s="1" t="s">
        <v>714</v>
      </c>
      <c r="J730" s="1" t="s">
        <v>4121</v>
      </c>
      <c r="K730" s="1" t="s">
        <v>4122</v>
      </c>
      <c r="L730" s="1" t="s">
        <v>4123</v>
      </c>
      <c r="M730" s="1" t="s">
        <v>718</v>
      </c>
    </row>
    <row r="731" customFormat="false" ht="15" hidden="false" customHeight="false" outlineLevel="0" collapsed="false">
      <c r="A731" s="1" t="s">
        <v>4124</v>
      </c>
      <c r="B731" s="1" t="s">
        <v>4125</v>
      </c>
      <c r="C731" s="1" t="s">
        <v>3341</v>
      </c>
      <c r="D731" s="2" t="n">
        <v>33862</v>
      </c>
      <c r="E731" s="1" t="s">
        <v>710</v>
      </c>
      <c r="F731" s="1" t="s">
        <v>711</v>
      </c>
      <c r="G731" s="1" t="s">
        <v>712</v>
      </c>
      <c r="H731" s="1" t="s">
        <v>713</v>
      </c>
      <c r="I731" s="1" t="s">
        <v>714</v>
      </c>
      <c r="J731" s="1" t="s">
        <v>1144</v>
      </c>
      <c r="K731" s="1" t="s">
        <v>716</v>
      </c>
      <c r="L731" s="1" t="s">
        <v>3342</v>
      </c>
      <c r="M731" s="1" t="s">
        <v>718</v>
      </c>
    </row>
    <row r="732" customFormat="false" ht="15" hidden="false" customHeight="false" outlineLevel="0" collapsed="false">
      <c r="A732" s="1" t="s">
        <v>4126</v>
      </c>
      <c r="B732" s="1" t="s">
        <v>4127</v>
      </c>
      <c r="C732" s="1" t="s">
        <v>4128</v>
      </c>
      <c r="D732" s="2" t="n">
        <v>33946</v>
      </c>
      <c r="E732" s="1" t="s">
        <v>710</v>
      </c>
      <c r="F732" s="1" t="s">
        <v>711</v>
      </c>
      <c r="G732" s="1" t="s">
        <v>712</v>
      </c>
      <c r="H732" s="1" t="s">
        <v>713</v>
      </c>
      <c r="I732" s="1" t="s">
        <v>714</v>
      </c>
      <c r="J732" s="1" t="s">
        <v>4129</v>
      </c>
      <c r="K732" s="1" t="s">
        <v>4130</v>
      </c>
      <c r="L732" s="1" t="s">
        <v>4131</v>
      </c>
      <c r="M732" s="1" t="s">
        <v>718</v>
      </c>
    </row>
    <row r="733" customFormat="false" ht="15" hidden="false" customHeight="false" outlineLevel="0" collapsed="false">
      <c r="A733" s="1" t="s">
        <v>4132</v>
      </c>
      <c r="B733" s="1" t="s">
        <v>2049</v>
      </c>
      <c r="C733" s="1" t="s">
        <v>4133</v>
      </c>
      <c r="D733" s="2" t="n">
        <v>34265</v>
      </c>
      <c r="E733" s="1" t="s">
        <v>763</v>
      </c>
      <c r="F733" s="1" t="s">
        <v>711</v>
      </c>
      <c r="G733" s="1" t="s">
        <v>722</v>
      </c>
      <c r="H733" s="1" t="s">
        <v>713</v>
      </c>
      <c r="I733" s="1" t="s">
        <v>714</v>
      </c>
      <c r="J733" s="1" t="s">
        <v>1244</v>
      </c>
      <c r="K733" s="1" t="s">
        <v>4134</v>
      </c>
      <c r="L733" s="1" t="s">
        <v>4135</v>
      </c>
      <c r="M733" s="1" t="s">
        <v>718</v>
      </c>
    </row>
    <row r="734" customFormat="false" ht="15" hidden="false" customHeight="false" outlineLevel="0" collapsed="false">
      <c r="A734" s="1" t="s">
        <v>4136</v>
      </c>
      <c r="B734" s="1" t="s">
        <v>4137</v>
      </c>
      <c r="C734" s="1" t="s">
        <v>4138</v>
      </c>
      <c r="D734" s="2" t="n">
        <v>34448</v>
      </c>
      <c r="E734" s="1" t="s">
        <v>710</v>
      </c>
      <c r="F734" s="1" t="s">
        <v>711</v>
      </c>
      <c r="G734" s="1" t="s">
        <v>712</v>
      </c>
      <c r="H734" s="1" t="s">
        <v>713</v>
      </c>
      <c r="I734" s="1" t="s">
        <v>714</v>
      </c>
      <c r="J734" s="1" t="s">
        <v>3678</v>
      </c>
      <c r="K734" s="1" t="s">
        <v>4139</v>
      </c>
      <c r="L734" s="1" t="s">
        <v>3244</v>
      </c>
      <c r="M734" s="1" t="s">
        <v>718</v>
      </c>
    </row>
    <row r="735" customFormat="false" ht="15" hidden="false" customHeight="false" outlineLevel="0" collapsed="false">
      <c r="A735" s="1" t="s">
        <v>4140</v>
      </c>
      <c r="B735" s="1" t="s">
        <v>4141</v>
      </c>
      <c r="C735" s="1" t="s">
        <v>4142</v>
      </c>
      <c r="D735" s="2" t="n">
        <v>34978</v>
      </c>
      <c r="E735" s="1" t="s">
        <v>710</v>
      </c>
      <c r="F735" s="1" t="s">
        <v>711</v>
      </c>
      <c r="G735" s="1" t="s">
        <v>722</v>
      </c>
      <c r="H735" s="1" t="s">
        <v>713</v>
      </c>
      <c r="I735" s="1" t="s">
        <v>714</v>
      </c>
      <c r="J735" s="1" t="s">
        <v>723</v>
      </c>
      <c r="K735" s="1" t="s">
        <v>4143</v>
      </c>
      <c r="L735" s="1" t="s">
        <v>4144</v>
      </c>
      <c r="M735" s="1" t="s">
        <v>718</v>
      </c>
    </row>
    <row r="736" customFormat="false" ht="15" hidden="false" customHeight="false" outlineLevel="0" collapsed="false">
      <c r="A736" s="1" t="s">
        <v>4145</v>
      </c>
      <c r="B736" s="1" t="s">
        <v>4146</v>
      </c>
      <c r="C736" s="1" t="s">
        <v>3012</v>
      </c>
      <c r="D736" s="2" t="n">
        <v>34595</v>
      </c>
      <c r="E736" s="1" t="s">
        <v>710</v>
      </c>
      <c r="F736" s="1" t="s">
        <v>711</v>
      </c>
      <c r="G736" s="1" t="s">
        <v>722</v>
      </c>
      <c r="H736" s="1" t="s">
        <v>713</v>
      </c>
      <c r="I736" s="1" t="s">
        <v>714</v>
      </c>
      <c r="J736" s="1" t="s">
        <v>1296</v>
      </c>
      <c r="K736" s="1" t="s">
        <v>4147</v>
      </c>
      <c r="L736" s="1" t="s">
        <v>3014</v>
      </c>
      <c r="M736" s="1" t="s">
        <v>718</v>
      </c>
    </row>
    <row r="737" customFormat="false" ht="15" hidden="false" customHeight="false" outlineLevel="0" collapsed="false">
      <c r="A737" s="1" t="s">
        <v>4148</v>
      </c>
      <c r="B737" s="1" t="s">
        <v>4149</v>
      </c>
      <c r="C737" s="1" t="s">
        <v>4150</v>
      </c>
      <c r="D737" s="2" t="n">
        <v>34316</v>
      </c>
      <c r="E737" s="1" t="s">
        <v>710</v>
      </c>
      <c r="F737" s="1" t="s">
        <v>711</v>
      </c>
      <c r="G737" s="1" t="s">
        <v>722</v>
      </c>
      <c r="H737" s="1" t="s">
        <v>713</v>
      </c>
      <c r="I737" s="1" t="s">
        <v>714</v>
      </c>
      <c r="J737" s="1" t="s">
        <v>4151</v>
      </c>
      <c r="K737" s="1" t="s">
        <v>716</v>
      </c>
      <c r="L737" s="1" t="s">
        <v>4152</v>
      </c>
      <c r="M737" s="1" t="s">
        <v>718</v>
      </c>
    </row>
    <row r="738" customFormat="false" ht="15" hidden="false" customHeight="false" outlineLevel="0" collapsed="false">
      <c r="A738" s="1" t="s">
        <v>4153</v>
      </c>
      <c r="B738" s="1" t="s">
        <v>4154</v>
      </c>
      <c r="C738" s="1" t="s">
        <v>1171</v>
      </c>
      <c r="D738" s="2" t="n">
        <v>34397</v>
      </c>
      <c r="E738" s="1" t="s">
        <v>763</v>
      </c>
      <c r="F738" s="1" t="s">
        <v>711</v>
      </c>
      <c r="G738" s="1" t="s">
        <v>712</v>
      </c>
      <c r="H738" s="1" t="s">
        <v>713</v>
      </c>
      <c r="I738" s="1" t="s">
        <v>714</v>
      </c>
      <c r="J738" s="1" t="s">
        <v>1244</v>
      </c>
      <c r="K738" s="1" t="s">
        <v>4155</v>
      </c>
      <c r="L738" s="1" t="s">
        <v>1173</v>
      </c>
      <c r="M738" s="1" t="s">
        <v>718</v>
      </c>
    </row>
    <row r="739" customFormat="false" ht="15" hidden="false" customHeight="false" outlineLevel="0" collapsed="false">
      <c r="A739" s="1" t="s">
        <v>4156</v>
      </c>
      <c r="B739" s="1" t="s">
        <v>4157</v>
      </c>
      <c r="C739" s="1" t="s">
        <v>3817</v>
      </c>
      <c r="D739" s="2" t="n">
        <v>34850</v>
      </c>
      <c r="E739" s="1" t="s">
        <v>763</v>
      </c>
      <c r="F739" s="1" t="s">
        <v>711</v>
      </c>
      <c r="G739" s="1" t="s">
        <v>712</v>
      </c>
      <c r="H739" s="1" t="s">
        <v>713</v>
      </c>
      <c r="I739" s="1" t="s">
        <v>714</v>
      </c>
      <c r="J739" s="1" t="s">
        <v>4158</v>
      </c>
      <c r="K739" s="1" t="s">
        <v>716</v>
      </c>
      <c r="L739" s="1" t="s">
        <v>4159</v>
      </c>
      <c r="M739" s="1" t="s">
        <v>718</v>
      </c>
    </row>
    <row r="740" customFormat="false" ht="15" hidden="false" customHeight="false" outlineLevel="0" collapsed="false">
      <c r="A740" s="1" t="s">
        <v>4160</v>
      </c>
      <c r="B740" s="1" t="s">
        <v>4161</v>
      </c>
      <c r="C740" s="1" t="s">
        <v>4162</v>
      </c>
      <c r="D740" s="2" t="n">
        <v>34498</v>
      </c>
      <c r="E740" s="1" t="s">
        <v>763</v>
      </c>
      <c r="F740" s="1" t="s">
        <v>711</v>
      </c>
      <c r="G740" s="1" t="s">
        <v>722</v>
      </c>
      <c r="H740" s="1" t="s">
        <v>713</v>
      </c>
      <c r="I740" s="1" t="s">
        <v>714</v>
      </c>
      <c r="J740" s="1" t="s">
        <v>1312</v>
      </c>
      <c r="K740" s="1" t="s">
        <v>4163</v>
      </c>
      <c r="L740" s="1" t="s">
        <v>1314</v>
      </c>
      <c r="M740" s="1" t="s">
        <v>718</v>
      </c>
    </row>
    <row r="741" customFormat="false" ht="15" hidden="false" customHeight="false" outlineLevel="0" collapsed="false">
      <c r="A741" s="1" t="s">
        <v>4164</v>
      </c>
      <c r="B741" s="1" t="s">
        <v>4165</v>
      </c>
      <c r="C741" s="1" t="s">
        <v>4166</v>
      </c>
      <c r="D741" s="2" t="n">
        <v>34912</v>
      </c>
      <c r="E741" s="1" t="s">
        <v>763</v>
      </c>
      <c r="F741" s="1" t="s">
        <v>711</v>
      </c>
      <c r="G741" s="1" t="s">
        <v>712</v>
      </c>
      <c r="H741" s="1" t="s">
        <v>713</v>
      </c>
      <c r="I741" s="1" t="s">
        <v>714</v>
      </c>
      <c r="J741" s="1" t="s">
        <v>4151</v>
      </c>
      <c r="K741" s="1" t="s">
        <v>4167</v>
      </c>
      <c r="L741" s="1" t="s">
        <v>4168</v>
      </c>
      <c r="M741" s="1" t="s">
        <v>718</v>
      </c>
    </row>
    <row r="742" customFormat="false" ht="15" hidden="false" customHeight="false" outlineLevel="0" collapsed="false">
      <c r="A742" s="1" t="s">
        <v>4169</v>
      </c>
      <c r="B742" s="1" t="s">
        <v>4170</v>
      </c>
      <c r="C742" s="1" t="s">
        <v>4171</v>
      </c>
      <c r="D742" s="2" t="n">
        <v>34887</v>
      </c>
      <c r="E742" s="1" t="s">
        <v>710</v>
      </c>
      <c r="F742" s="1" t="s">
        <v>711</v>
      </c>
      <c r="G742" s="1" t="s">
        <v>722</v>
      </c>
      <c r="H742" s="1" t="s">
        <v>713</v>
      </c>
      <c r="I742" s="1" t="s">
        <v>714</v>
      </c>
      <c r="J742" s="1" t="s">
        <v>4172</v>
      </c>
      <c r="K742" s="1" t="s">
        <v>4173</v>
      </c>
      <c r="L742" s="1" t="s">
        <v>4174</v>
      </c>
      <c r="M742" s="1" t="s">
        <v>718</v>
      </c>
    </row>
    <row r="743" customFormat="false" ht="15" hidden="false" customHeight="false" outlineLevel="0" collapsed="false">
      <c r="A743" s="1" t="s">
        <v>4175</v>
      </c>
      <c r="B743" s="1" t="s">
        <v>4176</v>
      </c>
      <c r="C743" s="1" t="s">
        <v>4177</v>
      </c>
      <c r="D743" s="2" t="n">
        <v>34906</v>
      </c>
      <c r="E743" s="1" t="s">
        <v>710</v>
      </c>
      <c r="F743" s="1" t="s">
        <v>711</v>
      </c>
      <c r="G743" s="1" t="s">
        <v>712</v>
      </c>
      <c r="H743" s="1" t="s">
        <v>713</v>
      </c>
      <c r="I743" s="1" t="s">
        <v>714</v>
      </c>
      <c r="J743" s="1" t="s">
        <v>723</v>
      </c>
      <c r="K743" s="1" t="s">
        <v>4178</v>
      </c>
      <c r="L743" s="1" t="s">
        <v>4179</v>
      </c>
      <c r="M743" s="1" t="s">
        <v>718</v>
      </c>
    </row>
    <row r="744" customFormat="false" ht="15" hidden="false" customHeight="false" outlineLevel="0" collapsed="false">
      <c r="A744" s="1" t="s">
        <v>4180</v>
      </c>
      <c r="B744" s="1" t="s">
        <v>4181</v>
      </c>
      <c r="C744" s="1" t="s">
        <v>3650</v>
      </c>
      <c r="D744" s="2" t="n">
        <v>34892</v>
      </c>
      <c r="E744" s="1" t="s">
        <v>763</v>
      </c>
      <c r="F744" s="1" t="s">
        <v>711</v>
      </c>
      <c r="G744" s="1" t="s">
        <v>712</v>
      </c>
      <c r="H744" s="1" t="s">
        <v>713</v>
      </c>
      <c r="I744" s="1" t="s">
        <v>714</v>
      </c>
      <c r="J744" s="1" t="s">
        <v>723</v>
      </c>
      <c r="K744" s="1" t="s">
        <v>4182</v>
      </c>
      <c r="L744" s="1" t="s">
        <v>3653</v>
      </c>
      <c r="M744" s="1" t="s">
        <v>718</v>
      </c>
    </row>
    <row r="745" customFormat="false" ht="15" hidden="false" customHeight="false" outlineLevel="0" collapsed="false">
      <c r="A745" s="1" t="s">
        <v>4183</v>
      </c>
      <c r="B745" s="1" t="s">
        <v>4184</v>
      </c>
      <c r="C745" s="1" t="s">
        <v>2563</v>
      </c>
      <c r="D745" s="2" t="n">
        <v>34729</v>
      </c>
      <c r="E745" s="1" t="s">
        <v>763</v>
      </c>
      <c r="F745" s="1" t="s">
        <v>711</v>
      </c>
      <c r="G745" s="1" t="s">
        <v>712</v>
      </c>
      <c r="H745" s="1" t="s">
        <v>713</v>
      </c>
      <c r="I745" s="1" t="s">
        <v>714</v>
      </c>
      <c r="J745" s="1" t="s">
        <v>4185</v>
      </c>
      <c r="K745" s="1" t="s">
        <v>4186</v>
      </c>
      <c r="L745" s="1" t="s">
        <v>4187</v>
      </c>
      <c r="M745" s="1" t="s">
        <v>718</v>
      </c>
    </row>
    <row r="746" customFormat="false" ht="15" hidden="false" customHeight="false" outlineLevel="0" collapsed="false">
      <c r="A746" s="1" t="s">
        <v>4188</v>
      </c>
      <c r="B746" s="1" t="s">
        <v>4189</v>
      </c>
      <c r="C746" s="1" t="s">
        <v>2470</v>
      </c>
      <c r="D746" s="2" t="n">
        <v>34822</v>
      </c>
      <c r="E746" s="1" t="s">
        <v>710</v>
      </c>
      <c r="F746" s="1" t="s">
        <v>711</v>
      </c>
      <c r="G746" s="1" t="s">
        <v>722</v>
      </c>
      <c r="H746" s="1" t="s">
        <v>713</v>
      </c>
      <c r="I746" s="1" t="s">
        <v>714</v>
      </c>
      <c r="J746" s="1" t="s">
        <v>821</v>
      </c>
      <c r="K746" s="1" t="s">
        <v>4190</v>
      </c>
      <c r="L746" s="1" t="s">
        <v>4191</v>
      </c>
      <c r="M746" s="1" t="s">
        <v>718</v>
      </c>
    </row>
    <row r="747" customFormat="false" ht="15" hidden="false" customHeight="false" outlineLevel="0" collapsed="false">
      <c r="A747" s="1" t="s">
        <v>4192</v>
      </c>
      <c r="B747" s="1" t="s">
        <v>4193</v>
      </c>
      <c r="C747" s="1" t="s">
        <v>4024</v>
      </c>
      <c r="D747" s="2" t="n">
        <v>34394</v>
      </c>
      <c r="E747" s="1" t="s">
        <v>710</v>
      </c>
      <c r="F747" s="1" t="s">
        <v>711</v>
      </c>
      <c r="G747" s="1" t="s">
        <v>722</v>
      </c>
      <c r="H747" s="1" t="s">
        <v>713</v>
      </c>
      <c r="I747" s="1" t="s">
        <v>714</v>
      </c>
      <c r="J747" s="1" t="s">
        <v>917</v>
      </c>
      <c r="K747" s="1" t="s">
        <v>4194</v>
      </c>
      <c r="L747" s="1" t="s">
        <v>4026</v>
      </c>
      <c r="M747" s="1" t="s">
        <v>718</v>
      </c>
    </row>
    <row r="748" customFormat="false" ht="15" hidden="false" customHeight="false" outlineLevel="0" collapsed="false">
      <c r="A748" s="1" t="s">
        <v>4195</v>
      </c>
      <c r="B748" s="1" t="s">
        <v>4196</v>
      </c>
      <c r="C748" s="1" t="s">
        <v>4197</v>
      </c>
      <c r="D748" s="2" t="n">
        <v>34902</v>
      </c>
      <c r="E748" s="1" t="s">
        <v>710</v>
      </c>
      <c r="F748" s="1" t="s">
        <v>711</v>
      </c>
      <c r="G748" s="1" t="s">
        <v>712</v>
      </c>
      <c r="H748" s="1" t="s">
        <v>713</v>
      </c>
      <c r="I748" s="1" t="s">
        <v>714</v>
      </c>
      <c r="J748" s="1" t="s">
        <v>4198</v>
      </c>
      <c r="K748" s="1" t="s">
        <v>4199</v>
      </c>
      <c r="L748" s="1" t="s">
        <v>4200</v>
      </c>
      <c r="M748" s="1" t="s">
        <v>718</v>
      </c>
    </row>
    <row r="749" customFormat="false" ht="15" hidden="false" customHeight="false" outlineLevel="0" collapsed="false">
      <c r="A749" s="1" t="s">
        <v>4201</v>
      </c>
      <c r="B749" s="1" t="s">
        <v>4202</v>
      </c>
      <c r="C749" s="1" t="s">
        <v>3892</v>
      </c>
      <c r="D749" s="2" t="n">
        <v>35001</v>
      </c>
      <c r="E749" s="1" t="s">
        <v>710</v>
      </c>
      <c r="F749" s="1" t="s">
        <v>711</v>
      </c>
      <c r="G749" s="1" t="s">
        <v>722</v>
      </c>
      <c r="H749" s="1" t="s">
        <v>713</v>
      </c>
      <c r="I749" s="1" t="s">
        <v>714</v>
      </c>
      <c r="J749" s="1" t="s">
        <v>4203</v>
      </c>
      <c r="K749" s="1" t="s">
        <v>4204</v>
      </c>
      <c r="L749" s="1" t="s">
        <v>3894</v>
      </c>
      <c r="M749" s="1" t="s">
        <v>718</v>
      </c>
    </row>
    <row r="750" customFormat="false" ht="15" hidden="false" customHeight="false" outlineLevel="0" collapsed="false">
      <c r="A750" s="1" t="s">
        <v>4205</v>
      </c>
      <c r="B750" s="1" t="s">
        <v>4206</v>
      </c>
      <c r="C750" s="1" t="s">
        <v>4207</v>
      </c>
      <c r="D750" s="2" t="n">
        <v>34889</v>
      </c>
      <c r="E750" s="1" t="s">
        <v>710</v>
      </c>
      <c r="F750" s="1" t="s">
        <v>711</v>
      </c>
      <c r="G750" s="1" t="s">
        <v>722</v>
      </c>
      <c r="H750" s="1" t="s">
        <v>713</v>
      </c>
      <c r="I750" s="1" t="s">
        <v>714</v>
      </c>
      <c r="J750" s="1" t="s">
        <v>4129</v>
      </c>
      <c r="K750" s="1" t="s">
        <v>4208</v>
      </c>
      <c r="L750" s="1" t="s">
        <v>4209</v>
      </c>
      <c r="M750" s="1" t="s">
        <v>718</v>
      </c>
    </row>
    <row r="751" customFormat="false" ht="15" hidden="false" customHeight="false" outlineLevel="0" collapsed="false">
      <c r="A751" s="1" t="s">
        <v>4210</v>
      </c>
      <c r="B751" s="1" t="s">
        <v>4211</v>
      </c>
      <c r="C751" s="1" t="s">
        <v>3929</v>
      </c>
      <c r="D751" s="2" t="n">
        <v>34847</v>
      </c>
      <c r="E751" s="1" t="s">
        <v>710</v>
      </c>
      <c r="F751" s="1" t="s">
        <v>711</v>
      </c>
      <c r="G751" s="1" t="s">
        <v>712</v>
      </c>
      <c r="H751" s="1" t="s">
        <v>713</v>
      </c>
      <c r="I751" s="1" t="s">
        <v>714</v>
      </c>
      <c r="J751" s="1" t="s">
        <v>4129</v>
      </c>
      <c r="K751" s="1" t="s">
        <v>4212</v>
      </c>
      <c r="L751" s="1" t="s">
        <v>4213</v>
      </c>
      <c r="M751" s="1" t="s">
        <v>718</v>
      </c>
    </row>
    <row r="752" customFormat="false" ht="15" hidden="false" customHeight="false" outlineLevel="0" collapsed="false">
      <c r="A752" s="1" t="s">
        <v>4214</v>
      </c>
      <c r="B752" s="1" t="s">
        <v>4215</v>
      </c>
      <c r="C752" s="1" t="s">
        <v>4216</v>
      </c>
      <c r="D752" s="2" t="n">
        <v>34622</v>
      </c>
      <c r="E752" s="1" t="s">
        <v>710</v>
      </c>
      <c r="F752" s="1" t="s">
        <v>711</v>
      </c>
      <c r="G752" s="1" t="s">
        <v>712</v>
      </c>
      <c r="H752" s="1" t="s">
        <v>713</v>
      </c>
      <c r="I752" s="1" t="s">
        <v>714</v>
      </c>
      <c r="J752" s="1" t="s">
        <v>716</v>
      </c>
      <c r="K752" s="1" t="s">
        <v>716</v>
      </c>
      <c r="L752" s="1" t="s">
        <v>4217</v>
      </c>
      <c r="M752" s="1" t="s">
        <v>718</v>
      </c>
    </row>
    <row r="753" customFormat="false" ht="15" hidden="false" customHeight="false" outlineLevel="0" collapsed="false">
      <c r="A753" s="1" t="s">
        <v>4218</v>
      </c>
      <c r="B753" s="1" t="s">
        <v>4219</v>
      </c>
      <c r="C753" s="1" t="s">
        <v>4220</v>
      </c>
      <c r="D753" s="2" t="n">
        <v>34824</v>
      </c>
      <c r="E753" s="1" t="s">
        <v>710</v>
      </c>
      <c r="F753" s="1" t="s">
        <v>711</v>
      </c>
      <c r="G753" s="1" t="s">
        <v>722</v>
      </c>
      <c r="H753" s="1" t="s">
        <v>713</v>
      </c>
      <c r="I753" s="1" t="s">
        <v>714</v>
      </c>
      <c r="J753" s="1" t="s">
        <v>832</v>
      </c>
      <c r="K753" s="1" t="s">
        <v>4221</v>
      </c>
      <c r="L753" s="1" t="s">
        <v>4222</v>
      </c>
      <c r="M753" s="1" t="s">
        <v>718</v>
      </c>
    </row>
    <row r="754" customFormat="false" ht="15" hidden="false" customHeight="false" outlineLevel="0" collapsed="false">
      <c r="A754" s="1" t="s">
        <v>4223</v>
      </c>
      <c r="B754" s="1" t="s">
        <v>2071</v>
      </c>
      <c r="C754" s="1" t="s">
        <v>3823</v>
      </c>
      <c r="D754" s="2" t="n">
        <v>34609</v>
      </c>
      <c r="E754" s="1" t="s">
        <v>710</v>
      </c>
      <c r="F754" s="1" t="s">
        <v>711</v>
      </c>
      <c r="G754" s="1" t="s">
        <v>722</v>
      </c>
      <c r="H754" s="1" t="s">
        <v>713</v>
      </c>
      <c r="I754" s="1" t="s">
        <v>714</v>
      </c>
      <c r="J754" s="1" t="s">
        <v>4224</v>
      </c>
      <c r="K754" s="1" t="s">
        <v>716</v>
      </c>
      <c r="L754" s="1" t="s">
        <v>4225</v>
      </c>
      <c r="M754" s="1" t="s">
        <v>718</v>
      </c>
    </row>
    <row r="755" customFormat="false" ht="15" hidden="false" customHeight="false" outlineLevel="0" collapsed="false">
      <c r="A755" s="1" t="s">
        <v>4226</v>
      </c>
      <c r="B755" s="1" t="s">
        <v>4227</v>
      </c>
      <c r="C755" s="1" t="s">
        <v>4228</v>
      </c>
      <c r="D755" s="2" t="n">
        <v>35019</v>
      </c>
      <c r="E755" s="1" t="s">
        <v>710</v>
      </c>
      <c r="F755" s="1" t="s">
        <v>711</v>
      </c>
      <c r="G755" s="1" t="s">
        <v>712</v>
      </c>
      <c r="H755" s="1" t="s">
        <v>713</v>
      </c>
      <c r="I755" s="1" t="s">
        <v>714</v>
      </c>
      <c r="J755" s="1" t="s">
        <v>4229</v>
      </c>
      <c r="K755" s="1" t="s">
        <v>4230</v>
      </c>
      <c r="L755" s="1" t="s">
        <v>4231</v>
      </c>
      <c r="M755" s="1" t="s">
        <v>718</v>
      </c>
    </row>
    <row r="756" customFormat="false" ht="15" hidden="false" customHeight="false" outlineLevel="0" collapsed="false">
      <c r="A756" s="1" t="s">
        <v>4232</v>
      </c>
      <c r="B756" s="1" t="s">
        <v>4233</v>
      </c>
      <c r="C756" s="1" t="s">
        <v>4234</v>
      </c>
      <c r="D756" s="2" t="n">
        <v>34742</v>
      </c>
      <c r="E756" s="1" t="s">
        <v>710</v>
      </c>
      <c r="F756" s="1" t="s">
        <v>711</v>
      </c>
      <c r="G756" s="1" t="s">
        <v>3464</v>
      </c>
      <c r="H756" s="1" t="s">
        <v>713</v>
      </c>
      <c r="I756" s="1" t="s">
        <v>714</v>
      </c>
      <c r="J756" s="1" t="s">
        <v>1296</v>
      </c>
      <c r="K756" s="1" t="s">
        <v>4235</v>
      </c>
      <c r="L756" s="1" t="s">
        <v>2261</v>
      </c>
      <c r="M756" s="1" t="s">
        <v>718</v>
      </c>
    </row>
    <row r="757" customFormat="false" ht="15" hidden="false" customHeight="false" outlineLevel="0" collapsed="false">
      <c r="A757" s="1" t="s">
        <v>4236</v>
      </c>
      <c r="B757" s="1" t="s">
        <v>4237</v>
      </c>
      <c r="C757" s="1" t="s">
        <v>4238</v>
      </c>
      <c r="D757" s="2" t="n">
        <v>34406</v>
      </c>
      <c r="E757" s="1" t="s">
        <v>763</v>
      </c>
      <c r="F757" s="1" t="s">
        <v>711</v>
      </c>
      <c r="G757" s="1" t="s">
        <v>722</v>
      </c>
      <c r="H757" s="1" t="s">
        <v>713</v>
      </c>
      <c r="I757" s="1" t="s">
        <v>714</v>
      </c>
      <c r="J757" s="1" t="s">
        <v>4239</v>
      </c>
      <c r="K757" s="1" t="s">
        <v>4240</v>
      </c>
      <c r="L757" s="1" t="s">
        <v>1065</v>
      </c>
      <c r="M757" s="1" t="s">
        <v>718</v>
      </c>
    </row>
    <row r="758" customFormat="false" ht="15" hidden="false" customHeight="false" outlineLevel="0" collapsed="false">
      <c r="A758" s="1" t="s">
        <v>4241</v>
      </c>
      <c r="B758" s="1" t="s">
        <v>4242</v>
      </c>
      <c r="C758" s="1" t="s">
        <v>3660</v>
      </c>
      <c r="D758" s="2" t="n">
        <v>34991</v>
      </c>
      <c r="E758" s="1" t="s">
        <v>710</v>
      </c>
      <c r="F758" s="1" t="s">
        <v>711</v>
      </c>
      <c r="G758" s="1" t="s">
        <v>722</v>
      </c>
      <c r="H758" s="1" t="s">
        <v>713</v>
      </c>
      <c r="I758" s="1" t="s">
        <v>714</v>
      </c>
      <c r="J758" s="1" t="s">
        <v>716</v>
      </c>
      <c r="K758" s="1" t="s">
        <v>716</v>
      </c>
      <c r="L758" s="1" t="s">
        <v>3663</v>
      </c>
      <c r="M758" s="1" t="s">
        <v>718</v>
      </c>
    </row>
    <row r="759" customFormat="false" ht="15" hidden="false" customHeight="false" outlineLevel="0" collapsed="false">
      <c r="A759" s="1" t="s">
        <v>4243</v>
      </c>
      <c r="B759" s="1" t="s">
        <v>4244</v>
      </c>
      <c r="C759" s="1" t="s">
        <v>4245</v>
      </c>
      <c r="D759" s="2" t="n">
        <v>35076</v>
      </c>
      <c r="E759" s="1" t="s">
        <v>763</v>
      </c>
      <c r="F759" s="1" t="s">
        <v>711</v>
      </c>
      <c r="G759" s="1" t="s">
        <v>712</v>
      </c>
      <c r="H759" s="1" t="s">
        <v>713</v>
      </c>
      <c r="I759" s="1" t="s">
        <v>714</v>
      </c>
      <c r="J759" s="1" t="s">
        <v>715</v>
      </c>
      <c r="K759" s="1" t="s">
        <v>4246</v>
      </c>
      <c r="L759" s="1" t="s">
        <v>3467</v>
      </c>
      <c r="M759" s="1" t="s">
        <v>718</v>
      </c>
    </row>
    <row r="760" customFormat="false" ht="15" hidden="false" customHeight="false" outlineLevel="0" collapsed="false">
      <c r="A760" s="1" t="s">
        <v>4247</v>
      </c>
      <c r="B760" s="1" t="s">
        <v>1242</v>
      </c>
      <c r="C760" s="1" t="s">
        <v>4248</v>
      </c>
      <c r="D760" s="2" t="n">
        <v>35030</v>
      </c>
      <c r="E760" s="1" t="s">
        <v>710</v>
      </c>
      <c r="F760" s="1" t="s">
        <v>711</v>
      </c>
      <c r="G760" s="1" t="s">
        <v>712</v>
      </c>
      <c r="H760" s="1" t="s">
        <v>713</v>
      </c>
      <c r="I760" s="1" t="s">
        <v>714</v>
      </c>
      <c r="J760" s="1" t="s">
        <v>4249</v>
      </c>
      <c r="K760" s="1" t="s">
        <v>4250</v>
      </c>
      <c r="L760" s="1" t="s">
        <v>4251</v>
      </c>
      <c r="M760" s="1" t="s">
        <v>718</v>
      </c>
    </row>
    <row r="761" customFormat="false" ht="15" hidden="false" customHeight="false" outlineLevel="0" collapsed="false">
      <c r="A761" s="1" t="s">
        <v>4252</v>
      </c>
      <c r="B761" s="1" t="s">
        <v>4253</v>
      </c>
      <c r="C761" s="1" t="s">
        <v>4197</v>
      </c>
      <c r="D761" s="2" t="n">
        <v>35158</v>
      </c>
      <c r="E761" s="1" t="s">
        <v>763</v>
      </c>
      <c r="F761" s="1" t="s">
        <v>711</v>
      </c>
      <c r="G761" s="1" t="s">
        <v>722</v>
      </c>
      <c r="H761" s="1" t="s">
        <v>713</v>
      </c>
      <c r="I761" s="1" t="s">
        <v>714</v>
      </c>
      <c r="J761" s="1" t="s">
        <v>3786</v>
      </c>
      <c r="K761" s="1" t="s">
        <v>716</v>
      </c>
      <c r="L761" s="1" t="s">
        <v>4254</v>
      </c>
      <c r="M761" s="1" t="s">
        <v>718</v>
      </c>
    </row>
    <row r="762" customFormat="false" ht="15" hidden="false" customHeight="false" outlineLevel="0" collapsed="false">
      <c r="A762" s="1" t="s">
        <v>4255</v>
      </c>
      <c r="B762" s="1" t="s">
        <v>4256</v>
      </c>
      <c r="C762" s="1" t="s">
        <v>4257</v>
      </c>
      <c r="D762" s="2" t="n">
        <v>34702</v>
      </c>
      <c r="E762" s="1" t="s">
        <v>710</v>
      </c>
      <c r="F762" s="1" t="s">
        <v>711</v>
      </c>
      <c r="G762" s="1" t="s">
        <v>722</v>
      </c>
      <c r="H762" s="1" t="s">
        <v>713</v>
      </c>
      <c r="I762" s="1" t="s">
        <v>714</v>
      </c>
      <c r="J762" s="1" t="s">
        <v>4258</v>
      </c>
      <c r="K762" s="1" t="s">
        <v>4259</v>
      </c>
      <c r="L762" s="1" t="s">
        <v>2666</v>
      </c>
      <c r="M762" s="1" t="s">
        <v>718</v>
      </c>
    </row>
    <row r="763" customFormat="false" ht="15" hidden="false" customHeight="false" outlineLevel="0" collapsed="false">
      <c r="A763" s="1" t="s">
        <v>4260</v>
      </c>
      <c r="B763" s="1" t="s">
        <v>4261</v>
      </c>
      <c r="C763" s="1" t="s">
        <v>2643</v>
      </c>
      <c r="D763" s="2" t="n">
        <v>34514</v>
      </c>
      <c r="E763" s="1" t="s">
        <v>763</v>
      </c>
      <c r="F763" s="1" t="s">
        <v>711</v>
      </c>
      <c r="G763" s="1" t="s">
        <v>712</v>
      </c>
      <c r="H763" s="1" t="s">
        <v>713</v>
      </c>
      <c r="I763" s="1" t="s">
        <v>714</v>
      </c>
      <c r="J763" s="1" t="s">
        <v>4262</v>
      </c>
      <c r="K763" s="1" t="s">
        <v>4263</v>
      </c>
      <c r="L763" s="1" t="s">
        <v>2842</v>
      </c>
      <c r="M763" s="1" t="s">
        <v>718</v>
      </c>
    </row>
    <row r="764" customFormat="false" ht="15" hidden="false" customHeight="false" outlineLevel="0" collapsed="false">
      <c r="A764" s="1" t="s">
        <v>4264</v>
      </c>
      <c r="B764" s="1" t="s">
        <v>1668</v>
      </c>
      <c r="C764" s="1" t="s">
        <v>4265</v>
      </c>
      <c r="D764" s="2" t="n">
        <v>34983</v>
      </c>
      <c r="E764" s="1" t="s">
        <v>710</v>
      </c>
      <c r="F764" s="1" t="s">
        <v>711</v>
      </c>
      <c r="G764" s="1" t="s">
        <v>722</v>
      </c>
      <c r="H764" s="1" t="s">
        <v>713</v>
      </c>
      <c r="I764" s="1" t="s">
        <v>714</v>
      </c>
      <c r="J764" s="1" t="s">
        <v>4266</v>
      </c>
      <c r="K764" s="1" t="s">
        <v>4267</v>
      </c>
      <c r="L764" s="1" t="s">
        <v>4268</v>
      </c>
      <c r="M764" s="1" t="s">
        <v>718</v>
      </c>
    </row>
    <row r="765" customFormat="false" ht="15" hidden="false" customHeight="false" outlineLevel="0" collapsed="false">
      <c r="A765" s="1" t="s">
        <v>4269</v>
      </c>
      <c r="B765" s="1" t="s">
        <v>3544</v>
      </c>
      <c r="C765" s="1" t="s">
        <v>4270</v>
      </c>
      <c r="D765" s="2" t="n">
        <v>34502</v>
      </c>
      <c r="E765" s="1" t="s">
        <v>710</v>
      </c>
      <c r="F765" s="1" t="s">
        <v>711</v>
      </c>
      <c r="G765" s="1" t="s">
        <v>722</v>
      </c>
      <c r="H765" s="1" t="s">
        <v>713</v>
      </c>
      <c r="I765" s="1" t="s">
        <v>714</v>
      </c>
      <c r="J765" s="1" t="s">
        <v>4271</v>
      </c>
      <c r="K765" s="1" t="s">
        <v>4272</v>
      </c>
      <c r="L765" s="1" t="s">
        <v>4273</v>
      </c>
      <c r="M765" s="1" t="s">
        <v>718</v>
      </c>
    </row>
    <row r="766" customFormat="false" ht="15" hidden="false" customHeight="false" outlineLevel="0" collapsed="false">
      <c r="A766" s="1" t="s">
        <v>4274</v>
      </c>
      <c r="B766" s="1" t="s">
        <v>4275</v>
      </c>
      <c r="C766" s="1" t="s">
        <v>837</v>
      </c>
      <c r="D766" s="2" t="n">
        <v>35079</v>
      </c>
      <c r="E766" s="1" t="s">
        <v>763</v>
      </c>
      <c r="F766" s="1" t="s">
        <v>711</v>
      </c>
      <c r="G766" s="1" t="s">
        <v>712</v>
      </c>
      <c r="H766" s="1" t="s">
        <v>713</v>
      </c>
      <c r="I766" s="1" t="s">
        <v>714</v>
      </c>
      <c r="J766" s="1" t="s">
        <v>4276</v>
      </c>
      <c r="K766" s="1" t="s">
        <v>4277</v>
      </c>
      <c r="L766" s="1" t="s">
        <v>839</v>
      </c>
      <c r="M766" s="1" t="s">
        <v>718</v>
      </c>
    </row>
    <row r="767" customFormat="false" ht="15" hidden="false" customHeight="false" outlineLevel="0" collapsed="false">
      <c r="A767" s="1" t="s">
        <v>4278</v>
      </c>
      <c r="B767" s="1" t="s">
        <v>4279</v>
      </c>
      <c r="C767" s="1" t="s">
        <v>4280</v>
      </c>
      <c r="D767" s="2" t="n">
        <v>35141</v>
      </c>
      <c r="E767" s="1" t="s">
        <v>763</v>
      </c>
      <c r="F767" s="1" t="s">
        <v>711</v>
      </c>
      <c r="G767" s="1" t="s">
        <v>2638</v>
      </c>
      <c r="H767" s="1" t="s">
        <v>713</v>
      </c>
      <c r="I767" s="1" t="s">
        <v>714</v>
      </c>
      <c r="J767" s="1" t="s">
        <v>3683</v>
      </c>
      <c r="K767" s="1" t="s">
        <v>4281</v>
      </c>
      <c r="L767" s="1" t="s">
        <v>4282</v>
      </c>
      <c r="M767" s="1" t="s">
        <v>718</v>
      </c>
    </row>
    <row r="768" customFormat="false" ht="15" hidden="false" customHeight="false" outlineLevel="0" collapsed="false">
      <c r="A768" s="1" t="s">
        <v>4283</v>
      </c>
      <c r="B768" s="1" t="s">
        <v>4284</v>
      </c>
      <c r="C768" s="1" t="s">
        <v>4285</v>
      </c>
      <c r="D768" s="2" t="n">
        <v>35194</v>
      </c>
      <c r="E768" s="1" t="s">
        <v>710</v>
      </c>
      <c r="F768" s="1" t="s">
        <v>711</v>
      </c>
      <c r="G768" s="1" t="s">
        <v>722</v>
      </c>
      <c r="H768" s="1" t="s">
        <v>713</v>
      </c>
      <c r="I768" s="1" t="s">
        <v>714</v>
      </c>
      <c r="J768" s="1" t="s">
        <v>1118</v>
      </c>
      <c r="K768" s="1" t="s">
        <v>4286</v>
      </c>
      <c r="L768" s="1" t="s">
        <v>4287</v>
      </c>
      <c r="M768" s="1" t="s">
        <v>718</v>
      </c>
    </row>
    <row r="769" customFormat="false" ht="15" hidden="false" customHeight="false" outlineLevel="0" collapsed="false">
      <c r="A769" s="1" t="s">
        <v>4288</v>
      </c>
      <c r="B769" s="1" t="s">
        <v>4289</v>
      </c>
      <c r="C769" s="1" t="s">
        <v>4290</v>
      </c>
      <c r="D769" s="2" t="n">
        <v>35242</v>
      </c>
      <c r="E769" s="1" t="s">
        <v>710</v>
      </c>
      <c r="F769" s="1" t="s">
        <v>711</v>
      </c>
      <c r="G769" s="1" t="s">
        <v>712</v>
      </c>
      <c r="H769" s="1" t="s">
        <v>713</v>
      </c>
      <c r="I769" s="1" t="s">
        <v>714</v>
      </c>
      <c r="J769" s="1" t="s">
        <v>1118</v>
      </c>
      <c r="K769" s="1" t="s">
        <v>4291</v>
      </c>
      <c r="L769" s="1" t="s">
        <v>4292</v>
      </c>
      <c r="M769" s="1" t="s">
        <v>718</v>
      </c>
    </row>
    <row r="770" customFormat="false" ht="15" hidden="false" customHeight="false" outlineLevel="0" collapsed="false">
      <c r="A770" s="1" t="s">
        <v>4293</v>
      </c>
      <c r="B770" s="1" t="s">
        <v>4294</v>
      </c>
      <c r="C770" s="1" t="s">
        <v>4295</v>
      </c>
      <c r="D770" s="2" t="n">
        <v>35229</v>
      </c>
      <c r="E770" s="1" t="s">
        <v>710</v>
      </c>
      <c r="F770" s="1" t="s">
        <v>711</v>
      </c>
      <c r="G770" s="1" t="s">
        <v>722</v>
      </c>
      <c r="H770" s="1" t="s">
        <v>713</v>
      </c>
      <c r="I770" s="1" t="s">
        <v>714</v>
      </c>
      <c r="J770" s="1" t="s">
        <v>715</v>
      </c>
      <c r="K770" s="1" t="s">
        <v>4296</v>
      </c>
      <c r="L770" s="1" t="s">
        <v>2449</v>
      </c>
      <c r="M770" s="1" t="s">
        <v>718</v>
      </c>
    </row>
    <row r="771" customFormat="false" ht="15" hidden="false" customHeight="false" outlineLevel="0" collapsed="false">
      <c r="A771" s="1" t="s">
        <v>4297</v>
      </c>
      <c r="B771" s="1" t="s">
        <v>4298</v>
      </c>
      <c r="C771" s="1" t="s">
        <v>4299</v>
      </c>
      <c r="D771" s="2" t="n">
        <v>35044</v>
      </c>
      <c r="E771" s="1" t="s">
        <v>763</v>
      </c>
      <c r="F771" s="1" t="s">
        <v>711</v>
      </c>
      <c r="G771" s="1" t="s">
        <v>722</v>
      </c>
      <c r="H771" s="1" t="s">
        <v>713</v>
      </c>
      <c r="I771" s="1" t="s">
        <v>714</v>
      </c>
      <c r="J771" s="1" t="s">
        <v>4300</v>
      </c>
      <c r="K771" s="1" t="s">
        <v>4301</v>
      </c>
      <c r="L771" s="1" t="s">
        <v>4302</v>
      </c>
      <c r="M771" s="1" t="s">
        <v>718</v>
      </c>
    </row>
    <row r="772" customFormat="false" ht="15" hidden="false" customHeight="false" outlineLevel="0" collapsed="false">
      <c r="A772" s="1" t="s">
        <v>4303</v>
      </c>
      <c r="B772" s="1" t="s">
        <v>4304</v>
      </c>
      <c r="C772" s="1" t="s">
        <v>4305</v>
      </c>
      <c r="D772" s="2" t="n">
        <v>34861</v>
      </c>
      <c r="E772" s="1" t="s">
        <v>710</v>
      </c>
      <c r="F772" s="1" t="s">
        <v>711</v>
      </c>
      <c r="G772" s="1" t="s">
        <v>712</v>
      </c>
      <c r="H772" s="1" t="s">
        <v>713</v>
      </c>
      <c r="I772" s="1" t="s">
        <v>714</v>
      </c>
      <c r="J772" s="1" t="s">
        <v>716</v>
      </c>
      <c r="K772" s="1" t="s">
        <v>4306</v>
      </c>
      <c r="L772" s="1" t="s">
        <v>4307</v>
      </c>
      <c r="M772" s="1" t="s">
        <v>718</v>
      </c>
    </row>
    <row r="773" customFormat="false" ht="15" hidden="false" customHeight="false" outlineLevel="0" collapsed="false">
      <c r="A773" s="1" t="s">
        <v>4308</v>
      </c>
      <c r="B773" s="1" t="s">
        <v>4309</v>
      </c>
      <c r="C773" s="1" t="s">
        <v>4162</v>
      </c>
      <c r="D773" s="2" t="n">
        <v>34879</v>
      </c>
      <c r="E773" s="1" t="s">
        <v>710</v>
      </c>
      <c r="F773" s="1" t="s">
        <v>711</v>
      </c>
      <c r="G773" s="1" t="s">
        <v>722</v>
      </c>
      <c r="H773" s="1" t="s">
        <v>713</v>
      </c>
      <c r="I773" s="1" t="s">
        <v>714</v>
      </c>
      <c r="J773" s="1" t="s">
        <v>1312</v>
      </c>
      <c r="K773" s="1" t="s">
        <v>4310</v>
      </c>
      <c r="L773" s="1" t="s">
        <v>1314</v>
      </c>
      <c r="M773" s="1" t="s">
        <v>718</v>
      </c>
    </row>
    <row r="774" customFormat="false" ht="15" hidden="false" customHeight="false" outlineLevel="0" collapsed="false">
      <c r="A774" s="1" t="s">
        <v>4311</v>
      </c>
      <c r="B774" s="1" t="s">
        <v>4312</v>
      </c>
      <c r="C774" s="1" t="s">
        <v>4313</v>
      </c>
      <c r="D774" s="2" t="n">
        <v>35291</v>
      </c>
      <c r="E774" s="1" t="s">
        <v>763</v>
      </c>
      <c r="F774" s="1" t="s">
        <v>711</v>
      </c>
      <c r="G774" s="1" t="s">
        <v>722</v>
      </c>
      <c r="H774" s="1" t="s">
        <v>713</v>
      </c>
      <c r="I774" s="1" t="s">
        <v>714</v>
      </c>
      <c r="J774" s="1" t="s">
        <v>4129</v>
      </c>
      <c r="K774" s="1" t="s">
        <v>716</v>
      </c>
      <c r="L774" s="1" t="s">
        <v>4314</v>
      </c>
      <c r="M774" s="1" t="s">
        <v>718</v>
      </c>
    </row>
    <row r="775" customFormat="false" ht="15" hidden="false" customHeight="false" outlineLevel="0" collapsed="false">
      <c r="A775" s="1" t="s">
        <v>4315</v>
      </c>
      <c r="B775" s="1" t="s">
        <v>4316</v>
      </c>
      <c r="C775" s="1" t="s">
        <v>4317</v>
      </c>
      <c r="D775" s="2" t="n">
        <v>35336</v>
      </c>
      <c r="E775" s="1" t="s">
        <v>710</v>
      </c>
      <c r="F775" s="1" t="s">
        <v>711</v>
      </c>
      <c r="G775" s="1" t="s">
        <v>712</v>
      </c>
      <c r="H775" s="1" t="s">
        <v>713</v>
      </c>
      <c r="I775" s="1" t="s">
        <v>714</v>
      </c>
      <c r="J775" s="1" t="s">
        <v>4318</v>
      </c>
      <c r="K775" s="1" t="s">
        <v>4319</v>
      </c>
      <c r="L775" s="1" t="s">
        <v>4320</v>
      </c>
      <c r="M775" s="1" t="s">
        <v>718</v>
      </c>
    </row>
    <row r="776" customFormat="false" ht="15" hidden="false" customHeight="false" outlineLevel="0" collapsed="false">
      <c r="A776" s="1" t="s">
        <v>4321</v>
      </c>
      <c r="B776" s="1" t="s">
        <v>4322</v>
      </c>
      <c r="C776" s="1" t="s">
        <v>3677</v>
      </c>
      <c r="D776" s="2" t="n">
        <v>35054</v>
      </c>
      <c r="E776" s="1" t="s">
        <v>763</v>
      </c>
      <c r="F776" s="1" t="s">
        <v>711</v>
      </c>
      <c r="G776" s="1" t="s">
        <v>712</v>
      </c>
      <c r="H776" s="1" t="s">
        <v>713</v>
      </c>
      <c r="I776" s="1" t="s">
        <v>714</v>
      </c>
      <c r="J776" s="1" t="s">
        <v>716</v>
      </c>
      <c r="K776" s="1" t="s">
        <v>716</v>
      </c>
      <c r="L776" s="1" t="s">
        <v>2182</v>
      </c>
      <c r="M776" s="1" t="s">
        <v>718</v>
      </c>
    </row>
    <row r="777" customFormat="false" ht="15" hidden="false" customHeight="false" outlineLevel="0" collapsed="false">
      <c r="A777" s="1" t="s">
        <v>4323</v>
      </c>
      <c r="B777" s="1" t="s">
        <v>4324</v>
      </c>
      <c r="C777" s="1" t="s">
        <v>3027</v>
      </c>
      <c r="D777" s="2" t="n">
        <v>35191</v>
      </c>
      <c r="E777" s="1" t="s">
        <v>763</v>
      </c>
      <c r="F777" s="1" t="s">
        <v>711</v>
      </c>
      <c r="G777" s="1" t="s">
        <v>722</v>
      </c>
      <c r="H777" s="1" t="s">
        <v>713</v>
      </c>
      <c r="I777" s="1" t="s">
        <v>714</v>
      </c>
      <c r="J777" s="1" t="s">
        <v>4276</v>
      </c>
      <c r="K777" s="1" t="s">
        <v>4325</v>
      </c>
      <c r="L777" s="1" t="s">
        <v>3029</v>
      </c>
      <c r="M777" s="1" t="s">
        <v>718</v>
      </c>
    </row>
    <row r="778" customFormat="false" ht="15" hidden="false" customHeight="false" outlineLevel="0" collapsed="false">
      <c r="A778" s="1" t="s">
        <v>4326</v>
      </c>
      <c r="B778" s="1" t="s">
        <v>727</v>
      </c>
      <c r="C778" s="1" t="s">
        <v>1086</v>
      </c>
      <c r="D778" s="2" t="n">
        <v>35278</v>
      </c>
      <c r="E778" s="1" t="s">
        <v>710</v>
      </c>
      <c r="F778" s="1" t="s">
        <v>711</v>
      </c>
      <c r="G778" s="1" t="s">
        <v>712</v>
      </c>
      <c r="H778" s="1" t="s">
        <v>713</v>
      </c>
      <c r="I778" s="1" t="s">
        <v>714</v>
      </c>
      <c r="J778" s="1" t="s">
        <v>1904</v>
      </c>
      <c r="K778" s="1" t="s">
        <v>4327</v>
      </c>
      <c r="L778" s="1" t="s">
        <v>4328</v>
      </c>
      <c r="M778" s="1" t="s">
        <v>718</v>
      </c>
    </row>
    <row r="779" customFormat="false" ht="15" hidden="false" customHeight="false" outlineLevel="0" collapsed="false">
      <c r="A779" s="1" t="s">
        <v>4329</v>
      </c>
      <c r="B779" s="1" t="s">
        <v>4330</v>
      </c>
      <c r="C779" s="1" t="s">
        <v>4331</v>
      </c>
      <c r="D779" s="2" t="n">
        <v>35234</v>
      </c>
      <c r="E779" s="1" t="s">
        <v>763</v>
      </c>
      <c r="F779" s="1" t="s">
        <v>711</v>
      </c>
      <c r="G779" s="1" t="s">
        <v>722</v>
      </c>
      <c r="H779" s="1" t="s">
        <v>713</v>
      </c>
      <c r="I779" s="1" t="s">
        <v>714</v>
      </c>
      <c r="J779" s="1" t="s">
        <v>4332</v>
      </c>
      <c r="K779" s="1" t="s">
        <v>4333</v>
      </c>
      <c r="L779" s="1" t="s">
        <v>4334</v>
      </c>
      <c r="M779" s="1" t="s">
        <v>718</v>
      </c>
    </row>
    <row r="780" customFormat="false" ht="15" hidden="false" customHeight="false" outlineLevel="0" collapsed="false">
      <c r="A780" s="1" t="s">
        <v>4335</v>
      </c>
      <c r="B780" s="1" t="s">
        <v>4336</v>
      </c>
      <c r="C780" s="1" t="s">
        <v>4337</v>
      </c>
      <c r="D780" s="2" t="n">
        <v>35521</v>
      </c>
      <c r="E780" s="1" t="s">
        <v>710</v>
      </c>
      <c r="F780" s="1" t="s">
        <v>711</v>
      </c>
      <c r="G780" s="1" t="s">
        <v>712</v>
      </c>
      <c r="H780" s="1" t="s">
        <v>713</v>
      </c>
      <c r="I780" s="1" t="s">
        <v>714</v>
      </c>
      <c r="J780" s="1" t="s">
        <v>4338</v>
      </c>
      <c r="K780" s="1" t="s">
        <v>4339</v>
      </c>
      <c r="L780" s="1" t="s">
        <v>4340</v>
      </c>
      <c r="M780" s="1" t="s">
        <v>718</v>
      </c>
    </row>
    <row r="781" customFormat="false" ht="15" hidden="false" customHeight="false" outlineLevel="0" collapsed="false">
      <c r="A781" s="1" t="s">
        <v>4341</v>
      </c>
      <c r="B781" s="1" t="s">
        <v>1175</v>
      </c>
      <c r="C781" s="1" t="s">
        <v>2050</v>
      </c>
      <c r="D781" s="2" t="n">
        <v>35501</v>
      </c>
      <c r="E781" s="1" t="s">
        <v>710</v>
      </c>
      <c r="F781" s="1" t="s">
        <v>711</v>
      </c>
      <c r="G781" s="1" t="s">
        <v>712</v>
      </c>
      <c r="H781" s="1" t="s">
        <v>713</v>
      </c>
      <c r="I781" s="1" t="s">
        <v>714</v>
      </c>
      <c r="J781" s="1" t="s">
        <v>3786</v>
      </c>
      <c r="K781" s="1" t="s">
        <v>2051</v>
      </c>
      <c r="L781" s="1" t="s">
        <v>2052</v>
      </c>
      <c r="M781" s="1" t="s">
        <v>718</v>
      </c>
    </row>
    <row r="782" customFormat="false" ht="15" hidden="false" customHeight="false" outlineLevel="0" collapsed="false">
      <c r="A782" s="1" t="s">
        <v>4342</v>
      </c>
      <c r="B782" s="1" t="s">
        <v>4343</v>
      </c>
      <c r="C782" s="1" t="s">
        <v>4257</v>
      </c>
      <c r="D782" s="2" t="n">
        <v>35250</v>
      </c>
      <c r="E782" s="1" t="s">
        <v>763</v>
      </c>
      <c r="F782" s="1" t="s">
        <v>711</v>
      </c>
      <c r="G782" s="1" t="s">
        <v>722</v>
      </c>
      <c r="H782" s="1" t="s">
        <v>713</v>
      </c>
      <c r="I782" s="1" t="s">
        <v>714</v>
      </c>
      <c r="J782" s="1" t="s">
        <v>4344</v>
      </c>
      <c r="K782" s="1" t="s">
        <v>4259</v>
      </c>
      <c r="L782" s="1" t="s">
        <v>2666</v>
      </c>
      <c r="M782" s="1" t="s">
        <v>718</v>
      </c>
    </row>
    <row r="783" customFormat="false" ht="15" hidden="false" customHeight="false" outlineLevel="0" collapsed="false">
      <c r="A783" s="1" t="s">
        <v>4345</v>
      </c>
      <c r="B783" s="1" t="s">
        <v>4346</v>
      </c>
      <c r="C783" s="1" t="s">
        <v>4347</v>
      </c>
      <c r="D783" s="2" t="n">
        <v>35454</v>
      </c>
      <c r="E783" s="1" t="s">
        <v>763</v>
      </c>
      <c r="F783" s="1" t="s">
        <v>711</v>
      </c>
      <c r="G783" s="1" t="s">
        <v>722</v>
      </c>
      <c r="H783" s="1" t="s">
        <v>713</v>
      </c>
      <c r="I783" s="1" t="s">
        <v>714</v>
      </c>
      <c r="J783" s="1" t="s">
        <v>4344</v>
      </c>
      <c r="K783" s="1" t="s">
        <v>4348</v>
      </c>
      <c r="L783" s="1" t="s">
        <v>4349</v>
      </c>
      <c r="M783" s="1" t="s">
        <v>718</v>
      </c>
    </row>
    <row r="784" customFormat="false" ht="15" hidden="false" customHeight="false" outlineLevel="0" collapsed="false">
      <c r="A784" s="1" t="s">
        <v>4350</v>
      </c>
      <c r="B784" s="1" t="s">
        <v>4351</v>
      </c>
      <c r="C784" s="1" t="s">
        <v>4352</v>
      </c>
      <c r="D784" s="2" t="n">
        <v>35457</v>
      </c>
      <c r="E784" s="1" t="s">
        <v>763</v>
      </c>
      <c r="F784" s="1" t="s">
        <v>711</v>
      </c>
      <c r="G784" s="1" t="s">
        <v>722</v>
      </c>
      <c r="H784" s="1" t="s">
        <v>713</v>
      </c>
      <c r="I784" s="1" t="s">
        <v>714</v>
      </c>
      <c r="J784" s="1" t="s">
        <v>4344</v>
      </c>
      <c r="K784" s="1" t="s">
        <v>4353</v>
      </c>
      <c r="L784" s="1" t="s">
        <v>4354</v>
      </c>
      <c r="M784" s="1" t="s">
        <v>718</v>
      </c>
    </row>
    <row r="785" customFormat="false" ht="15" hidden="false" customHeight="false" outlineLevel="0" collapsed="false">
      <c r="A785" s="1" t="s">
        <v>4355</v>
      </c>
      <c r="B785" s="1" t="s">
        <v>4356</v>
      </c>
      <c r="C785" s="1" t="s">
        <v>1234</v>
      </c>
      <c r="D785" s="2" t="n">
        <v>35109</v>
      </c>
      <c r="E785" s="1" t="s">
        <v>763</v>
      </c>
      <c r="F785" s="1" t="s">
        <v>711</v>
      </c>
      <c r="G785" s="1" t="s">
        <v>712</v>
      </c>
      <c r="H785" s="1" t="s">
        <v>713</v>
      </c>
      <c r="I785" s="1" t="s">
        <v>714</v>
      </c>
      <c r="J785" s="1" t="s">
        <v>4151</v>
      </c>
      <c r="K785" s="1" t="s">
        <v>4357</v>
      </c>
      <c r="L785" s="1" t="s">
        <v>4358</v>
      </c>
      <c r="M785" s="1" t="s">
        <v>718</v>
      </c>
    </row>
    <row r="786" customFormat="false" ht="15" hidden="false" customHeight="false" outlineLevel="0" collapsed="false">
      <c r="A786" s="1" t="s">
        <v>4359</v>
      </c>
      <c r="B786" s="1" t="s">
        <v>4360</v>
      </c>
      <c r="C786" s="1" t="s">
        <v>4361</v>
      </c>
      <c r="D786" s="2" t="n">
        <v>35056</v>
      </c>
      <c r="E786" s="1" t="s">
        <v>763</v>
      </c>
      <c r="F786" s="1" t="s">
        <v>711</v>
      </c>
      <c r="G786" s="1" t="s">
        <v>4362</v>
      </c>
      <c r="H786" s="1" t="s">
        <v>713</v>
      </c>
      <c r="I786" s="1" t="s">
        <v>714</v>
      </c>
      <c r="J786" s="1" t="s">
        <v>4363</v>
      </c>
      <c r="K786" s="1" t="s">
        <v>943</v>
      </c>
      <c r="L786" s="1" t="s">
        <v>944</v>
      </c>
      <c r="M786" s="1" t="s">
        <v>718</v>
      </c>
    </row>
    <row r="787" customFormat="false" ht="15" hidden="false" customHeight="false" outlineLevel="0" collapsed="false">
      <c r="A787" s="1" t="s">
        <v>4364</v>
      </c>
      <c r="B787" s="1" t="s">
        <v>4365</v>
      </c>
      <c r="C787" s="1" t="s">
        <v>4366</v>
      </c>
      <c r="D787" s="2" t="n">
        <v>35426</v>
      </c>
      <c r="E787" s="1" t="s">
        <v>763</v>
      </c>
      <c r="F787" s="1" t="s">
        <v>711</v>
      </c>
      <c r="G787" s="1" t="s">
        <v>712</v>
      </c>
      <c r="H787" s="1" t="s">
        <v>713</v>
      </c>
      <c r="I787" s="1" t="s">
        <v>714</v>
      </c>
      <c r="J787" s="1" t="s">
        <v>1118</v>
      </c>
      <c r="K787" s="1" t="s">
        <v>4367</v>
      </c>
      <c r="L787" s="1" t="s">
        <v>1526</v>
      </c>
      <c r="M787" s="1" t="s">
        <v>718</v>
      </c>
    </row>
    <row r="788" customFormat="false" ht="15" hidden="false" customHeight="false" outlineLevel="0" collapsed="false">
      <c r="A788" s="1" t="s">
        <v>4368</v>
      </c>
      <c r="B788" s="1" t="s">
        <v>4369</v>
      </c>
      <c r="C788" s="1" t="s">
        <v>4370</v>
      </c>
      <c r="D788" s="2" t="n">
        <v>35374</v>
      </c>
      <c r="E788" s="1" t="s">
        <v>710</v>
      </c>
      <c r="F788" s="1" t="s">
        <v>711</v>
      </c>
      <c r="G788" s="1" t="s">
        <v>712</v>
      </c>
      <c r="H788" s="1" t="s">
        <v>713</v>
      </c>
      <c r="I788" s="1" t="s">
        <v>714</v>
      </c>
      <c r="J788" s="1" t="s">
        <v>1118</v>
      </c>
      <c r="K788" s="1" t="s">
        <v>4371</v>
      </c>
      <c r="L788" s="1" t="s">
        <v>2940</v>
      </c>
      <c r="M788" s="1" t="s">
        <v>718</v>
      </c>
    </row>
    <row r="789" customFormat="false" ht="15" hidden="false" customHeight="false" outlineLevel="0" collapsed="false">
      <c r="A789" s="1" t="s">
        <v>4372</v>
      </c>
      <c r="B789" s="1" t="s">
        <v>4373</v>
      </c>
      <c r="C789" s="1" t="s">
        <v>4374</v>
      </c>
      <c r="D789" s="2" t="n">
        <v>35010</v>
      </c>
      <c r="E789" s="1" t="s">
        <v>763</v>
      </c>
      <c r="F789" s="1" t="s">
        <v>711</v>
      </c>
      <c r="G789" s="1" t="s">
        <v>722</v>
      </c>
      <c r="H789" s="1" t="s">
        <v>713</v>
      </c>
      <c r="I789" s="1" t="s">
        <v>714</v>
      </c>
      <c r="J789" s="1" t="s">
        <v>4375</v>
      </c>
      <c r="K789" s="1" t="s">
        <v>716</v>
      </c>
      <c r="L789" s="1" t="s">
        <v>2043</v>
      </c>
      <c r="M789" s="1" t="s">
        <v>718</v>
      </c>
    </row>
    <row r="790" customFormat="false" ht="15" hidden="false" customHeight="false" outlineLevel="0" collapsed="false">
      <c r="A790" s="1" t="s">
        <v>4376</v>
      </c>
      <c r="B790" s="1" t="s">
        <v>4377</v>
      </c>
      <c r="C790" s="1" t="s">
        <v>4378</v>
      </c>
      <c r="D790" s="2" t="n">
        <v>35489</v>
      </c>
      <c r="E790" s="1" t="s">
        <v>763</v>
      </c>
      <c r="F790" s="1" t="s">
        <v>711</v>
      </c>
      <c r="G790" s="1" t="s">
        <v>712</v>
      </c>
      <c r="H790" s="1" t="s">
        <v>713</v>
      </c>
      <c r="I790" s="1" t="s">
        <v>714</v>
      </c>
      <c r="J790" s="1" t="s">
        <v>4300</v>
      </c>
      <c r="K790" s="1" t="s">
        <v>4379</v>
      </c>
      <c r="L790" s="1" t="s">
        <v>4380</v>
      </c>
      <c r="M790" s="1" t="s">
        <v>718</v>
      </c>
    </row>
    <row r="791" customFormat="false" ht="15" hidden="false" customHeight="false" outlineLevel="0" collapsed="false">
      <c r="A791" s="1" t="s">
        <v>4381</v>
      </c>
      <c r="B791" s="1" t="s">
        <v>4382</v>
      </c>
      <c r="C791" s="1" t="s">
        <v>4383</v>
      </c>
      <c r="D791" s="2" t="n">
        <v>35467</v>
      </c>
      <c r="E791" s="1" t="s">
        <v>763</v>
      </c>
      <c r="F791" s="1" t="s">
        <v>711</v>
      </c>
      <c r="G791" s="1" t="s">
        <v>712</v>
      </c>
      <c r="H791" s="1" t="s">
        <v>713</v>
      </c>
      <c r="I791" s="1" t="s">
        <v>714</v>
      </c>
      <c r="J791" s="1" t="s">
        <v>4384</v>
      </c>
      <c r="K791" s="1" t="s">
        <v>716</v>
      </c>
      <c r="L791" s="1" t="s">
        <v>4385</v>
      </c>
      <c r="M791" s="1" t="s">
        <v>718</v>
      </c>
    </row>
    <row r="792" customFormat="false" ht="15" hidden="false" customHeight="false" outlineLevel="0" collapsed="false">
      <c r="A792" s="1" t="s">
        <v>4386</v>
      </c>
      <c r="B792" s="1" t="s">
        <v>4387</v>
      </c>
      <c r="C792" s="1" t="s">
        <v>4388</v>
      </c>
      <c r="D792" s="2" t="n">
        <v>35463</v>
      </c>
      <c r="E792" s="1" t="s">
        <v>710</v>
      </c>
      <c r="F792" s="1" t="s">
        <v>711</v>
      </c>
      <c r="G792" s="1" t="s">
        <v>722</v>
      </c>
      <c r="H792" s="1" t="s">
        <v>713</v>
      </c>
      <c r="I792" s="1" t="s">
        <v>714</v>
      </c>
      <c r="J792" s="1" t="s">
        <v>4389</v>
      </c>
      <c r="K792" s="1" t="s">
        <v>4390</v>
      </c>
      <c r="L792" s="1" t="s">
        <v>4391</v>
      </c>
      <c r="M792" s="1" t="s">
        <v>718</v>
      </c>
    </row>
    <row r="793" customFormat="false" ht="15" hidden="false" customHeight="false" outlineLevel="0" collapsed="false">
      <c r="A793" s="1" t="s">
        <v>4392</v>
      </c>
      <c r="B793" s="1" t="s">
        <v>4393</v>
      </c>
      <c r="C793" s="1" t="s">
        <v>4394</v>
      </c>
      <c r="D793" s="2" t="n">
        <v>35610</v>
      </c>
      <c r="E793" s="1" t="s">
        <v>763</v>
      </c>
      <c r="F793" s="1" t="s">
        <v>711</v>
      </c>
      <c r="G793" s="1" t="s">
        <v>712</v>
      </c>
      <c r="H793" s="1" t="s">
        <v>713</v>
      </c>
      <c r="I793" s="1" t="s">
        <v>714</v>
      </c>
      <c r="J793" s="1" t="s">
        <v>4129</v>
      </c>
      <c r="K793" s="1" t="s">
        <v>4395</v>
      </c>
      <c r="L793" s="1" t="s">
        <v>4396</v>
      </c>
      <c r="M793" s="1" t="s">
        <v>718</v>
      </c>
    </row>
    <row r="794" customFormat="false" ht="15" hidden="false" customHeight="false" outlineLevel="0" collapsed="false">
      <c r="A794" s="1" t="s">
        <v>4397</v>
      </c>
      <c r="B794" s="1" t="s">
        <v>1175</v>
      </c>
      <c r="C794" s="1" t="s">
        <v>4398</v>
      </c>
      <c r="D794" s="2" t="n">
        <v>35587</v>
      </c>
      <c r="E794" s="1" t="s">
        <v>710</v>
      </c>
      <c r="F794" s="1" t="s">
        <v>711</v>
      </c>
      <c r="G794" s="1" t="s">
        <v>722</v>
      </c>
      <c r="H794" s="1" t="s">
        <v>713</v>
      </c>
      <c r="I794" s="1" t="s">
        <v>714</v>
      </c>
      <c r="J794" s="1" t="s">
        <v>4399</v>
      </c>
      <c r="K794" s="1" t="s">
        <v>4400</v>
      </c>
      <c r="L794" s="1" t="s">
        <v>4401</v>
      </c>
      <c r="M794" s="1" t="s">
        <v>718</v>
      </c>
    </row>
    <row r="795" customFormat="false" ht="15" hidden="false" customHeight="false" outlineLevel="0" collapsed="false">
      <c r="A795" s="1" t="s">
        <v>4402</v>
      </c>
      <c r="B795" s="1" t="s">
        <v>1397</v>
      </c>
      <c r="C795" s="1" t="s">
        <v>4403</v>
      </c>
      <c r="D795" s="2" t="n">
        <v>35025</v>
      </c>
      <c r="E795" s="1" t="s">
        <v>710</v>
      </c>
      <c r="F795" s="1" t="s">
        <v>711</v>
      </c>
      <c r="G795" s="1" t="s">
        <v>722</v>
      </c>
      <c r="H795" s="1" t="s">
        <v>713</v>
      </c>
      <c r="I795" s="1" t="s">
        <v>714</v>
      </c>
      <c r="J795" s="1" t="s">
        <v>723</v>
      </c>
      <c r="K795" s="1" t="s">
        <v>716</v>
      </c>
      <c r="L795" s="1" t="s">
        <v>1536</v>
      </c>
      <c r="M795" s="1" t="s">
        <v>718</v>
      </c>
    </row>
    <row r="796" customFormat="false" ht="15" hidden="false" customHeight="false" outlineLevel="0" collapsed="false">
      <c r="A796" s="1" t="s">
        <v>4404</v>
      </c>
      <c r="B796" s="1" t="s">
        <v>3169</v>
      </c>
      <c r="C796" s="1" t="s">
        <v>4405</v>
      </c>
      <c r="D796" s="2" t="n">
        <v>35502</v>
      </c>
      <c r="E796" s="1" t="s">
        <v>710</v>
      </c>
      <c r="F796" s="1" t="s">
        <v>711</v>
      </c>
      <c r="G796" s="1" t="s">
        <v>712</v>
      </c>
      <c r="H796" s="1" t="s">
        <v>713</v>
      </c>
      <c r="I796" s="1" t="s">
        <v>714</v>
      </c>
      <c r="J796" s="1" t="s">
        <v>4406</v>
      </c>
      <c r="K796" s="1" t="s">
        <v>4407</v>
      </c>
      <c r="L796" s="1" t="s">
        <v>4408</v>
      </c>
      <c r="M796" s="1" t="s">
        <v>718</v>
      </c>
    </row>
    <row r="797" customFormat="false" ht="15" hidden="false" customHeight="false" outlineLevel="0" collapsed="false">
      <c r="A797" s="1" t="s">
        <v>4409</v>
      </c>
      <c r="B797" s="1" t="s">
        <v>4410</v>
      </c>
      <c r="C797" s="1" t="s">
        <v>4411</v>
      </c>
      <c r="D797" s="2" t="n">
        <v>35608</v>
      </c>
      <c r="E797" s="1" t="s">
        <v>710</v>
      </c>
      <c r="F797" s="1" t="s">
        <v>711</v>
      </c>
      <c r="G797" s="1" t="s">
        <v>712</v>
      </c>
      <c r="H797" s="1" t="s">
        <v>713</v>
      </c>
      <c r="I797" s="1" t="s">
        <v>714</v>
      </c>
      <c r="J797" s="1" t="s">
        <v>917</v>
      </c>
      <c r="K797" s="1" t="s">
        <v>4412</v>
      </c>
      <c r="L797" s="1" t="s">
        <v>4413</v>
      </c>
      <c r="M797" s="1" t="s">
        <v>718</v>
      </c>
    </row>
    <row r="798" customFormat="false" ht="15" hidden="false" customHeight="false" outlineLevel="0" collapsed="false">
      <c r="A798" s="1" t="s">
        <v>4414</v>
      </c>
      <c r="B798" s="1" t="s">
        <v>4415</v>
      </c>
      <c r="C798" s="1" t="s">
        <v>4416</v>
      </c>
      <c r="D798" s="2" t="n">
        <v>35485</v>
      </c>
      <c r="E798" s="1" t="s">
        <v>710</v>
      </c>
      <c r="F798" s="1" t="s">
        <v>711</v>
      </c>
      <c r="G798" s="1" t="s">
        <v>722</v>
      </c>
      <c r="H798" s="1" t="s">
        <v>713</v>
      </c>
      <c r="I798" s="1" t="s">
        <v>714</v>
      </c>
      <c r="J798" s="1" t="s">
        <v>4417</v>
      </c>
      <c r="K798" s="1" t="s">
        <v>4418</v>
      </c>
      <c r="L798" s="1" t="s">
        <v>4419</v>
      </c>
      <c r="M798" s="1" t="s">
        <v>718</v>
      </c>
    </row>
    <row r="799" customFormat="false" ht="15" hidden="false" customHeight="false" outlineLevel="0" collapsed="false">
      <c r="A799" s="1" t="s">
        <v>4420</v>
      </c>
      <c r="B799" s="1" t="s">
        <v>4421</v>
      </c>
      <c r="C799" s="1" t="s">
        <v>3884</v>
      </c>
      <c r="D799" s="2" t="n">
        <v>35530</v>
      </c>
      <c r="E799" s="1" t="s">
        <v>710</v>
      </c>
      <c r="F799" s="1" t="s">
        <v>711</v>
      </c>
      <c r="G799" s="1" t="s">
        <v>712</v>
      </c>
      <c r="H799" s="1" t="s">
        <v>713</v>
      </c>
      <c r="I799" s="1" t="s">
        <v>714</v>
      </c>
      <c r="J799" s="1" t="s">
        <v>715</v>
      </c>
      <c r="K799" s="1" t="s">
        <v>4422</v>
      </c>
      <c r="L799" s="1" t="s">
        <v>4423</v>
      </c>
      <c r="M799" s="1" t="s">
        <v>718</v>
      </c>
    </row>
    <row r="800" customFormat="false" ht="15" hidden="false" customHeight="false" outlineLevel="0" collapsed="false">
      <c r="A800" s="1" t="s">
        <v>4424</v>
      </c>
      <c r="B800" s="1" t="s">
        <v>4425</v>
      </c>
      <c r="C800" s="1" t="s">
        <v>1529</v>
      </c>
      <c r="D800" s="2" t="n">
        <v>35443</v>
      </c>
      <c r="E800" s="1" t="s">
        <v>710</v>
      </c>
      <c r="F800" s="1" t="s">
        <v>711</v>
      </c>
      <c r="G800" s="1" t="s">
        <v>722</v>
      </c>
      <c r="H800" s="1" t="s">
        <v>713</v>
      </c>
      <c r="I800" s="1" t="s">
        <v>714</v>
      </c>
      <c r="J800" s="1" t="s">
        <v>4426</v>
      </c>
      <c r="K800" s="1" t="s">
        <v>4427</v>
      </c>
      <c r="L800" s="1" t="s">
        <v>1474</v>
      </c>
      <c r="M800" s="1" t="s">
        <v>718</v>
      </c>
    </row>
    <row r="801" customFormat="false" ht="15" hidden="false" customHeight="false" outlineLevel="0" collapsed="false">
      <c r="A801" s="1" t="s">
        <v>4428</v>
      </c>
      <c r="B801" s="1" t="s">
        <v>4429</v>
      </c>
      <c r="C801" s="1" t="s">
        <v>4430</v>
      </c>
      <c r="D801" s="2" t="n">
        <v>35507</v>
      </c>
      <c r="E801" s="1" t="s">
        <v>763</v>
      </c>
      <c r="F801" s="1" t="s">
        <v>711</v>
      </c>
      <c r="G801" s="1" t="s">
        <v>722</v>
      </c>
      <c r="H801" s="1" t="s">
        <v>713</v>
      </c>
      <c r="I801" s="1" t="s">
        <v>714</v>
      </c>
      <c r="J801" s="1" t="s">
        <v>4431</v>
      </c>
      <c r="K801" s="1" t="s">
        <v>4432</v>
      </c>
      <c r="L801" s="1" t="s">
        <v>4433</v>
      </c>
      <c r="M801" s="1" t="s">
        <v>718</v>
      </c>
    </row>
    <row r="802" customFormat="false" ht="15" hidden="false" customHeight="false" outlineLevel="0" collapsed="false">
      <c r="A802" s="1" t="s">
        <v>4434</v>
      </c>
      <c r="B802" s="1" t="s">
        <v>4435</v>
      </c>
      <c r="C802" s="1" t="s">
        <v>4436</v>
      </c>
      <c r="D802" s="2" t="n">
        <v>35582</v>
      </c>
      <c r="E802" s="1" t="s">
        <v>763</v>
      </c>
      <c r="F802" s="1" t="s">
        <v>711</v>
      </c>
      <c r="G802" s="1" t="s">
        <v>4437</v>
      </c>
      <c r="H802" s="1" t="s">
        <v>713</v>
      </c>
      <c r="I802" s="1" t="s">
        <v>714</v>
      </c>
      <c r="J802" s="1" t="s">
        <v>4438</v>
      </c>
      <c r="K802" s="1" t="s">
        <v>4439</v>
      </c>
      <c r="L802" s="1" t="s">
        <v>4440</v>
      </c>
      <c r="M802" s="1" t="s">
        <v>718</v>
      </c>
    </row>
    <row r="803" customFormat="false" ht="15" hidden="false" customHeight="false" outlineLevel="0" collapsed="false">
      <c r="A803" s="1" t="s">
        <v>4441</v>
      </c>
      <c r="B803" s="1" t="s">
        <v>4442</v>
      </c>
      <c r="C803" s="1" t="s">
        <v>3656</v>
      </c>
      <c r="D803" s="2" t="n">
        <v>35509</v>
      </c>
      <c r="E803" s="1" t="s">
        <v>710</v>
      </c>
      <c r="F803" s="1" t="s">
        <v>711</v>
      </c>
      <c r="G803" s="1" t="s">
        <v>722</v>
      </c>
      <c r="H803" s="1" t="s">
        <v>713</v>
      </c>
      <c r="I803" s="1" t="s">
        <v>714</v>
      </c>
      <c r="J803" s="1" t="s">
        <v>4276</v>
      </c>
      <c r="K803" s="1" t="s">
        <v>4443</v>
      </c>
      <c r="L803" s="1" t="s">
        <v>3294</v>
      </c>
      <c r="M803" s="1" t="s">
        <v>718</v>
      </c>
    </row>
    <row r="804" customFormat="false" ht="15" hidden="false" customHeight="false" outlineLevel="0" collapsed="false">
      <c r="A804" s="1" t="s">
        <v>4444</v>
      </c>
      <c r="B804" s="1" t="s">
        <v>4445</v>
      </c>
      <c r="C804" s="1" t="s">
        <v>4446</v>
      </c>
      <c r="D804" s="2" t="n">
        <v>35630</v>
      </c>
      <c r="E804" s="1" t="s">
        <v>763</v>
      </c>
      <c r="F804" s="1" t="s">
        <v>711</v>
      </c>
      <c r="G804" s="1" t="s">
        <v>712</v>
      </c>
      <c r="H804" s="1" t="s">
        <v>713</v>
      </c>
      <c r="I804" s="1" t="s">
        <v>714</v>
      </c>
      <c r="J804" s="1" t="s">
        <v>4276</v>
      </c>
      <c r="K804" s="1" t="s">
        <v>4447</v>
      </c>
      <c r="L804" s="1" t="s">
        <v>4448</v>
      </c>
      <c r="M804" s="1" t="s">
        <v>718</v>
      </c>
    </row>
    <row r="805" customFormat="false" ht="15" hidden="false" customHeight="false" outlineLevel="0" collapsed="false">
      <c r="A805" s="1" t="s">
        <v>4449</v>
      </c>
      <c r="B805" s="1" t="s">
        <v>4450</v>
      </c>
      <c r="C805" s="1" t="s">
        <v>4451</v>
      </c>
      <c r="D805" s="2" t="n">
        <v>35388</v>
      </c>
      <c r="E805" s="1" t="s">
        <v>710</v>
      </c>
      <c r="F805" s="1" t="s">
        <v>711</v>
      </c>
      <c r="G805" s="1" t="s">
        <v>712</v>
      </c>
      <c r="H805" s="1" t="s">
        <v>713</v>
      </c>
      <c r="I805" s="1" t="s">
        <v>714</v>
      </c>
      <c r="J805" s="1" t="s">
        <v>978</v>
      </c>
      <c r="K805" s="1" t="s">
        <v>4452</v>
      </c>
      <c r="L805" s="1" t="s">
        <v>4453</v>
      </c>
      <c r="M805" s="1" t="s">
        <v>718</v>
      </c>
    </row>
    <row r="806" customFormat="false" ht="15" hidden="false" customHeight="false" outlineLevel="0" collapsed="false">
      <c r="A806" s="1" t="s">
        <v>4454</v>
      </c>
      <c r="B806" s="1" t="s">
        <v>4455</v>
      </c>
      <c r="C806" s="1" t="s">
        <v>4456</v>
      </c>
      <c r="D806" s="2" t="n">
        <v>35047</v>
      </c>
      <c r="E806" s="1" t="s">
        <v>710</v>
      </c>
      <c r="F806" s="1" t="s">
        <v>711</v>
      </c>
      <c r="G806" s="1" t="s">
        <v>722</v>
      </c>
      <c r="H806" s="1" t="s">
        <v>713</v>
      </c>
      <c r="I806" s="1" t="s">
        <v>714</v>
      </c>
      <c r="J806" s="1" t="s">
        <v>4239</v>
      </c>
      <c r="K806" s="1" t="s">
        <v>716</v>
      </c>
      <c r="L806" s="1" t="s">
        <v>4457</v>
      </c>
      <c r="M806" s="1" t="s">
        <v>718</v>
      </c>
    </row>
    <row r="807" customFormat="false" ht="15" hidden="false" customHeight="false" outlineLevel="0" collapsed="false">
      <c r="A807" s="1" t="s">
        <v>4458</v>
      </c>
      <c r="B807" s="1" t="s">
        <v>4459</v>
      </c>
      <c r="C807" s="1" t="s">
        <v>3721</v>
      </c>
      <c r="D807" s="2" t="n">
        <v>35079</v>
      </c>
      <c r="E807" s="1" t="s">
        <v>710</v>
      </c>
      <c r="F807" s="1" t="s">
        <v>711</v>
      </c>
      <c r="G807" s="1" t="s">
        <v>712</v>
      </c>
      <c r="H807" s="1" t="s">
        <v>713</v>
      </c>
      <c r="I807" s="1" t="s">
        <v>714</v>
      </c>
      <c r="J807" s="1" t="s">
        <v>1296</v>
      </c>
      <c r="K807" s="1" t="s">
        <v>4460</v>
      </c>
      <c r="L807" s="1" t="s">
        <v>3724</v>
      </c>
      <c r="M807" s="1" t="s">
        <v>718</v>
      </c>
    </row>
    <row r="808" customFormat="false" ht="15" hidden="false" customHeight="false" outlineLevel="0" collapsed="false">
      <c r="A808" s="1" t="s">
        <v>4461</v>
      </c>
      <c r="B808" s="1" t="s">
        <v>4462</v>
      </c>
      <c r="C808" s="1" t="s">
        <v>2593</v>
      </c>
      <c r="D808" s="2" t="n">
        <v>35485</v>
      </c>
      <c r="E808" s="1" t="s">
        <v>763</v>
      </c>
      <c r="F808" s="1" t="s">
        <v>711</v>
      </c>
      <c r="G808" s="1" t="s">
        <v>722</v>
      </c>
      <c r="H808" s="1" t="s">
        <v>713</v>
      </c>
      <c r="I808" s="1" t="s">
        <v>714</v>
      </c>
      <c r="J808" s="1" t="s">
        <v>3419</v>
      </c>
      <c r="K808" s="1" t="s">
        <v>4463</v>
      </c>
      <c r="L808" s="1" t="s">
        <v>2595</v>
      </c>
      <c r="M808" s="1" t="s">
        <v>718</v>
      </c>
    </row>
    <row r="809" customFormat="false" ht="15" hidden="false" customHeight="false" outlineLevel="0" collapsed="false">
      <c r="A809" s="1" t="s">
        <v>4464</v>
      </c>
      <c r="B809" s="1" t="s">
        <v>4465</v>
      </c>
      <c r="C809" s="1" t="s">
        <v>3812</v>
      </c>
      <c r="D809" s="2" t="n">
        <v>35134</v>
      </c>
      <c r="E809" s="1" t="s">
        <v>763</v>
      </c>
      <c r="F809" s="1" t="s">
        <v>711</v>
      </c>
      <c r="G809" s="1" t="s">
        <v>712</v>
      </c>
      <c r="H809" s="1" t="s">
        <v>713</v>
      </c>
      <c r="I809" s="1" t="s">
        <v>714</v>
      </c>
      <c r="J809" s="1" t="s">
        <v>832</v>
      </c>
      <c r="K809" s="1" t="s">
        <v>3814</v>
      </c>
      <c r="L809" s="1" t="s">
        <v>2700</v>
      </c>
      <c r="M809" s="1" t="s">
        <v>718</v>
      </c>
    </row>
    <row r="810" customFormat="false" ht="15" hidden="false" customHeight="false" outlineLevel="0" collapsed="false">
      <c r="A810" s="1" t="s">
        <v>4466</v>
      </c>
      <c r="B810" s="1" t="s">
        <v>4467</v>
      </c>
      <c r="C810" s="1" t="s">
        <v>4468</v>
      </c>
      <c r="D810" s="2" t="n">
        <v>35043</v>
      </c>
      <c r="E810" s="1" t="s">
        <v>763</v>
      </c>
      <c r="F810" s="1" t="s">
        <v>711</v>
      </c>
      <c r="G810" s="1" t="s">
        <v>722</v>
      </c>
      <c r="H810" s="1" t="s">
        <v>713</v>
      </c>
      <c r="I810" s="1" t="s">
        <v>714</v>
      </c>
      <c r="J810" s="1" t="s">
        <v>4129</v>
      </c>
      <c r="K810" s="1" t="s">
        <v>716</v>
      </c>
      <c r="L810" s="1" t="s">
        <v>2546</v>
      </c>
      <c r="M810" s="1" t="s">
        <v>718</v>
      </c>
    </row>
    <row r="811" customFormat="false" ht="15" hidden="false" customHeight="false" outlineLevel="0" collapsed="false">
      <c r="A811" s="1" t="s">
        <v>4469</v>
      </c>
      <c r="B811" s="1" t="s">
        <v>4470</v>
      </c>
      <c r="C811" s="1" t="s">
        <v>2401</v>
      </c>
      <c r="D811" s="2" t="n">
        <v>35514</v>
      </c>
      <c r="E811" s="1" t="s">
        <v>763</v>
      </c>
      <c r="F811" s="1" t="s">
        <v>711</v>
      </c>
      <c r="G811" s="1" t="s">
        <v>712</v>
      </c>
      <c r="H811" s="1" t="s">
        <v>713</v>
      </c>
      <c r="I811" s="1" t="s">
        <v>714</v>
      </c>
      <c r="J811" s="1" t="s">
        <v>4471</v>
      </c>
      <c r="K811" s="1" t="s">
        <v>4472</v>
      </c>
      <c r="L811" s="1" t="s">
        <v>2403</v>
      </c>
      <c r="M811" s="1" t="s">
        <v>718</v>
      </c>
    </row>
    <row r="812" customFormat="false" ht="15" hidden="false" customHeight="false" outlineLevel="0" collapsed="false">
      <c r="A812" s="1" t="s">
        <v>4473</v>
      </c>
      <c r="B812" s="1" t="s">
        <v>4474</v>
      </c>
      <c r="C812" s="1" t="s">
        <v>4475</v>
      </c>
      <c r="D812" s="2" t="n">
        <v>35443</v>
      </c>
      <c r="E812" s="1" t="s">
        <v>710</v>
      </c>
      <c r="F812" s="1" t="s">
        <v>711</v>
      </c>
      <c r="G812" s="1" t="s">
        <v>722</v>
      </c>
      <c r="H812" s="1" t="s">
        <v>713</v>
      </c>
      <c r="I812" s="1" t="s">
        <v>714</v>
      </c>
      <c r="J812" s="1" t="s">
        <v>4129</v>
      </c>
      <c r="K812" s="1" t="s">
        <v>4476</v>
      </c>
      <c r="L812" s="1" t="s">
        <v>4477</v>
      </c>
      <c r="M812" s="1" t="s">
        <v>718</v>
      </c>
    </row>
    <row r="813" customFormat="false" ht="15" hidden="false" customHeight="false" outlineLevel="0" collapsed="false">
      <c r="A813" s="1" t="s">
        <v>4478</v>
      </c>
      <c r="B813" s="1" t="s">
        <v>4479</v>
      </c>
      <c r="C813" s="1" t="s">
        <v>4480</v>
      </c>
      <c r="D813" s="2" t="n">
        <v>35609</v>
      </c>
      <c r="E813" s="1" t="s">
        <v>710</v>
      </c>
      <c r="F813" s="1" t="s">
        <v>711</v>
      </c>
      <c r="G813" s="1" t="s">
        <v>712</v>
      </c>
      <c r="H813" s="1" t="s">
        <v>713</v>
      </c>
      <c r="I813" s="1" t="s">
        <v>714</v>
      </c>
      <c r="J813" s="1" t="s">
        <v>4129</v>
      </c>
      <c r="K813" s="1" t="s">
        <v>4481</v>
      </c>
      <c r="L813" s="1" t="s">
        <v>4482</v>
      </c>
      <c r="M813" s="1" t="s">
        <v>718</v>
      </c>
    </row>
    <row r="814" customFormat="false" ht="15" hidden="false" customHeight="false" outlineLevel="0" collapsed="false">
      <c r="A814" s="1" t="s">
        <v>4483</v>
      </c>
      <c r="B814" s="1" t="s">
        <v>4484</v>
      </c>
      <c r="C814" s="1" t="s">
        <v>4485</v>
      </c>
      <c r="D814" s="2" t="n">
        <v>35645</v>
      </c>
      <c r="E814" s="1" t="s">
        <v>710</v>
      </c>
      <c r="F814" s="1" t="s">
        <v>711</v>
      </c>
      <c r="G814" s="1" t="s">
        <v>722</v>
      </c>
      <c r="H814" s="1" t="s">
        <v>713</v>
      </c>
      <c r="I814" s="1" t="s">
        <v>714</v>
      </c>
      <c r="J814" s="1" t="s">
        <v>917</v>
      </c>
      <c r="K814" s="1" t="s">
        <v>4486</v>
      </c>
      <c r="L814" s="1" t="s">
        <v>4487</v>
      </c>
      <c r="M814" s="1" t="s">
        <v>718</v>
      </c>
    </row>
    <row r="815" customFormat="false" ht="15" hidden="false" customHeight="false" outlineLevel="0" collapsed="false">
      <c r="A815" s="1" t="s">
        <v>4488</v>
      </c>
      <c r="B815" s="1" t="s">
        <v>4489</v>
      </c>
      <c r="C815" s="1" t="s">
        <v>3656</v>
      </c>
      <c r="D815" s="2" t="n">
        <v>35623</v>
      </c>
      <c r="E815" s="1" t="s">
        <v>710</v>
      </c>
      <c r="F815" s="1" t="s">
        <v>711</v>
      </c>
      <c r="G815" s="1" t="s">
        <v>712</v>
      </c>
      <c r="H815" s="1" t="s">
        <v>713</v>
      </c>
      <c r="I815" s="1" t="s">
        <v>714</v>
      </c>
      <c r="J815" s="1" t="s">
        <v>715</v>
      </c>
      <c r="K815" s="1" t="s">
        <v>4490</v>
      </c>
      <c r="L815" s="1" t="s">
        <v>4491</v>
      </c>
      <c r="M815" s="1" t="s">
        <v>718</v>
      </c>
    </row>
    <row r="816" customFormat="false" ht="15" hidden="false" customHeight="false" outlineLevel="0" collapsed="false">
      <c r="A816" s="1" t="s">
        <v>4492</v>
      </c>
      <c r="B816" s="1" t="s">
        <v>4493</v>
      </c>
      <c r="C816" s="1" t="s">
        <v>4494</v>
      </c>
      <c r="D816" s="2" t="n">
        <v>35530</v>
      </c>
      <c r="E816" s="1" t="s">
        <v>710</v>
      </c>
      <c r="F816" s="1" t="s">
        <v>711</v>
      </c>
      <c r="G816" s="1" t="s">
        <v>712</v>
      </c>
      <c r="H816" s="1" t="s">
        <v>713</v>
      </c>
      <c r="I816" s="1" t="s">
        <v>714</v>
      </c>
      <c r="J816" s="1" t="s">
        <v>4129</v>
      </c>
      <c r="K816" s="1" t="s">
        <v>4495</v>
      </c>
      <c r="L816" s="1" t="s">
        <v>4496</v>
      </c>
      <c r="M816" s="1" t="s">
        <v>718</v>
      </c>
    </row>
    <row r="817" customFormat="false" ht="15" hidden="false" customHeight="false" outlineLevel="0" collapsed="false">
      <c r="A817" s="1" t="s">
        <v>4497</v>
      </c>
      <c r="B817" s="1" t="s">
        <v>4498</v>
      </c>
      <c r="C817" s="1" t="s">
        <v>2923</v>
      </c>
      <c r="D817" s="2" t="n">
        <v>35421</v>
      </c>
      <c r="E817" s="1" t="s">
        <v>710</v>
      </c>
      <c r="F817" s="1" t="s">
        <v>711</v>
      </c>
      <c r="G817" s="1" t="s">
        <v>712</v>
      </c>
      <c r="H817" s="1" t="s">
        <v>713</v>
      </c>
      <c r="I817" s="1" t="s">
        <v>714</v>
      </c>
      <c r="J817" s="1" t="s">
        <v>832</v>
      </c>
      <c r="K817" s="1" t="s">
        <v>4499</v>
      </c>
      <c r="L817" s="1" t="s">
        <v>2925</v>
      </c>
      <c r="M817" s="1" t="s">
        <v>718</v>
      </c>
    </row>
    <row r="818" customFormat="false" ht="15" hidden="false" customHeight="false" outlineLevel="0" collapsed="false">
      <c r="A818" s="1" t="s">
        <v>4500</v>
      </c>
      <c r="B818" s="1" t="s">
        <v>4501</v>
      </c>
      <c r="C818" s="1" t="s">
        <v>3507</v>
      </c>
      <c r="D818" s="2" t="n">
        <v>35100</v>
      </c>
      <c r="E818" s="1" t="s">
        <v>710</v>
      </c>
      <c r="F818" s="1" t="s">
        <v>711</v>
      </c>
      <c r="G818" s="1" t="s">
        <v>712</v>
      </c>
      <c r="H818" s="1" t="s">
        <v>713</v>
      </c>
      <c r="I818" s="1" t="s">
        <v>714</v>
      </c>
      <c r="J818" s="1" t="s">
        <v>4129</v>
      </c>
      <c r="K818" s="1" t="s">
        <v>3509</v>
      </c>
      <c r="L818" s="1" t="s">
        <v>2357</v>
      </c>
      <c r="M818" s="1" t="s">
        <v>718</v>
      </c>
    </row>
    <row r="819" customFormat="false" ht="15" hidden="false" customHeight="false" outlineLevel="0" collapsed="false">
      <c r="A819" s="1" t="s">
        <v>4502</v>
      </c>
      <c r="B819" s="1" t="s">
        <v>4503</v>
      </c>
      <c r="C819" s="1" t="s">
        <v>2928</v>
      </c>
      <c r="D819" s="2" t="n">
        <v>35584</v>
      </c>
      <c r="E819" s="1" t="s">
        <v>710</v>
      </c>
      <c r="F819" s="1" t="s">
        <v>711</v>
      </c>
      <c r="G819" s="1" t="s">
        <v>722</v>
      </c>
      <c r="H819" s="1" t="s">
        <v>713</v>
      </c>
      <c r="I819" s="1" t="s">
        <v>714</v>
      </c>
      <c r="J819" s="1" t="s">
        <v>4504</v>
      </c>
      <c r="K819" s="1" t="s">
        <v>4505</v>
      </c>
      <c r="L819" s="1" t="s">
        <v>2930</v>
      </c>
      <c r="M819" s="1" t="s">
        <v>718</v>
      </c>
    </row>
    <row r="820" customFormat="false" ht="15" hidden="false" customHeight="false" outlineLevel="0" collapsed="false">
      <c r="A820" s="1" t="s">
        <v>4506</v>
      </c>
      <c r="B820" s="1" t="s">
        <v>4507</v>
      </c>
      <c r="C820" s="1" t="s">
        <v>739</v>
      </c>
      <c r="D820" s="2" t="n">
        <v>35614</v>
      </c>
      <c r="E820" s="1" t="s">
        <v>710</v>
      </c>
      <c r="F820" s="1" t="s">
        <v>711</v>
      </c>
      <c r="G820" s="1" t="s">
        <v>712</v>
      </c>
      <c r="H820" s="1" t="s">
        <v>713</v>
      </c>
      <c r="I820" s="1" t="s">
        <v>714</v>
      </c>
      <c r="J820" s="1" t="s">
        <v>745</v>
      </c>
      <c r="K820" s="1" t="s">
        <v>4508</v>
      </c>
      <c r="L820" s="1" t="s">
        <v>979</v>
      </c>
      <c r="M820" s="1" t="s">
        <v>718</v>
      </c>
    </row>
    <row r="821" customFormat="false" ht="15" hidden="false" customHeight="false" outlineLevel="0" collapsed="false">
      <c r="A821" s="1" t="s">
        <v>4509</v>
      </c>
      <c r="B821" s="1" t="s">
        <v>4510</v>
      </c>
      <c r="C821" s="1" t="s">
        <v>4511</v>
      </c>
      <c r="D821" s="2" t="n">
        <v>35500</v>
      </c>
      <c r="E821" s="1" t="s">
        <v>710</v>
      </c>
      <c r="F821" s="1" t="s">
        <v>711</v>
      </c>
      <c r="G821" s="1" t="s">
        <v>722</v>
      </c>
      <c r="H821" s="1" t="s">
        <v>713</v>
      </c>
      <c r="I821" s="1" t="s">
        <v>714</v>
      </c>
      <c r="J821" s="1" t="s">
        <v>4151</v>
      </c>
      <c r="K821" s="1" t="s">
        <v>4512</v>
      </c>
      <c r="L821" s="1" t="s">
        <v>4513</v>
      </c>
      <c r="M821" s="1" t="s">
        <v>718</v>
      </c>
    </row>
    <row r="822" customFormat="false" ht="15" hidden="false" customHeight="false" outlineLevel="0" collapsed="false">
      <c r="A822" s="1" t="s">
        <v>4514</v>
      </c>
      <c r="B822" s="1" t="s">
        <v>4515</v>
      </c>
      <c r="C822" s="1" t="s">
        <v>4516</v>
      </c>
      <c r="D822" s="2" t="n">
        <v>35637</v>
      </c>
      <c r="E822" s="1" t="s">
        <v>763</v>
      </c>
      <c r="F822" s="1" t="s">
        <v>711</v>
      </c>
      <c r="G822" s="1" t="s">
        <v>4517</v>
      </c>
      <c r="H822" s="1" t="s">
        <v>713</v>
      </c>
      <c r="I822" s="1" t="s">
        <v>714</v>
      </c>
      <c r="J822" s="1" t="s">
        <v>4518</v>
      </c>
      <c r="K822" s="1" t="s">
        <v>4519</v>
      </c>
      <c r="L822" s="1" t="s">
        <v>4520</v>
      </c>
      <c r="M822" s="1" t="s">
        <v>718</v>
      </c>
    </row>
    <row r="823" customFormat="false" ht="15" hidden="false" customHeight="false" outlineLevel="0" collapsed="false">
      <c r="A823" s="1" t="s">
        <v>4521</v>
      </c>
      <c r="B823" s="1" t="s">
        <v>4522</v>
      </c>
      <c r="C823" s="1" t="s">
        <v>4523</v>
      </c>
      <c r="D823" s="2" t="n">
        <v>35116</v>
      </c>
      <c r="E823" s="1" t="s">
        <v>710</v>
      </c>
      <c r="F823" s="1" t="s">
        <v>711</v>
      </c>
      <c r="G823" s="1" t="s">
        <v>712</v>
      </c>
      <c r="H823" s="1" t="s">
        <v>713</v>
      </c>
      <c r="I823" s="1" t="s">
        <v>714</v>
      </c>
      <c r="J823" s="1" t="s">
        <v>723</v>
      </c>
      <c r="K823" s="1" t="s">
        <v>4524</v>
      </c>
      <c r="L823" s="1" t="s">
        <v>4525</v>
      </c>
      <c r="M823" s="1" t="s">
        <v>718</v>
      </c>
    </row>
    <row r="824" customFormat="false" ht="15" hidden="false" customHeight="false" outlineLevel="0" collapsed="false">
      <c r="A824" s="1" t="s">
        <v>4526</v>
      </c>
      <c r="B824" s="1" t="s">
        <v>4527</v>
      </c>
      <c r="C824" s="1" t="s">
        <v>4528</v>
      </c>
      <c r="D824" s="2" t="n">
        <v>35612</v>
      </c>
      <c r="E824" s="1" t="s">
        <v>710</v>
      </c>
      <c r="F824" s="1" t="s">
        <v>711</v>
      </c>
      <c r="G824" s="1" t="s">
        <v>722</v>
      </c>
      <c r="H824" s="1" t="s">
        <v>713</v>
      </c>
      <c r="I824" s="1" t="s">
        <v>714</v>
      </c>
      <c r="J824" s="1" t="s">
        <v>4129</v>
      </c>
      <c r="K824" s="1" t="s">
        <v>716</v>
      </c>
      <c r="L824" s="1" t="s">
        <v>4529</v>
      </c>
      <c r="M824" s="1" t="s">
        <v>718</v>
      </c>
    </row>
    <row r="825" customFormat="false" ht="15" hidden="false" customHeight="false" outlineLevel="0" collapsed="false">
      <c r="A825" s="1" t="s">
        <v>4530</v>
      </c>
      <c r="B825" s="1" t="s">
        <v>4531</v>
      </c>
      <c r="C825" s="1" t="s">
        <v>4532</v>
      </c>
      <c r="D825" s="2" t="n">
        <v>35644</v>
      </c>
      <c r="E825" s="1" t="s">
        <v>763</v>
      </c>
      <c r="F825" s="1" t="s">
        <v>711</v>
      </c>
      <c r="G825" s="1" t="s">
        <v>712</v>
      </c>
      <c r="H825" s="1" t="s">
        <v>713</v>
      </c>
      <c r="I825" s="1" t="s">
        <v>714</v>
      </c>
      <c r="J825" s="1" t="s">
        <v>723</v>
      </c>
      <c r="K825" s="1" t="s">
        <v>4533</v>
      </c>
      <c r="L825" s="1" t="s">
        <v>4534</v>
      </c>
      <c r="M825" s="1" t="s">
        <v>718</v>
      </c>
    </row>
    <row r="826" customFormat="false" ht="15" hidden="false" customHeight="false" outlineLevel="0" collapsed="false">
      <c r="A826" s="1" t="s">
        <v>4535</v>
      </c>
      <c r="B826" s="1" t="s">
        <v>4536</v>
      </c>
      <c r="C826" s="1" t="s">
        <v>4537</v>
      </c>
      <c r="D826" s="2" t="n">
        <v>35661</v>
      </c>
      <c r="E826" s="1" t="s">
        <v>763</v>
      </c>
      <c r="F826" s="1" t="s">
        <v>711</v>
      </c>
      <c r="G826" s="1" t="s">
        <v>722</v>
      </c>
      <c r="H826" s="1" t="s">
        <v>713</v>
      </c>
      <c r="I826" s="1" t="s">
        <v>714</v>
      </c>
      <c r="J826" s="1" t="s">
        <v>723</v>
      </c>
      <c r="K826" s="1" t="s">
        <v>716</v>
      </c>
      <c r="L826" s="1" t="s">
        <v>4538</v>
      </c>
      <c r="M826" s="1" t="s">
        <v>718</v>
      </c>
    </row>
    <row r="827" customFormat="false" ht="15" hidden="false" customHeight="false" outlineLevel="0" collapsed="false">
      <c r="A827" s="1" t="s">
        <v>4539</v>
      </c>
      <c r="B827" s="1" t="s">
        <v>4540</v>
      </c>
      <c r="C827" s="1" t="s">
        <v>4541</v>
      </c>
      <c r="D827" s="2" t="n">
        <v>35386</v>
      </c>
      <c r="E827" s="1" t="s">
        <v>763</v>
      </c>
      <c r="F827" s="1" t="s">
        <v>711</v>
      </c>
      <c r="G827" s="1" t="s">
        <v>4542</v>
      </c>
      <c r="H827" s="1" t="s">
        <v>713</v>
      </c>
      <c r="I827" s="1" t="s">
        <v>714</v>
      </c>
      <c r="J827" s="1" t="s">
        <v>4338</v>
      </c>
      <c r="K827" s="1" t="s">
        <v>4543</v>
      </c>
      <c r="L827" s="1" t="s">
        <v>4544</v>
      </c>
      <c r="M827" s="1" t="s">
        <v>718</v>
      </c>
    </row>
    <row r="828" customFormat="false" ht="15" hidden="false" customHeight="false" outlineLevel="0" collapsed="false">
      <c r="A828" s="1" t="s">
        <v>4545</v>
      </c>
      <c r="B828" s="1" t="s">
        <v>4546</v>
      </c>
      <c r="C828" s="1" t="s">
        <v>750</v>
      </c>
      <c r="D828" s="2" t="n">
        <v>35378</v>
      </c>
      <c r="E828" s="1" t="s">
        <v>710</v>
      </c>
      <c r="F828" s="1" t="s">
        <v>711</v>
      </c>
      <c r="G828" s="1" t="s">
        <v>722</v>
      </c>
      <c r="H828" s="1" t="s">
        <v>713</v>
      </c>
      <c r="I828" s="1" t="s">
        <v>714</v>
      </c>
      <c r="J828" s="1" t="s">
        <v>1451</v>
      </c>
      <c r="K828" s="1" t="s">
        <v>4547</v>
      </c>
      <c r="L828" s="1" t="s">
        <v>1033</v>
      </c>
      <c r="M828" s="1" t="s">
        <v>718</v>
      </c>
    </row>
    <row r="829" customFormat="false" ht="15" hidden="false" customHeight="false" outlineLevel="0" collapsed="false">
      <c r="A829" s="1" t="s">
        <v>4548</v>
      </c>
      <c r="B829" s="1" t="s">
        <v>4549</v>
      </c>
      <c r="C829" s="1" t="s">
        <v>4550</v>
      </c>
      <c r="D829" s="2" t="n">
        <v>35658</v>
      </c>
      <c r="E829" s="1" t="s">
        <v>763</v>
      </c>
      <c r="F829" s="1" t="s">
        <v>711</v>
      </c>
      <c r="G829" s="1" t="s">
        <v>712</v>
      </c>
      <c r="H829" s="1" t="s">
        <v>713</v>
      </c>
      <c r="I829" s="1" t="s">
        <v>714</v>
      </c>
      <c r="J829" s="1" t="s">
        <v>4129</v>
      </c>
      <c r="K829" s="1" t="s">
        <v>4551</v>
      </c>
      <c r="L829" s="1" t="s">
        <v>4552</v>
      </c>
      <c r="M829" s="1" t="s">
        <v>718</v>
      </c>
    </row>
    <row r="830" customFormat="false" ht="15" hidden="false" customHeight="false" outlineLevel="0" collapsed="false">
      <c r="A830" s="1" t="s">
        <v>4553</v>
      </c>
      <c r="B830" s="1" t="s">
        <v>4554</v>
      </c>
      <c r="C830" s="1" t="s">
        <v>4555</v>
      </c>
      <c r="D830" s="2" t="n">
        <v>35422</v>
      </c>
      <c r="E830" s="1" t="s">
        <v>710</v>
      </c>
      <c r="F830" s="1" t="s">
        <v>711</v>
      </c>
      <c r="G830" s="1" t="s">
        <v>722</v>
      </c>
      <c r="H830" s="1" t="s">
        <v>713</v>
      </c>
      <c r="I830" s="1" t="s">
        <v>714</v>
      </c>
      <c r="J830" s="1" t="s">
        <v>4556</v>
      </c>
      <c r="K830" s="1" t="s">
        <v>4557</v>
      </c>
      <c r="L830" s="1" t="s">
        <v>4558</v>
      </c>
      <c r="M830" s="1" t="s">
        <v>718</v>
      </c>
    </row>
    <row r="831" customFormat="false" ht="15" hidden="false" customHeight="false" outlineLevel="0" collapsed="false">
      <c r="A831" s="1" t="s">
        <v>4559</v>
      </c>
      <c r="B831" s="1" t="s">
        <v>4560</v>
      </c>
      <c r="C831" s="1" t="s">
        <v>4142</v>
      </c>
      <c r="D831" s="2" t="n">
        <v>35595</v>
      </c>
      <c r="E831" s="1" t="s">
        <v>763</v>
      </c>
      <c r="F831" s="1" t="s">
        <v>711</v>
      </c>
      <c r="G831" s="1" t="s">
        <v>722</v>
      </c>
      <c r="H831" s="1" t="s">
        <v>713</v>
      </c>
      <c r="I831" s="1" t="s">
        <v>714</v>
      </c>
      <c r="J831" s="1" t="s">
        <v>4185</v>
      </c>
      <c r="K831" s="1" t="s">
        <v>4561</v>
      </c>
      <c r="L831" s="1" t="s">
        <v>4562</v>
      </c>
      <c r="M831" s="1" t="s">
        <v>718</v>
      </c>
    </row>
    <row r="832" customFormat="false" ht="15" hidden="false" customHeight="false" outlineLevel="0" collapsed="false">
      <c r="A832" s="1" t="s">
        <v>4563</v>
      </c>
      <c r="B832" s="1" t="s">
        <v>4564</v>
      </c>
      <c r="C832" s="1" t="s">
        <v>2632</v>
      </c>
      <c r="D832" s="2" t="n">
        <v>35624</v>
      </c>
      <c r="E832" s="1" t="s">
        <v>710</v>
      </c>
      <c r="F832" s="1" t="s">
        <v>711</v>
      </c>
      <c r="G832" s="1" t="s">
        <v>722</v>
      </c>
      <c r="H832" s="1" t="s">
        <v>713</v>
      </c>
      <c r="I832" s="1" t="s">
        <v>714</v>
      </c>
      <c r="J832" s="1" t="s">
        <v>978</v>
      </c>
      <c r="K832" s="1" t="s">
        <v>4565</v>
      </c>
      <c r="L832" s="1" t="s">
        <v>4566</v>
      </c>
      <c r="M832" s="1" t="s">
        <v>718</v>
      </c>
    </row>
    <row r="833" customFormat="false" ht="15" hidden="false" customHeight="false" outlineLevel="0" collapsed="false">
      <c r="A833" s="1" t="s">
        <v>4567</v>
      </c>
      <c r="B833" s="1" t="s">
        <v>4568</v>
      </c>
      <c r="C833" s="1" t="s">
        <v>4569</v>
      </c>
      <c r="D833" s="2" t="n">
        <v>35318</v>
      </c>
      <c r="E833" s="1" t="s">
        <v>763</v>
      </c>
      <c r="F833" s="1" t="s">
        <v>711</v>
      </c>
      <c r="G833" s="1" t="s">
        <v>722</v>
      </c>
      <c r="H833" s="1" t="s">
        <v>713</v>
      </c>
      <c r="I833" s="1" t="s">
        <v>714</v>
      </c>
      <c r="J833" s="1" t="s">
        <v>745</v>
      </c>
      <c r="K833" s="1" t="s">
        <v>4570</v>
      </c>
      <c r="L833" s="1" t="s">
        <v>4571</v>
      </c>
      <c r="M833" s="1" t="s">
        <v>718</v>
      </c>
    </row>
    <row r="834" customFormat="false" ht="15" hidden="false" customHeight="false" outlineLevel="0" collapsed="false">
      <c r="A834" s="1" t="s">
        <v>4572</v>
      </c>
      <c r="B834" s="1" t="s">
        <v>4573</v>
      </c>
      <c r="C834" s="1" t="s">
        <v>4574</v>
      </c>
      <c r="D834" s="2" t="n">
        <v>35740</v>
      </c>
      <c r="E834" s="1" t="s">
        <v>763</v>
      </c>
      <c r="F834" s="1" t="s">
        <v>711</v>
      </c>
      <c r="G834" s="1" t="s">
        <v>712</v>
      </c>
      <c r="H834" s="1" t="s">
        <v>713</v>
      </c>
      <c r="I834" s="1" t="s">
        <v>714</v>
      </c>
      <c r="J834" s="1" t="s">
        <v>1095</v>
      </c>
      <c r="K834" s="1" t="s">
        <v>4575</v>
      </c>
      <c r="L834" s="1" t="s">
        <v>4576</v>
      </c>
      <c r="M834" s="1" t="s">
        <v>718</v>
      </c>
    </row>
    <row r="835" customFormat="false" ht="15" hidden="false" customHeight="false" outlineLevel="0" collapsed="false">
      <c r="A835" s="1" t="s">
        <v>4577</v>
      </c>
      <c r="B835" s="1" t="s">
        <v>4578</v>
      </c>
      <c r="C835" s="1" t="s">
        <v>789</v>
      </c>
      <c r="D835" s="2" t="n">
        <v>35358</v>
      </c>
      <c r="E835" s="1" t="s">
        <v>710</v>
      </c>
      <c r="F835" s="1" t="s">
        <v>711</v>
      </c>
      <c r="G835" s="1" t="s">
        <v>722</v>
      </c>
      <c r="H835" s="1" t="s">
        <v>713</v>
      </c>
      <c r="I835" s="1" t="s">
        <v>714</v>
      </c>
      <c r="J835" s="1" t="s">
        <v>3135</v>
      </c>
      <c r="K835" s="1" t="s">
        <v>4579</v>
      </c>
      <c r="L835" s="1" t="s">
        <v>4580</v>
      </c>
      <c r="M835" s="1" t="s">
        <v>718</v>
      </c>
    </row>
    <row r="836" customFormat="false" ht="15" hidden="false" customHeight="false" outlineLevel="0" collapsed="false">
      <c r="A836" s="1" t="s">
        <v>4581</v>
      </c>
      <c r="B836" s="1" t="s">
        <v>4582</v>
      </c>
      <c r="C836" s="1" t="s">
        <v>4583</v>
      </c>
      <c r="D836" s="2" t="n">
        <v>35673</v>
      </c>
      <c r="E836" s="1" t="s">
        <v>763</v>
      </c>
      <c r="F836" s="1" t="s">
        <v>711</v>
      </c>
      <c r="G836" s="1" t="s">
        <v>722</v>
      </c>
      <c r="H836" s="1" t="s">
        <v>713</v>
      </c>
      <c r="I836" s="1" t="s">
        <v>714</v>
      </c>
      <c r="J836" s="1" t="s">
        <v>3135</v>
      </c>
      <c r="K836" s="1" t="s">
        <v>4584</v>
      </c>
      <c r="L836" s="1" t="s">
        <v>4585</v>
      </c>
      <c r="M836" s="1" t="s">
        <v>718</v>
      </c>
    </row>
    <row r="837" customFormat="false" ht="15" hidden="false" customHeight="false" outlineLevel="0" collapsed="false">
      <c r="A837" s="1" t="s">
        <v>4586</v>
      </c>
      <c r="B837" s="1" t="s">
        <v>4587</v>
      </c>
      <c r="C837" s="1" t="s">
        <v>4588</v>
      </c>
      <c r="D837" s="2" t="n">
        <v>35723</v>
      </c>
      <c r="E837" s="1" t="s">
        <v>763</v>
      </c>
      <c r="F837" s="1" t="s">
        <v>711</v>
      </c>
      <c r="G837" s="1" t="s">
        <v>722</v>
      </c>
      <c r="H837" s="1" t="s">
        <v>713</v>
      </c>
      <c r="I837" s="1" t="s">
        <v>714</v>
      </c>
      <c r="J837" s="1" t="s">
        <v>4318</v>
      </c>
      <c r="K837" s="1" t="s">
        <v>4589</v>
      </c>
      <c r="L837" s="1" t="s">
        <v>4590</v>
      </c>
      <c r="M837" s="1" t="s">
        <v>718</v>
      </c>
    </row>
    <row r="838" customFormat="false" ht="15" hidden="false" customHeight="false" outlineLevel="0" collapsed="false">
      <c r="A838" s="1" t="s">
        <v>4591</v>
      </c>
      <c r="B838" s="1" t="s">
        <v>4592</v>
      </c>
      <c r="C838" s="1" t="s">
        <v>1015</v>
      </c>
      <c r="D838" s="2" t="n">
        <v>35634</v>
      </c>
      <c r="E838" s="1" t="s">
        <v>710</v>
      </c>
      <c r="F838" s="1" t="s">
        <v>711</v>
      </c>
      <c r="G838" s="1" t="s">
        <v>722</v>
      </c>
      <c r="H838" s="1" t="s">
        <v>713</v>
      </c>
      <c r="I838" s="1" t="s">
        <v>714</v>
      </c>
      <c r="J838" s="1" t="s">
        <v>4338</v>
      </c>
      <c r="K838" s="1" t="s">
        <v>1016</v>
      </c>
      <c r="L838" s="1" t="s">
        <v>1017</v>
      </c>
      <c r="M838" s="1" t="s">
        <v>718</v>
      </c>
    </row>
    <row r="839" customFormat="false" ht="15" hidden="false" customHeight="false" outlineLevel="0" collapsed="false">
      <c r="A839" s="1" t="s">
        <v>4593</v>
      </c>
      <c r="B839" s="1" t="s">
        <v>4594</v>
      </c>
      <c r="C839" s="1" t="s">
        <v>4595</v>
      </c>
      <c r="D839" s="2" t="n">
        <v>35647</v>
      </c>
      <c r="E839" s="1" t="s">
        <v>710</v>
      </c>
      <c r="F839" s="1" t="s">
        <v>711</v>
      </c>
      <c r="G839" s="1" t="s">
        <v>712</v>
      </c>
      <c r="H839" s="1" t="s">
        <v>713</v>
      </c>
      <c r="I839" s="1" t="s">
        <v>714</v>
      </c>
      <c r="J839" s="1" t="s">
        <v>4129</v>
      </c>
      <c r="K839" s="1" t="s">
        <v>4596</v>
      </c>
      <c r="L839" s="1" t="s">
        <v>4597</v>
      </c>
      <c r="M839" s="1" t="s">
        <v>718</v>
      </c>
    </row>
    <row r="840" customFormat="false" ht="15" hidden="false" customHeight="false" outlineLevel="0" collapsed="false">
      <c r="A840" s="1" t="s">
        <v>4598</v>
      </c>
      <c r="B840" s="1" t="s">
        <v>4599</v>
      </c>
      <c r="C840" s="1" t="s">
        <v>4600</v>
      </c>
      <c r="D840" s="2" t="n">
        <v>35398</v>
      </c>
      <c r="E840" s="1" t="s">
        <v>710</v>
      </c>
      <c r="F840" s="1" t="s">
        <v>711</v>
      </c>
      <c r="G840" s="1" t="s">
        <v>722</v>
      </c>
      <c r="H840" s="1" t="s">
        <v>713</v>
      </c>
      <c r="I840" s="1" t="s">
        <v>714</v>
      </c>
      <c r="J840" s="1" t="s">
        <v>4198</v>
      </c>
      <c r="K840" s="1" t="s">
        <v>4601</v>
      </c>
      <c r="L840" s="1" t="s">
        <v>4602</v>
      </c>
      <c r="M840" s="1" t="s">
        <v>718</v>
      </c>
    </row>
    <row r="841" customFormat="false" ht="15" hidden="false" customHeight="false" outlineLevel="0" collapsed="false">
      <c r="A841" s="1" t="s">
        <v>4603</v>
      </c>
      <c r="B841" s="1" t="s">
        <v>4604</v>
      </c>
      <c r="C841" s="1" t="s">
        <v>4605</v>
      </c>
      <c r="D841" s="2" t="n">
        <v>35708</v>
      </c>
      <c r="E841" s="1" t="s">
        <v>763</v>
      </c>
      <c r="F841" s="1" t="s">
        <v>711</v>
      </c>
      <c r="G841" s="1" t="s">
        <v>722</v>
      </c>
      <c r="H841" s="1" t="s">
        <v>713</v>
      </c>
      <c r="I841" s="1" t="s">
        <v>714</v>
      </c>
      <c r="J841" s="1" t="s">
        <v>4504</v>
      </c>
      <c r="K841" s="1" t="s">
        <v>4606</v>
      </c>
      <c r="L841" s="1" t="s">
        <v>4607</v>
      </c>
      <c r="M841" s="1" t="s">
        <v>718</v>
      </c>
    </row>
    <row r="842" customFormat="false" ht="15" hidden="false" customHeight="false" outlineLevel="0" collapsed="false">
      <c r="A842" s="1" t="s">
        <v>4608</v>
      </c>
      <c r="B842" s="1" t="s">
        <v>4609</v>
      </c>
      <c r="C842" s="1" t="s">
        <v>4610</v>
      </c>
      <c r="D842" s="2" t="n">
        <v>34997</v>
      </c>
      <c r="E842" s="1" t="s">
        <v>763</v>
      </c>
      <c r="F842" s="1" t="s">
        <v>711</v>
      </c>
      <c r="G842" s="1" t="s">
        <v>722</v>
      </c>
      <c r="H842" s="1" t="s">
        <v>713</v>
      </c>
      <c r="I842" s="1" t="s">
        <v>714</v>
      </c>
      <c r="J842" s="1" t="s">
        <v>723</v>
      </c>
      <c r="K842" s="1" t="s">
        <v>4611</v>
      </c>
      <c r="L842" s="1" t="s">
        <v>2768</v>
      </c>
      <c r="M842" s="1" t="s">
        <v>718</v>
      </c>
    </row>
    <row r="843" customFormat="false" ht="15" hidden="false" customHeight="false" outlineLevel="0" collapsed="false">
      <c r="A843" s="1" t="s">
        <v>4612</v>
      </c>
      <c r="B843" s="1" t="s">
        <v>4613</v>
      </c>
      <c r="C843" s="1" t="s">
        <v>2859</v>
      </c>
      <c r="D843" s="2" t="n">
        <v>35716</v>
      </c>
      <c r="E843" s="1" t="s">
        <v>763</v>
      </c>
      <c r="F843" s="1" t="s">
        <v>711</v>
      </c>
      <c r="G843" s="1" t="s">
        <v>722</v>
      </c>
      <c r="H843" s="1" t="s">
        <v>713</v>
      </c>
      <c r="I843" s="1" t="s">
        <v>714</v>
      </c>
      <c r="J843" s="1" t="s">
        <v>1272</v>
      </c>
      <c r="K843" s="1" t="s">
        <v>716</v>
      </c>
      <c r="L843" s="1" t="s">
        <v>4614</v>
      </c>
      <c r="M843" s="1" t="s">
        <v>718</v>
      </c>
    </row>
    <row r="844" customFormat="false" ht="15" hidden="false" customHeight="false" outlineLevel="0" collapsed="false">
      <c r="A844" s="1" t="s">
        <v>4615</v>
      </c>
      <c r="B844" s="1" t="s">
        <v>4616</v>
      </c>
      <c r="C844" s="1" t="s">
        <v>4617</v>
      </c>
      <c r="D844" s="2" t="n">
        <v>35028</v>
      </c>
      <c r="E844" s="1" t="s">
        <v>763</v>
      </c>
      <c r="F844" s="1" t="s">
        <v>711</v>
      </c>
      <c r="G844" s="1" t="s">
        <v>722</v>
      </c>
      <c r="H844" s="1" t="s">
        <v>713</v>
      </c>
      <c r="I844" s="1" t="s">
        <v>714</v>
      </c>
      <c r="J844" s="1" t="s">
        <v>4618</v>
      </c>
      <c r="K844" s="1" t="s">
        <v>716</v>
      </c>
      <c r="L844" s="1" t="s">
        <v>3415</v>
      </c>
      <c r="M844" s="1" t="s">
        <v>718</v>
      </c>
    </row>
    <row r="845" customFormat="false" ht="15" hidden="false" customHeight="false" outlineLevel="0" collapsed="false">
      <c r="A845" s="1" t="s">
        <v>4619</v>
      </c>
      <c r="B845" s="1" t="s">
        <v>4620</v>
      </c>
      <c r="C845" s="1" t="s">
        <v>4621</v>
      </c>
      <c r="D845" s="2" t="n">
        <v>35174</v>
      </c>
      <c r="E845" s="1" t="s">
        <v>710</v>
      </c>
      <c r="F845" s="1" t="s">
        <v>711</v>
      </c>
      <c r="G845" s="1" t="s">
        <v>712</v>
      </c>
      <c r="H845" s="1" t="s">
        <v>713</v>
      </c>
      <c r="I845" s="1" t="s">
        <v>714</v>
      </c>
      <c r="J845" s="1" t="s">
        <v>3557</v>
      </c>
      <c r="K845" s="1" t="s">
        <v>4622</v>
      </c>
      <c r="L845" s="1" t="s">
        <v>4623</v>
      </c>
      <c r="M845" s="1" t="s">
        <v>718</v>
      </c>
    </row>
    <row r="846" customFormat="false" ht="15" hidden="false" customHeight="false" outlineLevel="0" collapsed="false">
      <c r="A846" s="1" t="s">
        <v>4624</v>
      </c>
      <c r="B846" s="1" t="s">
        <v>4625</v>
      </c>
      <c r="C846" s="1" t="s">
        <v>4626</v>
      </c>
      <c r="D846" s="2" t="n">
        <v>35780</v>
      </c>
      <c r="E846" s="1" t="s">
        <v>763</v>
      </c>
      <c r="F846" s="1" t="s">
        <v>711</v>
      </c>
      <c r="G846" s="1" t="s">
        <v>722</v>
      </c>
      <c r="H846" s="1" t="s">
        <v>713</v>
      </c>
      <c r="I846" s="1" t="s">
        <v>714</v>
      </c>
      <c r="J846" s="1" t="s">
        <v>4627</v>
      </c>
      <c r="K846" s="1" t="s">
        <v>4628</v>
      </c>
      <c r="L846" s="1" t="s">
        <v>4629</v>
      </c>
      <c r="M846" s="1" t="s">
        <v>718</v>
      </c>
    </row>
    <row r="847" customFormat="false" ht="15" hidden="false" customHeight="false" outlineLevel="0" collapsed="false">
      <c r="A847" s="1" t="s">
        <v>4630</v>
      </c>
      <c r="B847" s="1" t="s">
        <v>4631</v>
      </c>
      <c r="C847" s="1" t="s">
        <v>4632</v>
      </c>
      <c r="D847" s="2" t="n">
        <v>35765</v>
      </c>
      <c r="E847" s="1" t="s">
        <v>710</v>
      </c>
      <c r="F847" s="1" t="s">
        <v>711</v>
      </c>
      <c r="G847" s="1" t="s">
        <v>4633</v>
      </c>
      <c r="H847" s="1" t="s">
        <v>713</v>
      </c>
      <c r="I847" s="1" t="s">
        <v>714</v>
      </c>
      <c r="J847" s="1" t="s">
        <v>1272</v>
      </c>
      <c r="K847" s="1" t="s">
        <v>4634</v>
      </c>
      <c r="L847" s="1" t="s">
        <v>2078</v>
      </c>
      <c r="M847" s="1" t="s">
        <v>718</v>
      </c>
    </row>
    <row r="848" customFormat="false" ht="15" hidden="false" customHeight="false" outlineLevel="0" collapsed="false">
      <c r="A848" s="1" t="s">
        <v>4635</v>
      </c>
      <c r="B848" s="1" t="s">
        <v>4636</v>
      </c>
      <c r="C848" s="1" t="s">
        <v>4637</v>
      </c>
      <c r="D848" s="2" t="n">
        <v>35780</v>
      </c>
      <c r="E848" s="1" t="s">
        <v>763</v>
      </c>
      <c r="F848" s="1" t="s">
        <v>711</v>
      </c>
      <c r="G848" s="1" t="s">
        <v>712</v>
      </c>
      <c r="H848" s="1" t="s">
        <v>713</v>
      </c>
      <c r="I848" s="1" t="s">
        <v>714</v>
      </c>
      <c r="J848" s="1" t="s">
        <v>3818</v>
      </c>
      <c r="K848" s="1" t="s">
        <v>4638</v>
      </c>
      <c r="L848" s="1" t="s">
        <v>4639</v>
      </c>
      <c r="M848" s="1" t="s">
        <v>718</v>
      </c>
    </row>
    <row r="849" customFormat="false" ht="15" hidden="false" customHeight="false" outlineLevel="0" collapsed="false">
      <c r="A849" s="1" t="s">
        <v>4640</v>
      </c>
      <c r="B849" s="1" t="s">
        <v>4641</v>
      </c>
      <c r="C849" s="1" t="s">
        <v>4642</v>
      </c>
      <c r="D849" s="2" t="n">
        <v>35532</v>
      </c>
      <c r="E849" s="1" t="s">
        <v>763</v>
      </c>
      <c r="F849" s="1" t="s">
        <v>711</v>
      </c>
      <c r="G849" s="1" t="s">
        <v>722</v>
      </c>
      <c r="H849" s="1" t="s">
        <v>713</v>
      </c>
      <c r="I849" s="1" t="s">
        <v>714</v>
      </c>
      <c r="J849" s="1" t="s">
        <v>4643</v>
      </c>
      <c r="K849" s="1" t="s">
        <v>4644</v>
      </c>
      <c r="L849" s="1" t="s">
        <v>4645</v>
      </c>
      <c r="M849" s="1" t="s">
        <v>718</v>
      </c>
    </row>
    <row r="850" customFormat="false" ht="15" hidden="false" customHeight="false" outlineLevel="0" collapsed="false">
      <c r="A850" s="1" t="s">
        <v>4646</v>
      </c>
      <c r="B850" s="1" t="s">
        <v>4647</v>
      </c>
      <c r="C850" s="1" t="s">
        <v>4648</v>
      </c>
      <c r="D850" s="2" t="n">
        <v>35554</v>
      </c>
      <c r="E850" s="1" t="s">
        <v>763</v>
      </c>
      <c r="F850" s="1" t="s">
        <v>711</v>
      </c>
      <c r="G850" s="1" t="s">
        <v>722</v>
      </c>
      <c r="H850" s="1" t="s">
        <v>713</v>
      </c>
      <c r="I850" s="1" t="s">
        <v>714</v>
      </c>
      <c r="J850" s="1" t="s">
        <v>4649</v>
      </c>
      <c r="K850" s="1" t="s">
        <v>716</v>
      </c>
      <c r="L850" s="1" t="s">
        <v>1879</v>
      </c>
      <c r="M850" s="1" t="s">
        <v>718</v>
      </c>
    </row>
    <row r="851" customFormat="false" ht="15" hidden="false" customHeight="false" outlineLevel="0" collapsed="false">
      <c r="A851" s="1" t="s">
        <v>4650</v>
      </c>
      <c r="B851" s="1" t="s">
        <v>4651</v>
      </c>
      <c r="C851" s="1" t="s">
        <v>4652</v>
      </c>
      <c r="D851" s="2" t="n">
        <v>35788</v>
      </c>
      <c r="E851" s="1" t="s">
        <v>763</v>
      </c>
      <c r="F851" s="1" t="s">
        <v>711</v>
      </c>
      <c r="G851" s="1" t="s">
        <v>712</v>
      </c>
      <c r="H851" s="1" t="s">
        <v>713</v>
      </c>
      <c r="I851" s="1" t="s">
        <v>714</v>
      </c>
      <c r="J851" s="1" t="s">
        <v>978</v>
      </c>
      <c r="K851" s="1" t="s">
        <v>4653</v>
      </c>
      <c r="L851" s="1" t="s">
        <v>4654</v>
      </c>
      <c r="M851" s="1" t="s">
        <v>718</v>
      </c>
    </row>
    <row r="852" customFormat="false" ht="15" hidden="false" customHeight="false" outlineLevel="0" collapsed="false">
      <c r="A852" s="1" t="s">
        <v>4655</v>
      </c>
      <c r="B852" s="1" t="s">
        <v>4656</v>
      </c>
      <c r="C852" s="1" t="s">
        <v>739</v>
      </c>
      <c r="D852" s="2" t="n">
        <v>35756</v>
      </c>
      <c r="E852" s="1" t="s">
        <v>763</v>
      </c>
      <c r="F852" s="1" t="s">
        <v>711</v>
      </c>
      <c r="G852" s="1" t="s">
        <v>712</v>
      </c>
      <c r="H852" s="1" t="s">
        <v>713</v>
      </c>
      <c r="I852" s="1" t="s">
        <v>714</v>
      </c>
      <c r="J852" s="1" t="s">
        <v>4657</v>
      </c>
      <c r="K852" s="1" t="s">
        <v>716</v>
      </c>
      <c r="L852" s="1" t="s">
        <v>4658</v>
      </c>
      <c r="M852" s="1" t="s">
        <v>718</v>
      </c>
    </row>
    <row r="853" customFormat="false" ht="15" hidden="false" customHeight="false" outlineLevel="0" collapsed="false">
      <c r="A853" s="1" t="s">
        <v>4659</v>
      </c>
      <c r="B853" s="1" t="s">
        <v>4660</v>
      </c>
      <c r="C853" s="1" t="s">
        <v>4661</v>
      </c>
      <c r="D853" s="2" t="n">
        <v>35716</v>
      </c>
      <c r="E853" s="1" t="s">
        <v>763</v>
      </c>
      <c r="F853" s="1" t="s">
        <v>711</v>
      </c>
      <c r="G853" s="1" t="s">
        <v>712</v>
      </c>
      <c r="H853" s="1" t="s">
        <v>713</v>
      </c>
      <c r="I853" s="1" t="s">
        <v>714</v>
      </c>
      <c r="J853" s="1" t="s">
        <v>1144</v>
      </c>
      <c r="K853" s="1" t="s">
        <v>716</v>
      </c>
      <c r="L853" s="1" t="s">
        <v>4662</v>
      </c>
      <c r="M853" s="1" t="s">
        <v>718</v>
      </c>
    </row>
    <row r="854" customFormat="false" ht="15" hidden="false" customHeight="false" outlineLevel="0" collapsed="false">
      <c r="A854" s="1" t="s">
        <v>4663</v>
      </c>
      <c r="B854" s="1" t="s">
        <v>4664</v>
      </c>
      <c r="C854" s="1" t="s">
        <v>4665</v>
      </c>
      <c r="D854" s="2" t="n">
        <v>35753</v>
      </c>
      <c r="E854" s="1" t="s">
        <v>710</v>
      </c>
      <c r="F854" s="1" t="s">
        <v>711</v>
      </c>
      <c r="G854" s="1" t="s">
        <v>712</v>
      </c>
      <c r="H854" s="1" t="s">
        <v>713</v>
      </c>
      <c r="I854" s="1" t="s">
        <v>714</v>
      </c>
      <c r="J854" s="1" t="s">
        <v>4666</v>
      </c>
      <c r="K854" s="1" t="s">
        <v>4667</v>
      </c>
      <c r="L854" s="1" t="s">
        <v>1753</v>
      </c>
      <c r="M854" s="1" t="s">
        <v>718</v>
      </c>
    </row>
    <row r="855" customFormat="false" ht="15" hidden="false" customHeight="false" outlineLevel="0" collapsed="false">
      <c r="A855" s="1" t="s">
        <v>4668</v>
      </c>
      <c r="B855" s="1" t="s">
        <v>1397</v>
      </c>
      <c r="C855" s="1" t="s">
        <v>1752</v>
      </c>
      <c r="D855" s="2" t="n">
        <v>35236</v>
      </c>
      <c r="E855" s="1" t="s">
        <v>710</v>
      </c>
      <c r="F855" s="1" t="s">
        <v>711</v>
      </c>
      <c r="G855" s="1" t="s">
        <v>712</v>
      </c>
      <c r="H855" s="1" t="s">
        <v>713</v>
      </c>
      <c r="I855" s="1" t="s">
        <v>714</v>
      </c>
      <c r="J855" s="1" t="s">
        <v>1010</v>
      </c>
      <c r="K855" s="1" t="s">
        <v>4667</v>
      </c>
      <c r="L855" s="1" t="s">
        <v>1753</v>
      </c>
      <c r="M855" s="1" t="s">
        <v>718</v>
      </c>
    </row>
    <row r="856" customFormat="false" ht="15" hidden="false" customHeight="false" outlineLevel="0" collapsed="false">
      <c r="A856" s="1" t="s">
        <v>4669</v>
      </c>
      <c r="B856" s="1" t="s">
        <v>4670</v>
      </c>
      <c r="C856" s="1" t="s">
        <v>1295</v>
      </c>
      <c r="D856" s="2" t="n">
        <v>34750</v>
      </c>
      <c r="E856" s="1" t="s">
        <v>763</v>
      </c>
      <c r="F856" s="1" t="s">
        <v>711</v>
      </c>
      <c r="G856" s="1" t="s">
        <v>4671</v>
      </c>
      <c r="H856" s="1" t="s">
        <v>713</v>
      </c>
      <c r="I856" s="1" t="s">
        <v>714</v>
      </c>
      <c r="J856" s="1" t="s">
        <v>3678</v>
      </c>
      <c r="K856" s="1" t="s">
        <v>4672</v>
      </c>
      <c r="L856" s="1" t="s">
        <v>4673</v>
      </c>
      <c r="M856" s="1" t="s">
        <v>718</v>
      </c>
    </row>
    <row r="857" customFormat="false" ht="15" hidden="false" customHeight="false" outlineLevel="0" collapsed="false">
      <c r="A857" s="1" t="s">
        <v>4674</v>
      </c>
      <c r="B857" s="1" t="s">
        <v>4455</v>
      </c>
      <c r="C857" s="1" t="s">
        <v>2428</v>
      </c>
      <c r="D857" s="2" t="n">
        <v>35847</v>
      </c>
      <c r="E857" s="1" t="s">
        <v>710</v>
      </c>
      <c r="F857" s="1" t="s">
        <v>711</v>
      </c>
      <c r="G857" s="1" t="s">
        <v>712</v>
      </c>
      <c r="H857" s="1" t="s">
        <v>713</v>
      </c>
      <c r="I857" s="1" t="s">
        <v>714</v>
      </c>
      <c r="J857" s="1" t="s">
        <v>4675</v>
      </c>
      <c r="K857" s="1" t="s">
        <v>4676</v>
      </c>
      <c r="L857" s="1" t="s">
        <v>4677</v>
      </c>
      <c r="M857" s="1" t="s">
        <v>718</v>
      </c>
    </row>
    <row r="858" customFormat="false" ht="15" hidden="false" customHeight="false" outlineLevel="0" collapsed="false">
      <c r="A858" s="1" t="s">
        <v>4678</v>
      </c>
      <c r="B858" s="1" t="s">
        <v>4679</v>
      </c>
      <c r="C858" s="1" t="s">
        <v>4680</v>
      </c>
      <c r="D858" s="2" t="n">
        <v>35766</v>
      </c>
      <c r="E858" s="1" t="s">
        <v>710</v>
      </c>
      <c r="F858" s="1" t="s">
        <v>711</v>
      </c>
      <c r="G858" s="1" t="s">
        <v>722</v>
      </c>
      <c r="H858" s="1" t="s">
        <v>713</v>
      </c>
      <c r="I858" s="1" t="s">
        <v>714</v>
      </c>
      <c r="J858" s="1" t="s">
        <v>4681</v>
      </c>
      <c r="K858" s="1" t="s">
        <v>716</v>
      </c>
      <c r="L858" s="1" t="s">
        <v>1638</v>
      </c>
      <c r="M858" s="1" t="s">
        <v>718</v>
      </c>
    </row>
    <row r="859" customFormat="false" ht="15" hidden="false" customHeight="false" outlineLevel="0" collapsed="false">
      <c r="A859" s="1" t="s">
        <v>4682</v>
      </c>
      <c r="B859" s="1" t="s">
        <v>4683</v>
      </c>
      <c r="C859" s="1" t="s">
        <v>4684</v>
      </c>
      <c r="D859" s="2" t="n">
        <v>35749</v>
      </c>
      <c r="E859" s="1" t="s">
        <v>763</v>
      </c>
      <c r="F859" s="1" t="s">
        <v>711</v>
      </c>
      <c r="G859" s="1" t="s">
        <v>722</v>
      </c>
      <c r="H859" s="1" t="s">
        <v>713</v>
      </c>
      <c r="I859" s="1" t="s">
        <v>714</v>
      </c>
      <c r="J859" s="1" t="s">
        <v>4129</v>
      </c>
      <c r="K859" s="1" t="s">
        <v>4685</v>
      </c>
      <c r="L859" s="1" t="s">
        <v>4686</v>
      </c>
      <c r="M859" s="1" t="s">
        <v>718</v>
      </c>
    </row>
    <row r="860" customFormat="false" ht="15" hidden="false" customHeight="false" outlineLevel="0" collapsed="false">
      <c r="A860" s="1" t="s">
        <v>4687</v>
      </c>
      <c r="B860" s="1" t="s">
        <v>4688</v>
      </c>
      <c r="C860" s="1" t="s">
        <v>2180</v>
      </c>
      <c r="D860" s="2" t="n">
        <v>34571</v>
      </c>
      <c r="E860" s="1" t="s">
        <v>710</v>
      </c>
      <c r="F860" s="1" t="s">
        <v>711</v>
      </c>
      <c r="G860" s="1" t="s">
        <v>712</v>
      </c>
      <c r="H860" s="1" t="s">
        <v>713</v>
      </c>
      <c r="I860" s="1" t="s">
        <v>714</v>
      </c>
      <c r="J860" s="1" t="s">
        <v>723</v>
      </c>
      <c r="K860" s="1" t="s">
        <v>716</v>
      </c>
      <c r="L860" s="1" t="s">
        <v>4689</v>
      </c>
      <c r="M860" s="1" t="s">
        <v>718</v>
      </c>
    </row>
    <row r="861" customFormat="false" ht="15" hidden="false" customHeight="false" outlineLevel="0" collapsed="false">
      <c r="A861" s="1" t="s">
        <v>4690</v>
      </c>
      <c r="B861" s="1" t="s">
        <v>4691</v>
      </c>
      <c r="C861" s="1" t="s">
        <v>750</v>
      </c>
      <c r="D861" s="2" t="n">
        <v>35483</v>
      </c>
      <c r="E861" s="1" t="s">
        <v>763</v>
      </c>
      <c r="F861" s="1" t="s">
        <v>711</v>
      </c>
      <c r="G861" s="1" t="s">
        <v>722</v>
      </c>
      <c r="H861" s="1" t="s">
        <v>713</v>
      </c>
      <c r="I861" s="1" t="s">
        <v>714</v>
      </c>
      <c r="J861" s="1" t="s">
        <v>4666</v>
      </c>
      <c r="K861" s="1" t="s">
        <v>4692</v>
      </c>
      <c r="L861" s="1" t="s">
        <v>765</v>
      </c>
      <c r="M861" s="1" t="s">
        <v>718</v>
      </c>
    </row>
    <row r="862" customFormat="false" ht="15" hidden="false" customHeight="false" outlineLevel="0" collapsed="false">
      <c r="A862" s="1" t="s">
        <v>4693</v>
      </c>
      <c r="B862" s="1" t="s">
        <v>4694</v>
      </c>
      <c r="C862" s="1" t="s">
        <v>4695</v>
      </c>
      <c r="D862" s="2" t="n">
        <v>35265</v>
      </c>
      <c r="E862" s="1" t="s">
        <v>763</v>
      </c>
      <c r="F862" s="1" t="s">
        <v>711</v>
      </c>
      <c r="G862" s="1" t="s">
        <v>712</v>
      </c>
      <c r="H862" s="1" t="s">
        <v>713</v>
      </c>
      <c r="I862" s="1" t="s">
        <v>714</v>
      </c>
      <c r="J862" s="1" t="s">
        <v>1390</v>
      </c>
      <c r="K862" s="1" t="s">
        <v>4696</v>
      </c>
      <c r="L862" s="1" t="s">
        <v>4697</v>
      </c>
      <c r="M862" s="1" t="s">
        <v>718</v>
      </c>
    </row>
    <row r="863" customFormat="false" ht="15" hidden="false" customHeight="false" outlineLevel="0" collapsed="false">
      <c r="A863" s="1" t="s">
        <v>4698</v>
      </c>
      <c r="B863" s="1" t="s">
        <v>4699</v>
      </c>
      <c r="C863" s="1" t="s">
        <v>4700</v>
      </c>
      <c r="D863" s="2" t="n">
        <v>35912</v>
      </c>
      <c r="E863" s="1" t="s">
        <v>763</v>
      </c>
      <c r="F863" s="1" t="s">
        <v>711</v>
      </c>
      <c r="G863" s="1" t="s">
        <v>712</v>
      </c>
      <c r="H863" s="1" t="s">
        <v>713</v>
      </c>
      <c r="I863" s="1" t="s">
        <v>714</v>
      </c>
      <c r="J863" s="1" t="s">
        <v>4158</v>
      </c>
      <c r="K863" s="1" t="s">
        <v>716</v>
      </c>
      <c r="L863" s="1" t="s">
        <v>4701</v>
      </c>
      <c r="M863" s="1" t="s">
        <v>718</v>
      </c>
    </row>
    <row r="864" customFormat="false" ht="15" hidden="false" customHeight="false" outlineLevel="0" collapsed="false">
      <c r="A864" s="1" t="s">
        <v>4702</v>
      </c>
      <c r="B864" s="1" t="s">
        <v>4703</v>
      </c>
      <c r="C864" s="1" t="s">
        <v>4704</v>
      </c>
      <c r="D864" s="2" t="n">
        <v>35713</v>
      </c>
      <c r="E864" s="1" t="s">
        <v>763</v>
      </c>
      <c r="F864" s="1" t="s">
        <v>711</v>
      </c>
      <c r="G864" s="1" t="s">
        <v>712</v>
      </c>
      <c r="H864" s="1" t="s">
        <v>713</v>
      </c>
      <c r="I864" s="1" t="s">
        <v>714</v>
      </c>
      <c r="J864" s="1" t="s">
        <v>810</v>
      </c>
      <c r="K864" s="1" t="s">
        <v>4705</v>
      </c>
      <c r="L864" s="1" t="s">
        <v>4706</v>
      </c>
      <c r="M864" s="1" t="s">
        <v>718</v>
      </c>
    </row>
    <row r="865" customFormat="false" ht="15" hidden="false" customHeight="false" outlineLevel="0" collapsed="false">
      <c r="A865" s="1" t="s">
        <v>4707</v>
      </c>
      <c r="B865" s="1" t="s">
        <v>4708</v>
      </c>
      <c r="C865" s="1" t="s">
        <v>4709</v>
      </c>
      <c r="D865" s="2" t="n">
        <v>35115</v>
      </c>
      <c r="E865" s="1" t="s">
        <v>763</v>
      </c>
      <c r="F865" s="1" t="s">
        <v>711</v>
      </c>
      <c r="G865" s="1" t="s">
        <v>4710</v>
      </c>
      <c r="H865" s="1" t="s">
        <v>713</v>
      </c>
      <c r="I865" s="1" t="s">
        <v>714</v>
      </c>
      <c r="J865" s="1" t="s">
        <v>4338</v>
      </c>
      <c r="K865" s="1" t="s">
        <v>4711</v>
      </c>
      <c r="L865" s="1" t="s">
        <v>4712</v>
      </c>
      <c r="M865" s="1" t="s">
        <v>718</v>
      </c>
    </row>
    <row r="866" customFormat="false" ht="15" hidden="false" customHeight="false" outlineLevel="0" collapsed="false">
      <c r="A866" s="1" t="s">
        <v>4713</v>
      </c>
      <c r="B866" s="1" t="s">
        <v>3888</v>
      </c>
      <c r="C866" s="1" t="s">
        <v>4115</v>
      </c>
      <c r="D866" s="2" t="n">
        <v>35372</v>
      </c>
      <c r="E866" s="1" t="s">
        <v>763</v>
      </c>
      <c r="F866" s="1" t="s">
        <v>4714</v>
      </c>
      <c r="G866" s="1" t="s">
        <v>4715</v>
      </c>
      <c r="H866" s="1" t="s">
        <v>2083</v>
      </c>
      <c r="I866" s="1" t="s">
        <v>2084</v>
      </c>
      <c r="J866" s="1" t="s">
        <v>4518</v>
      </c>
      <c r="K866" s="1" t="s">
        <v>4116</v>
      </c>
      <c r="L866" s="1" t="s">
        <v>4117</v>
      </c>
      <c r="M866" s="1" t="s">
        <v>2083</v>
      </c>
    </row>
    <row r="867" customFormat="false" ht="15" hidden="false" customHeight="false" outlineLevel="0" collapsed="false">
      <c r="A867" s="1" t="s">
        <v>4716</v>
      </c>
      <c r="B867" s="1" t="s">
        <v>4717</v>
      </c>
      <c r="C867" s="1" t="s">
        <v>4718</v>
      </c>
      <c r="D867" s="2" t="n">
        <v>33395</v>
      </c>
      <c r="E867" s="1" t="s">
        <v>710</v>
      </c>
      <c r="F867" s="1" t="s">
        <v>711</v>
      </c>
      <c r="G867" s="1" t="s">
        <v>722</v>
      </c>
      <c r="H867" s="1" t="s">
        <v>713</v>
      </c>
      <c r="I867" s="1" t="s">
        <v>714</v>
      </c>
      <c r="J867" s="1" t="s">
        <v>1530</v>
      </c>
      <c r="K867" s="1" t="s">
        <v>2238</v>
      </c>
      <c r="L867" s="1" t="s">
        <v>2239</v>
      </c>
      <c r="M867" s="1" t="s">
        <v>718</v>
      </c>
    </row>
    <row r="868" customFormat="false" ht="15" hidden="false" customHeight="false" outlineLevel="0" collapsed="false">
      <c r="A868" s="1" t="s">
        <v>4719</v>
      </c>
      <c r="B868" s="1" t="s">
        <v>4720</v>
      </c>
      <c r="C868" s="1" t="s">
        <v>4721</v>
      </c>
      <c r="D868" s="2" t="n">
        <v>33561</v>
      </c>
      <c r="E868" s="1" t="s">
        <v>710</v>
      </c>
      <c r="F868" s="1" t="s">
        <v>711</v>
      </c>
      <c r="G868" s="1" t="s">
        <v>722</v>
      </c>
      <c r="H868" s="1" t="s">
        <v>713</v>
      </c>
      <c r="I868" s="1" t="s">
        <v>714</v>
      </c>
      <c r="J868" s="1" t="s">
        <v>716</v>
      </c>
      <c r="K868" s="1" t="s">
        <v>4722</v>
      </c>
      <c r="L868" s="1" t="s">
        <v>4723</v>
      </c>
      <c r="M868" s="1" t="s">
        <v>718</v>
      </c>
    </row>
    <row r="869" customFormat="false" ht="15" hidden="false" customHeight="false" outlineLevel="0" collapsed="false">
      <c r="A869" s="1" t="s">
        <v>4724</v>
      </c>
      <c r="B869" s="1" t="s">
        <v>4725</v>
      </c>
      <c r="C869" s="1" t="s">
        <v>4726</v>
      </c>
      <c r="D869" s="2" t="n">
        <v>34053</v>
      </c>
      <c r="E869" s="1" t="s">
        <v>710</v>
      </c>
      <c r="F869" s="1" t="s">
        <v>711</v>
      </c>
      <c r="G869" s="1" t="s">
        <v>4727</v>
      </c>
      <c r="H869" s="1" t="s">
        <v>2645</v>
      </c>
      <c r="I869" s="1" t="s">
        <v>2646</v>
      </c>
      <c r="J869" s="1" t="s">
        <v>716</v>
      </c>
      <c r="K869" s="1" t="s">
        <v>716</v>
      </c>
      <c r="L869" s="1" t="s">
        <v>4728</v>
      </c>
      <c r="M869" s="1" t="s">
        <v>718</v>
      </c>
    </row>
    <row r="870" customFormat="false" ht="15" hidden="false" customHeight="false" outlineLevel="0" collapsed="false">
      <c r="A870" s="1" t="s">
        <v>4729</v>
      </c>
      <c r="B870" s="1" t="s">
        <v>4730</v>
      </c>
      <c r="C870" s="1" t="s">
        <v>4731</v>
      </c>
      <c r="D870" s="2" t="n">
        <v>34197</v>
      </c>
      <c r="E870" s="1" t="s">
        <v>763</v>
      </c>
      <c r="F870" s="1" t="s">
        <v>711</v>
      </c>
      <c r="G870" s="1" t="s">
        <v>722</v>
      </c>
      <c r="H870" s="1" t="s">
        <v>713</v>
      </c>
      <c r="I870" s="1" t="s">
        <v>714</v>
      </c>
      <c r="J870" s="1" t="s">
        <v>4732</v>
      </c>
      <c r="K870" s="1" t="s">
        <v>4733</v>
      </c>
      <c r="L870" s="1" t="s">
        <v>4734</v>
      </c>
      <c r="M870" s="1" t="s">
        <v>718</v>
      </c>
    </row>
    <row r="871" customFormat="false" ht="15" hidden="false" customHeight="false" outlineLevel="0" collapsed="false">
      <c r="A871" s="1" t="s">
        <v>4735</v>
      </c>
      <c r="B871" s="1" t="s">
        <v>4736</v>
      </c>
      <c r="C871" s="1" t="s">
        <v>1477</v>
      </c>
      <c r="D871" s="2" t="n">
        <v>34372</v>
      </c>
      <c r="E871" s="1" t="s">
        <v>710</v>
      </c>
      <c r="F871" s="1" t="s">
        <v>711</v>
      </c>
      <c r="G871" s="1" t="s">
        <v>722</v>
      </c>
      <c r="H871" s="1" t="s">
        <v>713</v>
      </c>
      <c r="I871" s="1" t="s">
        <v>714</v>
      </c>
      <c r="J871" s="1" t="s">
        <v>1505</v>
      </c>
      <c r="K871" s="1" t="s">
        <v>4737</v>
      </c>
      <c r="L871" s="1" t="s">
        <v>1479</v>
      </c>
      <c r="M871" s="1" t="s">
        <v>718</v>
      </c>
    </row>
    <row r="872" customFormat="false" ht="15" hidden="false" customHeight="false" outlineLevel="0" collapsed="false">
      <c r="A872" s="1" t="s">
        <v>4738</v>
      </c>
      <c r="B872" s="1" t="s">
        <v>4739</v>
      </c>
      <c r="C872" s="1" t="s">
        <v>4740</v>
      </c>
      <c r="D872" s="2" t="n">
        <v>34428</v>
      </c>
      <c r="E872" s="1" t="s">
        <v>710</v>
      </c>
      <c r="F872" s="1" t="s">
        <v>711</v>
      </c>
      <c r="G872" s="1" t="s">
        <v>712</v>
      </c>
      <c r="H872" s="1" t="s">
        <v>713</v>
      </c>
      <c r="I872" s="1" t="s">
        <v>714</v>
      </c>
      <c r="J872" s="1" t="s">
        <v>821</v>
      </c>
      <c r="K872" s="1" t="s">
        <v>4741</v>
      </c>
      <c r="L872" s="1" t="s">
        <v>4742</v>
      </c>
      <c r="M872" s="1" t="s">
        <v>718</v>
      </c>
    </row>
    <row r="873" customFormat="false" ht="15" hidden="false" customHeight="false" outlineLevel="0" collapsed="false">
      <c r="A873" s="1" t="s">
        <v>4743</v>
      </c>
      <c r="B873" s="1" t="s">
        <v>4744</v>
      </c>
      <c r="C873" s="1" t="s">
        <v>4745</v>
      </c>
      <c r="D873" s="2" t="n">
        <v>34382</v>
      </c>
      <c r="E873" s="1" t="s">
        <v>763</v>
      </c>
      <c r="F873" s="1" t="s">
        <v>711</v>
      </c>
      <c r="G873" s="1" t="s">
        <v>712</v>
      </c>
      <c r="H873" s="1" t="s">
        <v>713</v>
      </c>
      <c r="I873" s="1" t="s">
        <v>714</v>
      </c>
      <c r="J873" s="1" t="s">
        <v>4746</v>
      </c>
      <c r="K873" s="1" t="s">
        <v>716</v>
      </c>
      <c r="L873" s="1" t="s">
        <v>4747</v>
      </c>
      <c r="M873" s="1" t="s">
        <v>718</v>
      </c>
    </row>
    <row r="874" customFormat="false" ht="15" hidden="false" customHeight="false" outlineLevel="0" collapsed="false">
      <c r="A874" s="1" t="s">
        <v>4748</v>
      </c>
      <c r="B874" s="1" t="s">
        <v>4749</v>
      </c>
      <c r="C874" s="1" t="s">
        <v>4750</v>
      </c>
      <c r="D874" s="2" t="n">
        <v>34517</v>
      </c>
      <c r="E874" s="1" t="s">
        <v>763</v>
      </c>
      <c r="F874" s="1" t="s">
        <v>711</v>
      </c>
      <c r="G874" s="1" t="s">
        <v>712</v>
      </c>
      <c r="H874" s="1" t="s">
        <v>713</v>
      </c>
      <c r="I874" s="1" t="s">
        <v>714</v>
      </c>
      <c r="J874" s="1" t="s">
        <v>1055</v>
      </c>
      <c r="K874" s="1" t="s">
        <v>4751</v>
      </c>
      <c r="L874" s="1" t="s">
        <v>4752</v>
      </c>
      <c r="M874" s="1" t="s">
        <v>718</v>
      </c>
    </row>
    <row r="875" customFormat="false" ht="15" hidden="false" customHeight="false" outlineLevel="0" collapsed="false">
      <c r="A875" s="1" t="s">
        <v>4753</v>
      </c>
      <c r="B875" s="1" t="s">
        <v>4754</v>
      </c>
      <c r="C875" s="1" t="s">
        <v>4755</v>
      </c>
      <c r="D875" s="2" t="n">
        <v>34050</v>
      </c>
      <c r="E875" s="1" t="s">
        <v>763</v>
      </c>
      <c r="F875" s="1" t="s">
        <v>711</v>
      </c>
      <c r="G875" s="1" t="s">
        <v>712</v>
      </c>
      <c r="H875" s="1" t="s">
        <v>713</v>
      </c>
      <c r="I875" s="1" t="s">
        <v>714</v>
      </c>
      <c r="J875" s="1" t="s">
        <v>4756</v>
      </c>
      <c r="K875" s="1" t="s">
        <v>4757</v>
      </c>
      <c r="L875" s="1" t="s">
        <v>4758</v>
      </c>
      <c r="M875" s="1" t="s">
        <v>718</v>
      </c>
    </row>
    <row r="876" customFormat="false" ht="15" hidden="false" customHeight="false" outlineLevel="0" collapsed="false">
      <c r="A876" s="1" t="s">
        <v>4759</v>
      </c>
      <c r="B876" s="1" t="s">
        <v>4760</v>
      </c>
      <c r="C876" s="1" t="s">
        <v>4761</v>
      </c>
      <c r="D876" s="2" t="n">
        <v>33578</v>
      </c>
      <c r="E876" s="1" t="s">
        <v>710</v>
      </c>
      <c r="F876" s="1" t="s">
        <v>711</v>
      </c>
      <c r="G876" s="1" t="s">
        <v>722</v>
      </c>
      <c r="H876" s="1" t="s">
        <v>713</v>
      </c>
      <c r="I876" s="1" t="s">
        <v>714</v>
      </c>
      <c r="J876" s="1" t="s">
        <v>838</v>
      </c>
      <c r="K876" s="1" t="s">
        <v>716</v>
      </c>
      <c r="L876" s="1" t="s">
        <v>4762</v>
      </c>
      <c r="M876" s="1" t="s">
        <v>718</v>
      </c>
    </row>
    <row r="877" customFormat="false" ht="15" hidden="false" customHeight="false" outlineLevel="0" collapsed="false">
      <c r="A877" s="1" t="s">
        <v>4763</v>
      </c>
      <c r="B877" s="1" t="s">
        <v>4764</v>
      </c>
      <c r="C877" s="1" t="s">
        <v>4765</v>
      </c>
      <c r="D877" s="2" t="n">
        <v>33963</v>
      </c>
      <c r="E877" s="1" t="s">
        <v>763</v>
      </c>
      <c r="F877" s="1" t="s">
        <v>711</v>
      </c>
      <c r="G877" s="1" t="s">
        <v>722</v>
      </c>
      <c r="H877" s="1" t="s">
        <v>713</v>
      </c>
      <c r="I877" s="1" t="s">
        <v>714</v>
      </c>
      <c r="J877" s="1" t="s">
        <v>2438</v>
      </c>
      <c r="K877" s="1" t="s">
        <v>4766</v>
      </c>
      <c r="L877" s="1" t="s">
        <v>2038</v>
      </c>
      <c r="M877" s="1" t="s">
        <v>718</v>
      </c>
    </row>
    <row r="878" customFormat="false" ht="15" hidden="false" customHeight="false" outlineLevel="0" collapsed="false">
      <c r="A878" s="1" t="s">
        <v>4767</v>
      </c>
      <c r="B878" s="1" t="s">
        <v>4768</v>
      </c>
      <c r="C878" s="1" t="s">
        <v>4769</v>
      </c>
      <c r="D878" s="2" t="n">
        <v>33489</v>
      </c>
      <c r="E878" s="1" t="s">
        <v>710</v>
      </c>
      <c r="F878" s="1" t="s">
        <v>711</v>
      </c>
      <c r="G878" s="1" t="s">
        <v>722</v>
      </c>
      <c r="H878" s="1" t="s">
        <v>713</v>
      </c>
      <c r="I878" s="1" t="s">
        <v>714</v>
      </c>
      <c r="J878" s="1" t="s">
        <v>1172</v>
      </c>
      <c r="K878" s="1" t="s">
        <v>4770</v>
      </c>
      <c r="L878" s="1" t="s">
        <v>4771</v>
      </c>
      <c r="M878" s="1" t="s">
        <v>718</v>
      </c>
    </row>
    <row r="879" customFormat="false" ht="15" hidden="false" customHeight="false" outlineLevel="0" collapsed="false">
      <c r="A879" s="1" t="s">
        <v>4772</v>
      </c>
      <c r="B879" s="1" t="s">
        <v>4773</v>
      </c>
      <c r="C879" s="1" t="s">
        <v>4774</v>
      </c>
      <c r="D879" s="2" t="n">
        <v>34250</v>
      </c>
      <c r="E879" s="1" t="s">
        <v>763</v>
      </c>
      <c r="F879" s="1" t="s">
        <v>711</v>
      </c>
      <c r="G879" s="1" t="s">
        <v>712</v>
      </c>
      <c r="H879" s="1" t="s">
        <v>713</v>
      </c>
      <c r="I879" s="1" t="s">
        <v>714</v>
      </c>
      <c r="J879" s="1" t="s">
        <v>715</v>
      </c>
      <c r="K879" s="1" t="s">
        <v>4775</v>
      </c>
      <c r="L879" s="1" t="s">
        <v>4775</v>
      </c>
      <c r="M879" s="1" t="s">
        <v>718</v>
      </c>
    </row>
    <row r="880" customFormat="false" ht="15" hidden="false" customHeight="false" outlineLevel="0" collapsed="false">
      <c r="A880" s="1" t="s">
        <v>4776</v>
      </c>
      <c r="B880" s="1" t="s">
        <v>4777</v>
      </c>
      <c r="C880" s="1" t="s">
        <v>739</v>
      </c>
      <c r="D880" s="2" t="n">
        <v>34966</v>
      </c>
      <c r="E880" s="1" t="s">
        <v>710</v>
      </c>
      <c r="F880" s="1" t="s">
        <v>711</v>
      </c>
      <c r="G880" s="1" t="s">
        <v>712</v>
      </c>
      <c r="H880" s="1" t="s">
        <v>713</v>
      </c>
      <c r="I880" s="1" t="s">
        <v>714</v>
      </c>
      <c r="J880" s="1" t="s">
        <v>740</v>
      </c>
      <c r="K880" s="1" t="s">
        <v>4778</v>
      </c>
      <c r="L880" s="1" t="s">
        <v>4779</v>
      </c>
      <c r="M880" s="1" t="s">
        <v>718</v>
      </c>
    </row>
    <row r="881" customFormat="false" ht="15" hidden="false" customHeight="false" outlineLevel="0" collapsed="false">
      <c r="A881" s="1" t="s">
        <v>4780</v>
      </c>
      <c r="B881" s="1" t="s">
        <v>4781</v>
      </c>
      <c r="C881" s="1" t="s">
        <v>4782</v>
      </c>
      <c r="D881" s="2" t="n">
        <v>34807</v>
      </c>
      <c r="E881" s="1" t="s">
        <v>710</v>
      </c>
      <c r="F881" s="1" t="s">
        <v>711</v>
      </c>
      <c r="G881" s="1" t="s">
        <v>712</v>
      </c>
      <c r="H881" s="1" t="s">
        <v>713</v>
      </c>
      <c r="I881" s="1" t="s">
        <v>714</v>
      </c>
      <c r="J881" s="1" t="s">
        <v>715</v>
      </c>
      <c r="K881" s="1" t="s">
        <v>4783</v>
      </c>
      <c r="L881" s="1" t="s">
        <v>4784</v>
      </c>
      <c r="M881" s="1" t="s">
        <v>718</v>
      </c>
    </row>
    <row r="882" customFormat="false" ht="15" hidden="false" customHeight="false" outlineLevel="0" collapsed="false">
      <c r="A882" s="1" t="s">
        <v>4785</v>
      </c>
      <c r="B882" s="1" t="s">
        <v>4786</v>
      </c>
      <c r="C882" s="1" t="s">
        <v>1059</v>
      </c>
      <c r="D882" s="2" t="n">
        <v>34633</v>
      </c>
      <c r="E882" s="1" t="s">
        <v>710</v>
      </c>
      <c r="F882" s="1" t="s">
        <v>711</v>
      </c>
      <c r="G882" s="1" t="s">
        <v>712</v>
      </c>
      <c r="H882" s="1" t="s">
        <v>713</v>
      </c>
      <c r="I882" s="1" t="s">
        <v>714</v>
      </c>
      <c r="J882" s="1" t="s">
        <v>4787</v>
      </c>
      <c r="K882" s="1" t="s">
        <v>716</v>
      </c>
      <c r="L882" s="1" t="s">
        <v>4788</v>
      </c>
      <c r="M882" s="1" t="s">
        <v>718</v>
      </c>
    </row>
    <row r="883" customFormat="false" ht="15" hidden="false" customHeight="false" outlineLevel="0" collapsed="false">
      <c r="A883" s="1" t="s">
        <v>4789</v>
      </c>
      <c r="B883" s="1" t="s">
        <v>4790</v>
      </c>
      <c r="C883" s="1" t="s">
        <v>3794</v>
      </c>
      <c r="D883" s="2" t="n">
        <v>34213</v>
      </c>
      <c r="E883" s="1" t="s">
        <v>710</v>
      </c>
      <c r="F883" s="1" t="s">
        <v>711</v>
      </c>
      <c r="G883" s="1" t="s">
        <v>712</v>
      </c>
      <c r="H883" s="1" t="s">
        <v>713</v>
      </c>
      <c r="I883" s="1" t="s">
        <v>714</v>
      </c>
      <c r="J883" s="1" t="s">
        <v>2298</v>
      </c>
      <c r="K883" s="1" t="s">
        <v>4791</v>
      </c>
      <c r="L883" s="1" t="s">
        <v>4792</v>
      </c>
      <c r="M883" s="1" t="s">
        <v>718</v>
      </c>
    </row>
    <row r="884" customFormat="false" ht="15" hidden="false" customHeight="false" outlineLevel="0" collapsed="false">
      <c r="A884" s="1" t="s">
        <v>4793</v>
      </c>
      <c r="B884" s="1" t="s">
        <v>4794</v>
      </c>
      <c r="C884" s="1" t="s">
        <v>3633</v>
      </c>
      <c r="D884" s="2" t="n">
        <v>34913</v>
      </c>
      <c r="E884" s="1" t="s">
        <v>710</v>
      </c>
      <c r="F884" s="1" t="s">
        <v>711</v>
      </c>
      <c r="G884" s="1" t="s">
        <v>722</v>
      </c>
      <c r="H884" s="1" t="s">
        <v>713</v>
      </c>
      <c r="I884" s="1" t="s">
        <v>714</v>
      </c>
      <c r="J884" s="1" t="s">
        <v>928</v>
      </c>
      <c r="K884" s="1" t="s">
        <v>4795</v>
      </c>
      <c r="L884" s="1" t="s">
        <v>3635</v>
      </c>
      <c r="M884" s="1" t="s">
        <v>718</v>
      </c>
    </row>
    <row r="885" customFormat="false" ht="15" hidden="false" customHeight="false" outlineLevel="0" collapsed="false">
      <c r="A885" s="1" t="s">
        <v>4796</v>
      </c>
      <c r="B885" s="1" t="s">
        <v>4797</v>
      </c>
      <c r="C885" s="1" t="s">
        <v>4798</v>
      </c>
      <c r="D885" s="2" t="n">
        <v>34665</v>
      </c>
      <c r="E885" s="1" t="s">
        <v>763</v>
      </c>
      <c r="F885" s="1" t="s">
        <v>711</v>
      </c>
      <c r="G885" s="1" t="s">
        <v>722</v>
      </c>
      <c r="H885" s="1" t="s">
        <v>713</v>
      </c>
      <c r="I885" s="1" t="s">
        <v>714</v>
      </c>
      <c r="J885" s="1" t="s">
        <v>4787</v>
      </c>
      <c r="K885" s="1" t="s">
        <v>4799</v>
      </c>
      <c r="L885" s="1" t="s">
        <v>4800</v>
      </c>
      <c r="M885" s="1" t="s">
        <v>718</v>
      </c>
    </row>
    <row r="886" customFormat="false" ht="15" hidden="false" customHeight="false" outlineLevel="0" collapsed="false">
      <c r="A886" s="1" t="s">
        <v>4801</v>
      </c>
      <c r="B886" s="1" t="s">
        <v>4802</v>
      </c>
      <c r="C886" s="1" t="s">
        <v>4803</v>
      </c>
      <c r="D886" s="2" t="n">
        <v>34310</v>
      </c>
      <c r="E886" s="1" t="s">
        <v>763</v>
      </c>
      <c r="F886" s="1" t="s">
        <v>711</v>
      </c>
      <c r="G886" s="1" t="s">
        <v>712</v>
      </c>
      <c r="H886" s="1" t="s">
        <v>713</v>
      </c>
      <c r="I886" s="1" t="s">
        <v>714</v>
      </c>
      <c r="J886" s="1" t="s">
        <v>4804</v>
      </c>
      <c r="K886" s="1" t="s">
        <v>716</v>
      </c>
      <c r="L886" s="1" t="s">
        <v>1298</v>
      </c>
      <c r="M886" s="1" t="s">
        <v>718</v>
      </c>
    </row>
    <row r="887" customFormat="false" ht="15" hidden="false" customHeight="false" outlineLevel="0" collapsed="false">
      <c r="A887" s="1" t="s">
        <v>4805</v>
      </c>
      <c r="B887" s="1" t="s">
        <v>4806</v>
      </c>
      <c r="C887" s="1" t="s">
        <v>1253</v>
      </c>
      <c r="D887" s="2" t="n">
        <v>34747</v>
      </c>
      <c r="E887" s="1" t="s">
        <v>710</v>
      </c>
      <c r="F887" s="1" t="s">
        <v>711</v>
      </c>
      <c r="G887" s="1" t="s">
        <v>712</v>
      </c>
      <c r="H887" s="1" t="s">
        <v>713</v>
      </c>
      <c r="I887" s="1" t="s">
        <v>714</v>
      </c>
      <c r="J887" s="1" t="s">
        <v>1244</v>
      </c>
      <c r="K887" s="1" t="s">
        <v>4807</v>
      </c>
      <c r="L887" s="1" t="s">
        <v>4808</v>
      </c>
      <c r="M887" s="1" t="s">
        <v>718</v>
      </c>
    </row>
    <row r="888" customFormat="false" ht="15" hidden="false" customHeight="false" outlineLevel="0" collapsed="false">
      <c r="A888" s="1" t="s">
        <v>4809</v>
      </c>
      <c r="B888" s="1" t="s">
        <v>4810</v>
      </c>
      <c r="C888" s="1" t="s">
        <v>2224</v>
      </c>
      <c r="D888" s="2" t="n">
        <v>34714</v>
      </c>
      <c r="E888" s="1" t="s">
        <v>763</v>
      </c>
      <c r="F888" s="1" t="s">
        <v>711</v>
      </c>
      <c r="G888" s="1" t="s">
        <v>722</v>
      </c>
      <c r="H888" s="1" t="s">
        <v>713</v>
      </c>
      <c r="I888" s="1" t="s">
        <v>714</v>
      </c>
      <c r="J888" s="1" t="s">
        <v>4811</v>
      </c>
      <c r="K888" s="1" t="s">
        <v>4812</v>
      </c>
      <c r="L888" s="1" t="s">
        <v>2226</v>
      </c>
      <c r="M888" s="1" t="s">
        <v>718</v>
      </c>
    </row>
    <row r="889" customFormat="false" ht="15" hidden="false" customHeight="false" outlineLevel="0" collapsed="false">
      <c r="A889" s="1" t="s">
        <v>4813</v>
      </c>
      <c r="B889" s="1" t="s">
        <v>4814</v>
      </c>
      <c r="C889" s="1" t="s">
        <v>4815</v>
      </c>
      <c r="D889" s="2" t="n">
        <v>34989</v>
      </c>
      <c r="E889" s="1" t="s">
        <v>710</v>
      </c>
      <c r="F889" s="1" t="s">
        <v>711</v>
      </c>
      <c r="G889" s="1" t="s">
        <v>712</v>
      </c>
      <c r="H889" s="1" t="s">
        <v>713</v>
      </c>
      <c r="I889" s="1" t="s">
        <v>714</v>
      </c>
      <c r="J889" s="1" t="s">
        <v>805</v>
      </c>
      <c r="K889" s="1" t="s">
        <v>4816</v>
      </c>
      <c r="L889" s="1" t="s">
        <v>4817</v>
      </c>
      <c r="M889" s="1" t="s">
        <v>718</v>
      </c>
    </row>
    <row r="890" customFormat="false" ht="15" hidden="false" customHeight="false" outlineLevel="0" collapsed="false">
      <c r="A890" s="1" t="s">
        <v>4818</v>
      </c>
      <c r="B890" s="1" t="s">
        <v>4819</v>
      </c>
      <c r="C890" s="1" t="s">
        <v>1455</v>
      </c>
      <c r="D890" s="2" t="n">
        <v>34910</v>
      </c>
      <c r="E890" s="1" t="s">
        <v>710</v>
      </c>
      <c r="F890" s="1" t="s">
        <v>711</v>
      </c>
      <c r="G890" s="1" t="s">
        <v>722</v>
      </c>
      <c r="H890" s="1" t="s">
        <v>713</v>
      </c>
      <c r="I890" s="1" t="s">
        <v>714</v>
      </c>
      <c r="J890" s="1" t="s">
        <v>2117</v>
      </c>
      <c r="K890" s="1" t="s">
        <v>4820</v>
      </c>
      <c r="L890" s="1" t="s">
        <v>1162</v>
      </c>
      <c r="M890" s="1" t="s">
        <v>718</v>
      </c>
    </row>
    <row r="891" customFormat="false" ht="15" hidden="false" customHeight="false" outlineLevel="0" collapsed="false">
      <c r="A891" s="1" t="s">
        <v>4821</v>
      </c>
      <c r="B891" s="1" t="s">
        <v>4822</v>
      </c>
      <c r="C891" s="1" t="s">
        <v>3656</v>
      </c>
      <c r="D891" s="2" t="n">
        <v>34965</v>
      </c>
      <c r="E891" s="1" t="s">
        <v>710</v>
      </c>
      <c r="F891" s="1" t="s">
        <v>711</v>
      </c>
      <c r="G891" s="1" t="s">
        <v>712</v>
      </c>
      <c r="H891" s="1" t="s">
        <v>713</v>
      </c>
      <c r="I891" s="1" t="s">
        <v>714</v>
      </c>
      <c r="J891" s="1" t="s">
        <v>4823</v>
      </c>
      <c r="K891" s="1" t="s">
        <v>4824</v>
      </c>
      <c r="L891" s="1" t="s">
        <v>4825</v>
      </c>
      <c r="M891" s="1" t="s">
        <v>718</v>
      </c>
    </row>
    <row r="892" customFormat="false" ht="15" hidden="false" customHeight="false" outlineLevel="0" collapsed="false">
      <c r="A892" s="1" t="s">
        <v>4826</v>
      </c>
      <c r="B892" s="1" t="s">
        <v>4827</v>
      </c>
      <c r="C892" s="1" t="s">
        <v>4828</v>
      </c>
      <c r="D892" s="2" t="n">
        <v>34551</v>
      </c>
      <c r="E892" s="1" t="s">
        <v>710</v>
      </c>
      <c r="F892" s="1" t="s">
        <v>711</v>
      </c>
      <c r="G892" s="1" t="s">
        <v>722</v>
      </c>
      <c r="H892" s="1" t="s">
        <v>713</v>
      </c>
      <c r="I892" s="1" t="s">
        <v>714</v>
      </c>
      <c r="J892" s="1" t="s">
        <v>4829</v>
      </c>
      <c r="K892" s="1" t="s">
        <v>4830</v>
      </c>
      <c r="L892" s="1" t="s">
        <v>4831</v>
      </c>
      <c r="M892" s="1" t="s">
        <v>718</v>
      </c>
    </row>
    <row r="893" customFormat="false" ht="15" hidden="false" customHeight="false" outlineLevel="0" collapsed="false">
      <c r="A893" s="1" t="s">
        <v>4832</v>
      </c>
      <c r="B893" s="1" t="s">
        <v>4833</v>
      </c>
      <c r="C893" s="1" t="s">
        <v>4834</v>
      </c>
      <c r="D893" s="2" t="n">
        <v>34926</v>
      </c>
      <c r="E893" s="1" t="s">
        <v>763</v>
      </c>
      <c r="F893" s="1" t="s">
        <v>711</v>
      </c>
      <c r="G893" s="1" t="s">
        <v>722</v>
      </c>
      <c r="H893" s="1" t="s">
        <v>713</v>
      </c>
      <c r="I893" s="1" t="s">
        <v>714</v>
      </c>
      <c r="J893" s="1" t="s">
        <v>821</v>
      </c>
      <c r="K893" s="1" t="s">
        <v>4835</v>
      </c>
      <c r="L893" s="1" t="s">
        <v>4836</v>
      </c>
      <c r="M893" s="1" t="s">
        <v>718</v>
      </c>
    </row>
    <row r="894" customFormat="false" ht="15" hidden="false" customHeight="false" outlineLevel="0" collapsed="false">
      <c r="A894" s="1" t="s">
        <v>4837</v>
      </c>
      <c r="B894" s="1" t="s">
        <v>4838</v>
      </c>
      <c r="C894" s="1" t="s">
        <v>4839</v>
      </c>
      <c r="D894" s="2" t="n">
        <v>34740</v>
      </c>
      <c r="E894" s="1" t="s">
        <v>763</v>
      </c>
      <c r="F894" s="1" t="s">
        <v>711</v>
      </c>
      <c r="G894" s="1" t="s">
        <v>722</v>
      </c>
      <c r="H894" s="1" t="s">
        <v>713</v>
      </c>
      <c r="I894" s="1" t="s">
        <v>714</v>
      </c>
      <c r="J894" s="1" t="s">
        <v>978</v>
      </c>
      <c r="K894" s="1" t="s">
        <v>4840</v>
      </c>
      <c r="L894" s="1" t="s">
        <v>4841</v>
      </c>
      <c r="M894" s="1" t="s">
        <v>718</v>
      </c>
    </row>
    <row r="895" customFormat="false" ht="15" hidden="false" customHeight="false" outlineLevel="0" collapsed="false">
      <c r="A895" s="1" t="s">
        <v>4842</v>
      </c>
      <c r="B895" s="1" t="s">
        <v>4843</v>
      </c>
      <c r="C895" s="1" t="s">
        <v>4844</v>
      </c>
      <c r="D895" s="2" t="n">
        <v>34906</v>
      </c>
      <c r="E895" s="1" t="s">
        <v>763</v>
      </c>
      <c r="F895" s="1" t="s">
        <v>711</v>
      </c>
      <c r="G895" s="1" t="s">
        <v>722</v>
      </c>
      <c r="H895" s="1" t="s">
        <v>713</v>
      </c>
      <c r="I895" s="1" t="s">
        <v>714</v>
      </c>
      <c r="J895" s="1" t="s">
        <v>4845</v>
      </c>
      <c r="K895" s="1" t="s">
        <v>716</v>
      </c>
      <c r="L895" s="1" t="s">
        <v>4846</v>
      </c>
      <c r="M895" s="1" t="s">
        <v>718</v>
      </c>
    </row>
    <row r="896" customFormat="false" ht="15" hidden="false" customHeight="false" outlineLevel="0" collapsed="false">
      <c r="A896" s="1" t="s">
        <v>4847</v>
      </c>
      <c r="B896" s="1" t="s">
        <v>4848</v>
      </c>
      <c r="C896" s="1" t="s">
        <v>4844</v>
      </c>
      <c r="D896" s="2" t="n">
        <v>34557</v>
      </c>
      <c r="E896" s="1" t="s">
        <v>763</v>
      </c>
      <c r="F896" s="1" t="s">
        <v>711</v>
      </c>
      <c r="G896" s="1" t="s">
        <v>722</v>
      </c>
      <c r="H896" s="1" t="s">
        <v>713</v>
      </c>
      <c r="I896" s="1" t="s">
        <v>714</v>
      </c>
      <c r="J896" s="1" t="s">
        <v>4849</v>
      </c>
      <c r="K896" s="1" t="s">
        <v>4850</v>
      </c>
      <c r="L896" s="1" t="s">
        <v>4846</v>
      </c>
      <c r="M896" s="1" t="s">
        <v>718</v>
      </c>
    </row>
    <row r="897" customFormat="false" ht="15" hidden="false" customHeight="false" outlineLevel="0" collapsed="false">
      <c r="A897" s="1" t="s">
        <v>4851</v>
      </c>
      <c r="B897" s="1" t="s">
        <v>4852</v>
      </c>
      <c r="C897" s="1" t="s">
        <v>4853</v>
      </c>
      <c r="D897" s="2" t="n">
        <v>34695</v>
      </c>
      <c r="E897" s="1" t="s">
        <v>763</v>
      </c>
      <c r="F897" s="1" t="s">
        <v>711</v>
      </c>
      <c r="G897" s="1" t="s">
        <v>722</v>
      </c>
      <c r="H897" s="1" t="s">
        <v>713</v>
      </c>
      <c r="I897" s="1" t="s">
        <v>714</v>
      </c>
      <c r="J897" s="1" t="s">
        <v>1244</v>
      </c>
      <c r="K897" s="1" t="s">
        <v>4854</v>
      </c>
      <c r="L897" s="1" t="s">
        <v>4855</v>
      </c>
      <c r="M897" s="1" t="s">
        <v>718</v>
      </c>
    </row>
    <row r="898" customFormat="false" ht="15" hidden="false" customHeight="false" outlineLevel="0" collapsed="false">
      <c r="A898" s="1" t="s">
        <v>4856</v>
      </c>
      <c r="B898" s="1" t="s">
        <v>4857</v>
      </c>
      <c r="C898" s="1" t="s">
        <v>3457</v>
      </c>
      <c r="D898" s="2" t="n">
        <v>34796</v>
      </c>
      <c r="E898" s="1" t="s">
        <v>710</v>
      </c>
      <c r="F898" s="1" t="s">
        <v>711</v>
      </c>
      <c r="G898" s="1" t="s">
        <v>722</v>
      </c>
      <c r="H898" s="1" t="s">
        <v>713</v>
      </c>
      <c r="I898" s="1" t="s">
        <v>714</v>
      </c>
      <c r="J898" s="1" t="s">
        <v>2041</v>
      </c>
      <c r="K898" s="1" t="s">
        <v>4858</v>
      </c>
      <c r="L898" s="1" t="s">
        <v>4859</v>
      </c>
      <c r="M898" s="1" t="s">
        <v>718</v>
      </c>
    </row>
    <row r="899" customFormat="false" ht="15" hidden="false" customHeight="false" outlineLevel="0" collapsed="false">
      <c r="A899" s="1" t="s">
        <v>4860</v>
      </c>
      <c r="B899" s="1" t="s">
        <v>4861</v>
      </c>
      <c r="C899" s="1" t="s">
        <v>1225</v>
      </c>
      <c r="D899" s="2" t="n">
        <v>34859</v>
      </c>
      <c r="E899" s="1" t="s">
        <v>710</v>
      </c>
      <c r="F899" s="1" t="s">
        <v>711</v>
      </c>
      <c r="G899" s="1" t="s">
        <v>712</v>
      </c>
      <c r="H899" s="1" t="s">
        <v>713</v>
      </c>
      <c r="I899" s="1" t="s">
        <v>714</v>
      </c>
      <c r="J899" s="1" t="s">
        <v>715</v>
      </c>
      <c r="K899" s="1" t="s">
        <v>4862</v>
      </c>
      <c r="L899" s="1" t="s">
        <v>4863</v>
      </c>
      <c r="M899" s="1" t="s">
        <v>718</v>
      </c>
    </row>
    <row r="900" customFormat="false" ht="15" hidden="false" customHeight="false" outlineLevel="0" collapsed="false">
      <c r="A900" s="1" t="s">
        <v>4864</v>
      </c>
      <c r="B900" s="1" t="s">
        <v>4865</v>
      </c>
      <c r="C900" s="1" t="s">
        <v>4765</v>
      </c>
      <c r="D900" s="2" t="n">
        <v>34956</v>
      </c>
      <c r="E900" s="1" t="s">
        <v>763</v>
      </c>
      <c r="F900" s="1" t="s">
        <v>711</v>
      </c>
      <c r="G900" s="1" t="s">
        <v>712</v>
      </c>
      <c r="H900" s="1" t="s">
        <v>713</v>
      </c>
      <c r="I900" s="1" t="s">
        <v>714</v>
      </c>
      <c r="J900" s="1" t="s">
        <v>716</v>
      </c>
      <c r="K900" s="1" t="s">
        <v>4866</v>
      </c>
      <c r="L900" s="1" t="s">
        <v>4867</v>
      </c>
      <c r="M900" s="1" t="s">
        <v>718</v>
      </c>
    </row>
    <row r="901" customFormat="false" ht="15" hidden="false" customHeight="false" outlineLevel="0" collapsed="false">
      <c r="A901" s="1" t="s">
        <v>4868</v>
      </c>
      <c r="B901" s="1" t="s">
        <v>4869</v>
      </c>
      <c r="C901" s="1" t="s">
        <v>3200</v>
      </c>
      <c r="D901" s="2" t="n">
        <v>34735</v>
      </c>
      <c r="E901" s="1" t="s">
        <v>763</v>
      </c>
      <c r="F901" s="1" t="s">
        <v>711</v>
      </c>
      <c r="G901" s="1" t="s">
        <v>712</v>
      </c>
      <c r="H901" s="1" t="s">
        <v>713</v>
      </c>
      <c r="I901" s="1" t="s">
        <v>714</v>
      </c>
      <c r="J901" s="1" t="s">
        <v>2041</v>
      </c>
      <c r="K901" s="1" t="s">
        <v>4870</v>
      </c>
      <c r="L901" s="1" t="s">
        <v>4871</v>
      </c>
      <c r="M901" s="1" t="s">
        <v>718</v>
      </c>
    </row>
    <row r="902" customFormat="false" ht="15" hidden="false" customHeight="false" outlineLevel="0" collapsed="false">
      <c r="A902" s="1" t="s">
        <v>4872</v>
      </c>
      <c r="B902" s="1" t="s">
        <v>4873</v>
      </c>
      <c r="C902" s="1" t="s">
        <v>2282</v>
      </c>
      <c r="D902" s="2" t="n">
        <v>34638</v>
      </c>
      <c r="E902" s="1" t="s">
        <v>763</v>
      </c>
      <c r="F902" s="1" t="s">
        <v>711</v>
      </c>
      <c r="G902" s="1" t="s">
        <v>722</v>
      </c>
      <c r="H902" s="1" t="s">
        <v>713</v>
      </c>
      <c r="I902" s="1" t="s">
        <v>714</v>
      </c>
      <c r="J902" s="1" t="s">
        <v>716</v>
      </c>
      <c r="K902" s="1" t="s">
        <v>4874</v>
      </c>
      <c r="L902" s="1" t="s">
        <v>2284</v>
      </c>
      <c r="M902" s="1" t="s">
        <v>718</v>
      </c>
    </row>
    <row r="903" customFormat="false" ht="15" hidden="false" customHeight="false" outlineLevel="0" collapsed="false">
      <c r="A903" s="1" t="s">
        <v>4875</v>
      </c>
      <c r="B903" s="1" t="s">
        <v>4876</v>
      </c>
      <c r="C903" s="1" t="s">
        <v>3695</v>
      </c>
      <c r="D903" s="2" t="n">
        <v>34371</v>
      </c>
      <c r="E903" s="1" t="s">
        <v>763</v>
      </c>
      <c r="F903" s="1" t="s">
        <v>711</v>
      </c>
      <c r="G903" s="1" t="s">
        <v>712</v>
      </c>
      <c r="H903" s="1" t="s">
        <v>713</v>
      </c>
      <c r="I903" s="1" t="s">
        <v>714</v>
      </c>
      <c r="J903" s="1" t="s">
        <v>716</v>
      </c>
      <c r="K903" s="1" t="s">
        <v>4877</v>
      </c>
      <c r="L903" s="1" t="s">
        <v>3697</v>
      </c>
      <c r="M903" s="1" t="s">
        <v>718</v>
      </c>
    </row>
    <row r="904" customFormat="false" ht="15" hidden="false" customHeight="false" outlineLevel="0" collapsed="false">
      <c r="A904" s="1" t="s">
        <v>4878</v>
      </c>
      <c r="B904" s="1" t="s">
        <v>4879</v>
      </c>
      <c r="C904" s="1" t="s">
        <v>1059</v>
      </c>
      <c r="D904" s="2" t="n">
        <v>34633</v>
      </c>
      <c r="E904" s="1" t="s">
        <v>763</v>
      </c>
      <c r="F904" s="1" t="s">
        <v>711</v>
      </c>
      <c r="G904" s="1" t="s">
        <v>722</v>
      </c>
      <c r="H904" s="1" t="s">
        <v>713</v>
      </c>
      <c r="I904" s="1" t="s">
        <v>714</v>
      </c>
      <c r="J904" s="1" t="s">
        <v>1898</v>
      </c>
      <c r="K904" s="1" t="s">
        <v>716</v>
      </c>
      <c r="L904" s="1" t="s">
        <v>4880</v>
      </c>
      <c r="M904" s="1" t="s">
        <v>718</v>
      </c>
    </row>
    <row r="905" customFormat="false" ht="15" hidden="false" customHeight="false" outlineLevel="0" collapsed="false">
      <c r="A905" s="1" t="s">
        <v>4881</v>
      </c>
      <c r="B905" s="1" t="s">
        <v>4882</v>
      </c>
      <c r="C905" s="1" t="s">
        <v>4883</v>
      </c>
      <c r="D905" s="2" t="n">
        <v>34339</v>
      </c>
      <c r="E905" s="1" t="s">
        <v>710</v>
      </c>
      <c r="F905" s="1" t="s">
        <v>711</v>
      </c>
      <c r="G905" s="1" t="s">
        <v>722</v>
      </c>
      <c r="H905" s="1" t="s">
        <v>713</v>
      </c>
      <c r="I905" s="1" t="s">
        <v>714</v>
      </c>
      <c r="J905" s="1" t="s">
        <v>821</v>
      </c>
      <c r="K905" s="1" t="s">
        <v>2448</v>
      </c>
      <c r="L905" s="1" t="s">
        <v>4884</v>
      </c>
      <c r="M905" s="1" t="s">
        <v>718</v>
      </c>
    </row>
    <row r="906" customFormat="false" ht="15" hidden="false" customHeight="false" outlineLevel="0" collapsed="false">
      <c r="A906" s="1" t="s">
        <v>4885</v>
      </c>
      <c r="B906" s="1" t="s">
        <v>4886</v>
      </c>
      <c r="C906" s="1" t="s">
        <v>4887</v>
      </c>
      <c r="D906" s="2" t="n">
        <v>34941</v>
      </c>
      <c r="E906" s="1" t="s">
        <v>710</v>
      </c>
      <c r="F906" s="1" t="s">
        <v>711</v>
      </c>
      <c r="G906" s="1" t="s">
        <v>712</v>
      </c>
      <c r="H906" s="1" t="s">
        <v>713</v>
      </c>
      <c r="I906" s="1" t="s">
        <v>714</v>
      </c>
      <c r="J906" s="1" t="s">
        <v>716</v>
      </c>
      <c r="K906" s="1" t="s">
        <v>4888</v>
      </c>
      <c r="L906" s="1" t="s">
        <v>4889</v>
      </c>
      <c r="M906" s="1" t="s">
        <v>718</v>
      </c>
    </row>
    <row r="907" customFormat="false" ht="15" hidden="false" customHeight="false" outlineLevel="0" collapsed="false">
      <c r="A907" s="1" t="s">
        <v>4890</v>
      </c>
      <c r="B907" s="1" t="s">
        <v>4891</v>
      </c>
      <c r="C907" s="1" t="s">
        <v>1514</v>
      </c>
      <c r="D907" s="2" t="n">
        <v>34850</v>
      </c>
      <c r="E907" s="1" t="s">
        <v>710</v>
      </c>
      <c r="F907" s="1" t="s">
        <v>711</v>
      </c>
      <c r="G907" s="1" t="s">
        <v>722</v>
      </c>
      <c r="H907" s="1" t="s">
        <v>713</v>
      </c>
      <c r="I907" s="1" t="s">
        <v>714</v>
      </c>
      <c r="J907" s="1" t="s">
        <v>1244</v>
      </c>
      <c r="K907" s="1" t="s">
        <v>4892</v>
      </c>
      <c r="L907" s="1" t="s">
        <v>4893</v>
      </c>
      <c r="M907" s="1" t="s">
        <v>718</v>
      </c>
    </row>
    <row r="908" customFormat="false" ht="15" hidden="false" customHeight="false" outlineLevel="0" collapsed="false">
      <c r="A908" s="1" t="s">
        <v>4894</v>
      </c>
      <c r="B908" s="1" t="s">
        <v>4895</v>
      </c>
      <c r="C908" s="1" t="s">
        <v>3700</v>
      </c>
      <c r="D908" s="2" t="n">
        <v>34588</v>
      </c>
      <c r="E908" s="1" t="s">
        <v>763</v>
      </c>
      <c r="F908" s="1" t="s">
        <v>711</v>
      </c>
      <c r="G908" s="1" t="s">
        <v>722</v>
      </c>
      <c r="H908" s="1" t="s">
        <v>713</v>
      </c>
      <c r="I908" s="1" t="s">
        <v>714</v>
      </c>
      <c r="J908" s="1" t="s">
        <v>1244</v>
      </c>
      <c r="K908" s="1" t="s">
        <v>4896</v>
      </c>
      <c r="L908" s="1" t="s">
        <v>4897</v>
      </c>
      <c r="M908" s="1" t="s">
        <v>718</v>
      </c>
    </row>
    <row r="909" customFormat="false" ht="15" hidden="false" customHeight="false" outlineLevel="0" collapsed="false">
      <c r="A909" s="1" t="s">
        <v>4898</v>
      </c>
      <c r="B909" s="1" t="s">
        <v>4899</v>
      </c>
      <c r="C909" s="1" t="s">
        <v>2127</v>
      </c>
      <c r="D909" s="2" t="n">
        <v>34256</v>
      </c>
      <c r="E909" s="1" t="s">
        <v>763</v>
      </c>
      <c r="F909" s="1" t="s">
        <v>711</v>
      </c>
      <c r="G909" s="1" t="s">
        <v>722</v>
      </c>
      <c r="H909" s="1" t="s">
        <v>713</v>
      </c>
      <c r="I909" s="1" t="s">
        <v>714</v>
      </c>
      <c r="J909" s="1" t="s">
        <v>2627</v>
      </c>
      <c r="K909" s="1" t="s">
        <v>716</v>
      </c>
      <c r="L909" s="1" t="s">
        <v>2130</v>
      </c>
      <c r="M909" s="1" t="s">
        <v>718</v>
      </c>
    </row>
    <row r="910" customFormat="false" ht="15" hidden="false" customHeight="false" outlineLevel="0" collapsed="false">
      <c r="A910" s="1" t="s">
        <v>4900</v>
      </c>
      <c r="B910" s="1" t="s">
        <v>2228</v>
      </c>
      <c r="C910" s="1" t="s">
        <v>3828</v>
      </c>
      <c r="D910" s="2" t="n">
        <v>34924</v>
      </c>
      <c r="E910" s="1" t="s">
        <v>710</v>
      </c>
      <c r="F910" s="1" t="s">
        <v>711</v>
      </c>
      <c r="G910" s="1" t="s">
        <v>722</v>
      </c>
      <c r="H910" s="1" t="s">
        <v>713</v>
      </c>
      <c r="I910" s="1" t="s">
        <v>714</v>
      </c>
      <c r="J910" s="1" t="s">
        <v>1390</v>
      </c>
      <c r="K910" s="1" t="s">
        <v>4901</v>
      </c>
      <c r="L910" s="1" t="s">
        <v>3831</v>
      </c>
      <c r="M910" s="1" t="s">
        <v>718</v>
      </c>
    </row>
    <row r="911" customFormat="false" ht="15" hidden="false" customHeight="false" outlineLevel="0" collapsed="false">
      <c r="A911" s="1" t="s">
        <v>4902</v>
      </c>
      <c r="B911" s="1" t="s">
        <v>4903</v>
      </c>
      <c r="C911" s="1" t="s">
        <v>1455</v>
      </c>
      <c r="D911" s="2" t="n">
        <v>34902</v>
      </c>
      <c r="E911" s="1" t="s">
        <v>710</v>
      </c>
      <c r="F911" s="1" t="s">
        <v>711</v>
      </c>
      <c r="G911" s="1" t="s">
        <v>722</v>
      </c>
      <c r="H911" s="1" t="s">
        <v>713</v>
      </c>
      <c r="I911" s="1" t="s">
        <v>714</v>
      </c>
      <c r="J911" s="1" t="s">
        <v>1390</v>
      </c>
      <c r="K911" s="1" t="s">
        <v>716</v>
      </c>
      <c r="L911" s="1" t="s">
        <v>4904</v>
      </c>
      <c r="M911" s="1" t="s">
        <v>718</v>
      </c>
    </row>
    <row r="912" customFormat="false" ht="15" hidden="false" customHeight="false" outlineLevel="0" collapsed="false">
      <c r="A912" s="1" t="s">
        <v>4905</v>
      </c>
      <c r="B912" s="1" t="s">
        <v>4906</v>
      </c>
      <c r="C912" s="1" t="s">
        <v>4907</v>
      </c>
      <c r="D912" s="2" t="n">
        <v>35084</v>
      </c>
      <c r="E912" s="1" t="s">
        <v>710</v>
      </c>
      <c r="F912" s="1" t="s">
        <v>711</v>
      </c>
      <c r="G912" s="1" t="s">
        <v>712</v>
      </c>
      <c r="H912" s="1" t="s">
        <v>713</v>
      </c>
      <c r="I912" s="1" t="s">
        <v>714</v>
      </c>
      <c r="J912" s="1" t="s">
        <v>1172</v>
      </c>
      <c r="K912" s="1" t="s">
        <v>4908</v>
      </c>
      <c r="L912" s="1" t="s">
        <v>4909</v>
      </c>
      <c r="M912" s="1" t="s">
        <v>718</v>
      </c>
    </row>
    <row r="913" customFormat="false" ht="15" hidden="false" customHeight="false" outlineLevel="0" collapsed="false">
      <c r="A913" s="1" t="s">
        <v>4910</v>
      </c>
      <c r="B913" s="1" t="s">
        <v>4911</v>
      </c>
      <c r="C913" s="1" t="s">
        <v>1845</v>
      </c>
      <c r="D913" s="2" t="n">
        <v>35105</v>
      </c>
      <c r="E913" s="1" t="s">
        <v>710</v>
      </c>
      <c r="F913" s="1" t="s">
        <v>711</v>
      </c>
      <c r="G913" s="1" t="s">
        <v>722</v>
      </c>
      <c r="H913" s="1" t="s">
        <v>713</v>
      </c>
      <c r="I913" s="1" t="s">
        <v>714</v>
      </c>
      <c r="J913" s="1" t="s">
        <v>715</v>
      </c>
      <c r="K913" s="1" t="s">
        <v>4912</v>
      </c>
      <c r="L913" s="1" t="s">
        <v>4913</v>
      </c>
      <c r="M913" s="1" t="s">
        <v>718</v>
      </c>
    </row>
    <row r="914" customFormat="false" ht="15" hidden="false" customHeight="false" outlineLevel="0" collapsed="false">
      <c r="A914" s="1" t="s">
        <v>4914</v>
      </c>
      <c r="B914" s="1" t="s">
        <v>4915</v>
      </c>
      <c r="C914" s="1" t="s">
        <v>4916</v>
      </c>
      <c r="D914" s="2" t="n">
        <v>35090</v>
      </c>
      <c r="E914" s="1" t="s">
        <v>763</v>
      </c>
      <c r="F914" s="1" t="s">
        <v>711</v>
      </c>
      <c r="G914" s="1" t="s">
        <v>722</v>
      </c>
      <c r="H914" s="1" t="s">
        <v>713</v>
      </c>
      <c r="I914" s="1" t="s">
        <v>714</v>
      </c>
      <c r="J914" s="1" t="s">
        <v>2068</v>
      </c>
      <c r="K914" s="1" t="s">
        <v>4917</v>
      </c>
      <c r="L914" s="1" t="s">
        <v>4918</v>
      </c>
      <c r="M914" s="1" t="s">
        <v>718</v>
      </c>
    </row>
    <row r="915" customFormat="false" ht="15" hidden="false" customHeight="false" outlineLevel="0" collapsed="false">
      <c r="A915" s="1" t="s">
        <v>4919</v>
      </c>
      <c r="B915" s="1" t="s">
        <v>4920</v>
      </c>
      <c r="C915" s="1" t="s">
        <v>3870</v>
      </c>
      <c r="D915" s="2" t="n">
        <v>35710</v>
      </c>
      <c r="E915" s="1" t="s">
        <v>710</v>
      </c>
      <c r="F915" s="1" t="s">
        <v>711</v>
      </c>
      <c r="G915" s="1" t="s">
        <v>722</v>
      </c>
      <c r="H915" s="1" t="s">
        <v>713</v>
      </c>
      <c r="I915" s="1" t="s">
        <v>714</v>
      </c>
      <c r="J915" s="1" t="s">
        <v>4921</v>
      </c>
      <c r="K915" s="1" t="s">
        <v>4922</v>
      </c>
      <c r="L915" s="1" t="s">
        <v>3872</v>
      </c>
      <c r="M915" s="1" t="s">
        <v>718</v>
      </c>
    </row>
    <row r="916" customFormat="false" ht="15" hidden="false" customHeight="false" outlineLevel="0" collapsed="false">
      <c r="A916" s="1" t="s">
        <v>4923</v>
      </c>
      <c r="B916" s="1" t="s">
        <v>4924</v>
      </c>
      <c r="C916" s="1" t="s">
        <v>4925</v>
      </c>
      <c r="D916" s="2" t="n">
        <v>35786</v>
      </c>
      <c r="E916" s="1" t="s">
        <v>710</v>
      </c>
      <c r="F916" s="1" t="s">
        <v>711</v>
      </c>
      <c r="G916" s="1" t="s">
        <v>712</v>
      </c>
      <c r="H916" s="1" t="s">
        <v>713</v>
      </c>
      <c r="I916" s="1" t="s">
        <v>714</v>
      </c>
      <c r="J916" s="1" t="s">
        <v>1172</v>
      </c>
      <c r="K916" s="1" t="s">
        <v>716</v>
      </c>
      <c r="L916" s="1" t="s">
        <v>4926</v>
      </c>
      <c r="M916" s="1" t="s">
        <v>718</v>
      </c>
    </row>
    <row r="917" customFormat="false" ht="15" hidden="false" customHeight="false" outlineLevel="0" collapsed="false">
      <c r="A917" s="1" t="s">
        <v>4927</v>
      </c>
      <c r="B917" s="1" t="s">
        <v>4928</v>
      </c>
      <c r="C917" s="1" t="s">
        <v>4929</v>
      </c>
      <c r="D917" s="2" t="n">
        <v>35847</v>
      </c>
      <c r="E917" s="1" t="s">
        <v>710</v>
      </c>
      <c r="F917" s="1" t="s">
        <v>711</v>
      </c>
      <c r="G917" s="1" t="s">
        <v>722</v>
      </c>
      <c r="H917" s="1" t="s">
        <v>713</v>
      </c>
      <c r="I917" s="1" t="s">
        <v>714</v>
      </c>
      <c r="J917" s="1" t="s">
        <v>1172</v>
      </c>
      <c r="K917" s="1" t="s">
        <v>4930</v>
      </c>
      <c r="L917" s="1" t="s">
        <v>4931</v>
      </c>
      <c r="M917" s="1" t="s">
        <v>718</v>
      </c>
    </row>
    <row r="918" customFormat="false" ht="15" hidden="false" customHeight="false" outlineLevel="0" collapsed="false">
      <c r="A918" s="1" t="s">
        <v>4932</v>
      </c>
      <c r="B918" s="1" t="s">
        <v>4933</v>
      </c>
      <c r="C918" s="1" t="s">
        <v>4934</v>
      </c>
      <c r="D918" s="2" t="n">
        <v>35826</v>
      </c>
      <c r="E918" s="1" t="s">
        <v>763</v>
      </c>
      <c r="F918" s="1" t="s">
        <v>711</v>
      </c>
      <c r="G918" s="1" t="s">
        <v>722</v>
      </c>
      <c r="H918" s="1" t="s">
        <v>713</v>
      </c>
      <c r="I918" s="1" t="s">
        <v>714</v>
      </c>
      <c r="J918" s="1" t="s">
        <v>4681</v>
      </c>
      <c r="K918" s="1" t="s">
        <v>4935</v>
      </c>
      <c r="L918" s="1" t="s">
        <v>4936</v>
      </c>
      <c r="M918" s="1" t="s">
        <v>718</v>
      </c>
    </row>
    <row r="919" customFormat="false" ht="15" hidden="false" customHeight="false" outlineLevel="0" collapsed="false">
      <c r="A919" s="1" t="s">
        <v>4937</v>
      </c>
      <c r="B919" s="1" t="s">
        <v>4938</v>
      </c>
      <c r="C919" s="1" t="s">
        <v>4939</v>
      </c>
      <c r="D919" s="2" t="n">
        <v>35817</v>
      </c>
      <c r="E919" s="1" t="s">
        <v>763</v>
      </c>
      <c r="F919" s="1" t="s">
        <v>711</v>
      </c>
      <c r="G919" s="1" t="s">
        <v>712</v>
      </c>
      <c r="H919" s="1" t="s">
        <v>713</v>
      </c>
      <c r="I919" s="1" t="s">
        <v>714</v>
      </c>
      <c r="J919" s="1" t="s">
        <v>4940</v>
      </c>
      <c r="K919" s="1" t="s">
        <v>4941</v>
      </c>
      <c r="L919" s="1" t="s">
        <v>4942</v>
      </c>
      <c r="M919" s="1" t="s">
        <v>718</v>
      </c>
    </row>
    <row r="920" customFormat="false" ht="15" hidden="false" customHeight="false" outlineLevel="0" collapsed="false">
      <c r="A920" s="1" t="s">
        <v>4943</v>
      </c>
      <c r="B920" s="1" t="s">
        <v>4944</v>
      </c>
      <c r="C920" s="1" t="s">
        <v>4945</v>
      </c>
      <c r="D920" s="2" t="n">
        <v>35936</v>
      </c>
      <c r="E920" s="1" t="s">
        <v>763</v>
      </c>
      <c r="F920" s="1" t="s">
        <v>711</v>
      </c>
      <c r="G920" s="1" t="s">
        <v>722</v>
      </c>
      <c r="H920" s="1" t="s">
        <v>713</v>
      </c>
      <c r="I920" s="1" t="s">
        <v>714</v>
      </c>
      <c r="J920" s="1" t="s">
        <v>2036</v>
      </c>
      <c r="K920" s="1" t="s">
        <v>4946</v>
      </c>
      <c r="L920" s="1" t="s">
        <v>4947</v>
      </c>
      <c r="M920" s="1" t="s">
        <v>718</v>
      </c>
    </row>
    <row r="921" customFormat="false" ht="15" hidden="false" customHeight="false" outlineLevel="0" collapsed="false">
      <c r="A921" s="1" t="s">
        <v>4948</v>
      </c>
      <c r="B921" s="1" t="s">
        <v>4949</v>
      </c>
      <c r="C921" s="1" t="s">
        <v>1889</v>
      </c>
      <c r="D921" s="2" t="n">
        <v>35725</v>
      </c>
      <c r="E921" s="1" t="s">
        <v>763</v>
      </c>
      <c r="F921" s="1" t="s">
        <v>711</v>
      </c>
      <c r="G921" s="1" t="s">
        <v>712</v>
      </c>
      <c r="H921" s="1" t="s">
        <v>713</v>
      </c>
      <c r="I921" s="1" t="s">
        <v>714</v>
      </c>
      <c r="J921" s="1" t="s">
        <v>4471</v>
      </c>
      <c r="K921" s="1" t="s">
        <v>4950</v>
      </c>
      <c r="L921" s="1" t="s">
        <v>4951</v>
      </c>
      <c r="M921" s="1" t="s">
        <v>718</v>
      </c>
    </row>
    <row r="922" customFormat="false" ht="15" hidden="false" customHeight="false" outlineLevel="0" collapsed="false">
      <c r="A922" s="1" t="s">
        <v>4952</v>
      </c>
      <c r="B922" s="1" t="s">
        <v>4953</v>
      </c>
      <c r="C922" s="1" t="s">
        <v>4954</v>
      </c>
      <c r="D922" s="2" t="n">
        <v>35850</v>
      </c>
      <c r="E922" s="1" t="s">
        <v>710</v>
      </c>
      <c r="F922" s="1" t="s">
        <v>711</v>
      </c>
      <c r="G922" s="1" t="s">
        <v>712</v>
      </c>
      <c r="H922" s="1" t="s">
        <v>713</v>
      </c>
      <c r="I922" s="1" t="s">
        <v>714</v>
      </c>
      <c r="J922" s="1" t="s">
        <v>715</v>
      </c>
      <c r="K922" s="1" t="s">
        <v>4955</v>
      </c>
      <c r="L922" s="1" t="s">
        <v>4956</v>
      </c>
      <c r="M922" s="1" t="s">
        <v>718</v>
      </c>
    </row>
    <row r="923" customFormat="false" ht="15" hidden="false" customHeight="false" outlineLevel="0" collapsed="false">
      <c r="A923" s="1" t="s">
        <v>4957</v>
      </c>
      <c r="B923" s="1" t="s">
        <v>4958</v>
      </c>
      <c r="C923" s="1" t="s">
        <v>1810</v>
      </c>
      <c r="D923" s="2" t="n">
        <v>35354</v>
      </c>
      <c r="E923" s="1" t="s">
        <v>763</v>
      </c>
      <c r="F923" s="1" t="s">
        <v>711</v>
      </c>
      <c r="G923" s="1" t="s">
        <v>712</v>
      </c>
      <c r="H923" s="1" t="s">
        <v>713</v>
      </c>
      <c r="I923" s="1" t="s">
        <v>714</v>
      </c>
      <c r="J923" s="1" t="s">
        <v>3135</v>
      </c>
      <c r="K923" s="1" t="s">
        <v>4959</v>
      </c>
      <c r="L923" s="1" t="s">
        <v>4960</v>
      </c>
      <c r="M923" s="1" t="s">
        <v>718</v>
      </c>
    </row>
    <row r="924" customFormat="false" ht="15" hidden="false" customHeight="false" outlineLevel="0" collapsed="false">
      <c r="A924" s="1" t="s">
        <v>4961</v>
      </c>
      <c r="B924" s="1" t="s">
        <v>4962</v>
      </c>
      <c r="C924" s="1" t="s">
        <v>3022</v>
      </c>
      <c r="D924" s="2" t="n">
        <v>35688</v>
      </c>
      <c r="E924" s="1" t="s">
        <v>710</v>
      </c>
      <c r="F924" s="1" t="s">
        <v>711</v>
      </c>
      <c r="G924" s="1" t="s">
        <v>712</v>
      </c>
      <c r="H924" s="1" t="s">
        <v>713</v>
      </c>
      <c r="I924" s="1" t="s">
        <v>714</v>
      </c>
      <c r="J924" s="1" t="s">
        <v>715</v>
      </c>
      <c r="K924" s="1" t="s">
        <v>4963</v>
      </c>
      <c r="L924" s="1" t="s">
        <v>3024</v>
      </c>
      <c r="M924" s="1" t="s">
        <v>718</v>
      </c>
    </row>
    <row r="925" customFormat="false" ht="15" hidden="false" customHeight="false" outlineLevel="0" collapsed="false">
      <c r="A925" s="1" t="s">
        <v>4964</v>
      </c>
      <c r="B925" s="1" t="s">
        <v>4965</v>
      </c>
      <c r="C925" s="1" t="s">
        <v>1234</v>
      </c>
      <c r="D925" s="2" t="n">
        <v>35864</v>
      </c>
      <c r="E925" s="1" t="s">
        <v>710</v>
      </c>
      <c r="F925" s="1" t="s">
        <v>711</v>
      </c>
      <c r="G925" s="1" t="s">
        <v>712</v>
      </c>
      <c r="H925" s="1" t="s">
        <v>713</v>
      </c>
      <c r="I925" s="1" t="s">
        <v>714</v>
      </c>
      <c r="J925" s="1" t="s">
        <v>4966</v>
      </c>
      <c r="K925" s="1" t="s">
        <v>4967</v>
      </c>
      <c r="L925" s="1" t="s">
        <v>4968</v>
      </c>
      <c r="M925" s="1" t="s">
        <v>718</v>
      </c>
    </row>
    <row r="926" customFormat="false" ht="15" hidden="false" customHeight="false" outlineLevel="0" collapsed="false">
      <c r="A926" s="1" t="s">
        <v>4969</v>
      </c>
      <c r="B926" s="1" t="s">
        <v>4970</v>
      </c>
      <c r="C926" s="1" t="s">
        <v>4971</v>
      </c>
      <c r="D926" s="2" t="n">
        <v>35622</v>
      </c>
      <c r="E926" s="1" t="s">
        <v>710</v>
      </c>
      <c r="F926" s="1" t="s">
        <v>711</v>
      </c>
      <c r="G926" s="1" t="s">
        <v>722</v>
      </c>
      <c r="H926" s="1" t="s">
        <v>713</v>
      </c>
      <c r="I926" s="1" t="s">
        <v>714</v>
      </c>
      <c r="J926" s="1" t="s">
        <v>4618</v>
      </c>
      <c r="K926" s="1" t="s">
        <v>4972</v>
      </c>
      <c r="L926" s="1" t="s">
        <v>4973</v>
      </c>
      <c r="M926" s="1" t="s">
        <v>718</v>
      </c>
    </row>
    <row r="927" customFormat="false" ht="15" hidden="false" customHeight="false" outlineLevel="0" collapsed="false">
      <c r="A927" s="1" t="s">
        <v>4974</v>
      </c>
      <c r="B927" s="1" t="s">
        <v>4975</v>
      </c>
      <c r="C927" s="1" t="s">
        <v>4976</v>
      </c>
      <c r="D927" s="2" t="n">
        <v>35703</v>
      </c>
      <c r="E927" s="1" t="s">
        <v>763</v>
      </c>
      <c r="F927" s="1" t="s">
        <v>711</v>
      </c>
      <c r="G927" s="1" t="s">
        <v>712</v>
      </c>
      <c r="H927" s="1" t="s">
        <v>713</v>
      </c>
      <c r="I927" s="1" t="s">
        <v>714</v>
      </c>
      <c r="J927" s="1" t="s">
        <v>3365</v>
      </c>
      <c r="K927" s="1" t="s">
        <v>4977</v>
      </c>
      <c r="L927" s="1" t="s">
        <v>4978</v>
      </c>
      <c r="M927" s="1" t="s">
        <v>718</v>
      </c>
    </row>
    <row r="928" customFormat="false" ht="15" hidden="false" customHeight="false" outlineLevel="0" collapsed="false">
      <c r="A928" s="1" t="s">
        <v>4979</v>
      </c>
      <c r="B928" s="1" t="s">
        <v>4879</v>
      </c>
      <c r="C928" s="1" t="s">
        <v>4980</v>
      </c>
      <c r="D928" s="2" t="n">
        <v>35794</v>
      </c>
      <c r="E928" s="1" t="s">
        <v>763</v>
      </c>
      <c r="F928" s="1" t="s">
        <v>711</v>
      </c>
      <c r="G928" s="1" t="s">
        <v>712</v>
      </c>
      <c r="H928" s="1" t="s">
        <v>713</v>
      </c>
      <c r="I928" s="1" t="s">
        <v>714</v>
      </c>
      <c r="J928" s="1" t="s">
        <v>3557</v>
      </c>
      <c r="K928" s="1" t="s">
        <v>4981</v>
      </c>
      <c r="L928" s="1" t="s">
        <v>4982</v>
      </c>
      <c r="M928" s="1" t="s">
        <v>718</v>
      </c>
    </row>
    <row r="929" customFormat="false" ht="15" hidden="false" customHeight="false" outlineLevel="0" collapsed="false">
      <c r="A929" s="1" t="s">
        <v>4983</v>
      </c>
      <c r="B929" s="1" t="s">
        <v>4984</v>
      </c>
      <c r="C929" s="1" t="s">
        <v>4985</v>
      </c>
      <c r="D929" s="2" t="n">
        <v>35267</v>
      </c>
      <c r="E929" s="1" t="s">
        <v>763</v>
      </c>
      <c r="F929" s="1" t="s">
        <v>711</v>
      </c>
      <c r="G929" s="1" t="s">
        <v>712</v>
      </c>
      <c r="H929" s="1" t="s">
        <v>713</v>
      </c>
      <c r="I929" s="1" t="s">
        <v>714</v>
      </c>
      <c r="J929" s="1" t="s">
        <v>4986</v>
      </c>
      <c r="K929" s="1" t="s">
        <v>4987</v>
      </c>
      <c r="L929" s="1" t="s">
        <v>4988</v>
      </c>
      <c r="M929" s="1" t="s">
        <v>718</v>
      </c>
    </row>
    <row r="930" customFormat="false" ht="15" hidden="false" customHeight="false" outlineLevel="0" collapsed="false">
      <c r="A930" s="1" t="s">
        <v>4989</v>
      </c>
      <c r="B930" s="1" t="s">
        <v>4990</v>
      </c>
      <c r="C930" s="1" t="s">
        <v>4991</v>
      </c>
      <c r="D930" s="2" t="n">
        <v>35829</v>
      </c>
      <c r="E930" s="1" t="s">
        <v>763</v>
      </c>
      <c r="F930" s="1" t="s">
        <v>711</v>
      </c>
      <c r="G930" s="1" t="s">
        <v>712</v>
      </c>
      <c r="H930" s="1" t="s">
        <v>713</v>
      </c>
      <c r="I930" s="1" t="s">
        <v>714</v>
      </c>
      <c r="J930" s="1" t="s">
        <v>4129</v>
      </c>
      <c r="K930" s="1" t="s">
        <v>4992</v>
      </c>
      <c r="L930" s="1" t="s">
        <v>4993</v>
      </c>
      <c r="M930" s="1" t="s">
        <v>718</v>
      </c>
    </row>
    <row r="931" customFormat="false" ht="15" hidden="false" customHeight="false" outlineLevel="0" collapsed="false">
      <c r="A931" s="1" t="s">
        <v>4994</v>
      </c>
      <c r="B931" s="1" t="s">
        <v>4995</v>
      </c>
      <c r="C931" s="1" t="s">
        <v>4996</v>
      </c>
      <c r="D931" s="2" t="n">
        <v>35517</v>
      </c>
      <c r="E931" s="1" t="s">
        <v>763</v>
      </c>
      <c r="F931" s="1" t="s">
        <v>711</v>
      </c>
      <c r="G931" s="1" t="s">
        <v>712</v>
      </c>
      <c r="H931" s="1" t="s">
        <v>713</v>
      </c>
      <c r="I931" s="1" t="s">
        <v>714</v>
      </c>
      <c r="J931" s="1" t="s">
        <v>4518</v>
      </c>
      <c r="K931" s="1" t="s">
        <v>716</v>
      </c>
      <c r="L931" s="1" t="s">
        <v>4997</v>
      </c>
      <c r="M931" s="1" t="s">
        <v>718</v>
      </c>
    </row>
    <row r="932" customFormat="false" ht="15" hidden="false" customHeight="false" outlineLevel="0" collapsed="false">
      <c r="A932" s="1" t="s">
        <v>4998</v>
      </c>
      <c r="B932" s="1" t="s">
        <v>4999</v>
      </c>
      <c r="C932" s="1" t="s">
        <v>5000</v>
      </c>
      <c r="D932" s="2" t="n">
        <v>35488</v>
      </c>
      <c r="E932" s="1" t="s">
        <v>710</v>
      </c>
      <c r="F932" s="1" t="s">
        <v>711</v>
      </c>
      <c r="G932" s="1" t="s">
        <v>722</v>
      </c>
      <c r="H932" s="1" t="s">
        <v>713</v>
      </c>
      <c r="I932" s="1" t="s">
        <v>714</v>
      </c>
      <c r="J932" s="1" t="s">
        <v>4151</v>
      </c>
      <c r="K932" s="1" t="s">
        <v>5001</v>
      </c>
      <c r="L932" s="1" t="s">
        <v>5002</v>
      </c>
      <c r="M932" s="1" t="s">
        <v>718</v>
      </c>
    </row>
    <row r="933" customFormat="false" ht="15" hidden="false" customHeight="false" outlineLevel="0" collapsed="false">
      <c r="A933" s="1" t="s">
        <v>5003</v>
      </c>
      <c r="B933" s="1" t="s">
        <v>5004</v>
      </c>
      <c r="C933" s="1" t="s">
        <v>5005</v>
      </c>
      <c r="D933" s="2" t="n">
        <v>35816</v>
      </c>
      <c r="E933" s="1" t="s">
        <v>763</v>
      </c>
      <c r="F933" s="1" t="s">
        <v>711</v>
      </c>
      <c r="G933" s="1" t="s">
        <v>712</v>
      </c>
      <c r="H933" s="1" t="s">
        <v>713</v>
      </c>
      <c r="I933" s="1" t="s">
        <v>714</v>
      </c>
      <c r="J933" s="1" t="s">
        <v>832</v>
      </c>
      <c r="K933" s="1" t="s">
        <v>5006</v>
      </c>
      <c r="L933" s="1" t="s">
        <v>5007</v>
      </c>
      <c r="M933" s="1" t="s">
        <v>718</v>
      </c>
    </row>
    <row r="934" customFormat="false" ht="15" hidden="false" customHeight="false" outlineLevel="0" collapsed="false">
      <c r="A934" s="1" t="s">
        <v>5008</v>
      </c>
      <c r="B934" s="1" t="s">
        <v>5009</v>
      </c>
      <c r="C934" s="1" t="s">
        <v>3191</v>
      </c>
      <c r="D934" s="2" t="n">
        <v>35586</v>
      </c>
      <c r="E934" s="1" t="s">
        <v>710</v>
      </c>
      <c r="F934" s="1" t="s">
        <v>711</v>
      </c>
      <c r="G934" s="1" t="s">
        <v>722</v>
      </c>
      <c r="H934" s="1" t="s">
        <v>713</v>
      </c>
      <c r="I934" s="1" t="s">
        <v>714</v>
      </c>
      <c r="J934" s="1" t="s">
        <v>5010</v>
      </c>
      <c r="K934" s="1" t="s">
        <v>5011</v>
      </c>
      <c r="L934" s="1" t="s">
        <v>5012</v>
      </c>
      <c r="M934" s="1" t="s">
        <v>718</v>
      </c>
    </row>
    <row r="935" customFormat="false" ht="15" hidden="false" customHeight="false" outlineLevel="0" collapsed="false">
      <c r="A935" s="1" t="s">
        <v>5013</v>
      </c>
      <c r="B935" s="1" t="s">
        <v>5014</v>
      </c>
      <c r="C935" s="1" t="s">
        <v>1534</v>
      </c>
      <c r="D935" s="2" t="n">
        <v>35874</v>
      </c>
      <c r="E935" s="1" t="s">
        <v>763</v>
      </c>
      <c r="F935" s="1" t="s">
        <v>711</v>
      </c>
      <c r="G935" s="1" t="s">
        <v>722</v>
      </c>
      <c r="H935" s="1" t="s">
        <v>713</v>
      </c>
      <c r="I935" s="1" t="s">
        <v>714</v>
      </c>
      <c r="J935" s="1" t="s">
        <v>723</v>
      </c>
      <c r="K935" s="1" t="s">
        <v>716</v>
      </c>
      <c r="L935" s="1" t="s">
        <v>1536</v>
      </c>
      <c r="M935" s="1" t="s">
        <v>718</v>
      </c>
    </row>
    <row r="936" customFormat="false" ht="15" hidden="false" customHeight="false" outlineLevel="0" collapsed="false">
      <c r="A936" s="1" t="s">
        <v>5015</v>
      </c>
      <c r="B936" s="1" t="s">
        <v>5016</v>
      </c>
      <c r="C936" s="1" t="s">
        <v>5017</v>
      </c>
      <c r="D936" s="2" t="n">
        <v>35692</v>
      </c>
      <c r="E936" s="1" t="s">
        <v>763</v>
      </c>
      <c r="F936" s="1" t="s">
        <v>711</v>
      </c>
      <c r="G936" s="1" t="s">
        <v>722</v>
      </c>
      <c r="H936" s="1" t="s">
        <v>713</v>
      </c>
      <c r="I936" s="1" t="s">
        <v>714</v>
      </c>
      <c r="J936" s="1" t="s">
        <v>3818</v>
      </c>
      <c r="K936" s="1" t="s">
        <v>716</v>
      </c>
      <c r="L936" s="1" t="s">
        <v>5018</v>
      </c>
      <c r="M936" s="1" t="s">
        <v>718</v>
      </c>
    </row>
    <row r="937" customFormat="false" ht="15" hidden="false" customHeight="false" outlineLevel="0" collapsed="false">
      <c r="A937" s="1" t="s">
        <v>5019</v>
      </c>
      <c r="B937" s="1" t="s">
        <v>5020</v>
      </c>
      <c r="C937" s="1" t="s">
        <v>5021</v>
      </c>
      <c r="D937" s="2" t="n">
        <v>35632</v>
      </c>
      <c r="E937" s="1" t="s">
        <v>710</v>
      </c>
      <c r="F937" s="1" t="s">
        <v>711</v>
      </c>
      <c r="G937" s="1" t="s">
        <v>722</v>
      </c>
      <c r="H937" s="1" t="s">
        <v>713</v>
      </c>
      <c r="I937" s="1" t="s">
        <v>714</v>
      </c>
      <c r="J937" s="1" t="s">
        <v>1451</v>
      </c>
      <c r="K937" s="1" t="s">
        <v>5022</v>
      </c>
      <c r="L937" s="1" t="s">
        <v>5023</v>
      </c>
      <c r="M937" s="1" t="s">
        <v>718</v>
      </c>
    </row>
    <row r="938" customFormat="false" ht="15" hidden="false" customHeight="false" outlineLevel="0" collapsed="false">
      <c r="A938" s="1" t="s">
        <v>5024</v>
      </c>
      <c r="B938" s="1" t="s">
        <v>5025</v>
      </c>
      <c r="C938" s="1" t="s">
        <v>5026</v>
      </c>
      <c r="D938" s="2" t="n">
        <v>35981</v>
      </c>
      <c r="E938" s="1" t="s">
        <v>763</v>
      </c>
      <c r="F938" s="1" t="s">
        <v>711</v>
      </c>
      <c r="G938" s="1" t="s">
        <v>712</v>
      </c>
      <c r="H938" s="1" t="s">
        <v>713</v>
      </c>
      <c r="I938" s="1" t="s">
        <v>714</v>
      </c>
      <c r="J938" s="1" t="s">
        <v>4198</v>
      </c>
      <c r="K938" s="1" t="s">
        <v>716</v>
      </c>
      <c r="L938" s="1" t="s">
        <v>5027</v>
      </c>
      <c r="M938" s="1" t="s">
        <v>718</v>
      </c>
    </row>
    <row r="939" customFormat="false" ht="15" hidden="false" customHeight="false" outlineLevel="0" collapsed="false">
      <c r="A939" s="1" t="s">
        <v>5028</v>
      </c>
      <c r="B939" s="1" t="s">
        <v>5029</v>
      </c>
      <c r="C939" s="1" t="s">
        <v>5030</v>
      </c>
      <c r="D939" s="2" t="n">
        <v>35733</v>
      </c>
      <c r="E939" s="1" t="s">
        <v>710</v>
      </c>
      <c r="F939" s="1" t="s">
        <v>711</v>
      </c>
      <c r="G939" s="1" t="s">
        <v>722</v>
      </c>
      <c r="H939" s="1" t="s">
        <v>713</v>
      </c>
      <c r="I939" s="1" t="s">
        <v>714</v>
      </c>
      <c r="J939" s="1" t="s">
        <v>723</v>
      </c>
      <c r="K939" s="1" t="s">
        <v>5031</v>
      </c>
      <c r="L939" s="1" t="s">
        <v>5032</v>
      </c>
      <c r="M939" s="1" t="s">
        <v>718</v>
      </c>
    </row>
    <row r="940" customFormat="false" ht="15" hidden="false" customHeight="false" outlineLevel="0" collapsed="false">
      <c r="A940" s="1" t="s">
        <v>5033</v>
      </c>
      <c r="B940" s="1" t="s">
        <v>5034</v>
      </c>
      <c r="C940" s="1" t="s">
        <v>5035</v>
      </c>
      <c r="D940" s="2" t="n">
        <v>35479</v>
      </c>
      <c r="E940" s="1" t="s">
        <v>710</v>
      </c>
      <c r="F940" s="1" t="s">
        <v>711</v>
      </c>
      <c r="G940" s="1" t="s">
        <v>712</v>
      </c>
      <c r="H940" s="1" t="s">
        <v>713</v>
      </c>
      <c r="I940" s="1" t="s">
        <v>714</v>
      </c>
      <c r="J940" s="1" t="s">
        <v>4666</v>
      </c>
      <c r="K940" s="1" t="s">
        <v>5036</v>
      </c>
      <c r="L940" s="1" t="s">
        <v>2710</v>
      </c>
      <c r="M940" s="1" t="s">
        <v>718</v>
      </c>
    </row>
    <row r="941" customFormat="false" ht="15" hidden="false" customHeight="false" outlineLevel="0" collapsed="false">
      <c r="A941" s="1" t="s">
        <v>5037</v>
      </c>
      <c r="B941" s="1" t="s">
        <v>4104</v>
      </c>
      <c r="C941" s="1" t="s">
        <v>1139</v>
      </c>
      <c r="D941" s="2" t="n">
        <v>35713</v>
      </c>
      <c r="E941" s="1" t="s">
        <v>763</v>
      </c>
      <c r="F941" s="1" t="s">
        <v>711</v>
      </c>
      <c r="G941" s="1" t="s">
        <v>712</v>
      </c>
      <c r="H941" s="1" t="s">
        <v>713</v>
      </c>
      <c r="I941" s="1" t="s">
        <v>714</v>
      </c>
      <c r="J941" s="1" t="s">
        <v>1296</v>
      </c>
      <c r="K941" s="1" t="s">
        <v>5038</v>
      </c>
      <c r="L941" s="1" t="s">
        <v>2425</v>
      </c>
      <c r="M941" s="1" t="s">
        <v>718</v>
      </c>
    </row>
    <row r="942" customFormat="false" ht="15" hidden="false" customHeight="false" outlineLevel="0" collapsed="false">
      <c r="A942" s="1" t="s">
        <v>5039</v>
      </c>
      <c r="B942" s="1" t="s">
        <v>5040</v>
      </c>
      <c r="C942" s="1" t="s">
        <v>5041</v>
      </c>
      <c r="D942" s="2" t="n">
        <v>36010</v>
      </c>
      <c r="E942" s="1" t="s">
        <v>763</v>
      </c>
      <c r="F942" s="1" t="s">
        <v>711</v>
      </c>
      <c r="G942" s="1" t="s">
        <v>712</v>
      </c>
      <c r="H942" s="1" t="s">
        <v>713</v>
      </c>
      <c r="I942" s="1" t="s">
        <v>714</v>
      </c>
      <c r="J942" s="1" t="s">
        <v>3135</v>
      </c>
      <c r="K942" s="1" t="s">
        <v>5042</v>
      </c>
      <c r="L942" s="1" t="s">
        <v>5043</v>
      </c>
      <c r="M942" s="1" t="s">
        <v>718</v>
      </c>
    </row>
    <row r="943" customFormat="false" ht="15" hidden="false" customHeight="false" outlineLevel="0" collapsed="false">
      <c r="A943" s="1" t="s">
        <v>5044</v>
      </c>
      <c r="B943" s="1" t="s">
        <v>5045</v>
      </c>
      <c r="C943" s="1" t="s">
        <v>3604</v>
      </c>
      <c r="D943" s="2" t="n">
        <v>35570</v>
      </c>
      <c r="E943" s="1" t="s">
        <v>710</v>
      </c>
      <c r="F943" s="1" t="s">
        <v>711</v>
      </c>
      <c r="G943" s="1" t="s">
        <v>712</v>
      </c>
      <c r="H943" s="1" t="s">
        <v>713</v>
      </c>
      <c r="I943" s="1" t="s">
        <v>714</v>
      </c>
      <c r="J943" s="1" t="s">
        <v>4504</v>
      </c>
      <c r="K943" s="1" t="s">
        <v>5046</v>
      </c>
      <c r="L943" s="1" t="s">
        <v>2833</v>
      </c>
      <c r="M943" s="1" t="s">
        <v>718</v>
      </c>
    </row>
    <row r="944" customFormat="false" ht="15" hidden="false" customHeight="false" outlineLevel="0" collapsed="false">
      <c r="A944" s="1" t="s">
        <v>5047</v>
      </c>
      <c r="B944" s="1" t="s">
        <v>5048</v>
      </c>
      <c r="C944" s="1" t="s">
        <v>5049</v>
      </c>
      <c r="D944" s="2" t="n">
        <v>35732</v>
      </c>
      <c r="E944" s="1" t="s">
        <v>710</v>
      </c>
      <c r="F944" s="1" t="s">
        <v>711</v>
      </c>
      <c r="G944" s="1" t="s">
        <v>5050</v>
      </c>
      <c r="H944" s="1" t="s">
        <v>713</v>
      </c>
      <c r="I944" s="1" t="s">
        <v>714</v>
      </c>
      <c r="J944" s="1" t="s">
        <v>5051</v>
      </c>
      <c r="K944" s="1" t="s">
        <v>5052</v>
      </c>
      <c r="L944" s="1" t="s">
        <v>1555</v>
      </c>
      <c r="M944" s="1" t="s">
        <v>718</v>
      </c>
    </row>
    <row r="945" customFormat="false" ht="15" hidden="false" customHeight="false" outlineLevel="0" collapsed="false">
      <c r="A945" s="1" t="s">
        <v>5053</v>
      </c>
      <c r="B945" s="1" t="s">
        <v>5054</v>
      </c>
      <c r="C945" s="1" t="s">
        <v>5055</v>
      </c>
      <c r="D945" s="2" t="n">
        <v>35793</v>
      </c>
      <c r="E945" s="1" t="s">
        <v>763</v>
      </c>
      <c r="F945" s="1" t="s">
        <v>711</v>
      </c>
      <c r="G945" s="1" t="s">
        <v>712</v>
      </c>
      <c r="H945" s="1" t="s">
        <v>713</v>
      </c>
      <c r="I945" s="1" t="s">
        <v>714</v>
      </c>
      <c r="J945" s="1" t="s">
        <v>4129</v>
      </c>
      <c r="K945" s="1" t="s">
        <v>5056</v>
      </c>
      <c r="L945" s="1" t="s">
        <v>5057</v>
      </c>
      <c r="M945" s="1" t="s">
        <v>718</v>
      </c>
    </row>
    <row r="946" customFormat="false" ht="15" hidden="false" customHeight="false" outlineLevel="0" collapsed="false">
      <c r="A946" s="1" t="s">
        <v>5058</v>
      </c>
      <c r="B946" s="1" t="s">
        <v>5059</v>
      </c>
      <c r="C946" s="1" t="s">
        <v>5060</v>
      </c>
      <c r="D946" s="2" t="n">
        <v>35545</v>
      </c>
      <c r="E946" s="1" t="s">
        <v>763</v>
      </c>
      <c r="F946" s="1" t="s">
        <v>711</v>
      </c>
      <c r="G946" s="1" t="s">
        <v>722</v>
      </c>
      <c r="H946" s="1" t="s">
        <v>713</v>
      </c>
      <c r="I946" s="1" t="s">
        <v>714</v>
      </c>
      <c r="J946" s="1" t="s">
        <v>4198</v>
      </c>
      <c r="K946" s="1" t="s">
        <v>5061</v>
      </c>
      <c r="L946" s="1" t="s">
        <v>5062</v>
      </c>
      <c r="M946" s="1" t="s">
        <v>718</v>
      </c>
    </row>
    <row r="947" customFormat="false" ht="15" hidden="false" customHeight="false" outlineLevel="0" collapsed="false">
      <c r="A947" s="1" t="s">
        <v>5063</v>
      </c>
      <c r="B947" s="1" t="s">
        <v>5064</v>
      </c>
      <c r="C947" s="1" t="s">
        <v>1143</v>
      </c>
      <c r="D947" s="2" t="n">
        <v>35480</v>
      </c>
      <c r="E947" s="1" t="s">
        <v>710</v>
      </c>
      <c r="F947" s="1" t="s">
        <v>711</v>
      </c>
      <c r="G947" s="1" t="s">
        <v>722</v>
      </c>
      <c r="H947" s="1" t="s">
        <v>713</v>
      </c>
      <c r="I947" s="1" t="s">
        <v>714</v>
      </c>
      <c r="J947" s="1" t="s">
        <v>4151</v>
      </c>
      <c r="K947" s="1" t="s">
        <v>5065</v>
      </c>
      <c r="L947" s="1" t="s">
        <v>2780</v>
      </c>
      <c r="M947" s="1" t="s">
        <v>718</v>
      </c>
    </row>
    <row r="948" customFormat="false" ht="15" hidden="false" customHeight="false" outlineLevel="0" collapsed="false">
      <c r="A948" s="1" t="s">
        <v>5066</v>
      </c>
      <c r="B948" s="1" t="s">
        <v>5067</v>
      </c>
      <c r="C948" s="1" t="s">
        <v>2006</v>
      </c>
      <c r="D948" s="2" t="n">
        <v>36054</v>
      </c>
      <c r="E948" s="1" t="s">
        <v>710</v>
      </c>
      <c r="F948" s="1" t="s">
        <v>711</v>
      </c>
      <c r="G948" s="1" t="s">
        <v>722</v>
      </c>
      <c r="H948" s="1" t="s">
        <v>713</v>
      </c>
      <c r="I948" s="1" t="s">
        <v>714</v>
      </c>
      <c r="J948" s="1" t="s">
        <v>821</v>
      </c>
      <c r="K948" s="1" t="s">
        <v>5068</v>
      </c>
      <c r="L948" s="1" t="s">
        <v>2008</v>
      </c>
      <c r="M948" s="1" t="s">
        <v>718</v>
      </c>
    </row>
    <row r="949" customFormat="false" ht="15" hidden="false" customHeight="false" outlineLevel="0" collapsed="false">
      <c r="A949" s="1" t="s">
        <v>5069</v>
      </c>
      <c r="B949" s="1" t="s">
        <v>5070</v>
      </c>
      <c r="C949" s="1" t="s">
        <v>5071</v>
      </c>
      <c r="D949" s="2" t="n">
        <v>35662</v>
      </c>
      <c r="E949" s="1" t="s">
        <v>710</v>
      </c>
      <c r="F949" s="1" t="s">
        <v>711</v>
      </c>
      <c r="G949" s="1" t="s">
        <v>722</v>
      </c>
      <c r="H949" s="1" t="s">
        <v>713</v>
      </c>
      <c r="I949" s="1" t="s">
        <v>714</v>
      </c>
      <c r="J949" s="1" t="s">
        <v>5072</v>
      </c>
      <c r="K949" s="1" t="s">
        <v>5073</v>
      </c>
      <c r="L949" s="1" t="s">
        <v>5074</v>
      </c>
      <c r="M949" s="1" t="s">
        <v>718</v>
      </c>
    </row>
    <row r="950" customFormat="false" ht="15" hidden="false" customHeight="false" outlineLevel="0" collapsed="false">
      <c r="A950" s="1" t="s">
        <v>5075</v>
      </c>
      <c r="B950" s="1" t="s">
        <v>5076</v>
      </c>
      <c r="C950" s="1" t="s">
        <v>5077</v>
      </c>
      <c r="D950" s="2" t="n">
        <v>35523</v>
      </c>
      <c r="E950" s="1" t="s">
        <v>763</v>
      </c>
      <c r="F950" s="1" t="s">
        <v>711</v>
      </c>
      <c r="G950" s="1" t="s">
        <v>722</v>
      </c>
      <c r="H950" s="1" t="s">
        <v>713</v>
      </c>
      <c r="I950" s="1" t="s">
        <v>714</v>
      </c>
      <c r="J950" s="1" t="s">
        <v>3818</v>
      </c>
      <c r="K950" s="1" t="s">
        <v>5078</v>
      </c>
      <c r="L950" s="1" t="s">
        <v>5079</v>
      </c>
      <c r="M950" s="1" t="s">
        <v>718</v>
      </c>
    </row>
    <row r="951" customFormat="false" ht="15" hidden="false" customHeight="false" outlineLevel="0" collapsed="false">
      <c r="A951" s="1" t="s">
        <v>5080</v>
      </c>
      <c r="B951" s="1" t="s">
        <v>5081</v>
      </c>
      <c r="C951" s="1" t="s">
        <v>3507</v>
      </c>
      <c r="D951" s="2" t="n">
        <v>35721</v>
      </c>
      <c r="E951" s="1" t="s">
        <v>763</v>
      </c>
      <c r="F951" s="1" t="s">
        <v>711</v>
      </c>
      <c r="G951" s="1" t="s">
        <v>722</v>
      </c>
      <c r="H951" s="1" t="s">
        <v>713</v>
      </c>
      <c r="I951" s="1" t="s">
        <v>714</v>
      </c>
      <c r="J951" s="1" t="s">
        <v>4151</v>
      </c>
      <c r="K951" s="1" t="s">
        <v>5082</v>
      </c>
      <c r="L951" s="1" t="s">
        <v>5083</v>
      </c>
      <c r="M951" s="1" t="s">
        <v>718</v>
      </c>
    </row>
    <row r="952" customFormat="false" ht="15" hidden="false" customHeight="false" outlineLevel="0" collapsed="false">
      <c r="A952" s="1" t="s">
        <v>5084</v>
      </c>
      <c r="B952" s="1" t="s">
        <v>5085</v>
      </c>
      <c r="C952" s="1" t="s">
        <v>5086</v>
      </c>
      <c r="D952" s="2" t="n">
        <v>35680</v>
      </c>
      <c r="E952" s="1" t="s">
        <v>763</v>
      </c>
      <c r="F952" s="1" t="s">
        <v>711</v>
      </c>
      <c r="G952" s="1" t="s">
        <v>722</v>
      </c>
      <c r="H952" s="1" t="s">
        <v>713</v>
      </c>
      <c r="I952" s="1" t="s">
        <v>714</v>
      </c>
      <c r="J952" s="1" t="s">
        <v>4504</v>
      </c>
      <c r="K952" s="1" t="s">
        <v>5087</v>
      </c>
      <c r="L952" s="1" t="s">
        <v>5088</v>
      </c>
      <c r="M952" s="1" t="s">
        <v>718</v>
      </c>
    </row>
    <row r="953" customFormat="false" ht="15" hidden="false" customHeight="false" outlineLevel="0" collapsed="false">
      <c r="A953" s="1" t="s">
        <v>5089</v>
      </c>
      <c r="B953" s="1" t="s">
        <v>1490</v>
      </c>
      <c r="C953" s="1" t="s">
        <v>5090</v>
      </c>
      <c r="D953" s="2" t="n">
        <v>36097</v>
      </c>
      <c r="E953" s="1" t="s">
        <v>710</v>
      </c>
      <c r="F953" s="1" t="s">
        <v>711</v>
      </c>
      <c r="G953" s="1" t="s">
        <v>712</v>
      </c>
      <c r="H953" s="1" t="s">
        <v>713</v>
      </c>
      <c r="I953" s="1" t="s">
        <v>714</v>
      </c>
      <c r="J953" s="1" t="s">
        <v>4151</v>
      </c>
      <c r="K953" s="1" t="s">
        <v>5091</v>
      </c>
      <c r="L953" s="1" t="s">
        <v>5092</v>
      </c>
      <c r="M953" s="1" t="s">
        <v>718</v>
      </c>
    </row>
    <row r="954" customFormat="false" ht="15" hidden="false" customHeight="false" outlineLevel="0" collapsed="false">
      <c r="A954" s="1" t="s">
        <v>5093</v>
      </c>
      <c r="B954" s="1" t="s">
        <v>5094</v>
      </c>
      <c r="C954" s="1" t="s">
        <v>2739</v>
      </c>
      <c r="D954" s="2" t="n">
        <v>35008</v>
      </c>
      <c r="E954" s="1" t="s">
        <v>763</v>
      </c>
      <c r="F954" s="1" t="s">
        <v>711</v>
      </c>
      <c r="G954" s="1" t="s">
        <v>712</v>
      </c>
      <c r="H954" s="1" t="s">
        <v>713</v>
      </c>
      <c r="I954" s="1" t="s">
        <v>714</v>
      </c>
      <c r="J954" s="1" t="s">
        <v>4504</v>
      </c>
      <c r="K954" s="1" t="s">
        <v>5095</v>
      </c>
      <c r="L954" s="1" t="s">
        <v>2741</v>
      </c>
      <c r="M954" s="1" t="s">
        <v>718</v>
      </c>
    </row>
    <row r="955" customFormat="false" ht="15" hidden="false" customHeight="false" outlineLevel="0" collapsed="false">
      <c r="A955" s="1" t="s">
        <v>5096</v>
      </c>
      <c r="B955" s="1" t="s">
        <v>1552</v>
      </c>
      <c r="C955" s="1" t="s">
        <v>5097</v>
      </c>
      <c r="D955" s="2" t="n">
        <v>35638</v>
      </c>
      <c r="E955" s="1" t="s">
        <v>763</v>
      </c>
      <c r="F955" s="1" t="s">
        <v>711</v>
      </c>
      <c r="G955" s="1" t="s">
        <v>712</v>
      </c>
      <c r="H955" s="1" t="s">
        <v>713</v>
      </c>
      <c r="I955" s="1" t="s">
        <v>714</v>
      </c>
      <c r="J955" s="1" t="s">
        <v>5098</v>
      </c>
      <c r="K955" s="1" t="s">
        <v>5099</v>
      </c>
      <c r="L955" s="1" t="s">
        <v>5100</v>
      </c>
      <c r="M955" s="1" t="s">
        <v>718</v>
      </c>
    </row>
    <row r="956" customFormat="false" ht="15" hidden="false" customHeight="false" outlineLevel="0" collapsed="false">
      <c r="A956" s="1" t="s">
        <v>5101</v>
      </c>
      <c r="B956" s="1" t="s">
        <v>5102</v>
      </c>
      <c r="C956" s="1" t="s">
        <v>5103</v>
      </c>
      <c r="D956" s="2" t="n">
        <v>35784</v>
      </c>
      <c r="E956" s="1" t="s">
        <v>763</v>
      </c>
      <c r="F956" s="1" t="s">
        <v>711</v>
      </c>
      <c r="G956" s="1" t="s">
        <v>712</v>
      </c>
      <c r="H956" s="1" t="s">
        <v>713</v>
      </c>
      <c r="I956" s="1" t="s">
        <v>714</v>
      </c>
      <c r="J956" s="1" t="s">
        <v>716</v>
      </c>
      <c r="K956" s="1" t="s">
        <v>716</v>
      </c>
      <c r="L956" s="1" t="s">
        <v>5104</v>
      </c>
      <c r="M956" s="1" t="s">
        <v>718</v>
      </c>
    </row>
    <row r="957" customFormat="false" ht="15" hidden="false" customHeight="false" outlineLevel="0" collapsed="false">
      <c r="A957" s="1" t="s">
        <v>5105</v>
      </c>
      <c r="B957" s="1" t="s">
        <v>5106</v>
      </c>
      <c r="C957" s="1" t="s">
        <v>5107</v>
      </c>
      <c r="D957" s="2" t="n">
        <v>35520</v>
      </c>
      <c r="E957" s="1" t="s">
        <v>710</v>
      </c>
      <c r="F957" s="1" t="s">
        <v>711</v>
      </c>
      <c r="G957" s="1" t="s">
        <v>722</v>
      </c>
      <c r="H957" s="1" t="s">
        <v>713</v>
      </c>
      <c r="I957" s="1" t="s">
        <v>714</v>
      </c>
      <c r="J957" s="1" t="s">
        <v>715</v>
      </c>
      <c r="K957" s="1" t="s">
        <v>716</v>
      </c>
      <c r="L957" s="1" t="s">
        <v>5108</v>
      </c>
      <c r="M957" s="1" t="s">
        <v>718</v>
      </c>
    </row>
    <row r="958" customFormat="false" ht="15" hidden="false" customHeight="false" outlineLevel="0" collapsed="false">
      <c r="A958" s="1" t="s">
        <v>5109</v>
      </c>
      <c r="B958" s="1" t="s">
        <v>5110</v>
      </c>
      <c r="C958" s="1" t="s">
        <v>4680</v>
      </c>
      <c r="D958" s="2" t="n">
        <v>36060</v>
      </c>
      <c r="E958" s="1" t="s">
        <v>710</v>
      </c>
      <c r="F958" s="1" t="s">
        <v>711</v>
      </c>
      <c r="G958" s="1" t="s">
        <v>712</v>
      </c>
      <c r="H958" s="1" t="s">
        <v>713</v>
      </c>
      <c r="I958" s="1" t="s">
        <v>714</v>
      </c>
      <c r="J958" s="1" t="s">
        <v>1451</v>
      </c>
      <c r="K958" s="1" t="s">
        <v>5111</v>
      </c>
      <c r="L958" s="1" t="s">
        <v>3920</v>
      </c>
      <c r="M958" s="1" t="s">
        <v>718</v>
      </c>
    </row>
    <row r="959" customFormat="false" ht="15" hidden="false" customHeight="false" outlineLevel="0" collapsed="false">
      <c r="A959" s="1" t="s">
        <v>5112</v>
      </c>
      <c r="B959" s="1" t="s">
        <v>5113</v>
      </c>
      <c r="C959" s="1" t="s">
        <v>5114</v>
      </c>
      <c r="D959" s="2" t="n">
        <v>34489</v>
      </c>
      <c r="E959" s="1" t="s">
        <v>710</v>
      </c>
      <c r="F959" s="1" t="s">
        <v>711</v>
      </c>
      <c r="G959" s="1" t="s">
        <v>712</v>
      </c>
      <c r="H959" s="1" t="s">
        <v>713</v>
      </c>
      <c r="I959" s="1" t="s">
        <v>714</v>
      </c>
      <c r="J959" s="1" t="s">
        <v>4518</v>
      </c>
      <c r="K959" s="1" t="s">
        <v>4963</v>
      </c>
      <c r="L959" s="1" t="s">
        <v>3024</v>
      </c>
      <c r="M959" s="1" t="s">
        <v>718</v>
      </c>
    </row>
    <row r="960" customFormat="false" ht="15" hidden="false" customHeight="false" outlineLevel="0" collapsed="false">
      <c r="A960" s="1" t="s">
        <v>5115</v>
      </c>
      <c r="B960" s="1" t="s">
        <v>5116</v>
      </c>
      <c r="C960" s="1" t="s">
        <v>4331</v>
      </c>
      <c r="D960" s="2" t="n">
        <v>35893</v>
      </c>
      <c r="E960" s="1" t="s">
        <v>763</v>
      </c>
      <c r="F960" s="1" t="s">
        <v>711</v>
      </c>
      <c r="G960" s="1" t="s">
        <v>722</v>
      </c>
      <c r="H960" s="1" t="s">
        <v>713</v>
      </c>
      <c r="I960" s="1" t="s">
        <v>714</v>
      </c>
      <c r="J960" s="1" t="s">
        <v>5117</v>
      </c>
      <c r="K960" s="1" t="s">
        <v>4333</v>
      </c>
      <c r="L960" s="1" t="s">
        <v>4334</v>
      </c>
      <c r="M960" s="1" t="s">
        <v>718</v>
      </c>
    </row>
    <row r="961" customFormat="false" ht="15" hidden="false" customHeight="false" outlineLevel="0" collapsed="false">
      <c r="A961" s="1" t="s">
        <v>5118</v>
      </c>
      <c r="B961" s="1" t="s">
        <v>5119</v>
      </c>
      <c r="C961" s="1" t="s">
        <v>4352</v>
      </c>
      <c r="D961" s="2" t="n">
        <v>35773</v>
      </c>
      <c r="E961" s="1" t="s">
        <v>763</v>
      </c>
      <c r="F961" s="1" t="s">
        <v>711</v>
      </c>
      <c r="G961" s="1" t="s">
        <v>722</v>
      </c>
      <c r="H961" s="1" t="s">
        <v>713</v>
      </c>
      <c r="I961" s="1" t="s">
        <v>714</v>
      </c>
      <c r="J961" s="1" t="s">
        <v>1095</v>
      </c>
      <c r="K961" s="1" t="s">
        <v>5120</v>
      </c>
      <c r="L961" s="1" t="s">
        <v>5121</v>
      </c>
      <c r="M961" s="1" t="s">
        <v>718</v>
      </c>
    </row>
    <row r="962" customFormat="false" ht="15" hidden="false" customHeight="false" outlineLevel="0" collapsed="false">
      <c r="A962" s="1" t="s">
        <v>5122</v>
      </c>
      <c r="B962" s="1" t="s">
        <v>5123</v>
      </c>
      <c r="C962" s="1" t="s">
        <v>5124</v>
      </c>
      <c r="D962" s="2" t="n">
        <v>36202</v>
      </c>
      <c r="E962" s="1" t="s">
        <v>763</v>
      </c>
      <c r="F962" s="1" t="s">
        <v>711</v>
      </c>
      <c r="G962" s="1" t="s">
        <v>712</v>
      </c>
      <c r="H962" s="1" t="s">
        <v>713</v>
      </c>
      <c r="I962" s="1" t="s">
        <v>714</v>
      </c>
      <c r="J962" s="1" t="s">
        <v>4129</v>
      </c>
      <c r="K962" s="1" t="s">
        <v>5125</v>
      </c>
      <c r="L962" s="1" t="s">
        <v>5126</v>
      </c>
      <c r="M962" s="1" t="s">
        <v>718</v>
      </c>
    </row>
    <row r="963" customFormat="false" ht="15" hidden="false" customHeight="false" outlineLevel="0" collapsed="false">
      <c r="A963" s="1" t="s">
        <v>5127</v>
      </c>
      <c r="B963" s="1" t="s">
        <v>5128</v>
      </c>
      <c r="C963" s="1" t="s">
        <v>5129</v>
      </c>
      <c r="D963" s="2" t="n">
        <v>35603</v>
      </c>
      <c r="E963" s="1" t="s">
        <v>710</v>
      </c>
      <c r="F963" s="1" t="s">
        <v>711</v>
      </c>
      <c r="G963" s="1" t="s">
        <v>712</v>
      </c>
      <c r="H963" s="1" t="s">
        <v>713</v>
      </c>
      <c r="I963" s="1" t="s">
        <v>714</v>
      </c>
      <c r="J963" s="1" t="s">
        <v>1451</v>
      </c>
      <c r="K963" s="1" t="s">
        <v>5130</v>
      </c>
      <c r="L963" s="1" t="s">
        <v>5131</v>
      </c>
      <c r="M963" s="1" t="s">
        <v>718</v>
      </c>
    </row>
    <row r="964" customFormat="false" ht="15" hidden="false" customHeight="false" outlineLevel="0" collapsed="false">
      <c r="A964" s="1" t="s">
        <v>5132</v>
      </c>
      <c r="B964" s="1" t="s">
        <v>5133</v>
      </c>
      <c r="C964" s="1" t="s">
        <v>2006</v>
      </c>
      <c r="D964" s="2" t="n">
        <v>36210</v>
      </c>
      <c r="E964" s="1" t="s">
        <v>763</v>
      </c>
      <c r="F964" s="1" t="s">
        <v>711</v>
      </c>
      <c r="G964" s="1" t="s">
        <v>712</v>
      </c>
      <c r="H964" s="1" t="s">
        <v>713</v>
      </c>
      <c r="I964" s="1" t="s">
        <v>714</v>
      </c>
      <c r="J964" s="1" t="s">
        <v>4129</v>
      </c>
      <c r="K964" s="1" t="s">
        <v>5134</v>
      </c>
      <c r="L964" s="1" t="s">
        <v>5135</v>
      </c>
      <c r="M964" s="1" t="s">
        <v>718</v>
      </c>
    </row>
    <row r="965" customFormat="false" ht="15" hidden="false" customHeight="false" outlineLevel="0" collapsed="false">
      <c r="A965" s="1" t="s">
        <v>5136</v>
      </c>
      <c r="B965" s="1" t="s">
        <v>5137</v>
      </c>
      <c r="C965" s="1" t="s">
        <v>1864</v>
      </c>
      <c r="D965" s="2" t="n">
        <v>34908</v>
      </c>
      <c r="E965" s="1" t="s">
        <v>763</v>
      </c>
      <c r="F965" s="1" t="s">
        <v>711</v>
      </c>
      <c r="G965" s="1" t="s">
        <v>712</v>
      </c>
      <c r="H965" s="1" t="s">
        <v>713</v>
      </c>
      <c r="I965" s="1" t="s">
        <v>714</v>
      </c>
      <c r="J965" s="1" t="s">
        <v>5138</v>
      </c>
      <c r="K965" s="1" t="s">
        <v>5139</v>
      </c>
      <c r="L965" s="1" t="s">
        <v>1867</v>
      </c>
      <c r="M965" s="1" t="s">
        <v>718</v>
      </c>
    </row>
    <row r="966" customFormat="false" ht="15" hidden="false" customHeight="false" outlineLevel="0" collapsed="false">
      <c r="A966" s="1" t="s">
        <v>5140</v>
      </c>
      <c r="B966" s="1" t="s">
        <v>5141</v>
      </c>
      <c r="C966" s="1" t="s">
        <v>4220</v>
      </c>
      <c r="D966" s="2" t="n">
        <v>35443</v>
      </c>
      <c r="E966" s="1" t="s">
        <v>763</v>
      </c>
      <c r="F966" s="1" t="s">
        <v>711</v>
      </c>
      <c r="G966" s="1" t="s">
        <v>712</v>
      </c>
      <c r="H966" s="1" t="s">
        <v>713</v>
      </c>
      <c r="I966" s="1" t="s">
        <v>714</v>
      </c>
      <c r="J966" s="1" t="s">
        <v>1144</v>
      </c>
      <c r="K966" s="1" t="s">
        <v>5142</v>
      </c>
      <c r="L966" s="1" t="s">
        <v>5143</v>
      </c>
      <c r="M966" s="1" t="s">
        <v>718</v>
      </c>
    </row>
    <row r="967" customFormat="false" ht="15" hidden="false" customHeight="false" outlineLevel="0" collapsed="false">
      <c r="A967" s="1" t="s">
        <v>5144</v>
      </c>
      <c r="B967" s="1" t="s">
        <v>5145</v>
      </c>
      <c r="C967" s="1" t="s">
        <v>2643</v>
      </c>
      <c r="D967" s="2" t="n">
        <v>36316</v>
      </c>
      <c r="E967" s="1" t="s">
        <v>763</v>
      </c>
      <c r="F967" s="1" t="s">
        <v>711</v>
      </c>
      <c r="G967" s="1" t="s">
        <v>722</v>
      </c>
      <c r="H967" s="1" t="s">
        <v>713</v>
      </c>
      <c r="I967" s="1" t="s">
        <v>714</v>
      </c>
      <c r="J967" s="1" t="s">
        <v>821</v>
      </c>
      <c r="K967" s="1" t="s">
        <v>5146</v>
      </c>
      <c r="L967" s="1" t="s">
        <v>5147</v>
      </c>
      <c r="M967" s="1" t="s">
        <v>718</v>
      </c>
    </row>
    <row r="968" customFormat="false" ht="15" hidden="false" customHeight="false" outlineLevel="0" collapsed="false">
      <c r="A968" s="1" t="s">
        <v>5148</v>
      </c>
      <c r="B968" s="1" t="s">
        <v>5149</v>
      </c>
      <c r="C968" s="1" t="s">
        <v>1403</v>
      </c>
      <c r="D968" s="2" t="n">
        <v>35739</v>
      </c>
      <c r="E968" s="1" t="s">
        <v>763</v>
      </c>
      <c r="F968" s="1" t="s">
        <v>711</v>
      </c>
      <c r="G968" s="1" t="s">
        <v>712</v>
      </c>
      <c r="H968" s="1" t="s">
        <v>713</v>
      </c>
      <c r="I968" s="1" t="s">
        <v>714</v>
      </c>
      <c r="J968" s="1" t="s">
        <v>4129</v>
      </c>
      <c r="K968" s="1" t="s">
        <v>5150</v>
      </c>
      <c r="L968" s="1" t="s">
        <v>1405</v>
      </c>
      <c r="M968" s="1" t="s">
        <v>718</v>
      </c>
    </row>
    <row r="969" customFormat="false" ht="15" hidden="false" customHeight="false" outlineLevel="0" collapsed="false">
      <c r="A969" s="1" t="s">
        <v>5151</v>
      </c>
      <c r="B969" s="1" t="s">
        <v>5152</v>
      </c>
      <c r="C969" s="1" t="s">
        <v>5153</v>
      </c>
      <c r="D969" s="2" t="n">
        <v>35568</v>
      </c>
      <c r="E969" s="1" t="s">
        <v>763</v>
      </c>
      <c r="F969" s="1" t="s">
        <v>711</v>
      </c>
      <c r="G969" s="1" t="s">
        <v>712</v>
      </c>
      <c r="H969" s="1" t="s">
        <v>713</v>
      </c>
      <c r="I969" s="1" t="s">
        <v>714</v>
      </c>
      <c r="J969" s="1" t="s">
        <v>745</v>
      </c>
      <c r="K969" s="1" t="s">
        <v>3414</v>
      </c>
      <c r="L969" s="1" t="s">
        <v>5154</v>
      </c>
      <c r="M969" s="1" t="s">
        <v>718</v>
      </c>
    </row>
    <row r="970" customFormat="false" ht="15" hidden="false" customHeight="false" outlineLevel="0" collapsed="false">
      <c r="A970" s="1" t="s">
        <v>5155</v>
      </c>
      <c r="B970" s="1" t="s">
        <v>3157</v>
      </c>
      <c r="C970" s="1" t="s">
        <v>5156</v>
      </c>
      <c r="D970" s="2" t="n">
        <v>35940</v>
      </c>
      <c r="E970" s="1" t="s">
        <v>710</v>
      </c>
      <c r="F970" s="1" t="s">
        <v>711</v>
      </c>
      <c r="G970" s="1" t="s">
        <v>5157</v>
      </c>
      <c r="H970" s="1" t="s">
        <v>713</v>
      </c>
      <c r="I970" s="1" t="s">
        <v>714</v>
      </c>
      <c r="J970" s="1" t="s">
        <v>1296</v>
      </c>
      <c r="K970" s="1" t="s">
        <v>5158</v>
      </c>
      <c r="L970" s="1" t="s">
        <v>5159</v>
      </c>
      <c r="M970" s="1" t="s">
        <v>718</v>
      </c>
    </row>
    <row r="971" customFormat="false" ht="15" hidden="false" customHeight="false" outlineLevel="0" collapsed="false">
      <c r="A971" s="1" t="s">
        <v>5160</v>
      </c>
      <c r="B971" s="1" t="s">
        <v>5161</v>
      </c>
      <c r="C971" s="1" t="s">
        <v>1893</v>
      </c>
      <c r="D971" s="2" t="n">
        <v>35515</v>
      </c>
      <c r="E971" s="1" t="s">
        <v>763</v>
      </c>
      <c r="F971" s="1" t="s">
        <v>711</v>
      </c>
      <c r="G971" s="1" t="s">
        <v>722</v>
      </c>
      <c r="H971" s="1" t="s">
        <v>713</v>
      </c>
      <c r="I971" s="1" t="s">
        <v>714</v>
      </c>
      <c r="J971" s="1" t="s">
        <v>729</v>
      </c>
      <c r="K971" s="1" t="s">
        <v>5162</v>
      </c>
      <c r="L971" s="1" t="s">
        <v>1894</v>
      </c>
      <c r="M971" s="1" t="s">
        <v>718</v>
      </c>
    </row>
    <row r="972" customFormat="false" ht="15" hidden="false" customHeight="false" outlineLevel="0" collapsed="false">
      <c r="A972" s="1" t="s">
        <v>5163</v>
      </c>
      <c r="B972" s="1" t="s">
        <v>5164</v>
      </c>
      <c r="C972" s="1" t="s">
        <v>5165</v>
      </c>
      <c r="D972" s="2" t="n">
        <v>35854</v>
      </c>
      <c r="E972" s="1" t="s">
        <v>763</v>
      </c>
      <c r="F972" s="1" t="s">
        <v>711</v>
      </c>
      <c r="G972" s="1" t="s">
        <v>712</v>
      </c>
      <c r="H972" s="1" t="s">
        <v>713</v>
      </c>
      <c r="I972" s="1" t="s">
        <v>714</v>
      </c>
      <c r="J972" s="1" t="s">
        <v>2036</v>
      </c>
      <c r="K972" s="1" t="s">
        <v>5166</v>
      </c>
      <c r="L972" s="1" t="s">
        <v>1418</v>
      </c>
      <c r="M972" s="1" t="s">
        <v>718</v>
      </c>
    </row>
    <row r="973" customFormat="false" ht="15" hidden="false" customHeight="false" outlineLevel="0" collapsed="false">
      <c r="A973" s="1" t="s">
        <v>5167</v>
      </c>
      <c r="B973" s="1" t="s">
        <v>5168</v>
      </c>
      <c r="C973" s="1" t="s">
        <v>1020</v>
      </c>
      <c r="D973" s="2" t="n">
        <v>35669</v>
      </c>
      <c r="E973" s="1" t="s">
        <v>710</v>
      </c>
      <c r="F973" s="1" t="s">
        <v>711</v>
      </c>
      <c r="G973" s="1" t="s">
        <v>722</v>
      </c>
      <c r="H973" s="1" t="s">
        <v>713</v>
      </c>
      <c r="I973" s="1" t="s">
        <v>714</v>
      </c>
      <c r="J973" s="1" t="s">
        <v>729</v>
      </c>
      <c r="K973" s="1" t="s">
        <v>5169</v>
      </c>
      <c r="L973" s="1" t="s">
        <v>1022</v>
      </c>
      <c r="M973" s="1" t="s">
        <v>718</v>
      </c>
    </row>
    <row r="974" customFormat="false" ht="15" hidden="false" customHeight="false" outlineLevel="0" collapsed="false">
      <c r="A974" s="1" t="s">
        <v>5170</v>
      </c>
      <c r="B974" s="1" t="s">
        <v>5171</v>
      </c>
      <c r="C974" s="1" t="s">
        <v>5172</v>
      </c>
      <c r="D974" s="2" t="n">
        <v>34889</v>
      </c>
      <c r="E974" s="1" t="s">
        <v>710</v>
      </c>
      <c r="F974" s="1" t="s">
        <v>711</v>
      </c>
      <c r="G974" s="1" t="s">
        <v>722</v>
      </c>
      <c r="H974" s="1" t="s">
        <v>713</v>
      </c>
      <c r="I974" s="1" t="s">
        <v>714</v>
      </c>
      <c r="J974" s="1" t="s">
        <v>4504</v>
      </c>
      <c r="K974" s="1" t="s">
        <v>5173</v>
      </c>
      <c r="L974" s="1" t="s">
        <v>5174</v>
      </c>
      <c r="M974" s="1" t="s">
        <v>718</v>
      </c>
    </row>
    <row r="975" customFormat="false" ht="15" hidden="false" customHeight="false" outlineLevel="0" collapsed="false">
      <c r="A975" s="1" t="s">
        <v>5175</v>
      </c>
      <c r="B975" s="1" t="s">
        <v>5176</v>
      </c>
      <c r="C975" s="1" t="s">
        <v>5177</v>
      </c>
      <c r="D975" s="2" t="n">
        <v>35528</v>
      </c>
      <c r="E975" s="1" t="s">
        <v>763</v>
      </c>
      <c r="F975" s="1" t="s">
        <v>711</v>
      </c>
      <c r="G975" s="1" t="s">
        <v>722</v>
      </c>
      <c r="H975" s="1" t="s">
        <v>713</v>
      </c>
      <c r="I975" s="1" t="s">
        <v>714</v>
      </c>
      <c r="J975" s="1" t="s">
        <v>4504</v>
      </c>
      <c r="K975" s="1" t="s">
        <v>5178</v>
      </c>
      <c r="L975" s="1" t="s">
        <v>1418</v>
      </c>
      <c r="M975" s="1" t="s">
        <v>718</v>
      </c>
    </row>
    <row r="976" customFormat="false" ht="15" hidden="false" customHeight="false" outlineLevel="0" collapsed="false">
      <c r="A976" s="1" t="s">
        <v>5179</v>
      </c>
      <c r="B976" s="1" t="s">
        <v>5180</v>
      </c>
      <c r="C976" s="1" t="s">
        <v>5181</v>
      </c>
      <c r="D976" s="2" t="n">
        <v>35946</v>
      </c>
      <c r="E976" s="1" t="s">
        <v>763</v>
      </c>
      <c r="F976" s="1" t="s">
        <v>711</v>
      </c>
      <c r="G976" s="1" t="s">
        <v>4517</v>
      </c>
      <c r="H976" s="1" t="s">
        <v>713</v>
      </c>
      <c r="I976" s="1" t="s">
        <v>714</v>
      </c>
      <c r="J976" s="1" t="s">
        <v>1144</v>
      </c>
      <c r="K976" s="1" t="s">
        <v>1324</v>
      </c>
      <c r="L976" s="1" t="s">
        <v>1325</v>
      </c>
      <c r="M976" s="1" t="s">
        <v>718</v>
      </c>
    </row>
    <row r="977" customFormat="false" ht="15" hidden="false" customHeight="false" outlineLevel="0" collapsed="false">
      <c r="A977" s="1" t="s">
        <v>5182</v>
      </c>
      <c r="B977" s="1" t="s">
        <v>1869</v>
      </c>
      <c r="C977" s="1" t="s">
        <v>5183</v>
      </c>
      <c r="D977" s="2" t="n">
        <v>35061</v>
      </c>
      <c r="E977" s="1" t="s">
        <v>710</v>
      </c>
      <c r="F977" s="1" t="s">
        <v>711</v>
      </c>
      <c r="G977" s="1" t="s">
        <v>712</v>
      </c>
      <c r="H977" s="1" t="s">
        <v>713</v>
      </c>
      <c r="I977" s="1" t="s">
        <v>714</v>
      </c>
      <c r="J977" s="1" t="s">
        <v>3135</v>
      </c>
      <c r="K977" s="1" t="s">
        <v>5184</v>
      </c>
      <c r="L977" s="1" t="s">
        <v>5185</v>
      </c>
      <c r="M977" s="1" t="s">
        <v>718</v>
      </c>
    </row>
    <row r="978" customFormat="false" ht="15" hidden="false" customHeight="false" outlineLevel="0" collapsed="false">
      <c r="A978" s="1" t="s">
        <v>5186</v>
      </c>
      <c r="B978" s="1" t="s">
        <v>5187</v>
      </c>
      <c r="C978" s="1" t="s">
        <v>5188</v>
      </c>
      <c r="D978" s="2" t="n">
        <v>35518</v>
      </c>
      <c r="E978" s="1" t="s">
        <v>763</v>
      </c>
      <c r="F978" s="1" t="s">
        <v>711</v>
      </c>
      <c r="G978" s="1" t="s">
        <v>2094</v>
      </c>
      <c r="H978" s="1" t="s">
        <v>713</v>
      </c>
      <c r="I978" s="1" t="s">
        <v>714</v>
      </c>
      <c r="J978" s="1" t="s">
        <v>4504</v>
      </c>
      <c r="K978" s="1" t="s">
        <v>3992</v>
      </c>
      <c r="L978" s="1" t="s">
        <v>3993</v>
      </c>
      <c r="M978" s="1" t="s">
        <v>718</v>
      </c>
    </row>
    <row r="979" customFormat="false" ht="15" hidden="false" customHeight="false" outlineLevel="0" collapsed="false">
      <c r="A979" s="1" t="s">
        <v>5189</v>
      </c>
      <c r="B979" s="1" t="s">
        <v>5190</v>
      </c>
      <c r="C979" s="1" t="s">
        <v>5191</v>
      </c>
      <c r="D979" s="2" t="n">
        <v>35010</v>
      </c>
      <c r="E979" s="1" t="s">
        <v>763</v>
      </c>
      <c r="F979" s="1" t="s">
        <v>711</v>
      </c>
      <c r="G979" s="1" t="s">
        <v>722</v>
      </c>
      <c r="H979" s="1" t="s">
        <v>713</v>
      </c>
      <c r="I979" s="1" t="s">
        <v>714</v>
      </c>
      <c r="J979" s="1" t="s">
        <v>805</v>
      </c>
      <c r="K979" s="1" t="s">
        <v>5192</v>
      </c>
      <c r="L979" s="1" t="s">
        <v>5193</v>
      </c>
      <c r="M979" s="1" t="s">
        <v>718</v>
      </c>
    </row>
    <row r="980" customFormat="false" ht="15" hidden="false" customHeight="false" outlineLevel="0" collapsed="false">
      <c r="A980" s="1" t="s">
        <v>5194</v>
      </c>
      <c r="B980" s="1" t="s">
        <v>5195</v>
      </c>
      <c r="C980" s="1" t="s">
        <v>5196</v>
      </c>
      <c r="D980" s="2" t="n">
        <v>35104</v>
      </c>
      <c r="E980" s="1" t="s">
        <v>763</v>
      </c>
      <c r="F980" s="1" t="s">
        <v>711</v>
      </c>
      <c r="G980" s="1" t="s">
        <v>722</v>
      </c>
      <c r="H980" s="1" t="s">
        <v>713</v>
      </c>
      <c r="I980" s="1" t="s">
        <v>714</v>
      </c>
      <c r="J980" s="1" t="s">
        <v>1398</v>
      </c>
      <c r="K980" s="1" t="s">
        <v>5197</v>
      </c>
      <c r="L980" s="1" t="s">
        <v>5198</v>
      </c>
      <c r="M980" s="1" t="s">
        <v>718</v>
      </c>
    </row>
    <row r="981" customFormat="false" ht="15" hidden="false" customHeight="false" outlineLevel="0" collapsed="false">
      <c r="A981" s="1" t="s">
        <v>5199</v>
      </c>
      <c r="B981" s="1" t="s">
        <v>5200</v>
      </c>
      <c r="C981" s="1" t="s">
        <v>5201</v>
      </c>
      <c r="D981" s="2" t="n">
        <v>34986</v>
      </c>
      <c r="E981" s="1" t="s">
        <v>710</v>
      </c>
      <c r="F981" s="1" t="s">
        <v>711</v>
      </c>
      <c r="G981" s="1" t="s">
        <v>712</v>
      </c>
      <c r="H981" s="1" t="s">
        <v>713</v>
      </c>
      <c r="I981" s="1" t="s">
        <v>714</v>
      </c>
      <c r="J981" s="1" t="s">
        <v>1398</v>
      </c>
      <c r="K981" s="1" t="s">
        <v>716</v>
      </c>
      <c r="L981" s="1" t="s">
        <v>1041</v>
      </c>
      <c r="M981" s="1" t="s">
        <v>718</v>
      </c>
    </row>
    <row r="982" customFormat="false" ht="15" hidden="false" customHeight="false" outlineLevel="0" collapsed="false">
      <c r="A982" s="1" t="s">
        <v>5202</v>
      </c>
      <c r="B982" s="1" t="s">
        <v>5203</v>
      </c>
      <c r="C982" s="1" t="s">
        <v>3892</v>
      </c>
      <c r="D982" s="2" t="n">
        <v>35137</v>
      </c>
      <c r="E982" s="1" t="s">
        <v>763</v>
      </c>
      <c r="F982" s="1" t="s">
        <v>711</v>
      </c>
      <c r="G982" s="1" t="s">
        <v>722</v>
      </c>
      <c r="H982" s="1" t="s">
        <v>713</v>
      </c>
      <c r="I982" s="1" t="s">
        <v>714</v>
      </c>
      <c r="J982" s="1" t="s">
        <v>1244</v>
      </c>
      <c r="K982" s="1" t="s">
        <v>716</v>
      </c>
      <c r="L982" s="1" t="s">
        <v>5204</v>
      </c>
      <c r="M982" s="1" t="s">
        <v>718</v>
      </c>
    </row>
    <row r="983" customFormat="false" ht="15" hidden="false" customHeight="false" outlineLevel="0" collapsed="false">
      <c r="A983" s="1" t="s">
        <v>5205</v>
      </c>
      <c r="B983" s="1" t="s">
        <v>5206</v>
      </c>
      <c r="C983" s="1" t="s">
        <v>5207</v>
      </c>
      <c r="D983" s="2" t="n">
        <v>35148</v>
      </c>
      <c r="E983" s="1" t="s">
        <v>763</v>
      </c>
      <c r="F983" s="1" t="s">
        <v>711</v>
      </c>
      <c r="G983" s="1" t="s">
        <v>712</v>
      </c>
      <c r="H983" s="1" t="s">
        <v>713</v>
      </c>
      <c r="I983" s="1" t="s">
        <v>714</v>
      </c>
      <c r="J983" s="1" t="s">
        <v>1131</v>
      </c>
      <c r="K983" s="1" t="s">
        <v>5208</v>
      </c>
      <c r="L983" s="1" t="s">
        <v>2059</v>
      </c>
      <c r="M983" s="1" t="s">
        <v>718</v>
      </c>
    </row>
    <row r="984" customFormat="false" ht="15" hidden="false" customHeight="false" outlineLevel="0" collapsed="false">
      <c r="A984" s="1" t="s">
        <v>5209</v>
      </c>
      <c r="B984" s="1" t="s">
        <v>5176</v>
      </c>
      <c r="C984" s="1" t="s">
        <v>5210</v>
      </c>
      <c r="D984" s="2" t="n">
        <v>34482</v>
      </c>
      <c r="E984" s="1" t="s">
        <v>710</v>
      </c>
      <c r="F984" s="1" t="s">
        <v>711</v>
      </c>
      <c r="G984" s="1" t="s">
        <v>712</v>
      </c>
      <c r="H984" s="1" t="s">
        <v>713</v>
      </c>
      <c r="I984" s="1" t="s">
        <v>714</v>
      </c>
      <c r="J984" s="1" t="s">
        <v>5211</v>
      </c>
      <c r="K984" s="1" t="s">
        <v>5212</v>
      </c>
      <c r="L984" s="1" t="s">
        <v>5213</v>
      </c>
      <c r="M984" s="1" t="s">
        <v>718</v>
      </c>
    </row>
    <row r="985" customFormat="false" ht="15" hidden="false" customHeight="false" outlineLevel="0" collapsed="false">
      <c r="A985" s="1" t="s">
        <v>5214</v>
      </c>
      <c r="B985" s="1" t="s">
        <v>5215</v>
      </c>
      <c r="C985" s="1" t="s">
        <v>4270</v>
      </c>
      <c r="D985" s="2" t="n">
        <v>34905</v>
      </c>
      <c r="E985" s="1" t="s">
        <v>710</v>
      </c>
      <c r="F985" s="1" t="s">
        <v>711</v>
      </c>
      <c r="G985" s="1" t="s">
        <v>722</v>
      </c>
      <c r="H985" s="1" t="s">
        <v>713</v>
      </c>
      <c r="I985" s="1" t="s">
        <v>714</v>
      </c>
      <c r="J985" s="1" t="s">
        <v>1131</v>
      </c>
      <c r="K985" s="1" t="s">
        <v>5216</v>
      </c>
      <c r="L985" s="1" t="s">
        <v>4273</v>
      </c>
      <c r="M985" s="1" t="s">
        <v>718</v>
      </c>
    </row>
    <row r="986" customFormat="false" ht="15" hidden="false" customHeight="false" outlineLevel="0" collapsed="false">
      <c r="A986" s="1" t="s">
        <v>5217</v>
      </c>
      <c r="B986" s="1" t="s">
        <v>5218</v>
      </c>
      <c r="C986" s="1" t="s">
        <v>3314</v>
      </c>
      <c r="D986" s="2" t="n">
        <v>34960</v>
      </c>
      <c r="E986" s="1" t="s">
        <v>763</v>
      </c>
      <c r="F986" s="1" t="s">
        <v>711</v>
      </c>
      <c r="G986" s="1" t="s">
        <v>722</v>
      </c>
      <c r="H986" s="1" t="s">
        <v>713</v>
      </c>
      <c r="I986" s="1" t="s">
        <v>714</v>
      </c>
      <c r="J986" s="1" t="s">
        <v>1505</v>
      </c>
      <c r="K986" s="1" t="s">
        <v>5219</v>
      </c>
      <c r="L986" s="1" t="s">
        <v>3316</v>
      </c>
      <c r="M986" s="1" t="s">
        <v>718</v>
      </c>
    </row>
    <row r="987" customFormat="false" ht="15" hidden="false" customHeight="false" outlineLevel="0" collapsed="false">
      <c r="A987" s="1" t="s">
        <v>5220</v>
      </c>
      <c r="B987" s="1" t="s">
        <v>5221</v>
      </c>
      <c r="C987" s="1" t="s">
        <v>5222</v>
      </c>
      <c r="D987" s="2" t="n">
        <v>35130</v>
      </c>
      <c r="E987" s="1" t="s">
        <v>763</v>
      </c>
      <c r="F987" s="1" t="s">
        <v>711</v>
      </c>
      <c r="G987" s="1" t="s">
        <v>712</v>
      </c>
      <c r="H987" s="1" t="s">
        <v>713</v>
      </c>
      <c r="I987" s="1" t="s">
        <v>714</v>
      </c>
      <c r="J987" s="1" t="s">
        <v>1505</v>
      </c>
      <c r="K987" s="1" t="s">
        <v>5223</v>
      </c>
      <c r="L987" s="1" t="s">
        <v>5224</v>
      </c>
      <c r="M987" s="1" t="s">
        <v>718</v>
      </c>
    </row>
    <row r="988" customFormat="false" ht="15" hidden="false" customHeight="false" outlineLevel="0" collapsed="false">
      <c r="A988" s="1" t="s">
        <v>5225</v>
      </c>
      <c r="B988" s="1" t="s">
        <v>5226</v>
      </c>
      <c r="C988" s="1" t="s">
        <v>5227</v>
      </c>
      <c r="D988" s="2" t="n">
        <v>35135</v>
      </c>
      <c r="E988" s="1" t="s">
        <v>763</v>
      </c>
      <c r="F988" s="1" t="s">
        <v>711</v>
      </c>
      <c r="G988" s="1" t="s">
        <v>712</v>
      </c>
      <c r="H988" s="1" t="s">
        <v>713</v>
      </c>
      <c r="I988" s="1" t="s">
        <v>714</v>
      </c>
      <c r="J988" s="1" t="s">
        <v>4756</v>
      </c>
      <c r="K988" s="1" t="s">
        <v>5228</v>
      </c>
      <c r="L988" s="1" t="s">
        <v>5229</v>
      </c>
      <c r="M988" s="1" t="s">
        <v>718</v>
      </c>
    </row>
    <row r="989" customFormat="false" ht="15" hidden="false" customHeight="false" outlineLevel="0" collapsed="false">
      <c r="A989" s="1" t="s">
        <v>5230</v>
      </c>
      <c r="B989" s="1" t="s">
        <v>5231</v>
      </c>
      <c r="C989" s="1" t="s">
        <v>5232</v>
      </c>
      <c r="D989" s="2" t="n">
        <v>34857</v>
      </c>
      <c r="E989" s="1" t="s">
        <v>763</v>
      </c>
      <c r="F989" s="1" t="s">
        <v>711</v>
      </c>
      <c r="G989" s="1" t="s">
        <v>722</v>
      </c>
      <c r="H989" s="1" t="s">
        <v>713</v>
      </c>
      <c r="I989" s="1" t="s">
        <v>714</v>
      </c>
      <c r="J989" s="1" t="s">
        <v>978</v>
      </c>
      <c r="K989" s="1" t="s">
        <v>716</v>
      </c>
      <c r="L989" s="1" t="s">
        <v>3472</v>
      </c>
      <c r="M989" s="1" t="s">
        <v>718</v>
      </c>
    </row>
    <row r="990" customFormat="false" ht="15" hidden="false" customHeight="false" outlineLevel="0" collapsed="false">
      <c r="A990" s="1" t="s">
        <v>5233</v>
      </c>
      <c r="B990" s="1" t="s">
        <v>5234</v>
      </c>
      <c r="C990" s="1" t="s">
        <v>1469</v>
      </c>
      <c r="D990" s="2" t="n">
        <v>35115</v>
      </c>
      <c r="E990" s="1" t="s">
        <v>710</v>
      </c>
      <c r="F990" s="1" t="s">
        <v>711</v>
      </c>
      <c r="G990" s="1" t="s">
        <v>722</v>
      </c>
      <c r="H990" s="1" t="s">
        <v>713</v>
      </c>
      <c r="I990" s="1" t="s">
        <v>714</v>
      </c>
      <c r="J990" s="1" t="s">
        <v>1131</v>
      </c>
      <c r="K990" s="1" t="s">
        <v>5235</v>
      </c>
      <c r="L990" s="1" t="s">
        <v>1470</v>
      </c>
      <c r="M990" s="1" t="s">
        <v>718</v>
      </c>
    </row>
    <row r="991" customFormat="false" ht="15" hidden="false" customHeight="false" outlineLevel="0" collapsed="false">
      <c r="A991" s="1" t="s">
        <v>5236</v>
      </c>
      <c r="B991" s="1" t="s">
        <v>5237</v>
      </c>
      <c r="C991" s="1" t="s">
        <v>5238</v>
      </c>
      <c r="D991" s="2" t="n">
        <v>35245</v>
      </c>
      <c r="E991" s="1" t="s">
        <v>763</v>
      </c>
      <c r="F991" s="1" t="s">
        <v>711</v>
      </c>
      <c r="G991" s="1" t="s">
        <v>712</v>
      </c>
      <c r="H991" s="1" t="s">
        <v>713</v>
      </c>
      <c r="I991" s="1" t="s">
        <v>714</v>
      </c>
      <c r="J991" s="1" t="s">
        <v>928</v>
      </c>
      <c r="K991" s="1" t="s">
        <v>5239</v>
      </c>
      <c r="L991" s="1" t="s">
        <v>5240</v>
      </c>
      <c r="M991" s="1" t="s">
        <v>718</v>
      </c>
    </row>
    <row r="992" customFormat="false" ht="15" hidden="false" customHeight="false" outlineLevel="0" collapsed="false">
      <c r="A992" s="1" t="s">
        <v>5241</v>
      </c>
      <c r="B992" s="1" t="s">
        <v>5242</v>
      </c>
      <c r="C992" s="1" t="s">
        <v>5243</v>
      </c>
      <c r="D992" s="2" t="n">
        <v>35224</v>
      </c>
      <c r="E992" s="1" t="s">
        <v>763</v>
      </c>
      <c r="F992" s="1" t="s">
        <v>711</v>
      </c>
      <c r="G992" s="1" t="s">
        <v>722</v>
      </c>
      <c r="H992" s="1" t="s">
        <v>713</v>
      </c>
      <c r="I992" s="1" t="s">
        <v>714</v>
      </c>
      <c r="J992" s="1" t="s">
        <v>832</v>
      </c>
      <c r="K992" s="1" t="s">
        <v>5244</v>
      </c>
      <c r="L992" s="1" t="s">
        <v>3525</v>
      </c>
      <c r="M992" s="1" t="s">
        <v>718</v>
      </c>
    </row>
    <row r="993" customFormat="false" ht="15" hidden="false" customHeight="false" outlineLevel="0" collapsed="false">
      <c r="A993" s="1" t="s">
        <v>5245</v>
      </c>
      <c r="B993" s="1" t="s">
        <v>5246</v>
      </c>
      <c r="C993" s="1" t="s">
        <v>5247</v>
      </c>
      <c r="D993" s="2" t="n">
        <v>35030</v>
      </c>
      <c r="E993" s="1" t="s">
        <v>710</v>
      </c>
      <c r="F993" s="1" t="s">
        <v>711</v>
      </c>
      <c r="G993" s="1" t="s">
        <v>722</v>
      </c>
      <c r="H993" s="1" t="s">
        <v>713</v>
      </c>
      <c r="I993" s="1" t="s">
        <v>714</v>
      </c>
      <c r="J993" s="1" t="s">
        <v>838</v>
      </c>
      <c r="K993" s="1" t="s">
        <v>5248</v>
      </c>
      <c r="L993" s="1" t="s">
        <v>5249</v>
      </c>
      <c r="M993" s="1" t="s">
        <v>718</v>
      </c>
    </row>
    <row r="994" customFormat="false" ht="15" hidden="false" customHeight="false" outlineLevel="0" collapsed="false">
      <c r="A994" s="1" t="s">
        <v>5250</v>
      </c>
      <c r="B994" s="1" t="s">
        <v>5251</v>
      </c>
      <c r="C994" s="1" t="s">
        <v>3656</v>
      </c>
      <c r="D994" s="2" t="n">
        <v>35027</v>
      </c>
      <c r="E994" s="1" t="s">
        <v>710</v>
      </c>
      <c r="F994" s="1" t="s">
        <v>711</v>
      </c>
      <c r="G994" s="1" t="s">
        <v>722</v>
      </c>
      <c r="H994" s="1" t="s">
        <v>713</v>
      </c>
      <c r="I994" s="1" t="s">
        <v>714</v>
      </c>
      <c r="J994" s="1" t="s">
        <v>4756</v>
      </c>
      <c r="K994" s="1" t="s">
        <v>5252</v>
      </c>
      <c r="L994" s="1" t="s">
        <v>5253</v>
      </c>
      <c r="M994" s="1" t="s">
        <v>718</v>
      </c>
    </row>
    <row r="995" customFormat="false" ht="15" hidden="false" customHeight="false" outlineLevel="0" collapsed="false">
      <c r="A995" s="1" t="s">
        <v>5254</v>
      </c>
      <c r="B995" s="1" t="s">
        <v>5255</v>
      </c>
      <c r="C995" s="1" t="s">
        <v>5256</v>
      </c>
      <c r="D995" s="2" t="n">
        <v>35139</v>
      </c>
      <c r="E995" s="1" t="s">
        <v>763</v>
      </c>
      <c r="F995" s="1" t="s">
        <v>711</v>
      </c>
      <c r="G995" s="1" t="s">
        <v>722</v>
      </c>
      <c r="H995" s="1" t="s">
        <v>713</v>
      </c>
      <c r="I995" s="1" t="s">
        <v>714</v>
      </c>
      <c r="J995" s="1" t="s">
        <v>1172</v>
      </c>
      <c r="K995" s="1" t="s">
        <v>2569</v>
      </c>
      <c r="L995" s="1" t="s">
        <v>5257</v>
      </c>
      <c r="M995" s="1" t="s">
        <v>718</v>
      </c>
    </row>
    <row r="996" customFormat="false" ht="15" hidden="false" customHeight="false" outlineLevel="0" collapsed="false">
      <c r="A996" s="1" t="s">
        <v>5258</v>
      </c>
      <c r="B996" s="1" t="s">
        <v>5259</v>
      </c>
      <c r="C996" s="1" t="s">
        <v>5260</v>
      </c>
      <c r="D996" s="2" t="n">
        <v>35129</v>
      </c>
      <c r="E996" s="1" t="s">
        <v>710</v>
      </c>
      <c r="F996" s="1" t="s">
        <v>711</v>
      </c>
      <c r="G996" s="1" t="s">
        <v>5261</v>
      </c>
      <c r="H996" s="1" t="s">
        <v>5262</v>
      </c>
      <c r="I996" s="1" t="s">
        <v>1575</v>
      </c>
      <c r="J996" s="1" t="s">
        <v>1131</v>
      </c>
      <c r="K996" s="1" t="s">
        <v>5263</v>
      </c>
      <c r="L996" s="1" t="s">
        <v>5264</v>
      </c>
      <c r="M996" s="1" t="s">
        <v>718</v>
      </c>
    </row>
    <row r="997" customFormat="false" ht="15" hidden="false" customHeight="false" outlineLevel="0" collapsed="false">
      <c r="A997" s="1" t="s">
        <v>5265</v>
      </c>
      <c r="B997" s="1" t="s">
        <v>5266</v>
      </c>
      <c r="C997" s="1" t="s">
        <v>5267</v>
      </c>
      <c r="D997" s="2" t="n">
        <v>34489</v>
      </c>
      <c r="E997" s="1" t="s">
        <v>710</v>
      </c>
      <c r="F997" s="1" t="s">
        <v>711</v>
      </c>
      <c r="G997" s="1" t="s">
        <v>712</v>
      </c>
      <c r="H997" s="1" t="s">
        <v>713</v>
      </c>
      <c r="I997" s="1" t="s">
        <v>714</v>
      </c>
      <c r="J997" s="1" t="s">
        <v>3678</v>
      </c>
      <c r="K997" s="1" t="s">
        <v>716</v>
      </c>
      <c r="L997" s="1" t="s">
        <v>5268</v>
      </c>
      <c r="M997" s="1" t="s">
        <v>718</v>
      </c>
    </row>
    <row r="998" customFormat="false" ht="15" hidden="false" customHeight="false" outlineLevel="0" collapsed="false">
      <c r="A998" s="1" t="s">
        <v>5269</v>
      </c>
      <c r="B998" s="1" t="s">
        <v>5270</v>
      </c>
      <c r="C998" s="1" t="s">
        <v>5271</v>
      </c>
      <c r="D998" s="2" t="n">
        <v>34466</v>
      </c>
      <c r="E998" s="1" t="s">
        <v>763</v>
      </c>
      <c r="F998" s="1" t="s">
        <v>711</v>
      </c>
      <c r="G998" s="1" t="s">
        <v>722</v>
      </c>
      <c r="H998" s="1" t="s">
        <v>713</v>
      </c>
      <c r="I998" s="1" t="s">
        <v>714</v>
      </c>
      <c r="J998" s="1" t="s">
        <v>5272</v>
      </c>
      <c r="K998" s="1" t="s">
        <v>5273</v>
      </c>
      <c r="L998" s="1" t="s">
        <v>5274</v>
      </c>
      <c r="M998" s="1" t="s">
        <v>718</v>
      </c>
    </row>
    <row r="999" customFormat="false" ht="15" hidden="false" customHeight="false" outlineLevel="0" collapsed="false">
      <c r="A999" s="1" t="s">
        <v>5275</v>
      </c>
      <c r="B999" s="1" t="s">
        <v>5276</v>
      </c>
      <c r="C999" s="1" t="s">
        <v>5097</v>
      </c>
      <c r="D999" s="2" t="n">
        <v>35191</v>
      </c>
      <c r="E999" s="1" t="s">
        <v>763</v>
      </c>
      <c r="F999" s="1" t="s">
        <v>711</v>
      </c>
      <c r="G999" s="1" t="s">
        <v>712</v>
      </c>
      <c r="H999" s="1" t="s">
        <v>713</v>
      </c>
      <c r="I999" s="1" t="s">
        <v>714</v>
      </c>
      <c r="J999" s="1" t="s">
        <v>716</v>
      </c>
      <c r="K999" s="1" t="s">
        <v>5277</v>
      </c>
      <c r="L999" s="1" t="s">
        <v>5100</v>
      </c>
      <c r="M999" s="1" t="s">
        <v>718</v>
      </c>
    </row>
    <row r="1000" customFormat="false" ht="15" hidden="false" customHeight="false" outlineLevel="0" collapsed="false">
      <c r="A1000" s="1" t="s">
        <v>5278</v>
      </c>
      <c r="B1000" s="1" t="s">
        <v>5279</v>
      </c>
      <c r="C1000" s="1" t="s">
        <v>5280</v>
      </c>
      <c r="D1000" s="2" t="n">
        <v>35296</v>
      </c>
      <c r="E1000" s="1" t="s">
        <v>763</v>
      </c>
      <c r="F1000" s="1" t="s">
        <v>711</v>
      </c>
      <c r="G1000" s="1" t="s">
        <v>722</v>
      </c>
      <c r="H1000" s="1" t="s">
        <v>713</v>
      </c>
      <c r="I1000" s="1" t="s">
        <v>714</v>
      </c>
      <c r="J1000" s="1" t="s">
        <v>1723</v>
      </c>
      <c r="K1000" s="1" t="s">
        <v>716</v>
      </c>
      <c r="L1000" s="1" t="s">
        <v>5281</v>
      </c>
      <c r="M1000" s="1" t="s">
        <v>718</v>
      </c>
    </row>
    <row r="1001" customFormat="false" ht="15" hidden="false" customHeight="false" outlineLevel="0" collapsed="false">
      <c r="A1001" s="1" t="s">
        <v>5282</v>
      </c>
      <c r="B1001" s="1" t="s">
        <v>5283</v>
      </c>
      <c r="C1001" s="1" t="s">
        <v>2411</v>
      </c>
      <c r="D1001" s="2" t="n">
        <v>35324</v>
      </c>
      <c r="E1001" s="1" t="s">
        <v>763</v>
      </c>
      <c r="F1001" s="1" t="s">
        <v>711</v>
      </c>
      <c r="G1001" s="1" t="s">
        <v>722</v>
      </c>
      <c r="H1001" s="1" t="s">
        <v>713</v>
      </c>
      <c r="I1001" s="1" t="s">
        <v>714</v>
      </c>
      <c r="J1001" s="1" t="s">
        <v>715</v>
      </c>
      <c r="K1001" s="1" t="s">
        <v>5284</v>
      </c>
      <c r="L1001" s="1" t="s">
        <v>5285</v>
      </c>
      <c r="M1001" s="1" t="s">
        <v>718</v>
      </c>
    </row>
    <row r="1002" customFormat="false" ht="15" hidden="false" customHeight="false" outlineLevel="0" collapsed="false">
      <c r="A1002" s="1" t="s">
        <v>5286</v>
      </c>
      <c r="B1002" s="1" t="s">
        <v>5287</v>
      </c>
      <c r="C1002" s="1" t="s">
        <v>5288</v>
      </c>
      <c r="D1002" s="2" t="n">
        <v>34745</v>
      </c>
      <c r="E1002" s="1" t="s">
        <v>763</v>
      </c>
      <c r="F1002" s="1" t="s">
        <v>711</v>
      </c>
      <c r="G1002" s="1" t="s">
        <v>712</v>
      </c>
      <c r="H1002" s="1" t="s">
        <v>713</v>
      </c>
      <c r="I1002" s="1" t="s">
        <v>714</v>
      </c>
      <c r="J1002" s="1" t="s">
        <v>715</v>
      </c>
      <c r="K1002" s="1" t="s">
        <v>5289</v>
      </c>
      <c r="L1002" s="1" t="s">
        <v>5290</v>
      </c>
      <c r="M1002" s="1" t="s">
        <v>718</v>
      </c>
    </row>
    <row r="1003" customFormat="false" ht="15" hidden="false" customHeight="false" outlineLevel="0" collapsed="false">
      <c r="A1003" s="1" t="s">
        <v>5291</v>
      </c>
      <c r="B1003" s="1" t="s">
        <v>5292</v>
      </c>
      <c r="C1003" s="1" t="s">
        <v>5293</v>
      </c>
      <c r="D1003" s="2" t="n">
        <v>35269</v>
      </c>
      <c r="E1003" s="1" t="s">
        <v>763</v>
      </c>
      <c r="F1003" s="1" t="s">
        <v>711</v>
      </c>
      <c r="G1003" s="1" t="s">
        <v>722</v>
      </c>
      <c r="H1003" s="1" t="s">
        <v>713</v>
      </c>
      <c r="I1003" s="1" t="s">
        <v>714</v>
      </c>
      <c r="J1003" s="1" t="s">
        <v>715</v>
      </c>
      <c r="K1003" s="1" t="s">
        <v>716</v>
      </c>
      <c r="L1003" s="1" t="s">
        <v>5294</v>
      </c>
      <c r="M1003" s="1" t="s">
        <v>718</v>
      </c>
    </row>
    <row r="1004" customFormat="false" ht="15" hidden="false" customHeight="false" outlineLevel="0" collapsed="false">
      <c r="A1004" s="1" t="s">
        <v>5295</v>
      </c>
      <c r="B1004" s="1" t="s">
        <v>5296</v>
      </c>
      <c r="C1004" s="1" t="s">
        <v>5297</v>
      </c>
      <c r="D1004" s="2" t="n">
        <v>35327</v>
      </c>
      <c r="E1004" s="1" t="s">
        <v>763</v>
      </c>
      <c r="F1004" s="1" t="s">
        <v>711</v>
      </c>
      <c r="G1004" s="1" t="s">
        <v>5298</v>
      </c>
      <c r="H1004" s="1" t="s">
        <v>5299</v>
      </c>
      <c r="I1004" s="1" t="s">
        <v>5300</v>
      </c>
      <c r="J1004" s="1" t="s">
        <v>821</v>
      </c>
      <c r="K1004" s="1" t="s">
        <v>5301</v>
      </c>
      <c r="L1004" s="1" t="s">
        <v>5302</v>
      </c>
      <c r="M1004" s="1" t="s">
        <v>718</v>
      </c>
    </row>
    <row r="1005" customFormat="false" ht="15" hidden="false" customHeight="false" outlineLevel="0" collapsed="false">
      <c r="A1005" s="1" t="s">
        <v>5303</v>
      </c>
      <c r="B1005" s="1" t="s">
        <v>5304</v>
      </c>
      <c r="C1005" s="1" t="s">
        <v>2360</v>
      </c>
      <c r="D1005" s="2" t="n">
        <v>35298</v>
      </c>
      <c r="E1005" s="1" t="s">
        <v>763</v>
      </c>
      <c r="F1005" s="1" t="s">
        <v>711</v>
      </c>
      <c r="G1005" s="1" t="s">
        <v>5305</v>
      </c>
      <c r="H1005" s="1" t="s">
        <v>713</v>
      </c>
      <c r="I1005" s="1" t="s">
        <v>714</v>
      </c>
      <c r="J1005" s="1" t="s">
        <v>1530</v>
      </c>
      <c r="K1005" s="1" t="s">
        <v>2361</v>
      </c>
      <c r="L1005" s="1" t="s">
        <v>2362</v>
      </c>
      <c r="M1005" s="1" t="s">
        <v>718</v>
      </c>
    </row>
    <row r="1006" customFormat="false" ht="15" hidden="false" customHeight="false" outlineLevel="0" collapsed="false">
      <c r="A1006" s="1" t="s">
        <v>5306</v>
      </c>
      <c r="B1006" s="1" t="s">
        <v>5307</v>
      </c>
      <c r="C1006" s="1" t="s">
        <v>5308</v>
      </c>
      <c r="D1006" s="2" t="n">
        <v>34886</v>
      </c>
      <c r="E1006" s="1" t="s">
        <v>763</v>
      </c>
      <c r="F1006" s="1" t="s">
        <v>711</v>
      </c>
      <c r="G1006" s="1" t="s">
        <v>722</v>
      </c>
      <c r="H1006" s="1" t="s">
        <v>713</v>
      </c>
      <c r="I1006" s="1" t="s">
        <v>714</v>
      </c>
      <c r="J1006" s="1" t="s">
        <v>716</v>
      </c>
      <c r="K1006" s="1" t="s">
        <v>716</v>
      </c>
      <c r="L1006" s="1" t="s">
        <v>5309</v>
      </c>
      <c r="M1006" s="1" t="s">
        <v>718</v>
      </c>
    </row>
    <row r="1007" customFormat="false" ht="15" hidden="false" customHeight="false" outlineLevel="0" collapsed="false">
      <c r="A1007" s="1" t="s">
        <v>5310</v>
      </c>
      <c r="B1007" s="1" t="s">
        <v>5311</v>
      </c>
      <c r="C1007" s="1" t="s">
        <v>5312</v>
      </c>
      <c r="D1007" s="2" t="n">
        <v>35257</v>
      </c>
      <c r="E1007" s="1" t="s">
        <v>763</v>
      </c>
      <c r="F1007" s="1" t="s">
        <v>711</v>
      </c>
      <c r="G1007" s="1" t="s">
        <v>722</v>
      </c>
      <c r="H1007" s="1" t="s">
        <v>713</v>
      </c>
      <c r="I1007" s="1" t="s">
        <v>714</v>
      </c>
      <c r="J1007" s="1" t="s">
        <v>5313</v>
      </c>
      <c r="K1007" s="1" t="s">
        <v>716</v>
      </c>
      <c r="L1007" s="1" t="s">
        <v>5314</v>
      </c>
      <c r="M1007" s="1" t="s">
        <v>718</v>
      </c>
    </row>
    <row r="1008" customFormat="false" ht="15" hidden="false" customHeight="false" outlineLevel="0" collapsed="false">
      <c r="A1008" s="1" t="s">
        <v>5315</v>
      </c>
      <c r="B1008" s="1" t="s">
        <v>5316</v>
      </c>
      <c r="C1008" s="1" t="s">
        <v>5317</v>
      </c>
      <c r="D1008" s="2" t="n">
        <v>35277</v>
      </c>
      <c r="E1008" s="1" t="s">
        <v>763</v>
      </c>
      <c r="F1008" s="1" t="s">
        <v>711</v>
      </c>
      <c r="G1008" s="1" t="s">
        <v>712</v>
      </c>
      <c r="H1008" s="1" t="s">
        <v>713</v>
      </c>
      <c r="I1008" s="1" t="s">
        <v>714</v>
      </c>
      <c r="J1008" s="1" t="s">
        <v>832</v>
      </c>
      <c r="K1008" s="1" t="s">
        <v>5318</v>
      </c>
      <c r="L1008" s="1" t="s">
        <v>5319</v>
      </c>
      <c r="M1008" s="1" t="s">
        <v>718</v>
      </c>
    </row>
    <row r="1009" customFormat="false" ht="15" hidden="false" customHeight="false" outlineLevel="0" collapsed="false">
      <c r="A1009" s="1" t="s">
        <v>5320</v>
      </c>
      <c r="B1009" s="1" t="s">
        <v>5321</v>
      </c>
      <c r="C1009" s="1" t="s">
        <v>5322</v>
      </c>
      <c r="D1009" s="2" t="n">
        <v>35204</v>
      </c>
      <c r="E1009" s="1" t="s">
        <v>763</v>
      </c>
      <c r="F1009" s="1" t="s">
        <v>711</v>
      </c>
      <c r="G1009" s="1" t="s">
        <v>722</v>
      </c>
      <c r="H1009" s="1" t="s">
        <v>713</v>
      </c>
      <c r="I1009" s="1" t="s">
        <v>714</v>
      </c>
      <c r="J1009" s="1" t="s">
        <v>5323</v>
      </c>
      <c r="K1009" s="1" t="s">
        <v>5324</v>
      </c>
      <c r="L1009" s="1" t="s">
        <v>5325</v>
      </c>
      <c r="M1009" s="1" t="s">
        <v>718</v>
      </c>
    </row>
    <row r="1010" customFormat="false" ht="15" hidden="false" customHeight="false" outlineLevel="0" collapsed="false">
      <c r="A1010" s="1" t="s">
        <v>5326</v>
      </c>
      <c r="B1010" s="1" t="s">
        <v>5327</v>
      </c>
      <c r="C1010" s="1" t="s">
        <v>5328</v>
      </c>
      <c r="D1010" s="2" t="n">
        <v>34388</v>
      </c>
      <c r="E1010" s="1" t="s">
        <v>763</v>
      </c>
      <c r="F1010" s="1" t="s">
        <v>711</v>
      </c>
      <c r="G1010" s="1" t="s">
        <v>712</v>
      </c>
      <c r="H1010" s="1" t="s">
        <v>713</v>
      </c>
      <c r="I1010" s="1" t="s">
        <v>714</v>
      </c>
      <c r="J1010" s="1" t="s">
        <v>1055</v>
      </c>
      <c r="K1010" s="1" t="s">
        <v>5329</v>
      </c>
      <c r="L1010" s="1" t="s">
        <v>5330</v>
      </c>
      <c r="M1010" s="1" t="s">
        <v>718</v>
      </c>
    </row>
    <row r="1011" customFormat="false" ht="15" hidden="false" customHeight="false" outlineLevel="0" collapsed="false">
      <c r="A1011" s="1" t="s">
        <v>5331</v>
      </c>
      <c r="B1011" s="1" t="s">
        <v>2650</v>
      </c>
      <c r="C1011" s="1" t="s">
        <v>3265</v>
      </c>
      <c r="D1011" s="2" t="n">
        <v>35257</v>
      </c>
      <c r="E1011" s="1" t="s">
        <v>710</v>
      </c>
      <c r="F1011" s="1" t="s">
        <v>711</v>
      </c>
      <c r="G1011" s="1" t="s">
        <v>712</v>
      </c>
      <c r="H1011" s="1" t="s">
        <v>713</v>
      </c>
      <c r="I1011" s="1" t="s">
        <v>714</v>
      </c>
      <c r="J1011" s="1" t="s">
        <v>838</v>
      </c>
      <c r="K1011" s="1" t="s">
        <v>5332</v>
      </c>
      <c r="L1011" s="1" t="s">
        <v>3268</v>
      </c>
      <c r="M1011" s="1" t="s">
        <v>718</v>
      </c>
    </row>
    <row r="1012" customFormat="false" ht="15" hidden="false" customHeight="false" outlineLevel="0" collapsed="false">
      <c r="A1012" s="1" t="s">
        <v>5333</v>
      </c>
      <c r="B1012" s="1" t="s">
        <v>5334</v>
      </c>
      <c r="C1012" s="1" t="s">
        <v>5335</v>
      </c>
      <c r="D1012" s="2" t="n">
        <v>35353</v>
      </c>
      <c r="E1012" s="1" t="s">
        <v>763</v>
      </c>
      <c r="F1012" s="1" t="s">
        <v>711</v>
      </c>
      <c r="G1012" s="1" t="s">
        <v>722</v>
      </c>
      <c r="H1012" s="1" t="s">
        <v>713</v>
      </c>
      <c r="I1012" s="1" t="s">
        <v>714</v>
      </c>
      <c r="J1012" s="1" t="s">
        <v>2041</v>
      </c>
      <c r="K1012" s="1" t="s">
        <v>5336</v>
      </c>
      <c r="L1012" s="1" t="s">
        <v>5337</v>
      </c>
      <c r="M1012" s="1" t="s">
        <v>718</v>
      </c>
    </row>
    <row r="1013" customFormat="false" ht="15" hidden="false" customHeight="false" outlineLevel="0" collapsed="false">
      <c r="A1013" s="1" t="s">
        <v>5338</v>
      </c>
      <c r="B1013" s="1" t="s">
        <v>2955</v>
      </c>
      <c r="C1013" s="1" t="s">
        <v>3742</v>
      </c>
      <c r="D1013" s="2" t="n">
        <v>35223</v>
      </c>
      <c r="E1013" s="1" t="s">
        <v>710</v>
      </c>
      <c r="F1013" s="1" t="s">
        <v>711</v>
      </c>
      <c r="G1013" s="1" t="s">
        <v>722</v>
      </c>
      <c r="H1013" s="1" t="s">
        <v>713</v>
      </c>
      <c r="I1013" s="1" t="s">
        <v>714</v>
      </c>
      <c r="J1013" s="1" t="s">
        <v>805</v>
      </c>
      <c r="K1013" s="1" t="s">
        <v>5339</v>
      </c>
      <c r="L1013" s="1" t="s">
        <v>1012</v>
      </c>
      <c r="M1013" s="1" t="s">
        <v>718</v>
      </c>
    </row>
    <row r="1014" customFormat="false" ht="15" hidden="false" customHeight="false" outlineLevel="0" collapsed="false">
      <c r="A1014" s="1" t="s">
        <v>5340</v>
      </c>
      <c r="B1014" s="1" t="s">
        <v>5341</v>
      </c>
      <c r="C1014" s="1" t="s">
        <v>1455</v>
      </c>
      <c r="D1014" s="2" t="n">
        <v>35208</v>
      </c>
      <c r="E1014" s="1" t="s">
        <v>710</v>
      </c>
      <c r="F1014" s="1" t="s">
        <v>711</v>
      </c>
      <c r="G1014" s="1" t="s">
        <v>722</v>
      </c>
      <c r="H1014" s="1" t="s">
        <v>713</v>
      </c>
      <c r="I1014" s="1" t="s">
        <v>714</v>
      </c>
      <c r="J1014" s="1" t="s">
        <v>5342</v>
      </c>
      <c r="K1014" s="1" t="s">
        <v>716</v>
      </c>
      <c r="L1014" s="1" t="s">
        <v>3477</v>
      </c>
      <c r="M1014" s="1" t="s">
        <v>718</v>
      </c>
    </row>
    <row r="1015" customFormat="false" ht="15" hidden="false" customHeight="false" outlineLevel="0" collapsed="false">
      <c r="A1015" s="1" t="s">
        <v>5343</v>
      </c>
      <c r="B1015" s="1" t="s">
        <v>5344</v>
      </c>
      <c r="C1015" s="1" t="s">
        <v>5345</v>
      </c>
      <c r="D1015" s="2" t="n">
        <v>35144</v>
      </c>
      <c r="E1015" s="1" t="s">
        <v>763</v>
      </c>
      <c r="F1015" s="1" t="s">
        <v>711</v>
      </c>
      <c r="G1015" s="1" t="s">
        <v>712</v>
      </c>
      <c r="H1015" s="1" t="s">
        <v>713</v>
      </c>
      <c r="I1015" s="1" t="s">
        <v>714</v>
      </c>
      <c r="J1015" s="1" t="s">
        <v>5323</v>
      </c>
      <c r="K1015" s="1" t="s">
        <v>5346</v>
      </c>
      <c r="L1015" s="1" t="s">
        <v>5347</v>
      </c>
      <c r="M1015" s="1" t="s">
        <v>718</v>
      </c>
    </row>
    <row r="1016" customFormat="false" ht="15" hidden="false" customHeight="false" outlineLevel="0" collapsed="false">
      <c r="A1016" s="1" t="s">
        <v>5348</v>
      </c>
      <c r="B1016" s="1" t="s">
        <v>5349</v>
      </c>
      <c r="C1016" s="1" t="s">
        <v>3056</v>
      </c>
      <c r="D1016" s="2" t="n">
        <v>35225</v>
      </c>
      <c r="E1016" s="1" t="s">
        <v>763</v>
      </c>
      <c r="F1016" s="1" t="s">
        <v>711</v>
      </c>
      <c r="G1016" s="1" t="s">
        <v>722</v>
      </c>
      <c r="H1016" s="1" t="s">
        <v>713</v>
      </c>
      <c r="I1016" s="1" t="s">
        <v>714</v>
      </c>
      <c r="J1016" s="1" t="s">
        <v>729</v>
      </c>
      <c r="K1016" s="1" t="s">
        <v>5350</v>
      </c>
      <c r="L1016" s="1" t="s">
        <v>3993</v>
      </c>
      <c r="M1016" s="1" t="s">
        <v>718</v>
      </c>
    </row>
    <row r="1017" customFormat="false" ht="15" hidden="false" customHeight="false" outlineLevel="0" collapsed="false">
      <c r="A1017" s="1" t="s">
        <v>5351</v>
      </c>
      <c r="B1017" s="1" t="s">
        <v>5352</v>
      </c>
      <c r="C1017" s="1" t="s">
        <v>5353</v>
      </c>
      <c r="D1017" s="2" t="n">
        <v>35238</v>
      </c>
      <c r="E1017" s="1" t="s">
        <v>763</v>
      </c>
      <c r="F1017" s="1" t="s">
        <v>711</v>
      </c>
      <c r="G1017" s="1" t="s">
        <v>712</v>
      </c>
      <c r="H1017" s="1" t="s">
        <v>713</v>
      </c>
      <c r="I1017" s="1" t="s">
        <v>714</v>
      </c>
      <c r="J1017" s="1" t="s">
        <v>1055</v>
      </c>
      <c r="K1017" s="1" t="s">
        <v>5354</v>
      </c>
      <c r="L1017" s="1" t="s">
        <v>5355</v>
      </c>
      <c r="M1017" s="1" t="s">
        <v>718</v>
      </c>
    </row>
    <row r="1018" customFormat="false" ht="15" hidden="false" customHeight="false" outlineLevel="0" collapsed="false">
      <c r="A1018" s="1" t="s">
        <v>5356</v>
      </c>
      <c r="B1018" s="1" t="s">
        <v>5357</v>
      </c>
      <c r="C1018" s="1" t="s">
        <v>5358</v>
      </c>
      <c r="D1018" s="2" t="n">
        <v>35182</v>
      </c>
      <c r="E1018" s="1" t="s">
        <v>763</v>
      </c>
      <c r="F1018" s="1" t="s">
        <v>711</v>
      </c>
      <c r="G1018" s="1" t="s">
        <v>5359</v>
      </c>
      <c r="H1018" s="1" t="s">
        <v>5360</v>
      </c>
      <c r="I1018" s="1" t="s">
        <v>5361</v>
      </c>
      <c r="J1018" s="1" t="s">
        <v>5362</v>
      </c>
      <c r="K1018" s="1" t="s">
        <v>5363</v>
      </c>
      <c r="L1018" s="1" t="s">
        <v>5364</v>
      </c>
      <c r="M1018" s="1" t="s">
        <v>718</v>
      </c>
    </row>
    <row r="1019" customFormat="false" ht="15" hidden="false" customHeight="false" outlineLevel="0" collapsed="false">
      <c r="A1019" s="1" t="s">
        <v>5365</v>
      </c>
      <c r="B1019" s="1" t="s">
        <v>5366</v>
      </c>
      <c r="C1019" s="1" t="s">
        <v>4721</v>
      </c>
      <c r="D1019" s="2" t="n">
        <v>34935</v>
      </c>
      <c r="E1019" s="1" t="s">
        <v>763</v>
      </c>
      <c r="F1019" s="1" t="s">
        <v>711</v>
      </c>
      <c r="G1019" s="1" t="s">
        <v>722</v>
      </c>
      <c r="H1019" s="1" t="s">
        <v>713</v>
      </c>
      <c r="I1019" s="1" t="s">
        <v>714</v>
      </c>
      <c r="J1019" s="1" t="s">
        <v>870</v>
      </c>
      <c r="K1019" s="1" t="s">
        <v>4722</v>
      </c>
      <c r="L1019" s="1" t="s">
        <v>4723</v>
      </c>
      <c r="M1019" s="1" t="s">
        <v>718</v>
      </c>
    </row>
    <row r="1020" customFormat="false" ht="15" hidden="false" customHeight="false" outlineLevel="0" collapsed="false">
      <c r="A1020" s="1" t="s">
        <v>5367</v>
      </c>
      <c r="B1020" s="1" t="s">
        <v>5368</v>
      </c>
      <c r="C1020" s="1" t="s">
        <v>5369</v>
      </c>
      <c r="D1020" s="2" t="n">
        <v>35327</v>
      </c>
      <c r="E1020" s="1" t="s">
        <v>763</v>
      </c>
      <c r="F1020" s="1" t="s">
        <v>711</v>
      </c>
      <c r="G1020" s="1" t="s">
        <v>712</v>
      </c>
      <c r="H1020" s="1" t="s">
        <v>713</v>
      </c>
      <c r="I1020" s="1" t="s">
        <v>714</v>
      </c>
      <c r="J1020" s="1" t="s">
        <v>821</v>
      </c>
      <c r="K1020" s="1" t="s">
        <v>5370</v>
      </c>
      <c r="L1020" s="1" t="s">
        <v>4213</v>
      </c>
      <c r="M1020" s="1" t="s">
        <v>718</v>
      </c>
    </row>
    <row r="1021" customFormat="false" ht="15" hidden="false" customHeight="false" outlineLevel="0" collapsed="false">
      <c r="A1021" s="1" t="s">
        <v>5371</v>
      </c>
      <c r="B1021" s="1" t="s">
        <v>5372</v>
      </c>
      <c r="C1021" s="1" t="s">
        <v>5373</v>
      </c>
      <c r="D1021" s="2" t="n">
        <v>35210</v>
      </c>
      <c r="E1021" s="1" t="s">
        <v>763</v>
      </c>
      <c r="F1021" s="1" t="s">
        <v>711</v>
      </c>
      <c r="G1021" s="1" t="s">
        <v>722</v>
      </c>
      <c r="H1021" s="1" t="s">
        <v>713</v>
      </c>
      <c r="I1021" s="1" t="s">
        <v>714</v>
      </c>
      <c r="J1021" s="1" t="s">
        <v>5323</v>
      </c>
      <c r="K1021" s="1" t="s">
        <v>5374</v>
      </c>
      <c r="L1021" s="1" t="s">
        <v>5375</v>
      </c>
      <c r="M1021" s="1" t="s">
        <v>718</v>
      </c>
    </row>
    <row r="1022" customFormat="false" ht="15" hidden="false" customHeight="false" outlineLevel="0" collapsed="false">
      <c r="A1022" s="1" t="s">
        <v>5376</v>
      </c>
      <c r="B1022" s="1" t="s">
        <v>5377</v>
      </c>
      <c r="C1022" s="1" t="s">
        <v>5378</v>
      </c>
      <c r="D1022" s="2" t="n">
        <v>35176</v>
      </c>
      <c r="E1022" s="1" t="s">
        <v>763</v>
      </c>
      <c r="F1022" s="1" t="s">
        <v>711</v>
      </c>
      <c r="G1022" s="1" t="s">
        <v>722</v>
      </c>
      <c r="H1022" s="1" t="s">
        <v>713</v>
      </c>
      <c r="I1022" s="1" t="s">
        <v>714</v>
      </c>
      <c r="J1022" s="1" t="s">
        <v>716</v>
      </c>
      <c r="K1022" s="1" t="s">
        <v>716</v>
      </c>
      <c r="L1022" s="1" t="s">
        <v>5379</v>
      </c>
      <c r="M1022" s="1" t="s">
        <v>718</v>
      </c>
    </row>
    <row r="1023" customFormat="false" ht="15" hidden="false" customHeight="false" outlineLevel="0" collapsed="false">
      <c r="A1023" s="1" t="s">
        <v>5380</v>
      </c>
      <c r="B1023" s="1" t="s">
        <v>5381</v>
      </c>
      <c r="C1023" s="1" t="s">
        <v>5382</v>
      </c>
      <c r="D1023" s="2" t="n">
        <v>35351</v>
      </c>
      <c r="E1023" s="1" t="s">
        <v>710</v>
      </c>
      <c r="F1023" s="1" t="s">
        <v>711</v>
      </c>
      <c r="G1023" s="1" t="s">
        <v>722</v>
      </c>
      <c r="H1023" s="1" t="s">
        <v>713</v>
      </c>
      <c r="I1023" s="1" t="s">
        <v>714</v>
      </c>
      <c r="J1023" s="1" t="s">
        <v>5323</v>
      </c>
      <c r="K1023" s="1" t="s">
        <v>5383</v>
      </c>
      <c r="L1023" s="1" t="s">
        <v>5384</v>
      </c>
      <c r="M1023" s="1" t="s">
        <v>718</v>
      </c>
    </row>
    <row r="1024" customFormat="false" ht="15" hidden="false" customHeight="false" outlineLevel="0" collapsed="false">
      <c r="A1024" s="1" t="s">
        <v>5385</v>
      </c>
      <c r="B1024" s="1" t="s">
        <v>5386</v>
      </c>
      <c r="C1024" s="1" t="s">
        <v>5387</v>
      </c>
      <c r="D1024" s="2" t="n">
        <v>35377</v>
      </c>
      <c r="E1024" s="1" t="s">
        <v>763</v>
      </c>
      <c r="F1024" s="1" t="s">
        <v>711</v>
      </c>
      <c r="G1024" s="1" t="s">
        <v>722</v>
      </c>
      <c r="H1024" s="1" t="s">
        <v>713</v>
      </c>
      <c r="I1024" s="1" t="s">
        <v>714</v>
      </c>
      <c r="J1024" s="1" t="s">
        <v>1530</v>
      </c>
      <c r="K1024" s="1" t="s">
        <v>5388</v>
      </c>
      <c r="L1024" s="1" t="s">
        <v>5389</v>
      </c>
      <c r="M1024" s="1" t="s">
        <v>718</v>
      </c>
    </row>
    <row r="1025" customFormat="false" ht="15" hidden="false" customHeight="false" outlineLevel="0" collapsed="false">
      <c r="A1025" s="1" t="s">
        <v>5390</v>
      </c>
      <c r="B1025" s="1" t="s">
        <v>993</v>
      </c>
      <c r="C1025" s="1" t="s">
        <v>739</v>
      </c>
      <c r="D1025" s="2" t="n">
        <v>35168</v>
      </c>
      <c r="E1025" s="1" t="s">
        <v>710</v>
      </c>
      <c r="F1025" s="1" t="s">
        <v>711</v>
      </c>
      <c r="G1025" s="1" t="s">
        <v>722</v>
      </c>
      <c r="H1025" s="1" t="s">
        <v>713</v>
      </c>
      <c r="I1025" s="1" t="s">
        <v>714</v>
      </c>
      <c r="J1025" s="1" t="s">
        <v>886</v>
      </c>
      <c r="K1025" s="1" t="s">
        <v>716</v>
      </c>
      <c r="L1025" s="1" t="s">
        <v>5391</v>
      </c>
      <c r="M1025" s="1" t="s">
        <v>718</v>
      </c>
    </row>
    <row r="1026" customFormat="false" ht="15" hidden="false" customHeight="false" outlineLevel="0" collapsed="false">
      <c r="A1026" s="1" t="s">
        <v>5392</v>
      </c>
      <c r="B1026" s="1" t="s">
        <v>5234</v>
      </c>
      <c r="C1026" s="1" t="s">
        <v>4049</v>
      </c>
      <c r="D1026" s="2" t="n">
        <v>33539</v>
      </c>
      <c r="E1026" s="1" t="s">
        <v>710</v>
      </c>
      <c r="F1026" s="1" t="s">
        <v>711</v>
      </c>
      <c r="G1026" s="1" t="s">
        <v>722</v>
      </c>
      <c r="H1026" s="1" t="s">
        <v>713</v>
      </c>
      <c r="I1026" s="1" t="s">
        <v>714</v>
      </c>
      <c r="J1026" s="1" t="s">
        <v>978</v>
      </c>
      <c r="K1026" s="1" t="s">
        <v>5393</v>
      </c>
      <c r="L1026" s="1" t="s">
        <v>5394</v>
      </c>
      <c r="M1026" s="1" t="s">
        <v>718</v>
      </c>
    </row>
    <row r="1027" customFormat="false" ht="15" hidden="false" customHeight="false" outlineLevel="0" collapsed="false">
      <c r="A1027" s="1" t="s">
        <v>5395</v>
      </c>
      <c r="B1027" s="1" t="s">
        <v>5396</v>
      </c>
      <c r="C1027" s="1" t="s">
        <v>2632</v>
      </c>
      <c r="D1027" s="2" t="n">
        <v>35424</v>
      </c>
      <c r="E1027" s="1" t="s">
        <v>763</v>
      </c>
      <c r="F1027" s="1" t="s">
        <v>711</v>
      </c>
      <c r="G1027" s="1" t="s">
        <v>722</v>
      </c>
      <c r="H1027" s="1" t="s">
        <v>713</v>
      </c>
      <c r="I1027" s="1" t="s">
        <v>714</v>
      </c>
      <c r="J1027" s="1" t="s">
        <v>5342</v>
      </c>
      <c r="K1027" s="1" t="s">
        <v>5397</v>
      </c>
      <c r="L1027" s="1" t="s">
        <v>5398</v>
      </c>
      <c r="M1027" s="1" t="s">
        <v>718</v>
      </c>
    </row>
    <row r="1028" customFormat="false" ht="15" hidden="false" customHeight="false" outlineLevel="0" collapsed="false">
      <c r="A1028" s="1" t="s">
        <v>5399</v>
      </c>
      <c r="B1028" s="1" t="s">
        <v>5400</v>
      </c>
      <c r="C1028" s="1" t="s">
        <v>5401</v>
      </c>
      <c r="D1028" s="2" t="n">
        <v>35403</v>
      </c>
      <c r="E1028" s="1" t="s">
        <v>763</v>
      </c>
      <c r="F1028" s="1" t="s">
        <v>711</v>
      </c>
      <c r="G1028" s="1" t="s">
        <v>722</v>
      </c>
      <c r="H1028" s="1" t="s">
        <v>713</v>
      </c>
      <c r="I1028" s="1" t="s">
        <v>714</v>
      </c>
      <c r="J1028" s="1" t="s">
        <v>4239</v>
      </c>
      <c r="K1028" s="1" t="s">
        <v>716</v>
      </c>
      <c r="L1028" s="1" t="s">
        <v>5402</v>
      </c>
      <c r="M1028" s="1" t="s">
        <v>718</v>
      </c>
    </row>
    <row r="1029" customFormat="false" ht="15" hidden="false" customHeight="false" outlineLevel="0" collapsed="false">
      <c r="A1029" s="1" t="s">
        <v>5403</v>
      </c>
      <c r="B1029" s="1" t="s">
        <v>5404</v>
      </c>
      <c r="C1029" s="1" t="s">
        <v>5405</v>
      </c>
      <c r="D1029" s="2" t="n">
        <v>35143</v>
      </c>
      <c r="E1029" s="1" t="s">
        <v>710</v>
      </c>
      <c r="F1029" s="1" t="s">
        <v>711</v>
      </c>
      <c r="G1029" s="1" t="s">
        <v>722</v>
      </c>
      <c r="H1029" s="1" t="s">
        <v>713</v>
      </c>
      <c r="I1029" s="1" t="s">
        <v>714</v>
      </c>
      <c r="J1029" s="1" t="s">
        <v>4787</v>
      </c>
      <c r="K1029" s="1" t="s">
        <v>716</v>
      </c>
      <c r="L1029" s="1" t="s">
        <v>5406</v>
      </c>
      <c r="M1029" s="1" t="s">
        <v>718</v>
      </c>
    </row>
    <row r="1030" customFormat="false" ht="15" hidden="false" customHeight="false" outlineLevel="0" collapsed="false">
      <c r="A1030" s="1" t="s">
        <v>5407</v>
      </c>
      <c r="B1030" s="1" t="s">
        <v>5408</v>
      </c>
      <c r="C1030" s="1" t="s">
        <v>2442</v>
      </c>
      <c r="D1030" s="2" t="n">
        <v>35492</v>
      </c>
      <c r="E1030" s="1" t="s">
        <v>763</v>
      </c>
      <c r="F1030" s="1" t="s">
        <v>711</v>
      </c>
      <c r="G1030" s="1" t="s">
        <v>722</v>
      </c>
      <c r="H1030" s="1" t="s">
        <v>713</v>
      </c>
      <c r="I1030" s="1" t="s">
        <v>714</v>
      </c>
      <c r="J1030" s="1" t="s">
        <v>1505</v>
      </c>
      <c r="K1030" s="1" t="s">
        <v>716</v>
      </c>
      <c r="L1030" s="1" t="s">
        <v>2444</v>
      </c>
      <c r="M1030" s="1" t="s">
        <v>718</v>
      </c>
    </row>
    <row r="1031" customFormat="false" ht="15" hidden="false" customHeight="false" outlineLevel="0" collapsed="false">
      <c r="A1031" s="1" t="s">
        <v>5409</v>
      </c>
      <c r="B1031" s="1" t="s">
        <v>5410</v>
      </c>
      <c r="C1031" s="1" t="s">
        <v>5411</v>
      </c>
      <c r="D1031" s="2" t="n">
        <v>35290</v>
      </c>
      <c r="E1031" s="1" t="s">
        <v>710</v>
      </c>
      <c r="F1031" s="1" t="s">
        <v>711</v>
      </c>
      <c r="G1031" s="1" t="s">
        <v>712</v>
      </c>
      <c r="H1031" s="1" t="s">
        <v>713</v>
      </c>
      <c r="I1031" s="1" t="s">
        <v>714</v>
      </c>
      <c r="J1031" s="1" t="s">
        <v>5323</v>
      </c>
      <c r="K1031" s="1" t="s">
        <v>5412</v>
      </c>
      <c r="L1031" s="1" t="s">
        <v>5413</v>
      </c>
      <c r="M1031" s="1" t="s">
        <v>718</v>
      </c>
    </row>
    <row r="1032" customFormat="false" ht="15" hidden="false" customHeight="false" outlineLevel="0" collapsed="false">
      <c r="A1032" s="1" t="s">
        <v>5414</v>
      </c>
      <c r="B1032" s="1" t="s">
        <v>5415</v>
      </c>
      <c r="C1032" s="1" t="s">
        <v>2766</v>
      </c>
      <c r="D1032" s="2" t="n">
        <v>35266</v>
      </c>
      <c r="E1032" s="1" t="s">
        <v>763</v>
      </c>
      <c r="F1032" s="1" t="s">
        <v>711</v>
      </c>
      <c r="G1032" s="1" t="s">
        <v>712</v>
      </c>
      <c r="H1032" s="1" t="s">
        <v>713</v>
      </c>
      <c r="I1032" s="1" t="s">
        <v>714</v>
      </c>
      <c r="J1032" s="1" t="s">
        <v>1244</v>
      </c>
      <c r="K1032" s="1" t="s">
        <v>5416</v>
      </c>
      <c r="L1032" s="1" t="s">
        <v>2768</v>
      </c>
      <c r="M1032" s="1" t="s">
        <v>718</v>
      </c>
    </row>
    <row r="1033" customFormat="false" ht="15" hidden="false" customHeight="false" outlineLevel="0" collapsed="false">
      <c r="A1033" s="1" t="s">
        <v>5417</v>
      </c>
      <c r="B1033" s="1" t="s">
        <v>5418</v>
      </c>
      <c r="C1033" s="1" t="s">
        <v>5419</v>
      </c>
      <c r="D1033" s="2" t="n">
        <v>35373</v>
      </c>
      <c r="E1033" s="1" t="s">
        <v>763</v>
      </c>
      <c r="F1033" s="1" t="s">
        <v>711</v>
      </c>
      <c r="G1033" s="1" t="s">
        <v>722</v>
      </c>
      <c r="H1033" s="1" t="s">
        <v>713</v>
      </c>
      <c r="I1033" s="1" t="s">
        <v>714</v>
      </c>
      <c r="J1033" s="1" t="s">
        <v>715</v>
      </c>
      <c r="K1033" s="1" t="s">
        <v>5420</v>
      </c>
      <c r="L1033" s="1" t="s">
        <v>5421</v>
      </c>
      <c r="M1033" s="1" t="s">
        <v>718</v>
      </c>
    </row>
    <row r="1034" customFormat="false" ht="15" hidden="false" customHeight="false" outlineLevel="0" collapsed="false">
      <c r="A1034" s="1" t="s">
        <v>5422</v>
      </c>
      <c r="B1034" s="1" t="s">
        <v>5423</v>
      </c>
      <c r="C1034" s="1" t="s">
        <v>2035</v>
      </c>
      <c r="D1034" s="2" t="n">
        <v>35141</v>
      </c>
      <c r="E1034" s="1" t="s">
        <v>763</v>
      </c>
      <c r="F1034" s="1" t="s">
        <v>711</v>
      </c>
      <c r="G1034" s="1" t="s">
        <v>722</v>
      </c>
      <c r="H1034" s="1" t="s">
        <v>713</v>
      </c>
      <c r="I1034" s="1" t="s">
        <v>714</v>
      </c>
      <c r="J1034" s="1" t="s">
        <v>902</v>
      </c>
      <c r="K1034" s="1" t="s">
        <v>4866</v>
      </c>
      <c r="L1034" s="1" t="s">
        <v>5424</v>
      </c>
      <c r="M1034" s="1" t="s">
        <v>718</v>
      </c>
    </row>
    <row r="1035" customFormat="false" ht="15" hidden="false" customHeight="false" outlineLevel="0" collapsed="false">
      <c r="A1035" s="1" t="s">
        <v>5425</v>
      </c>
      <c r="B1035" s="1" t="s">
        <v>1657</v>
      </c>
      <c r="C1035" s="1" t="s">
        <v>5426</v>
      </c>
      <c r="D1035" s="2" t="n">
        <v>35262</v>
      </c>
      <c r="E1035" s="1" t="s">
        <v>710</v>
      </c>
      <c r="F1035" s="1" t="s">
        <v>711</v>
      </c>
      <c r="G1035" s="1" t="s">
        <v>712</v>
      </c>
      <c r="H1035" s="1" t="s">
        <v>713</v>
      </c>
      <c r="I1035" s="1" t="s">
        <v>714</v>
      </c>
      <c r="J1035" s="1" t="s">
        <v>978</v>
      </c>
      <c r="K1035" s="1" t="s">
        <v>716</v>
      </c>
      <c r="L1035" s="1" t="s">
        <v>5427</v>
      </c>
      <c r="M1035" s="1" t="s">
        <v>718</v>
      </c>
    </row>
    <row r="1036" customFormat="false" ht="15" hidden="false" customHeight="false" outlineLevel="0" collapsed="false">
      <c r="A1036" s="1" t="s">
        <v>5428</v>
      </c>
      <c r="B1036" s="1" t="s">
        <v>5429</v>
      </c>
      <c r="C1036" s="1" t="s">
        <v>4142</v>
      </c>
      <c r="D1036" s="2" t="n">
        <v>34864</v>
      </c>
      <c r="E1036" s="1" t="s">
        <v>763</v>
      </c>
      <c r="F1036" s="1" t="s">
        <v>711</v>
      </c>
      <c r="G1036" s="1" t="s">
        <v>2638</v>
      </c>
      <c r="H1036" s="1" t="s">
        <v>713</v>
      </c>
      <c r="I1036" s="1" t="s">
        <v>714</v>
      </c>
      <c r="J1036" s="1" t="s">
        <v>2564</v>
      </c>
      <c r="K1036" s="1" t="s">
        <v>5430</v>
      </c>
      <c r="L1036" s="1" t="s">
        <v>5431</v>
      </c>
      <c r="M1036" s="1" t="s">
        <v>718</v>
      </c>
    </row>
    <row r="1037" customFormat="false" ht="15" hidden="false" customHeight="false" outlineLevel="0" collapsed="false">
      <c r="A1037" s="1" t="s">
        <v>5432</v>
      </c>
      <c r="B1037" s="1" t="s">
        <v>5433</v>
      </c>
      <c r="C1037" s="1" t="s">
        <v>5434</v>
      </c>
      <c r="D1037" s="2" t="n">
        <v>35484</v>
      </c>
      <c r="E1037" s="1" t="s">
        <v>763</v>
      </c>
      <c r="F1037" s="1" t="s">
        <v>711</v>
      </c>
      <c r="G1037" s="1" t="s">
        <v>722</v>
      </c>
      <c r="H1037" s="1" t="s">
        <v>713</v>
      </c>
      <c r="I1037" s="1" t="s">
        <v>714</v>
      </c>
      <c r="J1037" s="1" t="s">
        <v>1055</v>
      </c>
      <c r="K1037" s="1" t="s">
        <v>5435</v>
      </c>
      <c r="L1037" s="1" t="s">
        <v>5436</v>
      </c>
      <c r="M1037" s="1" t="s">
        <v>718</v>
      </c>
    </row>
    <row r="1038" customFormat="false" ht="15" hidden="false" customHeight="false" outlineLevel="0" collapsed="false">
      <c r="A1038" s="1" t="s">
        <v>5437</v>
      </c>
      <c r="B1038" s="1" t="s">
        <v>5438</v>
      </c>
      <c r="C1038" s="1" t="s">
        <v>5439</v>
      </c>
      <c r="D1038" s="2" t="n">
        <v>35361</v>
      </c>
      <c r="E1038" s="1" t="s">
        <v>710</v>
      </c>
      <c r="F1038" s="1" t="s">
        <v>711</v>
      </c>
      <c r="G1038" s="1" t="s">
        <v>722</v>
      </c>
      <c r="H1038" s="1" t="s">
        <v>713</v>
      </c>
      <c r="I1038" s="1" t="s">
        <v>714</v>
      </c>
      <c r="J1038" s="1" t="s">
        <v>5323</v>
      </c>
      <c r="K1038" s="1" t="s">
        <v>5440</v>
      </c>
      <c r="L1038" s="1" t="s">
        <v>5441</v>
      </c>
      <c r="M1038" s="1" t="s">
        <v>718</v>
      </c>
    </row>
    <row r="1039" customFormat="false" ht="15" hidden="false" customHeight="false" outlineLevel="0" collapsed="false">
      <c r="A1039" s="1" t="s">
        <v>5442</v>
      </c>
      <c r="B1039" s="1" t="s">
        <v>5443</v>
      </c>
      <c r="C1039" s="1" t="s">
        <v>5444</v>
      </c>
      <c r="D1039" s="2" t="n">
        <v>35260</v>
      </c>
      <c r="E1039" s="1" t="s">
        <v>763</v>
      </c>
      <c r="F1039" s="1" t="s">
        <v>711</v>
      </c>
      <c r="G1039" s="1" t="s">
        <v>712</v>
      </c>
      <c r="H1039" s="1" t="s">
        <v>713</v>
      </c>
      <c r="I1039" s="1" t="s">
        <v>714</v>
      </c>
      <c r="J1039" s="1" t="s">
        <v>4756</v>
      </c>
      <c r="K1039" s="1" t="s">
        <v>5445</v>
      </c>
      <c r="L1039" s="1" t="s">
        <v>5079</v>
      </c>
      <c r="M1039" s="1" t="s">
        <v>718</v>
      </c>
    </row>
    <row r="1040" customFormat="false" ht="15" hidden="false" customHeight="false" outlineLevel="0" collapsed="false">
      <c r="A1040" s="1" t="s">
        <v>5446</v>
      </c>
      <c r="B1040" s="1" t="s">
        <v>5447</v>
      </c>
      <c r="C1040" s="1" t="s">
        <v>5448</v>
      </c>
      <c r="D1040" s="2" t="n">
        <v>34562</v>
      </c>
      <c r="E1040" s="1" t="s">
        <v>763</v>
      </c>
      <c r="F1040" s="1" t="s">
        <v>711</v>
      </c>
      <c r="G1040" s="1" t="s">
        <v>722</v>
      </c>
      <c r="H1040" s="1" t="s">
        <v>713</v>
      </c>
      <c r="I1040" s="1" t="s">
        <v>714</v>
      </c>
      <c r="J1040" s="1" t="s">
        <v>1390</v>
      </c>
      <c r="K1040" s="1" t="s">
        <v>716</v>
      </c>
      <c r="L1040" s="1" t="s">
        <v>5449</v>
      </c>
      <c r="M1040" s="1" t="s">
        <v>718</v>
      </c>
    </row>
    <row r="1041" customFormat="false" ht="15" hidden="false" customHeight="false" outlineLevel="0" collapsed="false">
      <c r="A1041" s="1" t="s">
        <v>5450</v>
      </c>
      <c r="B1041" s="1" t="s">
        <v>5451</v>
      </c>
      <c r="C1041" s="1" t="s">
        <v>5452</v>
      </c>
      <c r="D1041" s="2" t="n">
        <v>35354</v>
      </c>
      <c r="E1041" s="1" t="s">
        <v>763</v>
      </c>
      <c r="F1041" s="1" t="s">
        <v>711</v>
      </c>
      <c r="G1041" s="1" t="s">
        <v>712</v>
      </c>
      <c r="H1041" s="1" t="s">
        <v>713</v>
      </c>
      <c r="I1041" s="1" t="s">
        <v>714</v>
      </c>
      <c r="J1041" s="1" t="s">
        <v>729</v>
      </c>
      <c r="K1041" s="1" t="s">
        <v>716</v>
      </c>
      <c r="L1041" s="1" t="s">
        <v>5453</v>
      </c>
      <c r="M1041" s="1" t="s">
        <v>718</v>
      </c>
    </row>
    <row r="1042" customFormat="false" ht="15" hidden="false" customHeight="false" outlineLevel="0" collapsed="false">
      <c r="A1042" s="1" t="s">
        <v>5454</v>
      </c>
      <c r="B1042" s="1" t="s">
        <v>5455</v>
      </c>
      <c r="C1042" s="1" t="s">
        <v>1518</v>
      </c>
      <c r="D1042" s="2" t="n">
        <v>35439</v>
      </c>
      <c r="E1042" s="1" t="s">
        <v>763</v>
      </c>
      <c r="F1042" s="1" t="s">
        <v>711</v>
      </c>
      <c r="G1042" s="1" t="s">
        <v>712</v>
      </c>
      <c r="H1042" s="1" t="s">
        <v>713</v>
      </c>
      <c r="I1042" s="1" t="s">
        <v>714</v>
      </c>
      <c r="J1042" s="1" t="s">
        <v>805</v>
      </c>
      <c r="K1042" s="1" t="s">
        <v>5456</v>
      </c>
      <c r="L1042" s="1" t="s">
        <v>5457</v>
      </c>
      <c r="M1042" s="1" t="s">
        <v>718</v>
      </c>
    </row>
    <row r="1043" customFormat="false" ht="15" hidden="false" customHeight="false" outlineLevel="0" collapsed="false">
      <c r="A1043" s="1" t="s">
        <v>5458</v>
      </c>
      <c r="B1043" s="1" t="s">
        <v>5459</v>
      </c>
      <c r="C1043" s="1" t="s">
        <v>4383</v>
      </c>
      <c r="D1043" s="2" t="n">
        <v>35436</v>
      </c>
      <c r="E1043" s="1" t="s">
        <v>763</v>
      </c>
      <c r="F1043" s="1" t="s">
        <v>711</v>
      </c>
      <c r="G1043" s="1" t="s">
        <v>712</v>
      </c>
      <c r="H1043" s="1" t="s">
        <v>713</v>
      </c>
      <c r="I1043" s="1" t="s">
        <v>714</v>
      </c>
      <c r="J1043" s="1" t="s">
        <v>5272</v>
      </c>
      <c r="K1043" s="1" t="s">
        <v>716</v>
      </c>
      <c r="L1043" s="1" t="s">
        <v>5460</v>
      </c>
      <c r="M1043" s="1" t="s">
        <v>718</v>
      </c>
    </row>
    <row r="1044" customFormat="false" ht="15" hidden="false" customHeight="false" outlineLevel="0" collapsed="false">
      <c r="A1044" s="1" t="s">
        <v>5461</v>
      </c>
      <c r="B1044" s="1" t="s">
        <v>5462</v>
      </c>
      <c r="C1044" s="1" t="s">
        <v>5463</v>
      </c>
      <c r="D1044" s="2" t="n">
        <v>35424</v>
      </c>
      <c r="E1044" s="1" t="s">
        <v>710</v>
      </c>
      <c r="F1044" s="1" t="s">
        <v>711</v>
      </c>
      <c r="G1044" s="1" t="s">
        <v>712</v>
      </c>
      <c r="H1044" s="1" t="s">
        <v>713</v>
      </c>
      <c r="I1044" s="1" t="s">
        <v>714</v>
      </c>
      <c r="J1044" s="1" t="s">
        <v>5323</v>
      </c>
      <c r="K1044" s="1" t="s">
        <v>5464</v>
      </c>
      <c r="L1044" s="1" t="s">
        <v>5465</v>
      </c>
      <c r="M1044" s="1" t="s">
        <v>718</v>
      </c>
    </row>
    <row r="1045" customFormat="false" ht="15" hidden="false" customHeight="false" outlineLevel="0" collapsed="false">
      <c r="A1045" s="1" t="s">
        <v>5466</v>
      </c>
      <c r="B1045" s="1" t="s">
        <v>5467</v>
      </c>
      <c r="C1045" s="1" t="s">
        <v>2457</v>
      </c>
      <c r="D1045" s="2" t="n">
        <v>35356</v>
      </c>
      <c r="E1045" s="1" t="s">
        <v>763</v>
      </c>
      <c r="F1045" s="1" t="s">
        <v>711</v>
      </c>
      <c r="G1045" s="1" t="s">
        <v>712</v>
      </c>
      <c r="H1045" s="1" t="s">
        <v>713</v>
      </c>
      <c r="I1045" s="1" t="s">
        <v>714</v>
      </c>
      <c r="J1045" s="1" t="s">
        <v>2117</v>
      </c>
      <c r="K1045" s="1" t="s">
        <v>5468</v>
      </c>
      <c r="L1045" s="1" t="s">
        <v>2459</v>
      </c>
      <c r="M1045" s="1" t="s">
        <v>718</v>
      </c>
    </row>
    <row r="1046" customFormat="false" ht="15" hidden="false" customHeight="false" outlineLevel="0" collapsed="false">
      <c r="A1046" s="1" t="s">
        <v>5469</v>
      </c>
      <c r="B1046" s="1" t="s">
        <v>5470</v>
      </c>
      <c r="C1046" s="1" t="s">
        <v>5471</v>
      </c>
      <c r="D1046" s="2" t="n">
        <v>35060</v>
      </c>
      <c r="E1046" s="1" t="s">
        <v>763</v>
      </c>
      <c r="F1046" s="1" t="s">
        <v>711</v>
      </c>
      <c r="G1046" s="1" t="s">
        <v>722</v>
      </c>
      <c r="H1046" s="1" t="s">
        <v>713</v>
      </c>
      <c r="I1046" s="1" t="s">
        <v>714</v>
      </c>
      <c r="J1046" s="1" t="s">
        <v>5323</v>
      </c>
      <c r="K1046" s="1" t="s">
        <v>5472</v>
      </c>
      <c r="L1046" s="1" t="s">
        <v>5473</v>
      </c>
      <c r="M1046" s="1" t="s">
        <v>718</v>
      </c>
    </row>
    <row r="1047" customFormat="false" ht="15" hidden="false" customHeight="false" outlineLevel="0" collapsed="false">
      <c r="A1047" s="1" t="s">
        <v>5474</v>
      </c>
      <c r="B1047" s="1" t="s">
        <v>5475</v>
      </c>
      <c r="C1047" s="1" t="s">
        <v>5476</v>
      </c>
      <c r="D1047" s="2" t="n">
        <v>35318</v>
      </c>
      <c r="E1047" s="1" t="s">
        <v>710</v>
      </c>
      <c r="F1047" s="1" t="s">
        <v>711</v>
      </c>
      <c r="G1047" s="1" t="s">
        <v>722</v>
      </c>
      <c r="H1047" s="1" t="s">
        <v>713</v>
      </c>
      <c r="I1047" s="1" t="s">
        <v>714</v>
      </c>
      <c r="J1047" s="1" t="s">
        <v>1131</v>
      </c>
      <c r="K1047" s="1" t="s">
        <v>716</v>
      </c>
      <c r="L1047" s="1" t="s">
        <v>5477</v>
      </c>
      <c r="M1047" s="1" t="s">
        <v>718</v>
      </c>
    </row>
    <row r="1048" customFormat="false" ht="15" hidden="false" customHeight="false" outlineLevel="0" collapsed="false">
      <c r="A1048" s="1" t="s">
        <v>5478</v>
      </c>
      <c r="B1048" s="1" t="s">
        <v>5479</v>
      </c>
      <c r="C1048" s="1" t="s">
        <v>5480</v>
      </c>
      <c r="D1048" s="2" t="n">
        <v>35360</v>
      </c>
      <c r="E1048" s="1" t="s">
        <v>763</v>
      </c>
      <c r="F1048" s="1" t="s">
        <v>711</v>
      </c>
      <c r="G1048" s="1" t="s">
        <v>722</v>
      </c>
      <c r="H1048" s="1" t="s">
        <v>713</v>
      </c>
      <c r="I1048" s="1" t="s">
        <v>714</v>
      </c>
      <c r="J1048" s="1" t="s">
        <v>5481</v>
      </c>
      <c r="K1048" s="1" t="s">
        <v>5482</v>
      </c>
      <c r="L1048" s="1" t="s">
        <v>5483</v>
      </c>
      <c r="M1048" s="1" t="s">
        <v>718</v>
      </c>
    </row>
    <row r="1049" customFormat="false" ht="15" hidden="false" customHeight="false" outlineLevel="0" collapsed="false">
      <c r="A1049" s="1" t="s">
        <v>5484</v>
      </c>
      <c r="B1049" s="1" t="s">
        <v>5485</v>
      </c>
      <c r="C1049" s="1" t="s">
        <v>5486</v>
      </c>
      <c r="D1049" s="2" t="n">
        <v>35094</v>
      </c>
      <c r="E1049" s="1" t="s">
        <v>710</v>
      </c>
      <c r="F1049" s="1" t="s">
        <v>711</v>
      </c>
      <c r="G1049" s="1" t="s">
        <v>712</v>
      </c>
      <c r="H1049" s="1" t="s">
        <v>713</v>
      </c>
      <c r="I1049" s="1" t="s">
        <v>714</v>
      </c>
      <c r="J1049" s="1" t="s">
        <v>5487</v>
      </c>
      <c r="K1049" s="1" t="s">
        <v>5488</v>
      </c>
      <c r="L1049" s="1" t="s">
        <v>5489</v>
      </c>
      <c r="M1049" s="1" t="s">
        <v>718</v>
      </c>
    </row>
    <row r="1050" customFormat="false" ht="15" hidden="false" customHeight="false" outlineLevel="0" collapsed="false">
      <c r="A1050" s="1" t="s">
        <v>5490</v>
      </c>
      <c r="B1050" s="1" t="s">
        <v>5491</v>
      </c>
      <c r="C1050" s="1" t="s">
        <v>5492</v>
      </c>
      <c r="D1050" s="2" t="n">
        <v>35457</v>
      </c>
      <c r="E1050" s="1" t="s">
        <v>763</v>
      </c>
      <c r="F1050" s="1" t="s">
        <v>711</v>
      </c>
      <c r="G1050" s="1" t="s">
        <v>722</v>
      </c>
      <c r="H1050" s="1" t="s">
        <v>713</v>
      </c>
      <c r="I1050" s="1" t="s">
        <v>714</v>
      </c>
      <c r="J1050" s="1" t="s">
        <v>821</v>
      </c>
      <c r="K1050" s="1" t="s">
        <v>5493</v>
      </c>
      <c r="L1050" s="1" t="s">
        <v>3548</v>
      </c>
      <c r="M1050" s="1" t="s">
        <v>718</v>
      </c>
    </row>
    <row r="1051" customFormat="false" ht="15" hidden="false" customHeight="false" outlineLevel="0" collapsed="false">
      <c r="A1051" s="1" t="s">
        <v>5494</v>
      </c>
      <c r="B1051" s="1" t="s">
        <v>5495</v>
      </c>
      <c r="C1051" s="1" t="s">
        <v>5496</v>
      </c>
      <c r="D1051" s="2" t="n">
        <v>35123</v>
      </c>
      <c r="E1051" s="1" t="s">
        <v>763</v>
      </c>
      <c r="F1051" s="1" t="s">
        <v>711</v>
      </c>
      <c r="G1051" s="1" t="s">
        <v>712</v>
      </c>
      <c r="H1051" s="1" t="s">
        <v>713</v>
      </c>
      <c r="I1051" s="1" t="s">
        <v>714</v>
      </c>
      <c r="J1051" s="1" t="s">
        <v>1723</v>
      </c>
      <c r="K1051" s="1" t="s">
        <v>5497</v>
      </c>
      <c r="L1051" s="1" t="s">
        <v>5498</v>
      </c>
      <c r="M1051" s="1" t="s">
        <v>718</v>
      </c>
    </row>
    <row r="1052" customFormat="false" ht="15" hidden="false" customHeight="false" outlineLevel="0" collapsed="false">
      <c r="A1052" s="1" t="s">
        <v>5499</v>
      </c>
      <c r="B1052" s="1" t="s">
        <v>5500</v>
      </c>
      <c r="C1052" s="1" t="s">
        <v>1086</v>
      </c>
      <c r="D1052" s="2" t="n">
        <v>34373</v>
      </c>
      <c r="E1052" s="1" t="s">
        <v>710</v>
      </c>
      <c r="F1052" s="1" t="s">
        <v>711</v>
      </c>
      <c r="G1052" s="1" t="s">
        <v>722</v>
      </c>
      <c r="H1052" s="1" t="s">
        <v>713</v>
      </c>
      <c r="I1052" s="1" t="s">
        <v>714</v>
      </c>
      <c r="J1052" s="1" t="s">
        <v>716</v>
      </c>
      <c r="K1052" s="1" t="s">
        <v>5501</v>
      </c>
      <c r="L1052" s="1" t="s">
        <v>5502</v>
      </c>
      <c r="M1052" s="1" t="s">
        <v>718</v>
      </c>
    </row>
    <row r="1053" customFormat="false" ht="15" hidden="false" customHeight="false" outlineLevel="0" collapsed="false">
      <c r="A1053" s="1" t="s">
        <v>5503</v>
      </c>
      <c r="B1053" s="1" t="s">
        <v>5504</v>
      </c>
      <c r="C1053" s="1" t="s">
        <v>5505</v>
      </c>
      <c r="D1053" s="2" t="n">
        <v>35386</v>
      </c>
      <c r="E1053" s="1" t="s">
        <v>710</v>
      </c>
      <c r="F1053" s="1" t="s">
        <v>711</v>
      </c>
      <c r="G1053" s="1" t="s">
        <v>722</v>
      </c>
      <c r="H1053" s="1" t="s">
        <v>713</v>
      </c>
      <c r="I1053" s="1" t="s">
        <v>714</v>
      </c>
      <c r="J1053" s="1" t="s">
        <v>1244</v>
      </c>
      <c r="K1053" s="1" t="s">
        <v>5506</v>
      </c>
      <c r="L1053" s="1" t="s">
        <v>5507</v>
      </c>
      <c r="M1053" s="1" t="s">
        <v>718</v>
      </c>
    </row>
    <row r="1054" customFormat="false" ht="15" hidden="false" customHeight="false" outlineLevel="0" collapsed="false">
      <c r="A1054" s="1" t="s">
        <v>5508</v>
      </c>
      <c r="B1054" s="1" t="s">
        <v>5509</v>
      </c>
      <c r="C1054" s="1" t="s">
        <v>5510</v>
      </c>
      <c r="D1054" s="2" t="n">
        <v>35365</v>
      </c>
      <c r="E1054" s="1" t="s">
        <v>710</v>
      </c>
      <c r="F1054" s="1" t="s">
        <v>711</v>
      </c>
      <c r="G1054" s="1" t="s">
        <v>712</v>
      </c>
      <c r="H1054" s="1" t="s">
        <v>713</v>
      </c>
      <c r="I1054" s="1" t="s">
        <v>714</v>
      </c>
      <c r="J1054" s="1" t="s">
        <v>1530</v>
      </c>
      <c r="K1054" s="1" t="s">
        <v>716</v>
      </c>
      <c r="L1054" s="1" t="s">
        <v>5511</v>
      </c>
      <c r="M1054" s="1" t="s">
        <v>718</v>
      </c>
    </row>
    <row r="1055" customFormat="false" ht="15" hidden="false" customHeight="false" outlineLevel="0" collapsed="false">
      <c r="A1055" s="1" t="s">
        <v>5512</v>
      </c>
      <c r="B1055" s="1" t="s">
        <v>5513</v>
      </c>
      <c r="C1055" s="1" t="s">
        <v>5514</v>
      </c>
      <c r="D1055" s="2" t="n">
        <v>35412</v>
      </c>
      <c r="E1055" s="1" t="s">
        <v>710</v>
      </c>
      <c r="F1055" s="1" t="s">
        <v>711</v>
      </c>
      <c r="G1055" s="1" t="s">
        <v>722</v>
      </c>
      <c r="H1055" s="1" t="s">
        <v>713</v>
      </c>
      <c r="I1055" s="1" t="s">
        <v>714</v>
      </c>
      <c r="J1055" s="1" t="s">
        <v>821</v>
      </c>
      <c r="K1055" s="1" t="s">
        <v>5515</v>
      </c>
      <c r="L1055" s="1" t="s">
        <v>5516</v>
      </c>
      <c r="M1055" s="1" t="s">
        <v>718</v>
      </c>
    </row>
    <row r="1056" customFormat="false" ht="15" hidden="false" customHeight="false" outlineLevel="0" collapsed="false">
      <c r="A1056" s="1" t="s">
        <v>5517</v>
      </c>
      <c r="B1056" s="1" t="s">
        <v>4879</v>
      </c>
      <c r="C1056" s="1" t="s">
        <v>5124</v>
      </c>
      <c r="D1056" s="2" t="n">
        <v>35573</v>
      </c>
      <c r="E1056" s="1" t="s">
        <v>763</v>
      </c>
      <c r="F1056" s="1" t="s">
        <v>711</v>
      </c>
      <c r="G1056" s="1" t="s">
        <v>712</v>
      </c>
      <c r="H1056" s="1" t="s">
        <v>713</v>
      </c>
      <c r="I1056" s="1" t="s">
        <v>714</v>
      </c>
      <c r="J1056" s="1" t="s">
        <v>821</v>
      </c>
      <c r="K1056" s="1" t="s">
        <v>5518</v>
      </c>
      <c r="L1056" s="1" t="s">
        <v>5126</v>
      </c>
      <c r="M1056" s="1" t="s">
        <v>718</v>
      </c>
    </row>
    <row r="1057" customFormat="false" ht="15" hidden="false" customHeight="false" outlineLevel="0" collapsed="false">
      <c r="A1057" s="1" t="s">
        <v>5519</v>
      </c>
      <c r="B1057" s="1" t="s">
        <v>727</v>
      </c>
      <c r="C1057" s="1" t="s">
        <v>5520</v>
      </c>
      <c r="D1057" s="2" t="n">
        <v>35390</v>
      </c>
      <c r="E1057" s="1" t="s">
        <v>710</v>
      </c>
      <c r="F1057" s="1" t="s">
        <v>711</v>
      </c>
      <c r="G1057" s="1" t="s">
        <v>712</v>
      </c>
      <c r="H1057" s="1" t="s">
        <v>713</v>
      </c>
      <c r="I1057" s="1" t="s">
        <v>714</v>
      </c>
      <c r="J1057" s="1" t="s">
        <v>821</v>
      </c>
      <c r="K1057" s="1" t="s">
        <v>5521</v>
      </c>
      <c r="L1057" s="1" t="s">
        <v>5522</v>
      </c>
      <c r="M1057" s="1" t="s">
        <v>718</v>
      </c>
    </row>
    <row r="1058" customFormat="false" ht="15" hidden="false" customHeight="false" outlineLevel="0" collapsed="false">
      <c r="A1058" s="1" t="s">
        <v>5523</v>
      </c>
      <c r="B1058" s="1" t="s">
        <v>5524</v>
      </c>
      <c r="C1058" s="1" t="s">
        <v>2598</v>
      </c>
      <c r="D1058" s="2" t="n">
        <v>35246</v>
      </c>
      <c r="E1058" s="1" t="s">
        <v>763</v>
      </c>
      <c r="F1058" s="1" t="s">
        <v>711</v>
      </c>
      <c r="G1058" s="1" t="s">
        <v>722</v>
      </c>
      <c r="H1058" s="1" t="s">
        <v>713</v>
      </c>
      <c r="I1058" s="1" t="s">
        <v>714</v>
      </c>
      <c r="J1058" s="1" t="s">
        <v>1244</v>
      </c>
      <c r="K1058" s="1" t="s">
        <v>5525</v>
      </c>
      <c r="L1058" s="1" t="s">
        <v>4021</v>
      </c>
      <c r="M1058" s="1" t="s">
        <v>718</v>
      </c>
    </row>
    <row r="1059" customFormat="false" ht="15" hidden="false" customHeight="false" outlineLevel="0" collapsed="false">
      <c r="A1059" s="1" t="s">
        <v>5526</v>
      </c>
      <c r="B1059" s="1" t="s">
        <v>1636</v>
      </c>
      <c r="C1059" s="1" t="s">
        <v>5527</v>
      </c>
      <c r="D1059" s="2" t="n">
        <v>35506</v>
      </c>
      <c r="E1059" s="1" t="s">
        <v>710</v>
      </c>
      <c r="F1059" s="1" t="s">
        <v>711</v>
      </c>
      <c r="G1059" s="1" t="s">
        <v>712</v>
      </c>
      <c r="H1059" s="1" t="s">
        <v>713</v>
      </c>
      <c r="I1059" s="1" t="s">
        <v>714</v>
      </c>
      <c r="J1059" s="1" t="s">
        <v>2117</v>
      </c>
      <c r="K1059" s="1" t="s">
        <v>716</v>
      </c>
      <c r="L1059" s="1" t="s">
        <v>5528</v>
      </c>
      <c r="M1059" s="1" t="s">
        <v>718</v>
      </c>
    </row>
    <row r="1060" customFormat="false" ht="15" hidden="false" customHeight="false" outlineLevel="0" collapsed="false">
      <c r="A1060" s="1" t="s">
        <v>5529</v>
      </c>
      <c r="B1060" s="1" t="s">
        <v>5530</v>
      </c>
      <c r="C1060" s="1" t="s">
        <v>5531</v>
      </c>
      <c r="D1060" s="2" t="n">
        <v>35538</v>
      </c>
      <c r="E1060" s="1" t="s">
        <v>763</v>
      </c>
      <c r="F1060" s="1" t="s">
        <v>711</v>
      </c>
      <c r="G1060" s="1" t="s">
        <v>712</v>
      </c>
      <c r="H1060" s="1" t="s">
        <v>713</v>
      </c>
      <c r="I1060" s="1" t="s">
        <v>714</v>
      </c>
      <c r="J1060" s="1" t="s">
        <v>832</v>
      </c>
      <c r="K1060" s="1" t="s">
        <v>5532</v>
      </c>
      <c r="L1060" s="1" t="s">
        <v>5533</v>
      </c>
      <c r="M1060" s="1" t="s">
        <v>718</v>
      </c>
    </row>
    <row r="1061" customFormat="false" ht="15" hidden="false" customHeight="false" outlineLevel="0" collapsed="false">
      <c r="A1061" s="1" t="s">
        <v>5534</v>
      </c>
      <c r="B1061" s="1" t="s">
        <v>5535</v>
      </c>
      <c r="C1061" s="1" t="s">
        <v>5536</v>
      </c>
      <c r="D1061" s="2" t="n">
        <v>35619</v>
      </c>
      <c r="E1061" s="1" t="s">
        <v>763</v>
      </c>
      <c r="F1061" s="1" t="s">
        <v>711</v>
      </c>
      <c r="G1061" s="1" t="s">
        <v>722</v>
      </c>
      <c r="H1061" s="1" t="s">
        <v>713</v>
      </c>
      <c r="I1061" s="1" t="s">
        <v>714</v>
      </c>
      <c r="J1061" s="1" t="s">
        <v>5211</v>
      </c>
      <c r="K1061" s="1" t="s">
        <v>5212</v>
      </c>
      <c r="L1061" s="1" t="s">
        <v>5213</v>
      </c>
      <c r="M1061" s="1" t="s">
        <v>718</v>
      </c>
    </row>
    <row r="1062" customFormat="false" ht="15" hidden="false" customHeight="false" outlineLevel="0" collapsed="false">
      <c r="A1062" s="1" t="s">
        <v>5537</v>
      </c>
      <c r="B1062" s="1" t="s">
        <v>5538</v>
      </c>
      <c r="C1062" s="1" t="s">
        <v>5539</v>
      </c>
      <c r="D1062" s="2" t="n">
        <v>35633</v>
      </c>
      <c r="E1062" s="1" t="s">
        <v>763</v>
      </c>
      <c r="F1062" s="1" t="s">
        <v>711</v>
      </c>
      <c r="G1062" s="1" t="s">
        <v>722</v>
      </c>
      <c r="H1062" s="1" t="s">
        <v>713</v>
      </c>
      <c r="I1062" s="1" t="s">
        <v>714</v>
      </c>
      <c r="J1062" s="1" t="s">
        <v>1172</v>
      </c>
      <c r="K1062" s="1" t="s">
        <v>2877</v>
      </c>
      <c r="L1062" s="1" t="s">
        <v>2878</v>
      </c>
      <c r="M1062" s="1" t="s">
        <v>718</v>
      </c>
    </row>
    <row r="1063" customFormat="false" ht="15" hidden="false" customHeight="false" outlineLevel="0" collapsed="false">
      <c r="A1063" s="1" t="s">
        <v>5540</v>
      </c>
      <c r="B1063" s="1" t="s">
        <v>5541</v>
      </c>
      <c r="C1063" s="1" t="s">
        <v>5542</v>
      </c>
      <c r="D1063" s="2" t="n">
        <v>35538</v>
      </c>
      <c r="E1063" s="1" t="s">
        <v>710</v>
      </c>
      <c r="F1063" s="1" t="s">
        <v>711</v>
      </c>
      <c r="G1063" s="1" t="s">
        <v>712</v>
      </c>
      <c r="H1063" s="1" t="s">
        <v>713</v>
      </c>
      <c r="I1063" s="1" t="s">
        <v>714</v>
      </c>
      <c r="J1063" s="1" t="s">
        <v>5543</v>
      </c>
      <c r="K1063" s="1" t="s">
        <v>5544</v>
      </c>
      <c r="L1063" s="1" t="s">
        <v>5545</v>
      </c>
      <c r="M1063" s="1" t="s">
        <v>718</v>
      </c>
    </row>
    <row r="1064" customFormat="false" ht="15" hidden="false" customHeight="false" outlineLevel="0" collapsed="false">
      <c r="A1064" s="1" t="s">
        <v>5546</v>
      </c>
      <c r="B1064" s="1" t="s">
        <v>5547</v>
      </c>
      <c r="C1064" s="1" t="s">
        <v>5548</v>
      </c>
      <c r="D1064" s="2" t="n">
        <v>35430</v>
      </c>
      <c r="E1064" s="1" t="s">
        <v>710</v>
      </c>
      <c r="F1064" s="1" t="s">
        <v>711</v>
      </c>
      <c r="G1064" s="1" t="s">
        <v>722</v>
      </c>
      <c r="H1064" s="1" t="s">
        <v>713</v>
      </c>
      <c r="I1064" s="1" t="s">
        <v>714</v>
      </c>
      <c r="J1064" s="1" t="s">
        <v>716</v>
      </c>
      <c r="K1064" s="1" t="s">
        <v>716</v>
      </c>
      <c r="L1064" s="1" t="s">
        <v>5549</v>
      </c>
      <c r="M1064" s="1" t="s">
        <v>718</v>
      </c>
    </row>
    <row r="1065" customFormat="false" ht="15" hidden="false" customHeight="false" outlineLevel="0" collapsed="false">
      <c r="A1065" s="1" t="s">
        <v>5550</v>
      </c>
      <c r="B1065" s="1" t="s">
        <v>5551</v>
      </c>
      <c r="C1065" s="1" t="s">
        <v>3974</v>
      </c>
      <c r="D1065" s="2" t="n">
        <v>35730</v>
      </c>
      <c r="E1065" s="1" t="s">
        <v>763</v>
      </c>
      <c r="F1065" s="1" t="s">
        <v>711</v>
      </c>
      <c r="G1065" s="1" t="s">
        <v>722</v>
      </c>
      <c r="H1065" s="1" t="s">
        <v>713</v>
      </c>
      <c r="I1065" s="1" t="s">
        <v>714</v>
      </c>
      <c r="J1065" s="1" t="s">
        <v>1530</v>
      </c>
      <c r="K1065" s="1" t="s">
        <v>716</v>
      </c>
      <c r="L1065" s="1" t="s">
        <v>5552</v>
      </c>
      <c r="M1065" s="1" t="s">
        <v>718</v>
      </c>
    </row>
    <row r="1066" customFormat="false" ht="15" hidden="false" customHeight="false" outlineLevel="0" collapsed="false">
      <c r="A1066" s="1" t="s">
        <v>5553</v>
      </c>
      <c r="B1066" s="1" t="s">
        <v>1533</v>
      </c>
      <c r="C1066" s="1" t="s">
        <v>2659</v>
      </c>
      <c r="D1066" s="2" t="n">
        <v>35239</v>
      </c>
      <c r="E1066" s="1" t="s">
        <v>763</v>
      </c>
      <c r="F1066" s="1" t="s">
        <v>711</v>
      </c>
      <c r="G1066" s="1" t="s">
        <v>722</v>
      </c>
      <c r="H1066" s="1" t="s">
        <v>713</v>
      </c>
      <c r="I1066" s="1" t="s">
        <v>714</v>
      </c>
      <c r="J1066" s="1" t="s">
        <v>805</v>
      </c>
      <c r="K1066" s="1" t="s">
        <v>5554</v>
      </c>
      <c r="L1066" s="1" t="s">
        <v>2660</v>
      </c>
      <c r="M1066" s="1" t="s">
        <v>718</v>
      </c>
    </row>
    <row r="1067" customFormat="false" ht="15" hidden="false" customHeight="false" outlineLevel="0" collapsed="false">
      <c r="A1067" s="1" t="s">
        <v>5555</v>
      </c>
      <c r="B1067" s="1" t="s">
        <v>5556</v>
      </c>
      <c r="C1067" s="1" t="s">
        <v>5557</v>
      </c>
      <c r="D1067" s="2" t="n">
        <v>35544</v>
      </c>
      <c r="E1067" s="1" t="s">
        <v>763</v>
      </c>
      <c r="F1067" s="1" t="s">
        <v>711</v>
      </c>
      <c r="G1067" s="1" t="s">
        <v>712</v>
      </c>
      <c r="H1067" s="1" t="s">
        <v>713</v>
      </c>
      <c r="I1067" s="1" t="s">
        <v>714</v>
      </c>
      <c r="J1067" s="1" t="s">
        <v>5558</v>
      </c>
      <c r="K1067" s="1" t="s">
        <v>5559</v>
      </c>
      <c r="L1067" s="1" t="s">
        <v>5560</v>
      </c>
      <c r="M1067" s="1" t="s">
        <v>718</v>
      </c>
    </row>
    <row r="1068" customFormat="false" ht="15" hidden="false" customHeight="false" outlineLevel="0" collapsed="false">
      <c r="A1068" s="1" t="s">
        <v>5561</v>
      </c>
      <c r="B1068" s="1" t="s">
        <v>5562</v>
      </c>
      <c r="C1068" s="1" t="s">
        <v>739</v>
      </c>
      <c r="D1068" s="2" t="n">
        <v>35620</v>
      </c>
      <c r="E1068" s="1" t="s">
        <v>763</v>
      </c>
      <c r="F1068" s="1" t="s">
        <v>711</v>
      </c>
      <c r="G1068" s="1" t="s">
        <v>722</v>
      </c>
      <c r="H1068" s="1" t="s">
        <v>713</v>
      </c>
      <c r="I1068" s="1" t="s">
        <v>714</v>
      </c>
      <c r="J1068" s="1" t="s">
        <v>886</v>
      </c>
      <c r="K1068" s="1" t="s">
        <v>5563</v>
      </c>
      <c r="L1068" s="1" t="s">
        <v>5564</v>
      </c>
      <c r="M1068" s="1" t="s">
        <v>718</v>
      </c>
    </row>
    <row r="1069" customFormat="false" ht="15" hidden="false" customHeight="false" outlineLevel="0" collapsed="false">
      <c r="A1069" s="1" t="s">
        <v>5565</v>
      </c>
      <c r="B1069" s="1" t="s">
        <v>5566</v>
      </c>
      <c r="C1069" s="1" t="s">
        <v>4040</v>
      </c>
      <c r="D1069" s="2" t="n">
        <v>35090</v>
      </c>
      <c r="E1069" s="1" t="s">
        <v>710</v>
      </c>
      <c r="F1069" s="1" t="s">
        <v>711</v>
      </c>
      <c r="G1069" s="1" t="s">
        <v>1693</v>
      </c>
      <c r="H1069" s="1" t="s">
        <v>713</v>
      </c>
      <c r="I1069" s="1" t="s">
        <v>714</v>
      </c>
      <c r="J1069" s="1" t="s">
        <v>1445</v>
      </c>
      <c r="K1069" s="1" t="s">
        <v>5567</v>
      </c>
      <c r="L1069" s="1" t="s">
        <v>4042</v>
      </c>
      <c r="M1069" s="1" t="s">
        <v>718</v>
      </c>
    </row>
    <row r="1070" customFormat="false" ht="15" hidden="false" customHeight="false" outlineLevel="0" collapsed="false">
      <c r="A1070" s="1" t="s">
        <v>5568</v>
      </c>
      <c r="B1070" s="1" t="s">
        <v>5569</v>
      </c>
      <c r="C1070" s="1" t="s">
        <v>5570</v>
      </c>
      <c r="D1070" s="2" t="n">
        <v>35345</v>
      </c>
      <c r="E1070" s="1" t="s">
        <v>763</v>
      </c>
      <c r="F1070" s="1" t="s">
        <v>711</v>
      </c>
      <c r="G1070" s="1" t="s">
        <v>712</v>
      </c>
      <c r="H1070" s="1" t="s">
        <v>713</v>
      </c>
      <c r="I1070" s="1" t="s">
        <v>714</v>
      </c>
      <c r="J1070" s="1" t="s">
        <v>4756</v>
      </c>
      <c r="K1070" s="1" t="s">
        <v>5571</v>
      </c>
      <c r="L1070" s="1" t="s">
        <v>4639</v>
      </c>
      <c r="M1070" s="1" t="s">
        <v>718</v>
      </c>
    </row>
    <row r="1071" customFormat="false" ht="15" hidden="false" customHeight="false" outlineLevel="0" collapsed="false">
      <c r="A1071" s="1" t="s">
        <v>5572</v>
      </c>
      <c r="B1071" s="1" t="s">
        <v>5573</v>
      </c>
      <c r="C1071" s="1" t="s">
        <v>5574</v>
      </c>
      <c r="D1071" s="2" t="n">
        <v>35029</v>
      </c>
      <c r="E1071" s="1" t="s">
        <v>710</v>
      </c>
      <c r="F1071" s="1" t="s">
        <v>711</v>
      </c>
      <c r="G1071" s="1" t="s">
        <v>722</v>
      </c>
      <c r="H1071" s="1" t="s">
        <v>713</v>
      </c>
      <c r="I1071" s="1" t="s">
        <v>714</v>
      </c>
      <c r="J1071" s="1" t="s">
        <v>716</v>
      </c>
      <c r="K1071" s="1" t="s">
        <v>5575</v>
      </c>
      <c r="L1071" s="1" t="s">
        <v>5576</v>
      </c>
      <c r="M1071" s="1" t="s">
        <v>718</v>
      </c>
    </row>
    <row r="1072" customFormat="false" ht="15" hidden="false" customHeight="false" outlineLevel="0" collapsed="false">
      <c r="A1072" s="1" t="s">
        <v>5577</v>
      </c>
      <c r="B1072" s="1" t="s">
        <v>5578</v>
      </c>
      <c r="C1072" s="1" t="s">
        <v>5579</v>
      </c>
      <c r="D1072" s="2" t="n">
        <v>35818</v>
      </c>
      <c r="E1072" s="1" t="s">
        <v>710</v>
      </c>
      <c r="F1072" s="1" t="s">
        <v>711</v>
      </c>
      <c r="G1072" s="1" t="s">
        <v>712</v>
      </c>
      <c r="H1072" s="1" t="s">
        <v>713</v>
      </c>
      <c r="I1072" s="1" t="s">
        <v>714</v>
      </c>
      <c r="J1072" s="1" t="s">
        <v>2321</v>
      </c>
      <c r="K1072" s="1" t="s">
        <v>5580</v>
      </c>
      <c r="L1072" s="1" t="s">
        <v>5581</v>
      </c>
      <c r="M1072" s="1" t="s">
        <v>718</v>
      </c>
    </row>
    <row r="1073" customFormat="false" ht="15" hidden="false" customHeight="false" outlineLevel="0" collapsed="false">
      <c r="A1073" s="1" t="s">
        <v>5582</v>
      </c>
      <c r="B1073" s="1" t="s">
        <v>5583</v>
      </c>
      <c r="C1073" s="1" t="s">
        <v>5584</v>
      </c>
      <c r="D1073" s="2" t="n">
        <v>35501</v>
      </c>
      <c r="E1073" s="1" t="s">
        <v>763</v>
      </c>
      <c r="F1073" s="1" t="s">
        <v>711</v>
      </c>
      <c r="G1073" s="1" t="s">
        <v>712</v>
      </c>
      <c r="H1073" s="1" t="s">
        <v>713</v>
      </c>
      <c r="I1073" s="1" t="s">
        <v>714</v>
      </c>
      <c r="J1073" s="1" t="s">
        <v>716</v>
      </c>
      <c r="K1073" s="1" t="s">
        <v>5585</v>
      </c>
      <c r="L1073" s="1" t="s">
        <v>3942</v>
      </c>
      <c r="M1073" s="1" t="s">
        <v>718</v>
      </c>
    </row>
    <row r="1074" customFormat="false" ht="15" hidden="false" customHeight="false" outlineLevel="0" collapsed="false">
      <c r="A1074" s="1" t="s">
        <v>5586</v>
      </c>
      <c r="B1074" s="1" t="s">
        <v>5587</v>
      </c>
      <c r="C1074" s="1" t="s">
        <v>5588</v>
      </c>
      <c r="D1074" s="2" t="n">
        <v>35676</v>
      </c>
      <c r="E1074" s="1" t="s">
        <v>763</v>
      </c>
      <c r="F1074" s="1" t="s">
        <v>711</v>
      </c>
      <c r="G1074" s="1" t="s">
        <v>712</v>
      </c>
      <c r="H1074" s="1" t="s">
        <v>713</v>
      </c>
      <c r="I1074" s="1" t="s">
        <v>714</v>
      </c>
      <c r="J1074" s="1" t="s">
        <v>5589</v>
      </c>
      <c r="K1074" s="1" t="s">
        <v>5590</v>
      </c>
      <c r="L1074" s="1" t="s">
        <v>5591</v>
      </c>
      <c r="M1074" s="1" t="s">
        <v>718</v>
      </c>
    </row>
    <row r="1075" customFormat="false" ht="15" hidden="false" customHeight="false" outlineLevel="0" collapsed="false">
      <c r="A1075" s="1" t="s">
        <v>5592</v>
      </c>
      <c r="B1075" s="1" t="s">
        <v>5593</v>
      </c>
      <c r="C1075" s="1" t="s">
        <v>5594</v>
      </c>
      <c r="D1075" s="2" t="n">
        <v>35823</v>
      </c>
      <c r="E1075" s="1" t="s">
        <v>710</v>
      </c>
      <c r="F1075" s="1" t="s">
        <v>711</v>
      </c>
      <c r="G1075" s="1" t="s">
        <v>722</v>
      </c>
      <c r="H1075" s="1" t="s">
        <v>713</v>
      </c>
      <c r="I1075" s="1" t="s">
        <v>714</v>
      </c>
      <c r="J1075" s="1" t="s">
        <v>1398</v>
      </c>
      <c r="K1075" s="1" t="s">
        <v>5595</v>
      </c>
      <c r="L1075" s="1" t="s">
        <v>5596</v>
      </c>
      <c r="M1075" s="1" t="s">
        <v>718</v>
      </c>
    </row>
    <row r="1076" customFormat="false" ht="15" hidden="false" customHeight="false" outlineLevel="0" collapsed="false">
      <c r="A1076" s="1" t="s">
        <v>5597</v>
      </c>
      <c r="B1076" s="1" t="s">
        <v>5598</v>
      </c>
      <c r="C1076" s="1" t="s">
        <v>1815</v>
      </c>
      <c r="D1076" s="2" t="n">
        <v>35424</v>
      </c>
      <c r="E1076" s="1" t="s">
        <v>710</v>
      </c>
      <c r="F1076" s="1" t="s">
        <v>711</v>
      </c>
      <c r="G1076" s="1" t="s">
        <v>712</v>
      </c>
      <c r="H1076" s="1" t="s">
        <v>713</v>
      </c>
      <c r="I1076" s="1" t="s">
        <v>714</v>
      </c>
      <c r="J1076" s="1" t="s">
        <v>716</v>
      </c>
      <c r="K1076" s="1" t="s">
        <v>5599</v>
      </c>
      <c r="L1076" s="1" t="s">
        <v>1817</v>
      </c>
      <c r="M1076" s="1" t="s">
        <v>718</v>
      </c>
    </row>
    <row r="1077" customFormat="false" ht="15" hidden="false" customHeight="false" outlineLevel="0" collapsed="false">
      <c r="A1077" s="1" t="s">
        <v>5600</v>
      </c>
      <c r="B1077" s="1" t="s">
        <v>5433</v>
      </c>
      <c r="C1077" s="1" t="s">
        <v>5601</v>
      </c>
      <c r="D1077" s="2" t="n">
        <v>35515</v>
      </c>
      <c r="E1077" s="1" t="s">
        <v>763</v>
      </c>
      <c r="F1077" s="1" t="s">
        <v>711</v>
      </c>
      <c r="G1077" s="1" t="s">
        <v>722</v>
      </c>
      <c r="H1077" s="1" t="s">
        <v>713</v>
      </c>
      <c r="I1077" s="1" t="s">
        <v>714</v>
      </c>
      <c r="J1077" s="1" t="s">
        <v>928</v>
      </c>
      <c r="K1077" s="1" t="s">
        <v>5602</v>
      </c>
      <c r="L1077" s="1" t="s">
        <v>5603</v>
      </c>
      <c r="M1077" s="1" t="s">
        <v>718</v>
      </c>
    </row>
    <row r="1078" customFormat="false" ht="15" hidden="false" customHeight="false" outlineLevel="0" collapsed="false">
      <c r="A1078" s="1" t="s">
        <v>5604</v>
      </c>
      <c r="B1078" s="1" t="s">
        <v>5605</v>
      </c>
      <c r="C1078" s="1" t="s">
        <v>3598</v>
      </c>
      <c r="D1078" s="2" t="n">
        <v>35038</v>
      </c>
      <c r="E1078" s="1" t="s">
        <v>763</v>
      </c>
      <c r="F1078" s="1" t="s">
        <v>711</v>
      </c>
      <c r="G1078" s="1" t="s">
        <v>712</v>
      </c>
      <c r="H1078" s="1" t="s">
        <v>713</v>
      </c>
      <c r="I1078" s="1" t="s">
        <v>714</v>
      </c>
      <c r="J1078" s="1" t="s">
        <v>805</v>
      </c>
      <c r="K1078" s="1" t="s">
        <v>5606</v>
      </c>
      <c r="L1078" s="1" t="s">
        <v>2710</v>
      </c>
      <c r="M1078" s="1" t="s">
        <v>718</v>
      </c>
    </row>
    <row r="1079" customFormat="false" ht="15" hidden="false" customHeight="false" outlineLevel="0" collapsed="false">
      <c r="A1079" s="1" t="s">
        <v>5607</v>
      </c>
      <c r="B1079" s="1" t="s">
        <v>5608</v>
      </c>
      <c r="C1079" s="1" t="s">
        <v>5609</v>
      </c>
      <c r="D1079" s="2" t="n">
        <v>35440</v>
      </c>
      <c r="E1079" s="1" t="s">
        <v>763</v>
      </c>
      <c r="F1079" s="1" t="s">
        <v>711</v>
      </c>
      <c r="G1079" s="1" t="s">
        <v>722</v>
      </c>
      <c r="H1079" s="1" t="s">
        <v>713</v>
      </c>
      <c r="I1079" s="1" t="s">
        <v>714</v>
      </c>
      <c r="J1079" s="1" t="s">
        <v>2997</v>
      </c>
      <c r="K1079" s="1" t="s">
        <v>5610</v>
      </c>
      <c r="L1079" s="1" t="s">
        <v>5611</v>
      </c>
      <c r="M1079" s="1" t="s">
        <v>718</v>
      </c>
    </row>
    <row r="1080" customFormat="false" ht="15" hidden="false" customHeight="false" outlineLevel="0" collapsed="false">
      <c r="A1080" s="1" t="s">
        <v>5612</v>
      </c>
      <c r="B1080" s="1" t="s">
        <v>5613</v>
      </c>
      <c r="C1080" s="1" t="s">
        <v>1615</v>
      </c>
      <c r="D1080" s="2" t="n">
        <v>35037</v>
      </c>
      <c r="E1080" s="1" t="s">
        <v>763</v>
      </c>
      <c r="F1080" s="1" t="s">
        <v>711</v>
      </c>
      <c r="G1080" s="1" t="s">
        <v>722</v>
      </c>
      <c r="H1080" s="1" t="s">
        <v>713</v>
      </c>
      <c r="I1080" s="1" t="s">
        <v>714</v>
      </c>
      <c r="J1080" s="1" t="s">
        <v>978</v>
      </c>
      <c r="K1080" s="1" t="s">
        <v>5614</v>
      </c>
      <c r="L1080" s="1" t="s">
        <v>5615</v>
      </c>
      <c r="M1080" s="1" t="s">
        <v>718</v>
      </c>
    </row>
    <row r="1081" customFormat="false" ht="15" hidden="false" customHeight="false" outlineLevel="0" collapsed="false">
      <c r="A1081" s="1" t="s">
        <v>5616</v>
      </c>
      <c r="B1081" s="1" t="s">
        <v>5617</v>
      </c>
      <c r="C1081" s="1" t="s">
        <v>5618</v>
      </c>
      <c r="D1081" s="2" t="n">
        <v>35698</v>
      </c>
      <c r="E1081" s="1" t="s">
        <v>710</v>
      </c>
      <c r="F1081" s="1" t="s">
        <v>711</v>
      </c>
      <c r="G1081" s="1" t="s">
        <v>712</v>
      </c>
      <c r="H1081" s="1" t="s">
        <v>713</v>
      </c>
      <c r="I1081" s="1" t="s">
        <v>714</v>
      </c>
      <c r="J1081" s="1" t="s">
        <v>821</v>
      </c>
      <c r="K1081" s="1" t="s">
        <v>5619</v>
      </c>
      <c r="L1081" s="1" t="s">
        <v>5620</v>
      </c>
      <c r="M1081" s="1" t="s">
        <v>718</v>
      </c>
    </row>
    <row r="1082" customFormat="false" ht="15" hidden="false" customHeight="false" outlineLevel="0" collapsed="false">
      <c r="A1082" s="1" t="s">
        <v>5621</v>
      </c>
      <c r="B1082" s="1" t="s">
        <v>4827</v>
      </c>
      <c r="C1082" s="1" t="s">
        <v>739</v>
      </c>
      <c r="D1082" s="2" t="n">
        <v>35384</v>
      </c>
      <c r="E1082" s="1" t="s">
        <v>710</v>
      </c>
      <c r="F1082" s="1" t="s">
        <v>711</v>
      </c>
      <c r="G1082" s="1" t="s">
        <v>722</v>
      </c>
      <c r="H1082" s="1" t="s">
        <v>713</v>
      </c>
      <c r="I1082" s="1" t="s">
        <v>714</v>
      </c>
      <c r="J1082" s="1" t="s">
        <v>838</v>
      </c>
      <c r="K1082" s="1" t="s">
        <v>5622</v>
      </c>
      <c r="L1082" s="1" t="s">
        <v>5623</v>
      </c>
      <c r="M1082" s="1" t="s">
        <v>718</v>
      </c>
    </row>
    <row r="1083" customFormat="false" ht="15" hidden="false" customHeight="false" outlineLevel="0" collapsed="false">
      <c r="A1083" s="1" t="s">
        <v>5624</v>
      </c>
      <c r="B1083" s="1" t="s">
        <v>5625</v>
      </c>
      <c r="C1083" s="1" t="s">
        <v>4059</v>
      </c>
      <c r="D1083" s="2" t="n">
        <v>34494</v>
      </c>
      <c r="E1083" s="1" t="s">
        <v>763</v>
      </c>
      <c r="F1083" s="1" t="s">
        <v>711</v>
      </c>
      <c r="G1083" s="1" t="s">
        <v>1693</v>
      </c>
      <c r="H1083" s="1" t="s">
        <v>713</v>
      </c>
      <c r="I1083" s="1" t="s">
        <v>714</v>
      </c>
      <c r="J1083" s="1" t="s">
        <v>1390</v>
      </c>
      <c r="K1083" s="1" t="s">
        <v>5626</v>
      </c>
      <c r="L1083" s="1" t="s">
        <v>4061</v>
      </c>
      <c r="M1083" s="1" t="s">
        <v>718</v>
      </c>
    </row>
    <row r="1084" customFormat="false" ht="15" hidden="false" customHeight="false" outlineLevel="0" collapsed="false">
      <c r="A1084" s="1" t="s">
        <v>5627</v>
      </c>
      <c r="B1084" s="1" t="s">
        <v>5628</v>
      </c>
      <c r="C1084" s="1" t="s">
        <v>5629</v>
      </c>
      <c r="D1084" s="2" t="n">
        <v>33333</v>
      </c>
      <c r="E1084" s="1" t="s">
        <v>710</v>
      </c>
      <c r="F1084" s="1" t="s">
        <v>4714</v>
      </c>
      <c r="G1084" s="1" t="s">
        <v>5630</v>
      </c>
      <c r="H1084" s="1" t="s">
        <v>2083</v>
      </c>
      <c r="I1084" s="1" t="s">
        <v>2084</v>
      </c>
      <c r="J1084" s="1" t="s">
        <v>3678</v>
      </c>
      <c r="K1084" s="1" t="s">
        <v>5631</v>
      </c>
      <c r="L1084" s="1" t="s">
        <v>5632</v>
      </c>
      <c r="M1084" s="1" t="s">
        <v>2083</v>
      </c>
    </row>
    <row r="1085" customFormat="false" ht="15" hidden="false" customHeight="false" outlineLevel="0" collapsed="false">
      <c r="A1085" s="1" t="s">
        <v>5633</v>
      </c>
      <c r="B1085" s="1" t="s">
        <v>5634</v>
      </c>
      <c r="C1085" s="1" t="s">
        <v>5635</v>
      </c>
      <c r="D1085" s="2" t="n">
        <v>35200</v>
      </c>
      <c r="E1085" s="1" t="s">
        <v>763</v>
      </c>
      <c r="F1085" s="1" t="s">
        <v>711</v>
      </c>
      <c r="G1085" s="1" t="s">
        <v>5636</v>
      </c>
      <c r="H1085" s="1" t="s">
        <v>713</v>
      </c>
      <c r="I1085" s="1" t="s">
        <v>714</v>
      </c>
      <c r="J1085" s="1" t="s">
        <v>5637</v>
      </c>
      <c r="K1085" s="1" t="s">
        <v>5638</v>
      </c>
      <c r="L1085" s="1" t="s">
        <v>5639</v>
      </c>
      <c r="M1085" s="1" t="s">
        <v>718</v>
      </c>
    </row>
    <row r="1086" customFormat="false" ht="15" hidden="false" customHeight="false" outlineLevel="0" collapsed="false">
      <c r="A1086" s="1" t="s">
        <v>5640</v>
      </c>
      <c r="B1086" s="1" t="s">
        <v>5641</v>
      </c>
      <c r="C1086" s="1" t="s">
        <v>5642</v>
      </c>
      <c r="D1086" s="2" t="n">
        <v>35681</v>
      </c>
      <c r="E1086" s="1" t="s">
        <v>763</v>
      </c>
      <c r="F1086" s="1" t="s">
        <v>711</v>
      </c>
      <c r="G1086" s="1" t="s">
        <v>712</v>
      </c>
      <c r="H1086" s="1" t="s">
        <v>713</v>
      </c>
      <c r="I1086" s="1" t="s">
        <v>714</v>
      </c>
      <c r="J1086" s="1" t="s">
        <v>5643</v>
      </c>
      <c r="K1086" s="1" t="s">
        <v>5644</v>
      </c>
      <c r="L1086" s="1" t="s">
        <v>5645</v>
      </c>
      <c r="M1086" s="1" t="s">
        <v>718</v>
      </c>
    </row>
    <row r="1087" customFormat="false" ht="15" hidden="false" customHeight="false" outlineLevel="0" collapsed="false">
      <c r="A1087" s="1" t="s">
        <v>5646</v>
      </c>
      <c r="B1087" s="1" t="s">
        <v>5647</v>
      </c>
      <c r="C1087" s="1" t="s">
        <v>762</v>
      </c>
      <c r="D1087" s="2" t="n">
        <v>36098</v>
      </c>
      <c r="E1087" s="1" t="s">
        <v>710</v>
      </c>
      <c r="F1087" s="1" t="s">
        <v>711</v>
      </c>
      <c r="G1087" s="1" t="s">
        <v>722</v>
      </c>
      <c r="H1087" s="1" t="s">
        <v>713</v>
      </c>
      <c r="I1087" s="1" t="s">
        <v>714</v>
      </c>
      <c r="J1087" s="1" t="s">
        <v>5648</v>
      </c>
      <c r="K1087" s="1" t="s">
        <v>5649</v>
      </c>
      <c r="L1087" s="1" t="s">
        <v>5650</v>
      </c>
      <c r="M1087" s="1" t="s">
        <v>718</v>
      </c>
    </row>
    <row r="1088" customFormat="false" ht="15" hidden="false" customHeight="false" outlineLevel="0" collapsed="false">
      <c r="A1088" s="1" t="s">
        <v>5651</v>
      </c>
      <c r="B1088" s="1" t="s">
        <v>5652</v>
      </c>
      <c r="C1088" s="1" t="s">
        <v>5653</v>
      </c>
      <c r="D1088" s="2" t="n">
        <v>35875</v>
      </c>
      <c r="E1088" s="1" t="s">
        <v>763</v>
      </c>
      <c r="F1088" s="1" t="s">
        <v>711</v>
      </c>
      <c r="G1088" s="1" t="s">
        <v>2000</v>
      </c>
      <c r="H1088" s="1" t="s">
        <v>713</v>
      </c>
      <c r="I1088" s="1" t="s">
        <v>714</v>
      </c>
      <c r="J1088" s="1" t="s">
        <v>5654</v>
      </c>
      <c r="K1088" s="1" t="s">
        <v>5655</v>
      </c>
      <c r="L1088" s="1" t="s">
        <v>5656</v>
      </c>
      <c r="M1088" s="1" t="s">
        <v>718</v>
      </c>
    </row>
    <row r="1089" customFormat="false" ht="15" hidden="false" customHeight="false" outlineLevel="0" collapsed="false">
      <c r="A1089" s="1" t="s">
        <v>5657</v>
      </c>
      <c r="B1089" s="1" t="s">
        <v>5658</v>
      </c>
      <c r="C1089" s="1" t="s">
        <v>5659</v>
      </c>
      <c r="D1089" s="2" t="n">
        <v>35009</v>
      </c>
      <c r="E1089" s="1" t="s">
        <v>710</v>
      </c>
      <c r="F1089" s="1" t="s">
        <v>711</v>
      </c>
      <c r="G1089" s="1" t="s">
        <v>5660</v>
      </c>
      <c r="H1089" s="1" t="s">
        <v>713</v>
      </c>
      <c r="I1089" s="1" t="s">
        <v>714</v>
      </c>
      <c r="J1089" s="1" t="s">
        <v>5654</v>
      </c>
      <c r="K1089" s="1" t="s">
        <v>5661</v>
      </c>
      <c r="L1089" s="1" t="s">
        <v>5662</v>
      </c>
      <c r="M1089" s="1" t="s">
        <v>718</v>
      </c>
    </row>
    <row r="1090" customFormat="false" ht="15" hidden="false" customHeight="false" outlineLevel="0" collapsed="false">
      <c r="A1090" s="1" t="s">
        <v>5663</v>
      </c>
      <c r="B1090" s="1" t="s">
        <v>5664</v>
      </c>
      <c r="C1090" s="1" t="s">
        <v>5665</v>
      </c>
      <c r="D1090" s="2" t="n">
        <v>35560</v>
      </c>
      <c r="E1090" s="1" t="s">
        <v>710</v>
      </c>
      <c r="F1090" s="1" t="s">
        <v>711</v>
      </c>
      <c r="G1090" s="1" t="s">
        <v>712</v>
      </c>
      <c r="H1090" s="1" t="s">
        <v>713</v>
      </c>
      <c r="I1090" s="1" t="s">
        <v>714</v>
      </c>
      <c r="J1090" s="1" t="s">
        <v>5666</v>
      </c>
      <c r="K1090" s="1" t="s">
        <v>5667</v>
      </c>
      <c r="L1090" s="1" t="s">
        <v>2090</v>
      </c>
      <c r="M1090" s="1" t="s">
        <v>718</v>
      </c>
    </row>
    <row r="1091" customFormat="false" ht="15" hidden="false" customHeight="false" outlineLevel="0" collapsed="false">
      <c r="A1091" s="1" t="s">
        <v>5668</v>
      </c>
      <c r="B1091" s="1" t="s">
        <v>5669</v>
      </c>
      <c r="C1091" s="1" t="s">
        <v>5670</v>
      </c>
      <c r="D1091" s="2" t="n">
        <v>35929</v>
      </c>
      <c r="E1091" s="1" t="s">
        <v>763</v>
      </c>
      <c r="F1091" s="1" t="s">
        <v>711</v>
      </c>
      <c r="G1091" s="1" t="s">
        <v>722</v>
      </c>
      <c r="H1091" s="1" t="s">
        <v>713</v>
      </c>
      <c r="I1091" s="1" t="s">
        <v>714</v>
      </c>
      <c r="J1091" s="1" t="s">
        <v>5654</v>
      </c>
      <c r="K1091" s="1" t="s">
        <v>5671</v>
      </c>
      <c r="L1091" s="1" t="s">
        <v>5672</v>
      </c>
      <c r="M1091" s="1" t="s">
        <v>718</v>
      </c>
    </row>
    <row r="1092" customFormat="false" ht="15" hidden="false" customHeight="false" outlineLevel="0" collapsed="false">
      <c r="A1092" s="1" t="s">
        <v>5673</v>
      </c>
      <c r="B1092" s="1" t="s">
        <v>5674</v>
      </c>
      <c r="C1092" s="1" t="s">
        <v>5675</v>
      </c>
      <c r="D1092" s="2" t="n">
        <v>34890</v>
      </c>
      <c r="E1092" s="1" t="s">
        <v>710</v>
      </c>
      <c r="F1092" s="1" t="s">
        <v>711</v>
      </c>
      <c r="G1092" s="1" t="s">
        <v>712</v>
      </c>
      <c r="H1092" s="1" t="s">
        <v>713</v>
      </c>
      <c r="I1092" s="1" t="s">
        <v>714</v>
      </c>
      <c r="J1092" s="1" t="s">
        <v>5676</v>
      </c>
      <c r="K1092" s="1" t="s">
        <v>5677</v>
      </c>
      <c r="L1092" s="1" t="s">
        <v>5678</v>
      </c>
      <c r="M1092" s="1" t="s">
        <v>718</v>
      </c>
    </row>
    <row r="1093" customFormat="false" ht="15" hidden="false" customHeight="false" outlineLevel="0" collapsed="false">
      <c r="A1093" s="1" t="s">
        <v>5679</v>
      </c>
      <c r="B1093" s="1" t="s">
        <v>2088</v>
      </c>
      <c r="C1093" s="1" t="s">
        <v>5680</v>
      </c>
      <c r="D1093" s="2" t="n">
        <v>35350</v>
      </c>
      <c r="E1093" s="1" t="s">
        <v>710</v>
      </c>
      <c r="F1093" s="1" t="s">
        <v>711</v>
      </c>
      <c r="G1093" s="1" t="s">
        <v>722</v>
      </c>
      <c r="H1093" s="1" t="s">
        <v>713</v>
      </c>
      <c r="I1093" s="1" t="s">
        <v>714</v>
      </c>
      <c r="J1093" s="1" t="s">
        <v>5681</v>
      </c>
      <c r="K1093" s="1" t="s">
        <v>716</v>
      </c>
      <c r="L1093" s="1" t="s">
        <v>5682</v>
      </c>
      <c r="M1093" s="1" t="s">
        <v>718</v>
      </c>
    </row>
    <row r="1094" customFormat="false" ht="15" hidden="false" customHeight="false" outlineLevel="0" collapsed="false">
      <c r="A1094" s="1" t="s">
        <v>5683</v>
      </c>
      <c r="B1094" s="1" t="s">
        <v>981</v>
      </c>
      <c r="C1094" s="1" t="s">
        <v>2442</v>
      </c>
      <c r="D1094" s="2" t="n">
        <v>35051</v>
      </c>
      <c r="E1094" s="1" t="s">
        <v>710</v>
      </c>
      <c r="F1094" s="1" t="s">
        <v>711</v>
      </c>
      <c r="G1094" s="1" t="s">
        <v>722</v>
      </c>
      <c r="H1094" s="1" t="s">
        <v>713</v>
      </c>
      <c r="I1094" s="1" t="s">
        <v>714</v>
      </c>
      <c r="J1094" s="1" t="s">
        <v>1505</v>
      </c>
      <c r="K1094" s="1" t="s">
        <v>5684</v>
      </c>
      <c r="L1094" s="1" t="s">
        <v>2444</v>
      </c>
      <c r="M1094" s="1" t="s">
        <v>718</v>
      </c>
    </row>
    <row r="1095" customFormat="false" ht="15" hidden="false" customHeight="false" outlineLevel="0" collapsed="false">
      <c r="A1095" s="1" t="s">
        <v>5685</v>
      </c>
      <c r="B1095" s="1" t="s">
        <v>5686</v>
      </c>
      <c r="C1095" s="1" t="s">
        <v>5687</v>
      </c>
      <c r="D1095" s="2" t="n">
        <v>35198</v>
      </c>
      <c r="E1095" s="1" t="s">
        <v>763</v>
      </c>
      <c r="F1095" s="1" t="s">
        <v>711</v>
      </c>
      <c r="G1095" s="1" t="s">
        <v>712</v>
      </c>
      <c r="H1095" s="1" t="s">
        <v>713</v>
      </c>
      <c r="I1095" s="1" t="s">
        <v>714</v>
      </c>
      <c r="J1095" s="1" t="s">
        <v>5688</v>
      </c>
      <c r="K1095" s="1" t="s">
        <v>5689</v>
      </c>
      <c r="L1095" s="1" t="s">
        <v>5690</v>
      </c>
      <c r="M1095" s="1" t="s">
        <v>718</v>
      </c>
    </row>
    <row r="1096" customFormat="false" ht="15" hidden="false" customHeight="false" outlineLevel="0" collapsed="false">
      <c r="A1096" s="1" t="s">
        <v>5691</v>
      </c>
      <c r="B1096" s="1" t="s">
        <v>5692</v>
      </c>
      <c r="C1096" s="1" t="s">
        <v>1086</v>
      </c>
      <c r="D1096" s="2" t="n">
        <v>36226</v>
      </c>
      <c r="E1096" s="1" t="s">
        <v>763</v>
      </c>
      <c r="F1096" s="1" t="s">
        <v>711</v>
      </c>
      <c r="G1096" s="1" t="s">
        <v>722</v>
      </c>
      <c r="H1096" s="1" t="s">
        <v>713</v>
      </c>
      <c r="I1096" s="1" t="s">
        <v>714</v>
      </c>
      <c r="J1096" s="1" t="s">
        <v>928</v>
      </c>
      <c r="K1096" s="1" t="s">
        <v>5693</v>
      </c>
      <c r="L1096" s="1" t="s">
        <v>5694</v>
      </c>
      <c r="M1096" s="1" t="s">
        <v>718</v>
      </c>
    </row>
    <row r="1097" customFormat="false" ht="15" hidden="false" customHeight="false" outlineLevel="0" collapsed="false">
      <c r="A1097" s="1" t="s">
        <v>5695</v>
      </c>
      <c r="B1097" s="1" t="s">
        <v>5696</v>
      </c>
      <c r="C1097" s="1" t="s">
        <v>1756</v>
      </c>
      <c r="D1097" s="2" t="n">
        <v>35390</v>
      </c>
      <c r="E1097" s="1" t="s">
        <v>710</v>
      </c>
      <c r="F1097" s="1" t="s">
        <v>711</v>
      </c>
      <c r="G1097" s="1" t="s">
        <v>722</v>
      </c>
      <c r="H1097" s="1" t="s">
        <v>713</v>
      </c>
      <c r="I1097" s="1" t="s">
        <v>714</v>
      </c>
      <c r="J1097" s="1" t="s">
        <v>3171</v>
      </c>
      <c r="K1097" s="1" t="s">
        <v>5697</v>
      </c>
      <c r="L1097" s="1" t="s">
        <v>5698</v>
      </c>
      <c r="M1097" s="1" t="s">
        <v>718</v>
      </c>
    </row>
    <row r="1098" customFormat="false" ht="15" hidden="false" customHeight="false" outlineLevel="0" collapsed="false">
      <c r="A1098" s="1" t="s">
        <v>5699</v>
      </c>
      <c r="B1098" s="1" t="s">
        <v>5700</v>
      </c>
      <c r="C1098" s="1" t="s">
        <v>5701</v>
      </c>
      <c r="D1098" s="2" t="n">
        <v>35997</v>
      </c>
      <c r="E1098" s="1" t="s">
        <v>710</v>
      </c>
      <c r="F1098" s="1" t="s">
        <v>711</v>
      </c>
      <c r="G1098" s="1" t="s">
        <v>722</v>
      </c>
      <c r="H1098" s="1" t="s">
        <v>713</v>
      </c>
      <c r="I1098" s="1" t="s">
        <v>714</v>
      </c>
      <c r="J1098" s="1" t="s">
        <v>5211</v>
      </c>
      <c r="K1098" s="1" t="s">
        <v>5702</v>
      </c>
      <c r="L1098" s="1" t="s">
        <v>5703</v>
      </c>
      <c r="M1098" s="1" t="s">
        <v>718</v>
      </c>
    </row>
    <row r="1099" customFormat="false" ht="15" hidden="false" customHeight="false" outlineLevel="0" collapsed="false">
      <c r="A1099" s="1" t="s">
        <v>5704</v>
      </c>
      <c r="B1099" s="1" t="s">
        <v>5705</v>
      </c>
      <c r="C1099" s="1" t="s">
        <v>5706</v>
      </c>
      <c r="D1099" s="2" t="n">
        <v>35838</v>
      </c>
      <c r="E1099" s="1" t="s">
        <v>763</v>
      </c>
      <c r="F1099" s="1" t="s">
        <v>711</v>
      </c>
      <c r="G1099" s="1" t="s">
        <v>712</v>
      </c>
      <c r="H1099" s="1" t="s">
        <v>713</v>
      </c>
      <c r="I1099" s="1" t="s">
        <v>714</v>
      </c>
      <c r="J1099" s="1" t="s">
        <v>5707</v>
      </c>
      <c r="K1099" s="1" t="s">
        <v>5708</v>
      </c>
      <c r="L1099" s="1" t="s">
        <v>5709</v>
      </c>
      <c r="M1099" s="1" t="s">
        <v>718</v>
      </c>
    </row>
    <row r="1100" customFormat="false" ht="15" hidden="false" customHeight="false" outlineLevel="0" collapsed="false">
      <c r="A1100" s="1" t="s">
        <v>5710</v>
      </c>
      <c r="B1100" s="1" t="s">
        <v>5711</v>
      </c>
      <c r="C1100" s="1" t="s">
        <v>2193</v>
      </c>
      <c r="D1100" s="2" t="n">
        <v>34904</v>
      </c>
      <c r="E1100" s="1" t="s">
        <v>710</v>
      </c>
      <c r="F1100" s="1" t="s">
        <v>711</v>
      </c>
      <c r="G1100" s="1" t="s">
        <v>712</v>
      </c>
      <c r="H1100" s="1" t="s">
        <v>713</v>
      </c>
      <c r="I1100" s="1" t="s">
        <v>714</v>
      </c>
      <c r="J1100" s="1" t="s">
        <v>5712</v>
      </c>
      <c r="K1100" s="1" t="s">
        <v>716</v>
      </c>
      <c r="L1100" s="1" t="s">
        <v>2195</v>
      </c>
      <c r="M1100" s="1" t="s">
        <v>718</v>
      </c>
    </row>
    <row r="1101" customFormat="false" ht="15" hidden="false" customHeight="false" outlineLevel="0" collapsed="false">
      <c r="A1101" s="1" t="s">
        <v>5713</v>
      </c>
      <c r="B1101" s="1" t="s">
        <v>5714</v>
      </c>
      <c r="C1101" s="1" t="s">
        <v>2970</v>
      </c>
      <c r="D1101" s="2" t="n">
        <v>35545</v>
      </c>
      <c r="E1101" s="1" t="s">
        <v>710</v>
      </c>
      <c r="F1101" s="1" t="s">
        <v>711</v>
      </c>
      <c r="G1101" s="1" t="s">
        <v>712</v>
      </c>
      <c r="H1101" s="1" t="s">
        <v>713</v>
      </c>
      <c r="I1101" s="1" t="s">
        <v>714</v>
      </c>
      <c r="J1101" s="1" t="s">
        <v>928</v>
      </c>
      <c r="K1101" s="1" t="s">
        <v>5715</v>
      </c>
      <c r="L1101" s="1" t="s">
        <v>2972</v>
      </c>
      <c r="M1101" s="1" t="s">
        <v>718</v>
      </c>
    </row>
    <row r="1102" customFormat="false" ht="15" hidden="false" customHeight="false" outlineLevel="0" collapsed="false">
      <c r="A1102" s="1" t="s">
        <v>5716</v>
      </c>
      <c r="B1102" s="1" t="s">
        <v>5717</v>
      </c>
      <c r="C1102" s="1" t="s">
        <v>1973</v>
      </c>
      <c r="D1102" s="2" t="n">
        <v>35812</v>
      </c>
      <c r="E1102" s="1" t="s">
        <v>710</v>
      </c>
      <c r="F1102" s="1" t="s">
        <v>711</v>
      </c>
      <c r="G1102" s="1" t="s">
        <v>722</v>
      </c>
      <c r="H1102" s="1" t="s">
        <v>713</v>
      </c>
      <c r="I1102" s="1" t="s">
        <v>714</v>
      </c>
      <c r="J1102" s="1" t="s">
        <v>5211</v>
      </c>
      <c r="K1102" s="1" t="s">
        <v>5718</v>
      </c>
      <c r="L1102" s="1" t="s">
        <v>5719</v>
      </c>
      <c r="M1102" s="1" t="s">
        <v>718</v>
      </c>
    </row>
    <row r="1103" customFormat="false" ht="15" hidden="false" customHeight="false" outlineLevel="0" collapsed="false">
      <c r="A1103" s="1" t="s">
        <v>5720</v>
      </c>
      <c r="B1103" s="1" t="s">
        <v>5721</v>
      </c>
      <c r="C1103" s="1" t="s">
        <v>5722</v>
      </c>
      <c r="D1103" s="2" t="n">
        <v>35287</v>
      </c>
      <c r="E1103" s="1" t="s">
        <v>710</v>
      </c>
      <c r="F1103" s="1" t="s">
        <v>711</v>
      </c>
      <c r="G1103" s="1" t="s">
        <v>722</v>
      </c>
      <c r="H1103" s="1" t="s">
        <v>713</v>
      </c>
      <c r="I1103" s="1" t="s">
        <v>714</v>
      </c>
      <c r="J1103" s="1" t="s">
        <v>1244</v>
      </c>
      <c r="K1103" s="1" t="s">
        <v>5723</v>
      </c>
      <c r="L1103" s="1" t="s">
        <v>5724</v>
      </c>
      <c r="M1103" s="1" t="s">
        <v>718</v>
      </c>
    </row>
    <row r="1104" customFormat="false" ht="15" hidden="false" customHeight="false" outlineLevel="0" collapsed="false">
      <c r="A1104" s="1" t="s">
        <v>5725</v>
      </c>
      <c r="B1104" s="1" t="s">
        <v>5726</v>
      </c>
      <c r="C1104" s="1" t="s">
        <v>5727</v>
      </c>
      <c r="D1104" s="2" t="n">
        <v>35604</v>
      </c>
      <c r="E1104" s="1" t="s">
        <v>710</v>
      </c>
      <c r="F1104" s="1" t="s">
        <v>711</v>
      </c>
      <c r="G1104" s="1" t="s">
        <v>1573</v>
      </c>
      <c r="H1104" s="1" t="s">
        <v>1574</v>
      </c>
      <c r="I1104" s="1" t="s">
        <v>1575</v>
      </c>
      <c r="J1104" s="1" t="s">
        <v>5728</v>
      </c>
      <c r="K1104" s="1" t="s">
        <v>716</v>
      </c>
      <c r="L1104" s="1" t="s">
        <v>5729</v>
      </c>
      <c r="M1104" s="1" t="s">
        <v>718</v>
      </c>
    </row>
    <row r="1105" customFormat="false" ht="15" hidden="false" customHeight="false" outlineLevel="0" collapsed="false">
      <c r="A1105" s="1" t="s">
        <v>5730</v>
      </c>
      <c r="B1105" s="1" t="s">
        <v>5731</v>
      </c>
      <c r="C1105" s="1" t="s">
        <v>5732</v>
      </c>
      <c r="D1105" s="2" t="n">
        <v>34261</v>
      </c>
      <c r="E1105" s="1" t="s">
        <v>710</v>
      </c>
      <c r="F1105" s="1" t="s">
        <v>711</v>
      </c>
      <c r="G1105" s="1" t="s">
        <v>712</v>
      </c>
      <c r="H1105" s="1" t="s">
        <v>713</v>
      </c>
      <c r="I1105" s="1" t="s">
        <v>714</v>
      </c>
      <c r="J1105" s="1" t="s">
        <v>1244</v>
      </c>
      <c r="K1105" s="1" t="s">
        <v>5733</v>
      </c>
      <c r="L1105" s="1" t="s">
        <v>5734</v>
      </c>
      <c r="M1105" s="1" t="s">
        <v>718</v>
      </c>
    </row>
    <row r="1106" customFormat="false" ht="15" hidden="false" customHeight="false" outlineLevel="0" collapsed="false">
      <c r="A1106" s="1" t="s">
        <v>5735</v>
      </c>
      <c r="B1106" s="1" t="s">
        <v>5541</v>
      </c>
      <c r="C1106" s="1" t="s">
        <v>2643</v>
      </c>
      <c r="D1106" s="2" t="n">
        <v>34371</v>
      </c>
      <c r="E1106" s="1" t="s">
        <v>710</v>
      </c>
      <c r="F1106" s="1" t="s">
        <v>711</v>
      </c>
      <c r="G1106" s="1" t="s">
        <v>712</v>
      </c>
      <c r="H1106" s="1" t="s">
        <v>713</v>
      </c>
      <c r="I1106" s="1" t="s">
        <v>714</v>
      </c>
      <c r="J1106" s="1" t="s">
        <v>4239</v>
      </c>
      <c r="K1106" s="1" t="s">
        <v>716</v>
      </c>
      <c r="L1106" s="1" t="s">
        <v>4081</v>
      </c>
      <c r="M1106" s="1" t="s">
        <v>718</v>
      </c>
    </row>
    <row r="1107" customFormat="false" ht="15" hidden="false" customHeight="false" outlineLevel="0" collapsed="false">
      <c r="A1107" s="1" t="s">
        <v>5736</v>
      </c>
      <c r="B1107" s="1" t="s">
        <v>5737</v>
      </c>
      <c r="C1107" s="1" t="s">
        <v>4072</v>
      </c>
      <c r="D1107" s="2" t="n">
        <v>34527</v>
      </c>
      <c r="E1107" s="1" t="s">
        <v>763</v>
      </c>
      <c r="F1107" s="1" t="s">
        <v>711</v>
      </c>
      <c r="G1107" s="1" t="s">
        <v>722</v>
      </c>
      <c r="H1107" s="1" t="s">
        <v>713</v>
      </c>
      <c r="I1107" s="1" t="s">
        <v>714</v>
      </c>
      <c r="J1107" s="1" t="s">
        <v>928</v>
      </c>
      <c r="K1107" s="1" t="s">
        <v>5738</v>
      </c>
      <c r="L1107" s="1" t="s">
        <v>4075</v>
      </c>
      <c r="M1107" s="1" t="s">
        <v>718</v>
      </c>
    </row>
    <row r="1108" customFormat="false" ht="15" hidden="false" customHeight="false" outlineLevel="0" collapsed="false">
      <c r="A1108" s="1" t="s">
        <v>5739</v>
      </c>
      <c r="B1108" s="1" t="s">
        <v>5740</v>
      </c>
      <c r="C1108" s="1" t="s">
        <v>5741</v>
      </c>
      <c r="D1108" s="2" t="n">
        <v>33609</v>
      </c>
      <c r="E1108" s="1" t="s">
        <v>710</v>
      </c>
      <c r="F1108" s="1" t="s">
        <v>711</v>
      </c>
      <c r="G1108" s="1" t="s">
        <v>712</v>
      </c>
      <c r="H1108" s="1" t="s">
        <v>713</v>
      </c>
      <c r="I1108" s="1" t="s">
        <v>714</v>
      </c>
      <c r="J1108" s="1" t="s">
        <v>5272</v>
      </c>
      <c r="K1108" s="1" t="s">
        <v>5742</v>
      </c>
      <c r="L1108" s="1" t="s">
        <v>5743</v>
      </c>
      <c r="M1108" s="1" t="s">
        <v>718</v>
      </c>
    </row>
    <row r="1109" customFormat="false" ht="15" hidden="false" customHeight="false" outlineLevel="0" collapsed="false">
      <c r="A1109" s="1" t="s">
        <v>5744</v>
      </c>
      <c r="B1109" s="1" t="s">
        <v>5745</v>
      </c>
      <c r="C1109" s="1" t="s">
        <v>5746</v>
      </c>
      <c r="D1109" s="2" t="n">
        <v>35127</v>
      </c>
      <c r="E1109" s="1" t="s">
        <v>763</v>
      </c>
      <c r="F1109" s="1" t="s">
        <v>711</v>
      </c>
      <c r="G1109" s="1" t="s">
        <v>722</v>
      </c>
      <c r="H1109" s="1" t="s">
        <v>713</v>
      </c>
      <c r="I1109" s="1" t="s">
        <v>714</v>
      </c>
      <c r="J1109" s="1" t="s">
        <v>2438</v>
      </c>
      <c r="K1109" s="1" t="s">
        <v>5747</v>
      </c>
      <c r="L1109" s="1" t="s">
        <v>5748</v>
      </c>
      <c r="M1109" s="1" t="s">
        <v>718</v>
      </c>
    </row>
    <row r="1110" customFormat="false" ht="15" hidden="false" customHeight="false" outlineLevel="0" collapsed="false">
      <c r="A1110" s="1" t="s">
        <v>5749</v>
      </c>
      <c r="B1110" s="1" t="s">
        <v>5750</v>
      </c>
      <c r="C1110" s="1" t="s">
        <v>5751</v>
      </c>
      <c r="D1110" s="2" t="n">
        <v>34561</v>
      </c>
      <c r="E1110" s="1" t="s">
        <v>710</v>
      </c>
      <c r="F1110" s="1" t="s">
        <v>711</v>
      </c>
      <c r="G1110" s="1" t="s">
        <v>3182</v>
      </c>
      <c r="H1110" s="1" t="s">
        <v>713</v>
      </c>
      <c r="I1110" s="1" t="s">
        <v>714</v>
      </c>
      <c r="J1110" s="1" t="s">
        <v>5752</v>
      </c>
      <c r="K1110" s="1" t="s">
        <v>5753</v>
      </c>
      <c r="L1110" s="1" t="s">
        <v>5754</v>
      </c>
      <c r="M1110" s="1" t="s">
        <v>718</v>
      </c>
    </row>
    <row r="1111" customFormat="false" ht="15" hidden="false" customHeight="false" outlineLevel="0" collapsed="false">
      <c r="A1111" s="1" t="s">
        <v>5755</v>
      </c>
      <c r="B1111" s="1" t="s">
        <v>5756</v>
      </c>
      <c r="C1111" s="1" t="s">
        <v>5757</v>
      </c>
      <c r="D1111" s="2" t="n">
        <v>35049</v>
      </c>
      <c r="E1111" s="1" t="s">
        <v>763</v>
      </c>
      <c r="F1111" s="1" t="s">
        <v>711</v>
      </c>
      <c r="G1111" s="1" t="s">
        <v>722</v>
      </c>
      <c r="H1111" s="1" t="s">
        <v>713</v>
      </c>
      <c r="I1111" s="1" t="s">
        <v>714</v>
      </c>
      <c r="J1111" s="1" t="s">
        <v>5758</v>
      </c>
      <c r="K1111" s="1" t="s">
        <v>5759</v>
      </c>
      <c r="L1111" s="1" t="s">
        <v>5760</v>
      </c>
      <c r="M1111" s="1" t="s">
        <v>718</v>
      </c>
    </row>
    <row r="1112" customFormat="false" ht="15" hidden="false" customHeight="false" outlineLevel="0" collapsed="false">
      <c r="A1112" s="1" t="s">
        <v>5761</v>
      </c>
      <c r="B1112" s="1" t="s">
        <v>5762</v>
      </c>
      <c r="C1112" s="1" t="s">
        <v>5763</v>
      </c>
      <c r="D1112" s="2" t="n">
        <v>34724</v>
      </c>
      <c r="E1112" s="1" t="s">
        <v>710</v>
      </c>
      <c r="F1112" s="1" t="s">
        <v>711</v>
      </c>
      <c r="G1112" s="1" t="s">
        <v>712</v>
      </c>
      <c r="H1112" s="1" t="s">
        <v>713</v>
      </c>
      <c r="I1112" s="1" t="s">
        <v>714</v>
      </c>
      <c r="J1112" s="1" t="s">
        <v>1530</v>
      </c>
      <c r="K1112" s="1" t="s">
        <v>5764</v>
      </c>
      <c r="L1112" s="1" t="s">
        <v>5765</v>
      </c>
      <c r="M1112" s="1" t="s">
        <v>718</v>
      </c>
    </row>
    <row r="1113" customFormat="false" ht="15" hidden="false" customHeight="false" outlineLevel="0" collapsed="false">
      <c r="A1113" s="1" t="s">
        <v>5766</v>
      </c>
      <c r="B1113" s="1" t="s">
        <v>2974</v>
      </c>
      <c r="C1113" s="1" t="s">
        <v>1973</v>
      </c>
      <c r="D1113" s="2" t="n">
        <v>34834</v>
      </c>
      <c r="E1113" s="1" t="s">
        <v>710</v>
      </c>
      <c r="F1113" s="1" t="s">
        <v>711</v>
      </c>
      <c r="G1113" s="1" t="s">
        <v>722</v>
      </c>
      <c r="H1113" s="1" t="s">
        <v>713</v>
      </c>
      <c r="I1113" s="1" t="s">
        <v>714</v>
      </c>
      <c r="J1113" s="1" t="s">
        <v>5767</v>
      </c>
      <c r="K1113" s="1" t="s">
        <v>5718</v>
      </c>
      <c r="L1113" s="1" t="s">
        <v>5719</v>
      </c>
      <c r="M1113" s="1" t="s">
        <v>718</v>
      </c>
    </row>
    <row r="1114" customFormat="false" ht="15" hidden="false" customHeight="false" outlineLevel="0" collapsed="false">
      <c r="A1114" s="1" t="s">
        <v>5768</v>
      </c>
      <c r="B1114" s="1" t="s">
        <v>1623</v>
      </c>
      <c r="C1114" s="1" t="s">
        <v>1973</v>
      </c>
      <c r="D1114" s="2" t="n">
        <v>34213</v>
      </c>
      <c r="E1114" s="1" t="s">
        <v>710</v>
      </c>
      <c r="F1114" s="1" t="s">
        <v>711</v>
      </c>
      <c r="G1114" s="1" t="s">
        <v>2499</v>
      </c>
      <c r="H1114" s="1" t="s">
        <v>713</v>
      </c>
      <c r="I1114" s="1" t="s">
        <v>714</v>
      </c>
      <c r="J1114" s="1" t="s">
        <v>5767</v>
      </c>
      <c r="K1114" s="1" t="s">
        <v>5718</v>
      </c>
      <c r="L1114" s="1" t="s">
        <v>5719</v>
      </c>
      <c r="M1114" s="1" t="s">
        <v>718</v>
      </c>
    </row>
    <row r="1115" customFormat="false" ht="15" hidden="false" customHeight="false" outlineLevel="0" collapsed="false">
      <c r="A1115" s="1" t="s">
        <v>5769</v>
      </c>
      <c r="B1115" s="1" t="s">
        <v>5770</v>
      </c>
      <c r="C1115" s="1" t="s">
        <v>5771</v>
      </c>
      <c r="D1115" s="2" t="n">
        <v>35217</v>
      </c>
      <c r="E1115" s="1" t="s">
        <v>763</v>
      </c>
      <c r="F1115" s="1" t="s">
        <v>711</v>
      </c>
      <c r="G1115" s="1" t="s">
        <v>722</v>
      </c>
      <c r="H1115" s="1" t="s">
        <v>713</v>
      </c>
      <c r="I1115" s="1" t="s">
        <v>714</v>
      </c>
      <c r="J1115" s="1" t="s">
        <v>5772</v>
      </c>
      <c r="K1115" s="1" t="s">
        <v>5773</v>
      </c>
      <c r="L1115" s="1" t="s">
        <v>5774</v>
      </c>
      <c r="M1115" s="1" t="s">
        <v>718</v>
      </c>
    </row>
    <row r="1116" customFormat="false" ht="15" hidden="false" customHeight="false" outlineLevel="0" collapsed="false">
      <c r="A1116" s="1" t="s">
        <v>5775</v>
      </c>
      <c r="B1116" s="1" t="s">
        <v>5776</v>
      </c>
      <c r="C1116" s="1" t="s">
        <v>5777</v>
      </c>
      <c r="D1116" s="2" t="n">
        <v>36814</v>
      </c>
      <c r="E1116" s="1" t="s">
        <v>763</v>
      </c>
      <c r="F1116" s="1" t="s">
        <v>711</v>
      </c>
      <c r="G1116" s="1" t="s">
        <v>712</v>
      </c>
      <c r="H1116" s="1" t="s">
        <v>713</v>
      </c>
      <c r="I1116" s="1" t="s">
        <v>714</v>
      </c>
      <c r="J1116" s="1" t="s">
        <v>5778</v>
      </c>
      <c r="K1116" s="1" t="s">
        <v>5779</v>
      </c>
      <c r="L1116" s="1" t="s">
        <v>5780</v>
      </c>
      <c r="M1116" s="1" t="s">
        <v>718</v>
      </c>
    </row>
    <row r="1117" customFormat="false" ht="15" hidden="false" customHeight="false" outlineLevel="0" collapsed="false">
      <c r="A1117" s="1" t="s">
        <v>5781</v>
      </c>
      <c r="B1117" s="1" t="s">
        <v>5782</v>
      </c>
      <c r="C1117" s="1" t="s">
        <v>1049</v>
      </c>
      <c r="D1117" s="2" t="n">
        <v>35885</v>
      </c>
      <c r="E1117" s="1" t="s">
        <v>710</v>
      </c>
      <c r="F1117" s="1" t="s">
        <v>711</v>
      </c>
      <c r="G1117" s="1" t="s">
        <v>712</v>
      </c>
      <c r="H1117" s="1" t="s">
        <v>713</v>
      </c>
      <c r="I1117" s="1" t="s">
        <v>714</v>
      </c>
      <c r="J1117" s="1" t="s">
        <v>2664</v>
      </c>
      <c r="K1117" s="1" t="s">
        <v>716</v>
      </c>
      <c r="L1117" s="1" t="s">
        <v>1051</v>
      </c>
      <c r="M1117" s="1" t="s">
        <v>718</v>
      </c>
    </row>
    <row r="1118" customFormat="false" ht="15" hidden="false" customHeight="false" outlineLevel="0" collapsed="false">
      <c r="A1118" s="1" t="s">
        <v>5783</v>
      </c>
      <c r="B1118" s="1" t="s">
        <v>5784</v>
      </c>
      <c r="C1118" s="1" t="s">
        <v>5785</v>
      </c>
      <c r="D1118" s="2" t="n">
        <v>35203</v>
      </c>
      <c r="E1118" s="1" t="s">
        <v>710</v>
      </c>
      <c r="F1118" s="1" t="s">
        <v>711</v>
      </c>
      <c r="G1118" s="1" t="s">
        <v>5786</v>
      </c>
      <c r="H1118" s="1" t="s">
        <v>713</v>
      </c>
      <c r="I1118" s="1" t="s">
        <v>714</v>
      </c>
      <c r="J1118" s="1" t="s">
        <v>5787</v>
      </c>
      <c r="K1118" s="1" t="s">
        <v>5788</v>
      </c>
      <c r="L1118" s="1" t="s">
        <v>5789</v>
      </c>
      <c r="M1118" s="1" t="s">
        <v>718</v>
      </c>
    </row>
    <row r="1119" customFormat="false" ht="15" hidden="false" customHeight="false" outlineLevel="0" collapsed="false">
      <c r="A1119" s="1" t="s">
        <v>5790</v>
      </c>
      <c r="B1119" s="1" t="s">
        <v>5791</v>
      </c>
      <c r="C1119" s="1" t="s">
        <v>5792</v>
      </c>
      <c r="D1119" s="2" t="n">
        <v>36783</v>
      </c>
      <c r="E1119" s="1" t="s">
        <v>763</v>
      </c>
      <c r="F1119" s="1" t="s">
        <v>711</v>
      </c>
      <c r="G1119" s="1" t="s">
        <v>712</v>
      </c>
      <c r="H1119" s="1" t="s">
        <v>713</v>
      </c>
      <c r="I1119" s="1" t="s">
        <v>714</v>
      </c>
      <c r="J1119" s="1" t="s">
        <v>5793</v>
      </c>
      <c r="K1119" s="1" t="s">
        <v>716</v>
      </c>
      <c r="L1119" s="1" t="s">
        <v>5794</v>
      </c>
      <c r="M1119" s="1" t="s">
        <v>718</v>
      </c>
    </row>
    <row r="1120" customFormat="false" ht="15" hidden="false" customHeight="false" outlineLevel="0" collapsed="false">
      <c r="A1120" s="1" t="s">
        <v>5795</v>
      </c>
      <c r="B1120" s="1" t="s">
        <v>1668</v>
      </c>
      <c r="C1120" s="1" t="s">
        <v>5172</v>
      </c>
      <c r="D1120" s="2" t="n">
        <v>36605</v>
      </c>
      <c r="E1120" s="1" t="s">
        <v>710</v>
      </c>
      <c r="F1120" s="1" t="s">
        <v>711</v>
      </c>
      <c r="G1120" s="1" t="s">
        <v>722</v>
      </c>
      <c r="H1120" s="1" t="s">
        <v>713</v>
      </c>
      <c r="I1120" s="1" t="s">
        <v>714</v>
      </c>
      <c r="J1120" s="1" t="s">
        <v>1723</v>
      </c>
      <c r="K1120" s="1" t="s">
        <v>5796</v>
      </c>
      <c r="L1120" s="1" t="s">
        <v>5174</v>
      </c>
      <c r="M1120" s="1" t="s">
        <v>718</v>
      </c>
    </row>
    <row r="1121" customFormat="false" ht="15" hidden="false" customHeight="false" outlineLevel="0" collapsed="false">
      <c r="A1121" s="1" t="s">
        <v>5797</v>
      </c>
      <c r="B1121" s="1" t="s">
        <v>5798</v>
      </c>
      <c r="C1121" s="1" t="s">
        <v>2965</v>
      </c>
      <c r="D1121" s="2" t="n">
        <v>35678</v>
      </c>
      <c r="E1121" s="1" t="s">
        <v>710</v>
      </c>
      <c r="F1121" s="1" t="s">
        <v>711</v>
      </c>
      <c r="G1121" s="1" t="s">
        <v>712</v>
      </c>
      <c r="H1121" s="1" t="s">
        <v>713</v>
      </c>
      <c r="I1121" s="1" t="s">
        <v>714</v>
      </c>
      <c r="J1121" s="1" t="s">
        <v>5799</v>
      </c>
      <c r="K1121" s="1" t="s">
        <v>5800</v>
      </c>
      <c r="L1121" s="1" t="s">
        <v>5801</v>
      </c>
      <c r="M1121" s="1" t="s">
        <v>718</v>
      </c>
    </row>
    <row r="1122" customFormat="false" ht="15" hidden="false" customHeight="false" outlineLevel="0" collapsed="false">
      <c r="A1122" s="1" t="s">
        <v>5802</v>
      </c>
      <c r="B1122" s="1" t="s">
        <v>5803</v>
      </c>
      <c r="C1122" s="1" t="s">
        <v>5804</v>
      </c>
      <c r="D1122" s="2" t="n">
        <v>35928</v>
      </c>
      <c r="E1122" s="1" t="s">
        <v>710</v>
      </c>
      <c r="F1122" s="1" t="s">
        <v>711</v>
      </c>
      <c r="G1122" s="1" t="s">
        <v>712</v>
      </c>
      <c r="H1122" s="1" t="s">
        <v>713</v>
      </c>
      <c r="I1122" s="1" t="s">
        <v>714</v>
      </c>
      <c r="J1122" s="1" t="s">
        <v>5805</v>
      </c>
      <c r="K1122" s="1" t="s">
        <v>5806</v>
      </c>
      <c r="L1122" s="1" t="s">
        <v>4225</v>
      </c>
      <c r="M1122" s="1" t="s">
        <v>718</v>
      </c>
    </row>
    <row r="1123" customFormat="false" ht="15" hidden="false" customHeight="false" outlineLevel="0" collapsed="false">
      <c r="A1123" s="1" t="s">
        <v>5807</v>
      </c>
      <c r="B1123" s="1" t="s">
        <v>5808</v>
      </c>
      <c r="C1123" s="1" t="s">
        <v>5809</v>
      </c>
      <c r="D1123" s="2" t="n">
        <v>37005</v>
      </c>
      <c r="E1123" s="1" t="s">
        <v>710</v>
      </c>
      <c r="F1123" s="1" t="s">
        <v>711</v>
      </c>
      <c r="G1123" s="1" t="s">
        <v>722</v>
      </c>
      <c r="H1123" s="1" t="s">
        <v>713</v>
      </c>
      <c r="I1123" s="1" t="s">
        <v>714</v>
      </c>
      <c r="J1123" s="1" t="s">
        <v>5810</v>
      </c>
      <c r="K1123" s="1" t="s">
        <v>716</v>
      </c>
      <c r="L1123" s="1" t="s">
        <v>5811</v>
      </c>
      <c r="M1123" s="1" t="s">
        <v>718</v>
      </c>
    </row>
    <row r="1124" customFormat="false" ht="15" hidden="false" customHeight="false" outlineLevel="0" collapsed="false">
      <c r="A1124" s="1" t="s">
        <v>5812</v>
      </c>
      <c r="B1124" s="1" t="s">
        <v>5813</v>
      </c>
      <c r="C1124" s="1" t="s">
        <v>5814</v>
      </c>
      <c r="D1124" s="2" t="n">
        <v>36539</v>
      </c>
      <c r="E1124" s="1" t="s">
        <v>710</v>
      </c>
      <c r="F1124" s="1" t="s">
        <v>711</v>
      </c>
      <c r="G1124" s="1" t="s">
        <v>712</v>
      </c>
      <c r="H1124" s="1" t="s">
        <v>713</v>
      </c>
      <c r="I1124" s="1" t="s">
        <v>714</v>
      </c>
      <c r="J1124" s="1" t="s">
        <v>5815</v>
      </c>
      <c r="K1124" s="1" t="s">
        <v>5816</v>
      </c>
      <c r="L1124" s="1" t="s">
        <v>5817</v>
      </c>
      <c r="M1124" s="1" t="s">
        <v>718</v>
      </c>
    </row>
    <row r="1125" customFormat="false" ht="15" hidden="false" customHeight="false" outlineLevel="0" collapsed="false">
      <c r="A1125" s="1" t="s">
        <v>5818</v>
      </c>
      <c r="B1125" s="1" t="s">
        <v>5819</v>
      </c>
      <c r="C1125" s="1" t="s">
        <v>5820</v>
      </c>
      <c r="D1125" s="2" t="n">
        <v>35379</v>
      </c>
      <c r="E1125" s="1" t="s">
        <v>710</v>
      </c>
      <c r="F1125" s="1" t="s">
        <v>711</v>
      </c>
      <c r="G1125" s="1" t="s">
        <v>722</v>
      </c>
      <c r="H1125" s="1" t="s">
        <v>713</v>
      </c>
      <c r="I1125" s="1" t="s">
        <v>714</v>
      </c>
      <c r="J1125" s="1" t="s">
        <v>3678</v>
      </c>
      <c r="K1125" s="1" t="s">
        <v>5821</v>
      </c>
      <c r="L1125" s="1" t="s">
        <v>5822</v>
      </c>
      <c r="M1125" s="1" t="s">
        <v>718</v>
      </c>
    </row>
    <row r="1126" customFormat="false" ht="15" hidden="false" customHeight="false" outlineLevel="0" collapsed="false">
      <c r="A1126" s="1" t="s">
        <v>5823</v>
      </c>
      <c r="B1126" s="1" t="s">
        <v>5824</v>
      </c>
      <c r="C1126" s="1" t="s">
        <v>1421</v>
      </c>
      <c r="D1126" s="2" t="n">
        <v>35609</v>
      </c>
      <c r="E1126" s="1" t="s">
        <v>710</v>
      </c>
      <c r="F1126" s="1" t="s">
        <v>711</v>
      </c>
      <c r="G1126" s="1" t="s">
        <v>722</v>
      </c>
      <c r="H1126" s="1" t="s">
        <v>713</v>
      </c>
      <c r="I1126" s="1" t="s">
        <v>714</v>
      </c>
      <c r="J1126" s="1" t="s">
        <v>5825</v>
      </c>
      <c r="K1126" s="1" t="s">
        <v>5826</v>
      </c>
      <c r="L1126" s="1" t="s">
        <v>1423</v>
      </c>
      <c r="M1126" s="1" t="s">
        <v>718</v>
      </c>
    </row>
    <row r="1127" customFormat="false" ht="15" hidden="false" customHeight="false" outlineLevel="0" collapsed="false">
      <c r="A1127" s="1" t="s">
        <v>5827</v>
      </c>
      <c r="B1127" s="1" t="s">
        <v>5828</v>
      </c>
      <c r="C1127" s="1" t="s">
        <v>5829</v>
      </c>
      <c r="D1127" s="2" t="n">
        <v>36388</v>
      </c>
      <c r="E1127" s="1" t="s">
        <v>710</v>
      </c>
      <c r="F1127" s="1" t="s">
        <v>711</v>
      </c>
      <c r="G1127" s="1" t="s">
        <v>1450</v>
      </c>
      <c r="H1127" s="1" t="s">
        <v>713</v>
      </c>
      <c r="I1127" s="1" t="s">
        <v>714</v>
      </c>
      <c r="J1127" s="1" t="s">
        <v>5830</v>
      </c>
      <c r="K1127" s="1" t="s">
        <v>5831</v>
      </c>
      <c r="L1127" s="1" t="s">
        <v>5832</v>
      </c>
      <c r="M1127" s="1" t="s">
        <v>718</v>
      </c>
    </row>
    <row r="1128" customFormat="false" ht="15" hidden="false" customHeight="false" outlineLevel="0" collapsed="false">
      <c r="A1128" s="1" t="s">
        <v>5833</v>
      </c>
      <c r="B1128" s="1" t="s">
        <v>5834</v>
      </c>
      <c r="C1128" s="1" t="s">
        <v>5835</v>
      </c>
      <c r="D1128" s="2" t="n">
        <v>36444</v>
      </c>
      <c r="E1128" s="1" t="s">
        <v>763</v>
      </c>
      <c r="F1128" s="1" t="s">
        <v>711</v>
      </c>
      <c r="G1128" s="1" t="s">
        <v>712</v>
      </c>
      <c r="H1128" s="1" t="s">
        <v>713</v>
      </c>
      <c r="I1128" s="1" t="s">
        <v>714</v>
      </c>
      <c r="J1128" s="1" t="s">
        <v>1244</v>
      </c>
      <c r="K1128" s="1" t="s">
        <v>5836</v>
      </c>
      <c r="L1128" s="1" t="s">
        <v>5837</v>
      </c>
      <c r="M1128" s="1" t="s">
        <v>718</v>
      </c>
    </row>
    <row r="1129" customFormat="false" ht="15" hidden="false" customHeight="false" outlineLevel="0" collapsed="false">
      <c r="A1129" s="1" t="s">
        <v>5838</v>
      </c>
      <c r="B1129" s="1" t="s">
        <v>5839</v>
      </c>
      <c r="C1129" s="1" t="s">
        <v>4280</v>
      </c>
      <c r="D1129" s="2" t="n">
        <v>34672</v>
      </c>
      <c r="E1129" s="1" t="s">
        <v>710</v>
      </c>
      <c r="F1129" s="1" t="s">
        <v>711</v>
      </c>
      <c r="G1129" s="1" t="s">
        <v>2638</v>
      </c>
      <c r="H1129" s="1" t="s">
        <v>713</v>
      </c>
      <c r="I1129" s="1" t="s">
        <v>714</v>
      </c>
      <c r="J1129" s="1" t="s">
        <v>5840</v>
      </c>
      <c r="K1129" s="1" t="s">
        <v>5841</v>
      </c>
      <c r="L1129" s="1" t="s">
        <v>4282</v>
      </c>
      <c r="M1129" s="1" t="s">
        <v>718</v>
      </c>
    </row>
    <row r="1130" customFormat="false" ht="15" hidden="false" customHeight="false" outlineLevel="0" collapsed="false">
      <c r="A1130" s="1" t="s">
        <v>5842</v>
      </c>
      <c r="B1130" s="1" t="s">
        <v>2228</v>
      </c>
      <c r="C1130" s="1" t="s">
        <v>3118</v>
      </c>
      <c r="D1130" s="2" t="n">
        <v>35778</v>
      </c>
      <c r="E1130" s="1" t="s">
        <v>710</v>
      </c>
      <c r="F1130" s="1" t="s">
        <v>711</v>
      </c>
      <c r="G1130" s="1" t="s">
        <v>1573</v>
      </c>
      <c r="H1130" s="1" t="s">
        <v>1574</v>
      </c>
      <c r="I1130" s="1" t="s">
        <v>1575</v>
      </c>
      <c r="J1130" s="1" t="s">
        <v>5840</v>
      </c>
      <c r="K1130" s="1" t="s">
        <v>5841</v>
      </c>
      <c r="L1130" s="1" t="s">
        <v>4282</v>
      </c>
      <c r="M1130" s="1" t="s">
        <v>718</v>
      </c>
    </row>
    <row r="1131" customFormat="false" ht="15" hidden="false" customHeight="false" outlineLevel="0" collapsed="false">
      <c r="A1131" s="1" t="s">
        <v>5843</v>
      </c>
      <c r="B1131" s="1" t="s">
        <v>5844</v>
      </c>
      <c r="C1131" s="1" t="s">
        <v>5757</v>
      </c>
      <c r="D1131" s="2" t="n">
        <v>36168</v>
      </c>
      <c r="E1131" s="1" t="s">
        <v>710</v>
      </c>
      <c r="F1131" s="1" t="s">
        <v>711</v>
      </c>
      <c r="G1131" s="1" t="s">
        <v>722</v>
      </c>
      <c r="H1131" s="1" t="s">
        <v>713</v>
      </c>
      <c r="I1131" s="1" t="s">
        <v>714</v>
      </c>
      <c r="J1131" s="1" t="s">
        <v>5845</v>
      </c>
      <c r="K1131" s="1" t="s">
        <v>5846</v>
      </c>
      <c r="L1131" s="1" t="s">
        <v>5760</v>
      </c>
      <c r="M1131" s="1" t="s">
        <v>718</v>
      </c>
    </row>
    <row r="1132" customFormat="false" ht="15" hidden="false" customHeight="false" outlineLevel="0" collapsed="false">
      <c r="A1132" s="1" t="s">
        <v>5847</v>
      </c>
      <c r="B1132" s="1" t="s">
        <v>5848</v>
      </c>
      <c r="C1132" s="1" t="s">
        <v>5849</v>
      </c>
      <c r="D1132" s="2" t="n">
        <v>36802</v>
      </c>
      <c r="E1132" s="1" t="s">
        <v>710</v>
      </c>
      <c r="F1132" s="1" t="s">
        <v>711</v>
      </c>
      <c r="G1132" s="1" t="s">
        <v>722</v>
      </c>
      <c r="H1132" s="1" t="s">
        <v>713</v>
      </c>
      <c r="I1132" s="1" t="s">
        <v>714</v>
      </c>
      <c r="J1132" s="1" t="s">
        <v>1244</v>
      </c>
      <c r="K1132" s="1" t="s">
        <v>716</v>
      </c>
      <c r="L1132" s="1" t="s">
        <v>2162</v>
      </c>
      <c r="M1132" s="1" t="s">
        <v>718</v>
      </c>
    </row>
    <row r="1133" customFormat="false" ht="15" hidden="false" customHeight="false" outlineLevel="0" collapsed="false">
      <c r="A1133" s="1" t="s">
        <v>5850</v>
      </c>
      <c r="B1133" s="1" t="s">
        <v>5851</v>
      </c>
      <c r="C1133" s="1" t="s">
        <v>5852</v>
      </c>
      <c r="D1133" s="2" t="n">
        <v>36727</v>
      </c>
      <c r="E1133" s="1" t="s">
        <v>763</v>
      </c>
      <c r="F1133" s="1" t="s">
        <v>711</v>
      </c>
      <c r="G1133" s="1" t="s">
        <v>712</v>
      </c>
      <c r="H1133" s="1" t="s">
        <v>713</v>
      </c>
      <c r="I1133" s="1" t="s">
        <v>714</v>
      </c>
      <c r="J1133" s="1" t="s">
        <v>1530</v>
      </c>
      <c r="K1133" s="1" t="s">
        <v>716</v>
      </c>
      <c r="L1133" s="1" t="s">
        <v>5853</v>
      </c>
      <c r="M1133" s="1" t="s">
        <v>718</v>
      </c>
    </row>
    <row r="1134" customFormat="false" ht="15" hidden="false" customHeight="false" outlineLevel="0" collapsed="false">
      <c r="A1134" s="1" t="s">
        <v>5854</v>
      </c>
      <c r="B1134" s="1" t="s">
        <v>5855</v>
      </c>
      <c r="C1134" s="1" t="s">
        <v>5856</v>
      </c>
      <c r="D1134" s="2" t="n">
        <v>35425</v>
      </c>
      <c r="E1134" s="1" t="s">
        <v>763</v>
      </c>
      <c r="F1134" s="1" t="s">
        <v>711</v>
      </c>
      <c r="G1134" s="1" t="s">
        <v>722</v>
      </c>
      <c r="H1134" s="1" t="s">
        <v>713</v>
      </c>
      <c r="I1134" s="1" t="s">
        <v>714</v>
      </c>
      <c r="J1134" s="1" t="s">
        <v>4239</v>
      </c>
      <c r="K1134" s="1" t="s">
        <v>716</v>
      </c>
      <c r="L1134" s="1" t="s">
        <v>5857</v>
      </c>
      <c r="M1134" s="1" t="s">
        <v>718</v>
      </c>
    </row>
    <row r="1135" customFormat="false" ht="15" hidden="false" customHeight="false" outlineLevel="0" collapsed="false">
      <c r="A1135" s="1" t="s">
        <v>5858</v>
      </c>
      <c r="B1135" s="1" t="s">
        <v>5859</v>
      </c>
      <c r="C1135" s="1" t="s">
        <v>5860</v>
      </c>
      <c r="D1135" s="2" t="n">
        <v>35491</v>
      </c>
      <c r="E1135" s="1" t="s">
        <v>763</v>
      </c>
      <c r="F1135" s="1" t="s">
        <v>711</v>
      </c>
      <c r="G1135" s="1" t="s">
        <v>5861</v>
      </c>
      <c r="H1135" s="1" t="s">
        <v>5862</v>
      </c>
      <c r="I1135" s="1" t="s">
        <v>5863</v>
      </c>
      <c r="J1135" s="1" t="s">
        <v>5864</v>
      </c>
      <c r="K1135" s="1" t="s">
        <v>5865</v>
      </c>
      <c r="L1135" s="1" t="s">
        <v>5866</v>
      </c>
      <c r="M1135" s="1" t="s">
        <v>718</v>
      </c>
    </row>
    <row r="1136" customFormat="false" ht="15" hidden="false" customHeight="false" outlineLevel="0" collapsed="false">
      <c r="A1136" s="1" t="s">
        <v>5867</v>
      </c>
      <c r="B1136" s="1" t="s">
        <v>5868</v>
      </c>
      <c r="C1136" s="1" t="s">
        <v>1767</v>
      </c>
      <c r="D1136" s="2" t="n">
        <v>36099</v>
      </c>
      <c r="E1136" s="1" t="s">
        <v>710</v>
      </c>
      <c r="F1136" s="1" t="s">
        <v>711</v>
      </c>
      <c r="G1136" s="1" t="s">
        <v>722</v>
      </c>
      <c r="H1136" s="1" t="s">
        <v>713</v>
      </c>
      <c r="I1136" s="1" t="s">
        <v>714</v>
      </c>
      <c r="J1136" s="1" t="s">
        <v>5869</v>
      </c>
      <c r="K1136" s="1" t="s">
        <v>716</v>
      </c>
      <c r="L1136" s="1" t="s">
        <v>1769</v>
      </c>
      <c r="M1136" s="1" t="s">
        <v>718</v>
      </c>
    </row>
    <row r="1137" customFormat="false" ht="15" hidden="false" customHeight="false" outlineLevel="0" collapsed="false">
      <c r="A1137" s="1" t="s">
        <v>5870</v>
      </c>
      <c r="B1137" s="1" t="s">
        <v>5871</v>
      </c>
      <c r="C1137" s="1" t="s">
        <v>5872</v>
      </c>
      <c r="D1137" s="2" t="n">
        <v>36583</v>
      </c>
      <c r="E1137" s="1" t="s">
        <v>763</v>
      </c>
      <c r="F1137" s="1" t="s">
        <v>711</v>
      </c>
      <c r="G1137" s="1" t="s">
        <v>722</v>
      </c>
      <c r="H1137" s="1" t="s">
        <v>713</v>
      </c>
      <c r="I1137" s="1" t="s">
        <v>714</v>
      </c>
      <c r="J1137" s="1" t="s">
        <v>1723</v>
      </c>
      <c r="K1137" s="1" t="s">
        <v>716</v>
      </c>
      <c r="L1137" s="1" t="s">
        <v>5873</v>
      </c>
      <c r="M1137" s="1" t="s">
        <v>718</v>
      </c>
    </row>
    <row r="1138" customFormat="false" ht="15" hidden="false" customHeight="false" outlineLevel="0" collapsed="false">
      <c r="A1138" s="1" t="s">
        <v>5874</v>
      </c>
      <c r="B1138" s="1" t="s">
        <v>5875</v>
      </c>
      <c r="C1138" s="1" t="s">
        <v>4216</v>
      </c>
      <c r="D1138" s="2" t="n">
        <v>35834</v>
      </c>
      <c r="E1138" s="1" t="s">
        <v>710</v>
      </c>
      <c r="F1138" s="1" t="s">
        <v>711</v>
      </c>
      <c r="G1138" s="1" t="s">
        <v>722</v>
      </c>
      <c r="H1138" s="1" t="s">
        <v>713</v>
      </c>
      <c r="I1138" s="1" t="s">
        <v>714</v>
      </c>
      <c r="J1138" s="1" t="s">
        <v>1244</v>
      </c>
      <c r="K1138" s="1" t="s">
        <v>5876</v>
      </c>
      <c r="L1138" s="1" t="s">
        <v>5877</v>
      </c>
      <c r="M1138" s="1" t="s">
        <v>718</v>
      </c>
    </row>
    <row r="1139" customFormat="false" ht="15" hidden="false" customHeight="false" outlineLevel="0" collapsed="false">
      <c r="A1139" s="1" t="s">
        <v>5878</v>
      </c>
      <c r="B1139" s="1" t="s">
        <v>5879</v>
      </c>
      <c r="C1139" s="1" t="s">
        <v>5880</v>
      </c>
      <c r="D1139" s="2" t="n">
        <v>35712</v>
      </c>
      <c r="E1139" s="1" t="s">
        <v>710</v>
      </c>
      <c r="F1139" s="1" t="s">
        <v>711</v>
      </c>
      <c r="G1139" s="1" t="s">
        <v>2094</v>
      </c>
      <c r="H1139" s="1" t="s">
        <v>713</v>
      </c>
      <c r="I1139" s="1" t="s">
        <v>714</v>
      </c>
      <c r="J1139" s="1" t="s">
        <v>3171</v>
      </c>
      <c r="K1139" s="1" t="s">
        <v>5881</v>
      </c>
      <c r="L1139" s="1" t="s">
        <v>5882</v>
      </c>
      <c r="M1139" s="1" t="s">
        <v>718</v>
      </c>
    </row>
    <row r="1140" customFormat="false" ht="15" hidden="false" customHeight="false" outlineLevel="0" collapsed="false">
      <c r="A1140" s="1" t="s">
        <v>5883</v>
      </c>
      <c r="B1140" s="1" t="s">
        <v>5884</v>
      </c>
      <c r="C1140" s="1" t="s">
        <v>5885</v>
      </c>
      <c r="D1140" s="2" t="n">
        <v>34949</v>
      </c>
      <c r="E1140" s="1" t="s">
        <v>763</v>
      </c>
      <c r="F1140" s="1" t="s">
        <v>711</v>
      </c>
      <c r="G1140" s="1" t="s">
        <v>722</v>
      </c>
      <c r="H1140" s="1" t="s">
        <v>713</v>
      </c>
      <c r="I1140" s="1" t="s">
        <v>714</v>
      </c>
      <c r="J1140" s="1" t="s">
        <v>715</v>
      </c>
      <c r="K1140" s="1" t="s">
        <v>716</v>
      </c>
      <c r="L1140" s="1" t="s">
        <v>5886</v>
      </c>
      <c r="M1140" s="1" t="s">
        <v>718</v>
      </c>
    </row>
    <row r="1141" customFormat="false" ht="15" hidden="false" customHeight="false" outlineLevel="0" collapsed="false">
      <c r="A1141" s="1" t="s">
        <v>5887</v>
      </c>
      <c r="B1141" s="1" t="s">
        <v>5888</v>
      </c>
      <c r="C1141" s="1" t="s">
        <v>5889</v>
      </c>
      <c r="D1141" s="2" t="n">
        <v>34357</v>
      </c>
      <c r="E1141" s="1" t="s">
        <v>763</v>
      </c>
      <c r="F1141" s="1" t="s">
        <v>711</v>
      </c>
      <c r="G1141" s="1" t="s">
        <v>712</v>
      </c>
      <c r="H1141" s="1" t="s">
        <v>713</v>
      </c>
      <c r="I1141" s="1" t="s">
        <v>714</v>
      </c>
      <c r="J1141" s="1" t="s">
        <v>2298</v>
      </c>
      <c r="K1141" s="1" t="s">
        <v>5890</v>
      </c>
      <c r="L1141" s="1" t="s">
        <v>5891</v>
      </c>
      <c r="M1141" s="1" t="s">
        <v>718</v>
      </c>
    </row>
    <row r="1142" customFormat="false" ht="15" hidden="false" customHeight="false" outlineLevel="0" collapsed="false">
      <c r="A1142" s="1" t="s">
        <v>5892</v>
      </c>
      <c r="B1142" s="1" t="s">
        <v>5893</v>
      </c>
      <c r="C1142" s="1" t="s">
        <v>5894</v>
      </c>
      <c r="D1142" s="2" t="n">
        <v>35705</v>
      </c>
      <c r="E1142" s="1" t="s">
        <v>763</v>
      </c>
      <c r="F1142" s="1" t="s">
        <v>711</v>
      </c>
      <c r="G1142" s="1" t="s">
        <v>722</v>
      </c>
      <c r="H1142" s="1" t="s">
        <v>713</v>
      </c>
      <c r="I1142" s="1" t="s">
        <v>714</v>
      </c>
      <c r="J1142" s="1" t="s">
        <v>5895</v>
      </c>
      <c r="K1142" s="1" t="s">
        <v>5896</v>
      </c>
      <c r="L1142" s="1" t="s">
        <v>5897</v>
      </c>
      <c r="M1142" s="1" t="s">
        <v>718</v>
      </c>
    </row>
    <row r="1143" customFormat="false" ht="15" hidden="false" customHeight="false" outlineLevel="0" collapsed="false">
      <c r="A1143" s="1" t="s">
        <v>5898</v>
      </c>
      <c r="B1143" s="1" t="s">
        <v>5899</v>
      </c>
      <c r="C1143" s="1" t="s">
        <v>5900</v>
      </c>
      <c r="D1143" s="2" t="n">
        <v>35566</v>
      </c>
      <c r="E1143" s="1" t="s">
        <v>763</v>
      </c>
      <c r="F1143" s="1" t="s">
        <v>711</v>
      </c>
      <c r="G1143" s="1" t="s">
        <v>5901</v>
      </c>
      <c r="H1143" s="1" t="s">
        <v>5902</v>
      </c>
      <c r="I1143" s="1" t="s">
        <v>5903</v>
      </c>
      <c r="J1143" s="1" t="s">
        <v>3171</v>
      </c>
      <c r="K1143" s="1" t="s">
        <v>5904</v>
      </c>
      <c r="L1143" s="1" t="s">
        <v>5905</v>
      </c>
      <c r="M1143" s="1" t="s">
        <v>718</v>
      </c>
    </row>
    <row r="1144" customFormat="false" ht="15" hidden="false" customHeight="false" outlineLevel="0" collapsed="false">
      <c r="A1144" s="1" t="s">
        <v>5906</v>
      </c>
      <c r="B1144" s="1" t="s">
        <v>5907</v>
      </c>
      <c r="C1144" s="1" t="s">
        <v>5908</v>
      </c>
      <c r="D1144" s="2" t="n">
        <v>35386</v>
      </c>
      <c r="E1144" s="1" t="s">
        <v>763</v>
      </c>
      <c r="F1144" s="1" t="s">
        <v>711</v>
      </c>
      <c r="G1144" s="1" t="s">
        <v>722</v>
      </c>
      <c r="H1144" s="1" t="s">
        <v>713</v>
      </c>
      <c r="I1144" s="1" t="s">
        <v>714</v>
      </c>
      <c r="J1144" s="1" t="s">
        <v>838</v>
      </c>
      <c r="K1144" s="1" t="s">
        <v>5909</v>
      </c>
      <c r="L1144" s="1" t="s">
        <v>5910</v>
      </c>
      <c r="M1144" s="1" t="s">
        <v>718</v>
      </c>
    </row>
    <row r="1145" customFormat="false" ht="15" hidden="false" customHeight="false" outlineLevel="0" collapsed="false">
      <c r="A1145" s="1" t="s">
        <v>5911</v>
      </c>
      <c r="B1145" s="1" t="s">
        <v>727</v>
      </c>
      <c r="C1145" s="1" t="s">
        <v>4072</v>
      </c>
      <c r="D1145" s="2" t="n">
        <v>35506</v>
      </c>
      <c r="E1145" s="1" t="s">
        <v>710</v>
      </c>
      <c r="F1145" s="1" t="s">
        <v>711</v>
      </c>
      <c r="G1145" s="1" t="s">
        <v>722</v>
      </c>
      <c r="H1145" s="1" t="s">
        <v>713</v>
      </c>
      <c r="I1145" s="1" t="s">
        <v>714</v>
      </c>
      <c r="J1145" s="1" t="s">
        <v>2274</v>
      </c>
      <c r="K1145" s="1" t="s">
        <v>716</v>
      </c>
      <c r="L1145" s="1" t="s">
        <v>4075</v>
      </c>
      <c r="M1145" s="1" t="s">
        <v>718</v>
      </c>
    </row>
    <row r="1146" customFormat="false" ht="15" hidden="false" customHeight="false" outlineLevel="0" collapsed="false">
      <c r="A1146" s="1" t="s">
        <v>5912</v>
      </c>
      <c r="B1146" s="1" t="s">
        <v>5913</v>
      </c>
      <c r="C1146" s="1" t="s">
        <v>4745</v>
      </c>
      <c r="D1146" s="2" t="n">
        <v>34382</v>
      </c>
      <c r="E1146" s="1" t="s">
        <v>763</v>
      </c>
      <c r="F1146" s="1" t="s">
        <v>711</v>
      </c>
      <c r="G1146" s="1" t="s">
        <v>712</v>
      </c>
      <c r="H1146" s="1" t="s">
        <v>713</v>
      </c>
      <c r="I1146" s="1" t="s">
        <v>714</v>
      </c>
      <c r="J1146" s="1" t="s">
        <v>4746</v>
      </c>
      <c r="K1146" s="1" t="s">
        <v>716</v>
      </c>
      <c r="L1146" s="1" t="s">
        <v>4747</v>
      </c>
      <c r="M1146" s="1" t="s">
        <v>718</v>
      </c>
    </row>
    <row r="1147" customFormat="false" ht="15" hidden="false" customHeight="false" outlineLevel="0" collapsed="false">
      <c r="A1147" s="1" t="s">
        <v>5914</v>
      </c>
      <c r="B1147" s="1" t="s">
        <v>5915</v>
      </c>
      <c r="C1147" s="1" t="s">
        <v>5706</v>
      </c>
      <c r="D1147" s="2" t="n">
        <v>34936</v>
      </c>
      <c r="E1147" s="1" t="s">
        <v>763</v>
      </c>
      <c r="F1147" s="1" t="s">
        <v>711</v>
      </c>
      <c r="G1147" s="1" t="s">
        <v>712</v>
      </c>
      <c r="H1147" s="1" t="s">
        <v>713</v>
      </c>
      <c r="I1147" s="1" t="s">
        <v>714</v>
      </c>
      <c r="J1147" s="1" t="s">
        <v>5707</v>
      </c>
      <c r="K1147" s="1" t="s">
        <v>5916</v>
      </c>
      <c r="L1147" s="1" t="s">
        <v>5709</v>
      </c>
      <c r="M1147" s="1" t="s">
        <v>718</v>
      </c>
    </row>
    <row r="1148" customFormat="false" ht="15" hidden="false" customHeight="false" outlineLevel="0" collapsed="false">
      <c r="A1148" s="1" t="s">
        <v>5917</v>
      </c>
      <c r="B1148" s="1" t="s">
        <v>5918</v>
      </c>
      <c r="C1148" s="1" t="s">
        <v>5919</v>
      </c>
      <c r="D1148" s="2" t="n">
        <v>34949</v>
      </c>
      <c r="E1148" s="1" t="s">
        <v>710</v>
      </c>
      <c r="F1148" s="1" t="s">
        <v>711</v>
      </c>
      <c r="G1148" s="1" t="s">
        <v>712</v>
      </c>
      <c r="H1148" s="1" t="s">
        <v>713</v>
      </c>
      <c r="I1148" s="1" t="s">
        <v>714</v>
      </c>
      <c r="J1148" s="1" t="s">
        <v>5920</v>
      </c>
      <c r="K1148" s="1" t="s">
        <v>716</v>
      </c>
      <c r="L1148" s="1" t="s">
        <v>2162</v>
      </c>
      <c r="M1148" s="1" t="s">
        <v>718</v>
      </c>
    </row>
    <row r="1149" customFormat="false" ht="15" hidden="false" customHeight="false" outlineLevel="0" collapsed="false">
      <c r="A1149" s="1" t="s">
        <v>5921</v>
      </c>
      <c r="B1149" s="1" t="s">
        <v>5922</v>
      </c>
      <c r="C1149" s="1" t="s">
        <v>5923</v>
      </c>
      <c r="D1149" s="2" t="n">
        <v>35771</v>
      </c>
      <c r="E1149" s="1" t="s">
        <v>710</v>
      </c>
      <c r="F1149" s="1" t="s">
        <v>711</v>
      </c>
      <c r="G1149" s="1" t="s">
        <v>722</v>
      </c>
      <c r="H1149" s="1" t="s">
        <v>713</v>
      </c>
      <c r="I1149" s="1" t="s">
        <v>714</v>
      </c>
      <c r="J1149" s="1" t="s">
        <v>4756</v>
      </c>
      <c r="K1149" s="1" t="s">
        <v>5924</v>
      </c>
      <c r="L1149" s="1" t="s">
        <v>5925</v>
      </c>
      <c r="M1149" s="1" t="s">
        <v>718</v>
      </c>
    </row>
    <row r="1150" customFormat="false" ht="15" hidden="false" customHeight="false" outlineLevel="0" collapsed="false">
      <c r="A1150" s="1" t="s">
        <v>5926</v>
      </c>
      <c r="B1150" s="1" t="s">
        <v>5927</v>
      </c>
      <c r="C1150" s="1" t="s">
        <v>5928</v>
      </c>
      <c r="D1150" s="2" t="n">
        <v>34490</v>
      </c>
      <c r="E1150" s="1" t="s">
        <v>763</v>
      </c>
      <c r="F1150" s="1" t="s">
        <v>711</v>
      </c>
      <c r="G1150" s="1" t="s">
        <v>712</v>
      </c>
      <c r="H1150" s="1" t="s">
        <v>713</v>
      </c>
      <c r="I1150" s="1" t="s">
        <v>714</v>
      </c>
      <c r="J1150" s="1" t="s">
        <v>805</v>
      </c>
      <c r="K1150" s="1" t="s">
        <v>5929</v>
      </c>
      <c r="L1150" s="1" t="s">
        <v>5930</v>
      </c>
      <c r="M1150" s="1" t="s">
        <v>718</v>
      </c>
    </row>
    <row r="1151" customFormat="false" ht="15" hidden="false" customHeight="false" outlineLevel="0" collapsed="false">
      <c r="A1151" s="1" t="s">
        <v>5931</v>
      </c>
      <c r="B1151" s="1" t="s">
        <v>5932</v>
      </c>
      <c r="C1151" s="1" t="s">
        <v>5933</v>
      </c>
      <c r="D1151" s="2" t="n">
        <v>34254</v>
      </c>
      <c r="E1151" s="1" t="s">
        <v>710</v>
      </c>
      <c r="F1151" s="1" t="s">
        <v>711</v>
      </c>
      <c r="G1151" s="1" t="s">
        <v>712</v>
      </c>
      <c r="H1151" s="1" t="s">
        <v>713</v>
      </c>
      <c r="I1151" s="1" t="s">
        <v>714</v>
      </c>
      <c r="J1151" s="1" t="s">
        <v>2664</v>
      </c>
      <c r="K1151" s="1" t="s">
        <v>716</v>
      </c>
      <c r="L1151" s="1" t="s">
        <v>5934</v>
      </c>
      <c r="M1151" s="1" t="s">
        <v>718</v>
      </c>
    </row>
    <row r="1152" customFormat="false" ht="15" hidden="false" customHeight="false" outlineLevel="0" collapsed="false">
      <c r="A1152" s="1" t="s">
        <v>5935</v>
      </c>
      <c r="B1152" s="1" t="s">
        <v>5936</v>
      </c>
      <c r="C1152" s="1" t="s">
        <v>5937</v>
      </c>
      <c r="D1152" s="2" t="n">
        <v>35669</v>
      </c>
      <c r="E1152" s="1" t="s">
        <v>763</v>
      </c>
      <c r="F1152" s="1" t="s">
        <v>711</v>
      </c>
      <c r="G1152" s="1" t="s">
        <v>712</v>
      </c>
      <c r="H1152" s="1" t="s">
        <v>713</v>
      </c>
      <c r="I1152" s="1" t="s">
        <v>714</v>
      </c>
      <c r="J1152" s="1" t="s">
        <v>5938</v>
      </c>
      <c r="K1152" s="1" t="s">
        <v>5939</v>
      </c>
      <c r="L1152" s="1" t="s">
        <v>5940</v>
      </c>
      <c r="M1152" s="1" t="s">
        <v>718</v>
      </c>
    </row>
    <row r="1153" customFormat="false" ht="15" hidden="false" customHeight="false" outlineLevel="0" collapsed="false">
      <c r="A1153" s="1" t="s">
        <v>5941</v>
      </c>
      <c r="B1153" s="1" t="s">
        <v>5942</v>
      </c>
      <c r="C1153" s="1" t="s">
        <v>2127</v>
      </c>
      <c r="D1153" s="2" t="n">
        <v>33586</v>
      </c>
      <c r="E1153" s="1" t="s">
        <v>763</v>
      </c>
      <c r="F1153" s="1" t="s">
        <v>711</v>
      </c>
      <c r="G1153" s="1" t="s">
        <v>712</v>
      </c>
      <c r="H1153" s="1" t="s">
        <v>713</v>
      </c>
      <c r="I1153" s="1" t="s">
        <v>714</v>
      </c>
      <c r="J1153" s="1" t="s">
        <v>5943</v>
      </c>
      <c r="K1153" s="1" t="s">
        <v>5944</v>
      </c>
      <c r="L1153" s="1" t="s">
        <v>2130</v>
      </c>
      <c r="M1153" s="1" t="s">
        <v>718</v>
      </c>
    </row>
    <row r="1154" customFormat="false" ht="15" hidden="false" customHeight="false" outlineLevel="0" collapsed="false">
      <c r="A1154" s="1" t="s">
        <v>5945</v>
      </c>
      <c r="B1154" s="1" t="s">
        <v>4838</v>
      </c>
      <c r="C1154" s="1" t="s">
        <v>2127</v>
      </c>
      <c r="D1154" s="2" t="n">
        <v>35393</v>
      </c>
      <c r="E1154" s="1" t="s">
        <v>763</v>
      </c>
      <c r="F1154" s="1" t="s">
        <v>711</v>
      </c>
      <c r="G1154" s="1" t="s">
        <v>712</v>
      </c>
      <c r="H1154" s="1" t="s">
        <v>713</v>
      </c>
      <c r="I1154" s="1" t="s">
        <v>714</v>
      </c>
      <c r="J1154" s="1" t="s">
        <v>5946</v>
      </c>
      <c r="K1154" s="1" t="s">
        <v>5947</v>
      </c>
      <c r="L1154" s="1" t="s">
        <v>2130</v>
      </c>
      <c r="M1154" s="1" t="s">
        <v>718</v>
      </c>
    </row>
    <row r="1155" customFormat="false" ht="15" hidden="false" customHeight="false" outlineLevel="0" collapsed="false">
      <c r="A1155" s="1" t="s">
        <v>5948</v>
      </c>
      <c r="B1155" s="1" t="s">
        <v>5949</v>
      </c>
      <c r="C1155" s="1" t="s">
        <v>5950</v>
      </c>
      <c r="D1155" s="2" t="n">
        <v>35772</v>
      </c>
      <c r="E1155" s="1" t="s">
        <v>763</v>
      </c>
      <c r="F1155" s="1" t="s">
        <v>711</v>
      </c>
      <c r="G1155" s="1" t="s">
        <v>712</v>
      </c>
      <c r="H1155" s="1" t="s">
        <v>713</v>
      </c>
      <c r="I1155" s="1" t="s">
        <v>714</v>
      </c>
      <c r="J1155" s="1" t="s">
        <v>5951</v>
      </c>
      <c r="K1155" s="1" t="s">
        <v>5952</v>
      </c>
      <c r="L1155" s="1" t="s">
        <v>5953</v>
      </c>
      <c r="M1155" s="1" t="s">
        <v>718</v>
      </c>
    </row>
    <row r="1156" customFormat="false" ht="15" hidden="false" customHeight="false" outlineLevel="0" collapsed="false">
      <c r="A1156" s="1" t="s">
        <v>5954</v>
      </c>
      <c r="B1156" s="1" t="s">
        <v>5955</v>
      </c>
      <c r="C1156" s="1" t="s">
        <v>1897</v>
      </c>
      <c r="D1156" s="2" t="n">
        <v>35698</v>
      </c>
      <c r="E1156" s="1" t="s">
        <v>763</v>
      </c>
      <c r="F1156" s="1" t="s">
        <v>711</v>
      </c>
      <c r="G1156" s="1" t="s">
        <v>722</v>
      </c>
      <c r="H1156" s="1" t="s">
        <v>713</v>
      </c>
      <c r="I1156" s="1" t="s">
        <v>714</v>
      </c>
      <c r="J1156" s="1" t="s">
        <v>5956</v>
      </c>
      <c r="K1156" s="1" t="s">
        <v>716</v>
      </c>
      <c r="L1156" s="1" t="s">
        <v>5957</v>
      </c>
      <c r="M1156" s="1" t="s">
        <v>718</v>
      </c>
    </row>
    <row r="1157" customFormat="false" ht="15" hidden="false" customHeight="false" outlineLevel="0" collapsed="false">
      <c r="A1157" s="1" t="s">
        <v>5958</v>
      </c>
      <c r="B1157" s="1" t="s">
        <v>5959</v>
      </c>
      <c r="C1157" s="1" t="s">
        <v>5960</v>
      </c>
      <c r="D1157" s="2" t="n">
        <v>33937</v>
      </c>
      <c r="E1157" s="1" t="s">
        <v>710</v>
      </c>
      <c r="F1157" s="1" t="s">
        <v>711</v>
      </c>
      <c r="G1157" s="1" t="s">
        <v>722</v>
      </c>
      <c r="H1157" s="1" t="s">
        <v>713</v>
      </c>
      <c r="I1157" s="1" t="s">
        <v>714</v>
      </c>
      <c r="J1157" s="1" t="s">
        <v>5961</v>
      </c>
      <c r="K1157" s="1" t="s">
        <v>5962</v>
      </c>
      <c r="L1157" s="1" t="s">
        <v>4771</v>
      </c>
      <c r="M1157" s="1" t="s">
        <v>718</v>
      </c>
    </row>
    <row r="1158" customFormat="false" ht="15" hidden="false" customHeight="false" outlineLevel="0" collapsed="false">
      <c r="A1158" s="1" t="s">
        <v>5963</v>
      </c>
      <c r="B1158" s="1" t="s">
        <v>5964</v>
      </c>
      <c r="C1158" s="1" t="s">
        <v>5965</v>
      </c>
      <c r="D1158" s="2" t="n">
        <v>35704</v>
      </c>
      <c r="E1158" s="1" t="s">
        <v>763</v>
      </c>
      <c r="F1158" s="1" t="s">
        <v>711</v>
      </c>
      <c r="G1158" s="1" t="s">
        <v>712</v>
      </c>
      <c r="H1158" s="1" t="s">
        <v>713</v>
      </c>
      <c r="I1158" s="1" t="s">
        <v>714</v>
      </c>
      <c r="J1158" s="1" t="s">
        <v>5966</v>
      </c>
      <c r="K1158" s="1" t="s">
        <v>5967</v>
      </c>
      <c r="L1158" s="1" t="s">
        <v>5968</v>
      </c>
      <c r="M1158" s="1" t="s">
        <v>718</v>
      </c>
    </row>
    <row r="1159" customFormat="false" ht="15" hidden="false" customHeight="false" outlineLevel="0" collapsed="false">
      <c r="A1159" s="1" t="s">
        <v>5969</v>
      </c>
      <c r="B1159" s="1" t="s">
        <v>5970</v>
      </c>
      <c r="C1159" s="1" t="s">
        <v>5971</v>
      </c>
      <c r="D1159" s="2" t="n">
        <v>35310</v>
      </c>
      <c r="E1159" s="1" t="s">
        <v>710</v>
      </c>
      <c r="F1159" s="1" t="s">
        <v>711</v>
      </c>
      <c r="G1159" s="1" t="s">
        <v>722</v>
      </c>
      <c r="H1159" s="1" t="s">
        <v>713</v>
      </c>
      <c r="I1159" s="1" t="s">
        <v>714</v>
      </c>
      <c r="J1159" s="1" t="s">
        <v>5972</v>
      </c>
      <c r="K1159" s="1" t="s">
        <v>716</v>
      </c>
      <c r="L1159" s="1" t="s">
        <v>5973</v>
      </c>
      <c r="M1159" s="1" t="s">
        <v>718</v>
      </c>
    </row>
    <row r="1160" customFormat="false" ht="15" hidden="false" customHeight="false" outlineLevel="0" collapsed="false">
      <c r="A1160" s="1" t="s">
        <v>5974</v>
      </c>
      <c r="B1160" s="1" t="s">
        <v>5975</v>
      </c>
      <c r="C1160" s="1" t="s">
        <v>5976</v>
      </c>
      <c r="D1160" s="2" t="n">
        <v>34816</v>
      </c>
      <c r="E1160" s="1" t="s">
        <v>763</v>
      </c>
      <c r="F1160" s="1" t="s">
        <v>711</v>
      </c>
      <c r="G1160" s="1" t="s">
        <v>712</v>
      </c>
      <c r="H1160" s="1" t="s">
        <v>713</v>
      </c>
      <c r="I1160" s="1" t="s">
        <v>714</v>
      </c>
      <c r="J1160" s="1" t="s">
        <v>1390</v>
      </c>
      <c r="K1160" s="1" t="s">
        <v>5977</v>
      </c>
      <c r="L1160" s="1" t="s">
        <v>5978</v>
      </c>
      <c r="M1160" s="1" t="s">
        <v>718</v>
      </c>
    </row>
    <row r="1161" customFormat="false" ht="15" hidden="false" customHeight="false" outlineLevel="0" collapsed="false">
      <c r="A1161" s="1" t="s">
        <v>5979</v>
      </c>
      <c r="B1161" s="1" t="s">
        <v>5980</v>
      </c>
      <c r="C1161" s="1" t="s">
        <v>5981</v>
      </c>
      <c r="D1161" s="2" t="n">
        <v>35639</v>
      </c>
      <c r="E1161" s="1" t="s">
        <v>710</v>
      </c>
      <c r="F1161" s="1" t="s">
        <v>711</v>
      </c>
      <c r="G1161" s="1" t="s">
        <v>5982</v>
      </c>
      <c r="H1161" s="1" t="s">
        <v>5262</v>
      </c>
      <c r="I1161" s="1" t="s">
        <v>5983</v>
      </c>
      <c r="J1161" s="1" t="s">
        <v>3678</v>
      </c>
      <c r="K1161" s="1" t="s">
        <v>5984</v>
      </c>
      <c r="L1161" s="1" t="s">
        <v>5985</v>
      </c>
      <c r="M1161" s="1" t="s">
        <v>718</v>
      </c>
    </row>
    <row r="1162" customFormat="false" ht="15" hidden="false" customHeight="false" outlineLevel="0" collapsed="false">
      <c r="A1162" s="1" t="s">
        <v>5986</v>
      </c>
      <c r="B1162" s="1" t="s">
        <v>5987</v>
      </c>
      <c r="C1162" s="1" t="s">
        <v>2121</v>
      </c>
      <c r="D1162" s="2" t="n">
        <v>35467</v>
      </c>
      <c r="E1162" s="1" t="s">
        <v>710</v>
      </c>
      <c r="F1162" s="1" t="s">
        <v>711</v>
      </c>
      <c r="G1162" s="1" t="s">
        <v>722</v>
      </c>
      <c r="H1162" s="1" t="s">
        <v>713</v>
      </c>
      <c r="I1162" s="1" t="s">
        <v>714</v>
      </c>
      <c r="J1162" s="1" t="s">
        <v>5988</v>
      </c>
      <c r="K1162" s="1" t="s">
        <v>5989</v>
      </c>
      <c r="L1162" s="1" t="s">
        <v>5990</v>
      </c>
      <c r="M1162" s="1" t="s">
        <v>718</v>
      </c>
    </row>
    <row r="1163" customFormat="false" ht="15" hidden="false" customHeight="false" outlineLevel="0" collapsed="false">
      <c r="A1163" s="1" t="s">
        <v>5991</v>
      </c>
      <c r="B1163" s="1" t="s">
        <v>1242</v>
      </c>
      <c r="C1163" s="1" t="s">
        <v>3341</v>
      </c>
      <c r="D1163" s="2" t="n">
        <v>35007</v>
      </c>
      <c r="E1163" s="1" t="s">
        <v>710</v>
      </c>
      <c r="F1163" s="1" t="s">
        <v>711</v>
      </c>
      <c r="G1163" s="1" t="s">
        <v>722</v>
      </c>
      <c r="H1163" s="1" t="s">
        <v>713</v>
      </c>
      <c r="I1163" s="1" t="s">
        <v>714</v>
      </c>
      <c r="J1163" s="1" t="s">
        <v>5992</v>
      </c>
      <c r="K1163" s="1" t="s">
        <v>5993</v>
      </c>
      <c r="L1163" s="1" t="s">
        <v>3342</v>
      </c>
      <c r="M1163" s="1" t="s">
        <v>718</v>
      </c>
    </row>
    <row r="1164" customFormat="false" ht="15" hidden="false" customHeight="false" outlineLevel="0" collapsed="false">
      <c r="A1164" s="1" t="s">
        <v>5994</v>
      </c>
      <c r="B1164" s="1" t="s">
        <v>5995</v>
      </c>
      <c r="C1164" s="1" t="s">
        <v>5996</v>
      </c>
      <c r="D1164" s="2" t="n">
        <v>35861</v>
      </c>
      <c r="E1164" s="1" t="s">
        <v>710</v>
      </c>
      <c r="F1164" s="1" t="s">
        <v>711</v>
      </c>
      <c r="G1164" s="1" t="s">
        <v>712</v>
      </c>
      <c r="H1164" s="1" t="s">
        <v>713</v>
      </c>
      <c r="I1164" s="1" t="s">
        <v>714</v>
      </c>
      <c r="J1164" s="1" t="s">
        <v>1244</v>
      </c>
      <c r="K1164" s="1" t="s">
        <v>5997</v>
      </c>
      <c r="L1164" s="1" t="s">
        <v>5998</v>
      </c>
      <c r="M1164" s="1" t="s">
        <v>718</v>
      </c>
    </row>
    <row r="1165" customFormat="false" ht="15" hidden="false" customHeight="false" outlineLevel="0" collapsed="false">
      <c r="A1165" s="1" t="s">
        <v>5999</v>
      </c>
      <c r="B1165" s="1" t="s">
        <v>6000</v>
      </c>
      <c r="C1165" s="1" t="s">
        <v>4162</v>
      </c>
      <c r="D1165" s="2" t="n">
        <v>36498</v>
      </c>
      <c r="E1165" s="1" t="s">
        <v>763</v>
      </c>
      <c r="F1165" s="1" t="s">
        <v>711</v>
      </c>
      <c r="G1165" s="1" t="s">
        <v>722</v>
      </c>
      <c r="H1165" s="1" t="s">
        <v>713</v>
      </c>
      <c r="I1165" s="1" t="s">
        <v>714</v>
      </c>
      <c r="J1165" s="1" t="s">
        <v>6001</v>
      </c>
      <c r="K1165" s="1" t="s">
        <v>6002</v>
      </c>
      <c r="L1165" s="1" t="s">
        <v>6003</v>
      </c>
      <c r="M1165" s="1" t="s">
        <v>718</v>
      </c>
    </row>
    <row r="1166" customFormat="false" ht="15" hidden="false" customHeight="false" outlineLevel="0" collapsed="false">
      <c r="A1166" s="1" t="s">
        <v>6004</v>
      </c>
      <c r="B1166" s="1" t="s">
        <v>6005</v>
      </c>
      <c r="C1166" s="1" t="s">
        <v>6006</v>
      </c>
      <c r="D1166" s="2" t="n">
        <v>36123</v>
      </c>
      <c r="E1166" s="1" t="s">
        <v>763</v>
      </c>
      <c r="F1166" s="1" t="s">
        <v>711</v>
      </c>
      <c r="G1166" s="1" t="s">
        <v>6007</v>
      </c>
      <c r="H1166" s="1" t="s">
        <v>713</v>
      </c>
      <c r="I1166" s="1" t="s">
        <v>714</v>
      </c>
      <c r="J1166" s="1" t="s">
        <v>6008</v>
      </c>
      <c r="K1166" s="1" t="s">
        <v>6009</v>
      </c>
      <c r="L1166" s="1" t="s">
        <v>6010</v>
      </c>
      <c r="M1166" s="1" t="s">
        <v>718</v>
      </c>
    </row>
    <row r="1167" customFormat="false" ht="15" hidden="false" customHeight="false" outlineLevel="0" collapsed="false">
      <c r="A1167" s="1" t="s">
        <v>6011</v>
      </c>
      <c r="B1167" s="1" t="s">
        <v>6012</v>
      </c>
      <c r="C1167" s="1" t="s">
        <v>5829</v>
      </c>
      <c r="D1167" s="2" t="n">
        <v>34966</v>
      </c>
      <c r="E1167" s="1" t="s">
        <v>710</v>
      </c>
      <c r="F1167" s="1" t="s">
        <v>711</v>
      </c>
      <c r="G1167" s="1" t="s">
        <v>712</v>
      </c>
      <c r="H1167" s="1" t="s">
        <v>713</v>
      </c>
      <c r="I1167" s="1" t="s">
        <v>714</v>
      </c>
      <c r="J1167" s="1" t="s">
        <v>3678</v>
      </c>
      <c r="K1167" s="1" t="s">
        <v>716</v>
      </c>
      <c r="L1167" s="1" t="s">
        <v>5832</v>
      </c>
      <c r="M1167" s="1" t="s">
        <v>718</v>
      </c>
    </row>
    <row r="1168" customFormat="false" ht="15" hidden="false" customHeight="false" outlineLevel="0" collapsed="false">
      <c r="A1168" s="1" t="s">
        <v>6013</v>
      </c>
      <c r="B1168" s="1" t="s">
        <v>1824</v>
      </c>
      <c r="C1168" s="1" t="s">
        <v>891</v>
      </c>
      <c r="D1168" s="2" t="n">
        <v>35830</v>
      </c>
      <c r="E1168" s="1" t="s">
        <v>710</v>
      </c>
      <c r="F1168" s="1" t="s">
        <v>711</v>
      </c>
      <c r="G1168" s="1" t="s">
        <v>712</v>
      </c>
      <c r="H1168" s="1" t="s">
        <v>713</v>
      </c>
      <c r="I1168" s="1" t="s">
        <v>714</v>
      </c>
      <c r="J1168" s="1" t="s">
        <v>978</v>
      </c>
      <c r="K1168" s="1" t="s">
        <v>3489</v>
      </c>
      <c r="L1168" s="1" t="s">
        <v>6014</v>
      </c>
      <c r="M1168" s="1" t="s">
        <v>718</v>
      </c>
    </row>
    <row r="1169" customFormat="false" ht="15" hidden="false" customHeight="false" outlineLevel="0" collapsed="false">
      <c r="A1169" s="1" t="s">
        <v>6015</v>
      </c>
      <c r="B1169" s="1" t="s">
        <v>6016</v>
      </c>
      <c r="C1169" s="1" t="s">
        <v>4162</v>
      </c>
      <c r="D1169" s="2" t="n">
        <v>35582</v>
      </c>
      <c r="E1169" s="1" t="s">
        <v>710</v>
      </c>
      <c r="F1169" s="1" t="s">
        <v>711</v>
      </c>
      <c r="G1169" s="1" t="s">
        <v>722</v>
      </c>
      <c r="H1169" s="1" t="s">
        <v>713</v>
      </c>
      <c r="I1169" s="1" t="s">
        <v>714</v>
      </c>
      <c r="J1169" s="1" t="s">
        <v>6017</v>
      </c>
      <c r="K1169" s="1" t="s">
        <v>4163</v>
      </c>
      <c r="L1169" s="1" t="s">
        <v>1314</v>
      </c>
      <c r="M1169" s="1" t="s">
        <v>718</v>
      </c>
    </row>
    <row r="1170" customFormat="false" ht="15" hidden="false" customHeight="false" outlineLevel="0" collapsed="false">
      <c r="A1170" s="1" t="s">
        <v>6018</v>
      </c>
      <c r="B1170" s="1" t="s">
        <v>6019</v>
      </c>
      <c r="C1170" s="1" t="s">
        <v>6020</v>
      </c>
      <c r="D1170" s="2" t="n">
        <v>36462</v>
      </c>
      <c r="E1170" s="1" t="s">
        <v>710</v>
      </c>
      <c r="F1170" s="1" t="s">
        <v>711</v>
      </c>
      <c r="G1170" s="1" t="s">
        <v>1220</v>
      </c>
      <c r="H1170" s="1" t="s">
        <v>713</v>
      </c>
      <c r="I1170" s="1" t="s">
        <v>714</v>
      </c>
      <c r="J1170" s="1" t="s">
        <v>6021</v>
      </c>
      <c r="K1170" s="1" t="s">
        <v>716</v>
      </c>
      <c r="L1170" s="1" t="s">
        <v>3748</v>
      </c>
      <c r="M1170" s="1" t="s">
        <v>718</v>
      </c>
    </row>
    <row r="1171" customFormat="false" ht="15" hidden="false" customHeight="false" outlineLevel="0" collapsed="false">
      <c r="A1171" s="1" t="s">
        <v>6022</v>
      </c>
      <c r="B1171" s="1" t="s">
        <v>6023</v>
      </c>
      <c r="C1171" s="1" t="s">
        <v>6024</v>
      </c>
      <c r="D1171" s="2" t="n">
        <v>35678</v>
      </c>
      <c r="E1171" s="1" t="s">
        <v>763</v>
      </c>
      <c r="F1171" s="1" t="s">
        <v>711</v>
      </c>
      <c r="G1171" s="1" t="s">
        <v>1220</v>
      </c>
      <c r="H1171" s="1" t="s">
        <v>713</v>
      </c>
      <c r="I1171" s="1" t="s">
        <v>714</v>
      </c>
      <c r="J1171" s="1" t="s">
        <v>6025</v>
      </c>
      <c r="K1171" s="1" t="s">
        <v>6026</v>
      </c>
      <c r="L1171" s="1" t="s">
        <v>6027</v>
      </c>
      <c r="M1171" s="1" t="s">
        <v>718</v>
      </c>
    </row>
    <row r="1172" customFormat="false" ht="15" hidden="false" customHeight="false" outlineLevel="0" collapsed="false">
      <c r="A1172" s="1" t="s">
        <v>6028</v>
      </c>
      <c r="B1172" s="1" t="s">
        <v>6029</v>
      </c>
      <c r="C1172" s="1" t="s">
        <v>6030</v>
      </c>
      <c r="D1172" s="2" t="n">
        <v>36016</v>
      </c>
      <c r="E1172" s="1" t="s">
        <v>763</v>
      </c>
      <c r="F1172" s="1" t="s">
        <v>711</v>
      </c>
      <c r="G1172" s="1" t="s">
        <v>6031</v>
      </c>
      <c r="H1172" s="1" t="s">
        <v>713</v>
      </c>
      <c r="I1172" s="1" t="s">
        <v>714</v>
      </c>
      <c r="J1172" s="1" t="s">
        <v>1530</v>
      </c>
      <c r="K1172" s="1" t="s">
        <v>716</v>
      </c>
      <c r="L1172" s="1" t="s">
        <v>6032</v>
      </c>
      <c r="M1172" s="1" t="s">
        <v>718</v>
      </c>
    </row>
    <row r="1173" customFormat="false" ht="15" hidden="false" customHeight="false" outlineLevel="0" collapsed="false">
      <c r="A1173" s="1" t="s">
        <v>6033</v>
      </c>
      <c r="B1173" s="1" t="s">
        <v>6034</v>
      </c>
      <c r="C1173" s="1" t="s">
        <v>6035</v>
      </c>
      <c r="D1173" s="2" t="n">
        <v>36096</v>
      </c>
      <c r="E1173" s="1" t="s">
        <v>763</v>
      </c>
      <c r="F1173" s="1" t="s">
        <v>711</v>
      </c>
      <c r="G1173" s="1" t="s">
        <v>6036</v>
      </c>
      <c r="H1173" s="1" t="s">
        <v>713</v>
      </c>
      <c r="I1173" s="1" t="s">
        <v>714</v>
      </c>
      <c r="J1173" s="1" t="s">
        <v>5654</v>
      </c>
      <c r="K1173" s="1" t="s">
        <v>716</v>
      </c>
      <c r="L1173" s="1" t="s">
        <v>5319</v>
      </c>
      <c r="M1173" s="1" t="s">
        <v>718</v>
      </c>
    </row>
    <row r="1174" customFormat="false" ht="15" hidden="false" customHeight="false" outlineLevel="0" collapsed="false">
      <c r="A1174" s="1" t="s">
        <v>6037</v>
      </c>
      <c r="B1174" s="1" t="s">
        <v>6038</v>
      </c>
      <c r="C1174" s="1" t="s">
        <v>6039</v>
      </c>
      <c r="D1174" s="2" t="n">
        <v>34766</v>
      </c>
      <c r="E1174" s="1" t="s">
        <v>763</v>
      </c>
      <c r="F1174" s="1" t="s">
        <v>711</v>
      </c>
      <c r="G1174" s="1" t="s">
        <v>722</v>
      </c>
      <c r="H1174" s="1" t="s">
        <v>713</v>
      </c>
      <c r="I1174" s="1" t="s">
        <v>714</v>
      </c>
      <c r="J1174" s="1" t="s">
        <v>6040</v>
      </c>
      <c r="K1174" s="1" t="s">
        <v>6041</v>
      </c>
      <c r="L1174" s="1" t="s">
        <v>6042</v>
      </c>
      <c r="M1174" s="1" t="s">
        <v>718</v>
      </c>
    </row>
    <row r="1175" customFormat="false" ht="15" hidden="false" customHeight="false" outlineLevel="0" collapsed="false">
      <c r="A1175" s="1" t="s">
        <v>6043</v>
      </c>
      <c r="B1175" s="1" t="s">
        <v>6044</v>
      </c>
      <c r="C1175" s="1" t="s">
        <v>6045</v>
      </c>
      <c r="D1175" s="2" t="n">
        <v>36570</v>
      </c>
      <c r="E1175" s="1" t="s">
        <v>763</v>
      </c>
      <c r="F1175" s="1" t="s">
        <v>711</v>
      </c>
      <c r="G1175" s="1" t="s">
        <v>722</v>
      </c>
      <c r="H1175" s="1" t="s">
        <v>713</v>
      </c>
      <c r="I1175" s="1" t="s">
        <v>714</v>
      </c>
      <c r="J1175" s="1" t="s">
        <v>1723</v>
      </c>
      <c r="K1175" s="1" t="s">
        <v>6046</v>
      </c>
      <c r="L1175" s="1" t="s">
        <v>6047</v>
      </c>
      <c r="M1175" s="1" t="s">
        <v>718</v>
      </c>
    </row>
    <row r="1176" customFormat="false" ht="15" hidden="false" customHeight="false" outlineLevel="0" collapsed="false">
      <c r="A1176" s="1" t="s">
        <v>6048</v>
      </c>
      <c r="B1176" s="1" t="s">
        <v>6049</v>
      </c>
      <c r="C1176" s="1" t="s">
        <v>6050</v>
      </c>
      <c r="D1176" s="2" t="n">
        <v>35126</v>
      </c>
      <c r="E1176" s="1" t="s">
        <v>710</v>
      </c>
      <c r="F1176" s="1" t="s">
        <v>711</v>
      </c>
      <c r="G1176" s="1" t="s">
        <v>722</v>
      </c>
      <c r="H1176" s="1" t="s">
        <v>713</v>
      </c>
      <c r="I1176" s="1" t="s">
        <v>714</v>
      </c>
      <c r="J1176" s="1" t="s">
        <v>1723</v>
      </c>
      <c r="K1176" s="1" t="s">
        <v>6051</v>
      </c>
      <c r="L1176" s="1" t="s">
        <v>5866</v>
      </c>
      <c r="M1176" s="1" t="s">
        <v>718</v>
      </c>
    </row>
    <row r="1177" customFormat="false" ht="15" hidden="false" customHeight="false" outlineLevel="0" collapsed="false">
      <c r="A1177" s="1" t="s">
        <v>6052</v>
      </c>
      <c r="B1177" s="1" t="s">
        <v>6053</v>
      </c>
      <c r="C1177" s="1" t="s">
        <v>6054</v>
      </c>
      <c r="D1177" s="2" t="n">
        <v>36078</v>
      </c>
      <c r="E1177" s="1" t="s">
        <v>763</v>
      </c>
      <c r="F1177" s="1" t="s">
        <v>711</v>
      </c>
      <c r="G1177" s="1" t="s">
        <v>722</v>
      </c>
      <c r="H1177" s="1" t="s">
        <v>713</v>
      </c>
      <c r="I1177" s="1" t="s">
        <v>714</v>
      </c>
      <c r="J1177" s="1" t="s">
        <v>6055</v>
      </c>
      <c r="K1177" s="1" t="s">
        <v>6056</v>
      </c>
      <c r="L1177" s="1" t="s">
        <v>6057</v>
      </c>
      <c r="M1177" s="1" t="s">
        <v>718</v>
      </c>
    </row>
    <row r="1178" customFormat="false" ht="15" hidden="false" customHeight="false" outlineLevel="0" collapsed="false">
      <c r="A1178" s="1" t="s">
        <v>6058</v>
      </c>
      <c r="B1178" s="1" t="s">
        <v>5176</v>
      </c>
      <c r="C1178" s="1" t="s">
        <v>6059</v>
      </c>
      <c r="D1178" s="2" t="n">
        <v>36208</v>
      </c>
      <c r="E1178" s="1" t="s">
        <v>763</v>
      </c>
      <c r="F1178" s="1" t="s">
        <v>711</v>
      </c>
      <c r="G1178" s="1" t="s">
        <v>712</v>
      </c>
      <c r="H1178" s="1" t="s">
        <v>713</v>
      </c>
      <c r="I1178" s="1" t="s">
        <v>714</v>
      </c>
      <c r="J1178" s="1" t="s">
        <v>6060</v>
      </c>
      <c r="K1178" s="1" t="s">
        <v>6061</v>
      </c>
      <c r="L1178" s="1" t="s">
        <v>1474</v>
      </c>
      <c r="M1178" s="1" t="s">
        <v>718</v>
      </c>
    </row>
    <row r="1179" customFormat="false" ht="15" hidden="false" customHeight="false" outlineLevel="0" collapsed="false">
      <c r="A1179" s="1" t="s">
        <v>6062</v>
      </c>
      <c r="B1179" s="1" t="s">
        <v>6063</v>
      </c>
      <c r="C1179" s="1" t="s">
        <v>3200</v>
      </c>
      <c r="D1179" s="2" t="n">
        <v>35905</v>
      </c>
      <c r="E1179" s="1" t="s">
        <v>763</v>
      </c>
      <c r="F1179" s="1" t="s">
        <v>711</v>
      </c>
      <c r="G1179" s="1" t="s">
        <v>722</v>
      </c>
      <c r="H1179" s="1" t="s">
        <v>713</v>
      </c>
      <c r="I1179" s="1" t="s">
        <v>714</v>
      </c>
      <c r="J1179" s="1" t="s">
        <v>1244</v>
      </c>
      <c r="K1179" s="1" t="s">
        <v>6064</v>
      </c>
      <c r="L1179" s="1" t="s">
        <v>6065</v>
      </c>
      <c r="M1179" s="1" t="s">
        <v>718</v>
      </c>
    </row>
    <row r="1180" customFormat="false" ht="15" hidden="false" customHeight="false" outlineLevel="0" collapsed="false">
      <c r="A1180" s="1" t="s">
        <v>6066</v>
      </c>
      <c r="B1180" s="1" t="s">
        <v>6067</v>
      </c>
      <c r="C1180" s="1" t="s">
        <v>3878</v>
      </c>
      <c r="D1180" s="2" t="n">
        <v>36103</v>
      </c>
      <c r="E1180" s="1" t="s">
        <v>710</v>
      </c>
      <c r="F1180" s="1" t="s">
        <v>711</v>
      </c>
      <c r="G1180" s="1" t="s">
        <v>722</v>
      </c>
      <c r="H1180" s="1" t="s">
        <v>713</v>
      </c>
      <c r="I1180" s="1" t="s">
        <v>714</v>
      </c>
      <c r="J1180" s="1" t="s">
        <v>6068</v>
      </c>
      <c r="K1180" s="1" t="s">
        <v>4091</v>
      </c>
      <c r="L1180" s="1" t="s">
        <v>3881</v>
      </c>
      <c r="M1180" s="1" t="s">
        <v>718</v>
      </c>
    </row>
    <row r="1181" customFormat="false" ht="15" hidden="false" customHeight="false" outlineLevel="0" collapsed="false">
      <c r="A1181" s="1" t="s">
        <v>6069</v>
      </c>
      <c r="B1181" s="1" t="s">
        <v>6070</v>
      </c>
      <c r="C1181" s="1" t="s">
        <v>6071</v>
      </c>
      <c r="D1181" s="2" t="n">
        <v>36196</v>
      </c>
      <c r="E1181" s="1" t="s">
        <v>710</v>
      </c>
      <c r="F1181" s="1" t="s">
        <v>711</v>
      </c>
      <c r="G1181" s="1" t="s">
        <v>712</v>
      </c>
      <c r="H1181" s="1" t="s">
        <v>713</v>
      </c>
      <c r="I1181" s="1" t="s">
        <v>714</v>
      </c>
      <c r="J1181" s="1" t="s">
        <v>1390</v>
      </c>
      <c r="K1181" s="1" t="s">
        <v>6072</v>
      </c>
      <c r="L1181" s="1" t="s">
        <v>5185</v>
      </c>
      <c r="M1181" s="1" t="s">
        <v>718</v>
      </c>
    </row>
    <row r="1182" customFormat="false" ht="15" hidden="false" customHeight="false" outlineLevel="0" collapsed="false">
      <c r="A1182" s="1" t="s">
        <v>6073</v>
      </c>
      <c r="B1182" s="1" t="s">
        <v>6074</v>
      </c>
      <c r="C1182" s="1" t="s">
        <v>6075</v>
      </c>
      <c r="D1182" s="2" t="n">
        <v>36438</v>
      </c>
      <c r="E1182" s="1" t="s">
        <v>763</v>
      </c>
      <c r="F1182" s="1" t="s">
        <v>711</v>
      </c>
      <c r="G1182" s="1" t="s">
        <v>712</v>
      </c>
      <c r="H1182" s="1" t="s">
        <v>713</v>
      </c>
      <c r="I1182" s="1" t="s">
        <v>714</v>
      </c>
      <c r="J1182" s="1" t="s">
        <v>6076</v>
      </c>
      <c r="K1182" s="1" t="s">
        <v>6077</v>
      </c>
      <c r="L1182" s="1" t="s">
        <v>6078</v>
      </c>
      <c r="M1182" s="1" t="s">
        <v>718</v>
      </c>
    </row>
    <row r="1183" customFormat="false" ht="15" hidden="false" customHeight="false" outlineLevel="0" collapsed="false">
      <c r="A1183" s="1" t="s">
        <v>6079</v>
      </c>
      <c r="B1183" s="1" t="s">
        <v>6080</v>
      </c>
      <c r="C1183" s="1" t="s">
        <v>6081</v>
      </c>
      <c r="D1183" s="2" t="n">
        <v>35398</v>
      </c>
      <c r="E1183" s="1" t="s">
        <v>710</v>
      </c>
      <c r="F1183" s="1" t="s">
        <v>711</v>
      </c>
      <c r="G1183" s="1" t="s">
        <v>722</v>
      </c>
      <c r="H1183" s="1" t="s">
        <v>713</v>
      </c>
      <c r="I1183" s="1" t="s">
        <v>714</v>
      </c>
      <c r="J1183" s="1" t="s">
        <v>3678</v>
      </c>
      <c r="K1183" s="1" t="s">
        <v>6082</v>
      </c>
      <c r="L1183" s="1" t="s">
        <v>6083</v>
      </c>
      <c r="M1183" s="1" t="s">
        <v>718</v>
      </c>
    </row>
    <row r="1184" customFormat="false" ht="15" hidden="false" customHeight="false" outlineLevel="0" collapsed="false">
      <c r="A1184" s="1" t="s">
        <v>6084</v>
      </c>
      <c r="B1184" s="1" t="s">
        <v>1931</v>
      </c>
      <c r="C1184" s="1" t="s">
        <v>6085</v>
      </c>
      <c r="D1184" s="2" t="n">
        <v>34661</v>
      </c>
      <c r="E1184" s="1" t="s">
        <v>710</v>
      </c>
      <c r="F1184" s="1" t="s">
        <v>711</v>
      </c>
      <c r="G1184" s="1" t="s">
        <v>722</v>
      </c>
      <c r="H1184" s="1" t="s">
        <v>713</v>
      </c>
      <c r="I1184" s="1" t="s">
        <v>714</v>
      </c>
      <c r="J1184" s="1" t="s">
        <v>6086</v>
      </c>
      <c r="K1184" s="1" t="s">
        <v>716</v>
      </c>
      <c r="L1184" s="1" t="s">
        <v>6087</v>
      </c>
      <c r="M1184" s="1" t="s">
        <v>718</v>
      </c>
    </row>
    <row r="1185" customFormat="false" ht="15" hidden="false" customHeight="false" outlineLevel="0" collapsed="false">
      <c r="A1185" s="1" t="s">
        <v>6088</v>
      </c>
      <c r="B1185" s="1" t="s">
        <v>6089</v>
      </c>
      <c r="C1185" s="1" t="s">
        <v>4018</v>
      </c>
      <c r="D1185" s="2" t="n">
        <v>36499</v>
      </c>
      <c r="E1185" s="1" t="s">
        <v>763</v>
      </c>
      <c r="F1185" s="1" t="s">
        <v>711</v>
      </c>
      <c r="G1185" s="1" t="s">
        <v>712</v>
      </c>
      <c r="H1185" s="1" t="s">
        <v>713</v>
      </c>
      <c r="I1185" s="1" t="s">
        <v>714</v>
      </c>
      <c r="J1185" s="1" t="s">
        <v>6090</v>
      </c>
      <c r="K1185" s="1" t="s">
        <v>6091</v>
      </c>
      <c r="L1185" s="1" t="s">
        <v>6092</v>
      </c>
      <c r="M1185" s="1" t="s">
        <v>718</v>
      </c>
    </row>
    <row r="1186" customFormat="false" ht="15" hidden="false" customHeight="false" outlineLevel="0" collapsed="false">
      <c r="A1186" s="1" t="s">
        <v>6093</v>
      </c>
      <c r="B1186" s="1" t="s">
        <v>6094</v>
      </c>
      <c r="C1186" s="1" t="s">
        <v>3200</v>
      </c>
      <c r="D1186" s="2" t="n">
        <v>35563</v>
      </c>
      <c r="E1186" s="1" t="s">
        <v>763</v>
      </c>
      <c r="F1186" s="1" t="s">
        <v>711</v>
      </c>
      <c r="G1186" s="1" t="s">
        <v>722</v>
      </c>
      <c r="H1186" s="1" t="s">
        <v>713</v>
      </c>
      <c r="I1186" s="1" t="s">
        <v>714</v>
      </c>
      <c r="J1186" s="1" t="s">
        <v>1244</v>
      </c>
      <c r="K1186" s="1" t="s">
        <v>6064</v>
      </c>
      <c r="L1186" s="1" t="s">
        <v>6095</v>
      </c>
      <c r="M1186" s="1" t="s">
        <v>718</v>
      </c>
    </row>
    <row r="1187" customFormat="false" ht="15" hidden="false" customHeight="false" outlineLevel="0" collapsed="false">
      <c r="A1187" s="1" t="s">
        <v>6096</v>
      </c>
      <c r="B1187" s="1" t="s">
        <v>6097</v>
      </c>
      <c r="C1187" s="1" t="s">
        <v>6098</v>
      </c>
      <c r="D1187" s="2" t="n">
        <v>35985</v>
      </c>
      <c r="E1187" s="1" t="s">
        <v>763</v>
      </c>
      <c r="F1187" s="1" t="s">
        <v>711</v>
      </c>
      <c r="G1187" s="1" t="s">
        <v>722</v>
      </c>
      <c r="H1187" s="1" t="s">
        <v>713</v>
      </c>
      <c r="I1187" s="1" t="s">
        <v>714</v>
      </c>
      <c r="J1187" s="1" t="s">
        <v>6099</v>
      </c>
      <c r="K1187" s="1" t="s">
        <v>6100</v>
      </c>
      <c r="L1187" s="1" t="s">
        <v>6101</v>
      </c>
      <c r="M1187" s="1" t="s">
        <v>718</v>
      </c>
    </row>
    <row r="1188" customFormat="false" ht="15" hidden="false" customHeight="false" outlineLevel="0" collapsed="false">
      <c r="A1188" s="1" t="s">
        <v>6102</v>
      </c>
      <c r="B1188" s="1" t="s">
        <v>6103</v>
      </c>
      <c r="C1188" s="1" t="s">
        <v>6104</v>
      </c>
      <c r="D1188" s="2" t="n">
        <v>36401</v>
      </c>
      <c r="E1188" s="1" t="s">
        <v>763</v>
      </c>
      <c r="F1188" s="1" t="s">
        <v>711</v>
      </c>
      <c r="G1188" s="1" t="s">
        <v>722</v>
      </c>
      <c r="H1188" s="1" t="s">
        <v>713</v>
      </c>
      <c r="I1188" s="1" t="s">
        <v>714</v>
      </c>
      <c r="J1188" s="1" t="s">
        <v>2438</v>
      </c>
      <c r="K1188" s="1" t="s">
        <v>716</v>
      </c>
      <c r="L1188" s="1" t="s">
        <v>6101</v>
      </c>
      <c r="M1188" s="1" t="s">
        <v>718</v>
      </c>
    </row>
    <row r="1189" customFormat="false" ht="15" hidden="false" customHeight="false" outlineLevel="0" collapsed="false">
      <c r="A1189" s="1" t="s">
        <v>6105</v>
      </c>
      <c r="B1189" s="1" t="s">
        <v>6106</v>
      </c>
      <c r="C1189" s="1" t="s">
        <v>4853</v>
      </c>
      <c r="D1189" s="2" t="n">
        <v>36484</v>
      </c>
      <c r="E1189" s="1" t="s">
        <v>763</v>
      </c>
      <c r="F1189" s="1" t="s">
        <v>711</v>
      </c>
      <c r="G1189" s="1" t="s">
        <v>712</v>
      </c>
      <c r="H1189" s="1" t="s">
        <v>713</v>
      </c>
      <c r="I1189" s="1" t="s">
        <v>714</v>
      </c>
      <c r="J1189" s="1" t="s">
        <v>1244</v>
      </c>
      <c r="K1189" s="1" t="s">
        <v>6107</v>
      </c>
      <c r="L1189" s="1" t="s">
        <v>3160</v>
      </c>
      <c r="M1189" s="1" t="s">
        <v>718</v>
      </c>
    </row>
    <row r="1190" customFormat="false" ht="15" hidden="false" customHeight="false" outlineLevel="0" collapsed="false">
      <c r="A1190" s="1" t="s">
        <v>6108</v>
      </c>
      <c r="B1190" s="1" t="s">
        <v>6109</v>
      </c>
      <c r="C1190" s="1" t="s">
        <v>4024</v>
      </c>
      <c r="D1190" s="2" t="n">
        <v>35923</v>
      </c>
      <c r="E1190" s="1" t="s">
        <v>710</v>
      </c>
      <c r="F1190" s="1" t="s">
        <v>711</v>
      </c>
      <c r="G1190" s="1" t="s">
        <v>722</v>
      </c>
      <c r="H1190" s="1" t="s">
        <v>713</v>
      </c>
      <c r="I1190" s="1" t="s">
        <v>714</v>
      </c>
      <c r="J1190" s="1" t="s">
        <v>902</v>
      </c>
      <c r="K1190" s="1" t="s">
        <v>6110</v>
      </c>
      <c r="L1190" s="1" t="s">
        <v>4026</v>
      </c>
      <c r="M1190" s="1" t="s">
        <v>718</v>
      </c>
    </row>
    <row r="1191" customFormat="false" ht="15" hidden="false" customHeight="false" outlineLevel="0" collapsed="false">
      <c r="A1191" s="1" t="s">
        <v>6111</v>
      </c>
      <c r="B1191" s="1" t="s">
        <v>6112</v>
      </c>
      <c r="C1191" s="1" t="s">
        <v>6113</v>
      </c>
      <c r="D1191" s="2" t="n">
        <v>36091</v>
      </c>
      <c r="E1191" s="1" t="s">
        <v>763</v>
      </c>
      <c r="F1191" s="1" t="s">
        <v>711</v>
      </c>
      <c r="G1191" s="1" t="s">
        <v>712</v>
      </c>
      <c r="H1191" s="1" t="s">
        <v>713</v>
      </c>
      <c r="I1191" s="1" t="s">
        <v>714</v>
      </c>
      <c r="J1191" s="1" t="s">
        <v>6114</v>
      </c>
      <c r="K1191" s="1" t="s">
        <v>6115</v>
      </c>
      <c r="L1191" s="1" t="s">
        <v>6116</v>
      </c>
      <c r="M1191" s="1" t="s">
        <v>718</v>
      </c>
    </row>
    <row r="1192" customFormat="false" ht="15" hidden="false" customHeight="false" outlineLevel="0" collapsed="false">
      <c r="A1192" s="1" t="s">
        <v>6117</v>
      </c>
      <c r="B1192" s="1" t="s">
        <v>6118</v>
      </c>
      <c r="C1192" s="1" t="s">
        <v>6119</v>
      </c>
      <c r="D1192" s="2" t="n">
        <v>36590</v>
      </c>
      <c r="E1192" s="1" t="s">
        <v>710</v>
      </c>
      <c r="F1192" s="1" t="s">
        <v>711</v>
      </c>
      <c r="G1192" s="1" t="s">
        <v>722</v>
      </c>
      <c r="H1192" s="1" t="s">
        <v>713</v>
      </c>
      <c r="I1192" s="1" t="s">
        <v>714</v>
      </c>
      <c r="J1192" s="1" t="s">
        <v>3678</v>
      </c>
      <c r="K1192" s="1" t="s">
        <v>716</v>
      </c>
      <c r="L1192" s="1" t="s">
        <v>2152</v>
      </c>
      <c r="M1192" s="1" t="s">
        <v>718</v>
      </c>
    </row>
    <row r="1193" customFormat="false" ht="15" hidden="false" customHeight="false" outlineLevel="0" collapsed="false">
      <c r="A1193" s="1" t="s">
        <v>6120</v>
      </c>
      <c r="B1193" s="1" t="s">
        <v>6121</v>
      </c>
      <c r="C1193" s="1" t="s">
        <v>5548</v>
      </c>
      <c r="D1193" s="2" t="n">
        <v>35555</v>
      </c>
      <c r="E1193" s="1" t="s">
        <v>710</v>
      </c>
      <c r="F1193" s="1" t="s">
        <v>711</v>
      </c>
      <c r="G1193" s="1" t="s">
        <v>712</v>
      </c>
      <c r="H1193" s="1" t="s">
        <v>713</v>
      </c>
      <c r="I1193" s="1" t="s">
        <v>714</v>
      </c>
      <c r="J1193" s="1" t="s">
        <v>1723</v>
      </c>
      <c r="K1193" s="1" t="s">
        <v>6122</v>
      </c>
      <c r="L1193" s="1" t="s">
        <v>6123</v>
      </c>
      <c r="M1193" s="1" t="s">
        <v>718</v>
      </c>
    </row>
    <row r="1194" customFormat="false" ht="15" hidden="false" customHeight="false" outlineLevel="0" collapsed="false">
      <c r="A1194" s="1" t="s">
        <v>6124</v>
      </c>
      <c r="B1194" s="1" t="s">
        <v>6125</v>
      </c>
      <c r="C1194" s="1" t="s">
        <v>5976</v>
      </c>
      <c r="D1194" s="2" t="n">
        <v>35887</v>
      </c>
      <c r="E1194" s="1" t="s">
        <v>763</v>
      </c>
      <c r="F1194" s="1" t="s">
        <v>711</v>
      </c>
      <c r="G1194" s="1" t="s">
        <v>722</v>
      </c>
      <c r="H1194" s="1" t="s">
        <v>713</v>
      </c>
      <c r="I1194" s="1" t="s">
        <v>714</v>
      </c>
      <c r="J1194" s="1" t="s">
        <v>1390</v>
      </c>
      <c r="K1194" s="1" t="s">
        <v>5977</v>
      </c>
      <c r="L1194" s="1" t="s">
        <v>5978</v>
      </c>
      <c r="M1194" s="1" t="s">
        <v>718</v>
      </c>
    </row>
    <row r="1195" customFormat="false" ht="15" hidden="false" customHeight="false" outlineLevel="0" collapsed="false">
      <c r="A1195" s="1" t="s">
        <v>6126</v>
      </c>
      <c r="B1195" s="1" t="s">
        <v>6127</v>
      </c>
      <c r="C1195" s="1" t="s">
        <v>6128</v>
      </c>
      <c r="D1195" s="2" t="n">
        <v>36728</v>
      </c>
      <c r="E1195" s="1" t="s">
        <v>710</v>
      </c>
      <c r="F1195" s="1" t="s">
        <v>711</v>
      </c>
      <c r="G1195" s="1" t="s">
        <v>722</v>
      </c>
      <c r="H1195" s="1" t="s">
        <v>713</v>
      </c>
      <c r="I1195" s="1" t="s">
        <v>714</v>
      </c>
      <c r="J1195" s="1" t="s">
        <v>6129</v>
      </c>
      <c r="K1195" s="1" t="s">
        <v>6130</v>
      </c>
      <c r="L1195" s="1" t="s">
        <v>6131</v>
      </c>
      <c r="M1195" s="1" t="s">
        <v>718</v>
      </c>
    </row>
    <row r="1196" customFormat="false" ht="15" hidden="false" customHeight="false" outlineLevel="0" collapsed="false">
      <c r="A1196" s="1" t="s">
        <v>6132</v>
      </c>
      <c r="B1196" s="1" t="s">
        <v>6133</v>
      </c>
      <c r="C1196" s="1" t="s">
        <v>6134</v>
      </c>
      <c r="D1196" s="2" t="n">
        <v>36467</v>
      </c>
      <c r="E1196" s="1" t="s">
        <v>710</v>
      </c>
      <c r="F1196" s="1" t="s">
        <v>711</v>
      </c>
      <c r="G1196" s="1" t="s">
        <v>1573</v>
      </c>
      <c r="H1196" s="1" t="s">
        <v>1574</v>
      </c>
      <c r="I1196" s="1" t="s">
        <v>1575</v>
      </c>
      <c r="J1196" s="1" t="s">
        <v>821</v>
      </c>
      <c r="K1196" s="1" t="s">
        <v>6135</v>
      </c>
      <c r="L1196" s="1" t="s">
        <v>6136</v>
      </c>
      <c r="M1196" s="1" t="s">
        <v>718</v>
      </c>
    </row>
    <row r="1197" customFormat="false" ht="15" hidden="false" customHeight="false" outlineLevel="0" collapsed="false">
      <c r="A1197" s="1" t="s">
        <v>6137</v>
      </c>
      <c r="B1197" s="1" t="s">
        <v>6138</v>
      </c>
      <c r="C1197" s="1" t="s">
        <v>1782</v>
      </c>
      <c r="D1197" s="2" t="n">
        <v>35228</v>
      </c>
      <c r="E1197" s="1" t="s">
        <v>710</v>
      </c>
      <c r="F1197" s="1" t="s">
        <v>711</v>
      </c>
      <c r="G1197" s="1" t="s">
        <v>712</v>
      </c>
      <c r="H1197" s="1" t="s">
        <v>713</v>
      </c>
      <c r="I1197" s="1" t="s">
        <v>714</v>
      </c>
      <c r="J1197" s="1" t="s">
        <v>6139</v>
      </c>
      <c r="K1197" s="1" t="s">
        <v>716</v>
      </c>
      <c r="L1197" s="1" t="s">
        <v>1784</v>
      </c>
      <c r="M1197" s="1" t="s">
        <v>718</v>
      </c>
    </row>
    <row r="1198" customFormat="false" ht="15" hidden="false" customHeight="false" outlineLevel="0" collapsed="false">
      <c r="A1198" s="1" t="s">
        <v>6140</v>
      </c>
      <c r="B1198" s="1" t="s">
        <v>6141</v>
      </c>
      <c r="C1198" s="1" t="s">
        <v>750</v>
      </c>
      <c r="D1198" s="2" t="n">
        <v>36712</v>
      </c>
      <c r="E1198" s="1" t="s">
        <v>763</v>
      </c>
      <c r="F1198" s="1" t="s">
        <v>711</v>
      </c>
      <c r="G1198" s="1" t="s">
        <v>722</v>
      </c>
      <c r="H1198" s="1" t="s">
        <v>713</v>
      </c>
      <c r="I1198" s="1" t="s">
        <v>714</v>
      </c>
      <c r="J1198" s="1" t="s">
        <v>6142</v>
      </c>
      <c r="K1198" s="1" t="s">
        <v>6143</v>
      </c>
      <c r="L1198" s="1" t="s">
        <v>6144</v>
      </c>
      <c r="M1198" s="1" t="s">
        <v>718</v>
      </c>
    </row>
    <row r="1199" customFormat="false" ht="15" hidden="false" customHeight="false" outlineLevel="0" collapsed="false">
      <c r="A1199" s="1" t="s">
        <v>6145</v>
      </c>
      <c r="B1199" s="1" t="s">
        <v>6146</v>
      </c>
      <c r="C1199" s="1" t="s">
        <v>6147</v>
      </c>
      <c r="D1199" s="2" t="n">
        <v>36851</v>
      </c>
      <c r="E1199" s="1" t="s">
        <v>710</v>
      </c>
      <c r="F1199" s="1" t="s">
        <v>711</v>
      </c>
      <c r="G1199" s="1" t="s">
        <v>712</v>
      </c>
      <c r="H1199" s="1" t="s">
        <v>713</v>
      </c>
      <c r="I1199" s="1" t="s">
        <v>714</v>
      </c>
      <c r="J1199" s="1" t="s">
        <v>6148</v>
      </c>
      <c r="K1199" s="1" t="s">
        <v>6149</v>
      </c>
      <c r="L1199" s="1" t="s">
        <v>6150</v>
      </c>
      <c r="M1199" s="1" t="s">
        <v>718</v>
      </c>
    </row>
    <row r="1200" customFormat="false" ht="15" hidden="false" customHeight="false" outlineLevel="0" collapsed="false">
      <c r="A1200" s="1" t="s">
        <v>6151</v>
      </c>
      <c r="B1200" s="1" t="s">
        <v>6152</v>
      </c>
      <c r="C1200" s="1" t="s">
        <v>750</v>
      </c>
      <c r="D1200" s="2" t="n">
        <v>36283</v>
      </c>
      <c r="E1200" s="1" t="s">
        <v>710</v>
      </c>
      <c r="F1200" s="1" t="s">
        <v>711</v>
      </c>
      <c r="G1200" s="1" t="s">
        <v>897</v>
      </c>
      <c r="H1200" s="1" t="s">
        <v>713</v>
      </c>
      <c r="I1200" s="1" t="s">
        <v>714</v>
      </c>
      <c r="J1200" s="1" t="s">
        <v>2664</v>
      </c>
      <c r="K1200" s="1" t="s">
        <v>6153</v>
      </c>
      <c r="L1200" s="1" t="s">
        <v>6154</v>
      </c>
      <c r="M1200" s="1" t="s">
        <v>718</v>
      </c>
    </row>
    <row r="1201" customFormat="false" ht="15" hidden="false" customHeight="false" outlineLevel="0" collapsed="false">
      <c r="A1201" s="1" t="s">
        <v>6155</v>
      </c>
      <c r="B1201" s="1" t="s">
        <v>6156</v>
      </c>
      <c r="C1201" s="1" t="s">
        <v>5919</v>
      </c>
      <c r="D1201" s="2" t="n">
        <v>35927</v>
      </c>
      <c r="E1201" s="1" t="s">
        <v>710</v>
      </c>
      <c r="F1201" s="1" t="s">
        <v>711</v>
      </c>
      <c r="G1201" s="1" t="s">
        <v>712</v>
      </c>
      <c r="H1201" s="1" t="s">
        <v>713</v>
      </c>
      <c r="I1201" s="1" t="s">
        <v>714</v>
      </c>
      <c r="J1201" s="1" t="s">
        <v>1723</v>
      </c>
      <c r="K1201" s="1" t="s">
        <v>716</v>
      </c>
      <c r="L1201" s="1" t="s">
        <v>2162</v>
      </c>
      <c r="M1201" s="1" t="s">
        <v>718</v>
      </c>
    </row>
    <row r="1202" customFormat="false" ht="15" hidden="false" customHeight="false" outlineLevel="0" collapsed="false">
      <c r="A1202" s="1" t="s">
        <v>6157</v>
      </c>
      <c r="B1202" s="1" t="s">
        <v>6158</v>
      </c>
      <c r="C1202" s="1" t="s">
        <v>750</v>
      </c>
      <c r="D1202" s="2" t="n">
        <v>36237</v>
      </c>
      <c r="E1202" s="1" t="s">
        <v>763</v>
      </c>
      <c r="F1202" s="1" t="s">
        <v>711</v>
      </c>
      <c r="G1202" s="1" t="s">
        <v>722</v>
      </c>
      <c r="H1202" s="1" t="s">
        <v>713</v>
      </c>
      <c r="I1202" s="1" t="s">
        <v>714</v>
      </c>
      <c r="J1202" s="1" t="s">
        <v>1398</v>
      </c>
      <c r="K1202" s="1" t="s">
        <v>6159</v>
      </c>
      <c r="L1202" s="1" t="s">
        <v>6160</v>
      </c>
      <c r="M1202" s="1" t="s">
        <v>718</v>
      </c>
    </row>
    <row r="1203" customFormat="false" ht="15" hidden="false" customHeight="false" outlineLevel="0" collapsed="false">
      <c r="A1203" s="1" t="s">
        <v>6161</v>
      </c>
      <c r="B1203" s="1" t="s">
        <v>6162</v>
      </c>
      <c r="C1203" s="1" t="s">
        <v>885</v>
      </c>
      <c r="D1203" s="2" t="n">
        <v>35316</v>
      </c>
      <c r="E1203" s="1" t="s">
        <v>710</v>
      </c>
      <c r="F1203" s="1" t="s">
        <v>711</v>
      </c>
      <c r="G1203" s="1" t="s">
        <v>722</v>
      </c>
      <c r="H1203" s="1" t="s">
        <v>713</v>
      </c>
      <c r="I1203" s="1" t="s">
        <v>714</v>
      </c>
      <c r="J1203" s="1" t="s">
        <v>6163</v>
      </c>
      <c r="K1203" s="1" t="s">
        <v>887</v>
      </c>
      <c r="L1203" s="1" t="s">
        <v>888</v>
      </c>
      <c r="M1203" s="1" t="s">
        <v>718</v>
      </c>
    </row>
    <row r="1204" customFormat="false" ht="15" hidden="false" customHeight="false" outlineLevel="0" collapsed="false">
      <c r="A1204" s="1" t="s">
        <v>6164</v>
      </c>
      <c r="B1204" s="1" t="s">
        <v>6165</v>
      </c>
      <c r="C1204" s="1" t="s">
        <v>6166</v>
      </c>
      <c r="D1204" s="2" t="n">
        <v>34109</v>
      </c>
      <c r="E1204" s="1" t="s">
        <v>710</v>
      </c>
      <c r="F1204" s="1" t="s">
        <v>4714</v>
      </c>
      <c r="G1204" s="1" t="s">
        <v>6167</v>
      </c>
      <c r="H1204" s="1" t="s">
        <v>6168</v>
      </c>
      <c r="I1204" s="1" t="s">
        <v>6169</v>
      </c>
      <c r="J1204" s="1" t="s">
        <v>6170</v>
      </c>
      <c r="K1204" s="1" t="s">
        <v>6171</v>
      </c>
      <c r="L1204" s="1" t="s">
        <v>6172</v>
      </c>
      <c r="M1204" s="1" t="s">
        <v>718</v>
      </c>
    </row>
    <row r="1205" customFormat="false" ht="15" hidden="false" customHeight="false" outlineLevel="0" collapsed="false">
      <c r="A1205" s="1" t="s">
        <v>6173</v>
      </c>
      <c r="B1205" s="1" t="s">
        <v>3544</v>
      </c>
      <c r="C1205" s="1" t="s">
        <v>6174</v>
      </c>
      <c r="D1205" s="2" t="n">
        <v>35356</v>
      </c>
      <c r="E1205" s="1" t="s">
        <v>710</v>
      </c>
      <c r="F1205" s="1" t="s">
        <v>711</v>
      </c>
      <c r="G1205" s="1" t="s">
        <v>712</v>
      </c>
      <c r="H1205" s="1" t="s">
        <v>713</v>
      </c>
      <c r="I1205" s="1" t="s">
        <v>714</v>
      </c>
      <c r="J1205" s="1" t="s">
        <v>1723</v>
      </c>
      <c r="K1205" s="1" t="s">
        <v>716</v>
      </c>
      <c r="L1205" s="1" t="s">
        <v>5866</v>
      </c>
      <c r="M1205" s="1" t="s">
        <v>718</v>
      </c>
    </row>
    <row r="1206" customFormat="false" ht="15" hidden="false" customHeight="false" outlineLevel="0" collapsed="false">
      <c r="A1206" s="1" t="s">
        <v>6175</v>
      </c>
      <c r="B1206" s="1" t="s">
        <v>6176</v>
      </c>
      <c r="C1206" s="1" t="s">
        <v>6177</v>
      </c>
      <c r="D1206" s="2" t="n">
        <v>36545</v>
      </c>
      <c r="E1206" s="1" t="s">
        <v>710</v>
      </c>
      <c r="F1206" s="1" t="s">
        <v>711</v>
      </c>
      <c r="G1206" s="1" t="s">
        <v>722</v>
      </c>
      <c r="H1206" s="1" t="s">
        <v>713</v>
      </c>
      <c r="I1206" s="1" t="s">
        <v>714</v>
      </c>
      <c r="J1206" s="1" t="s">
        <v>6178</v>
      </c>
      <c r="K1206" s="1" t="s">
        <v>6179</v>
      </c>
      <c r="L1206" s="1" t="s">
        <v>6180</v>
      </c>
      <c r="M1206" s="1" t="s">
        <v>718</v>
      </c>
    </row>
    <row r="1207" customFormat="false" ht="15" hidden="false" customHeight="false" outlineLevel="0" collapsed="false">
      <c r="A1207" s="1" t="s">
        <v>6181</v>
      </c>
      <c r="B1207" s="1" t="s">
        <v>6182</v>
      </c>
      <c r="C1207" s="1" t="s">
        <v>4976</v>
      </c>
      <c r="D1207" s="2" t="n">
        <v>35365</v>
      </c>
      <c r="E1207" s="1" t="s">
        <v>763</v>
      </c>
      <c r="F1207" s="1" t="s">
        <v>711</v>
      </c>
      <c r="G1207" s="1" t="s">
        <v>712</v>
      </c>
      <c r="H1207" s="1" t="s">
        <v>713</v>
      </c>
      <c r="I1207" s="1" t="s">
        <v>714</v>
      </c>
      <c r="J1207" s="1" t="s">
        <v>715</v>
      </c>
      <c r="K1207" s="1" t="s">
        <v>716</v>
      </c>
      <c r="L1207" s="1" t="s">
        <v>6183</v>
      </c>
      <c r="M1207" s="1" t="s">
        <v>718</v>
      </c>
    </row>
    <row r="1208" customFormat="false" ht="15" hidden="false" customHeight="false" outlineLevel="0" collapsed="false">
      <c r="A1208" s="1" t="s">
        <v>6184</v>
      </c>
      <c r="B1208" s="1" t="s">
        <v>6185</v>
      </c>
      <c r="C1208" s="1" t="s">
        <v>6186</v>
      </c>
      <c r="D1208" s="2" t="n">
        <v>30630</v>
      </c>
      <c r="E1208" s="1" t="s">
        <v>763</v>
      </c>
      <c r="F1208" s="1" t="s">
        <v>711</v>
      </c>
      <c r="G1208" s="1" t="s">
        <v>712</v>
      </c>
      <c r="H1208" s="1" t="s">
        <v>713</v>
      </c>
      <c r="I1208" s="1" t="s">
        <v>714</v>
      </c>
      <c r="J1208" s="1" t="s">
        <v>4239</v>
      </c>
      <c r="K1208" s="1" t="s">
        <v>716</v>
      </c>
      <c r="L1208" s="1" t="s">
        <v>5729</v>
      </c>
      <c r="M1208" s="1" t="s">
        <v>718</v>
      </c>
    </row>
    <row r="1209" customFormat="false" ht="15" hidden="false" customHeight="false" outlineLevel="0" collapsed="false">
      <c r="A1209" s="1" t="s">
        <v>6187</v>
      </c>
      <c r="B1209" s="1" t="s">
        <v>6188</v>
      </c>
      <c r="C1209" s="1" t="s">
        <v>6189</v>
      </c>
      <c r="D1209" s="2" t="n">
        <v>36824</v>
      </c>
      <c r="E1209" s="1" t="s">
        <v>763</v>
      </c>
      <c r="F1209" s="1" t="s">
        <v>711</v>
      </c>
      <c r="G1209" s="1" t="s">
        <v>712</v>
      </c>
      <c r="H1209" s="1" t="s">
        <v>713</v>
      </c>
      <c r="I1209" s="1" t="s">
        <v>714</v>
      </c>
      <c r="J1209" s="1" t="s">
        <v>6190</v>
      </c>
      <c r="K1209" s="1" t="s">
        <v>6191</v>
      </c>
      <c r="L1209" s="1" t="s">
        <v>6192</v>
      </c>
      <c r="M1209" s="1" t="s">
        <v>718</v>
      </c>
    </row>
    <row r="1210" customFormat="false" ht="15" hidden="false" customHeight="false" outlineLevel="0" collapsed="false">
      <c r="A1210" s="1" t="s">
        <v>6193</v>
      </c>
      <c r="B1210" s="1" t="s">
        <v>6194</v>
      </c>
      <c r="C1210" s="1" t="s">
        <v>6195</v>
      </c>
      <c r="D1210" s="2" t="n">
        <v>35150</v>
      </c>
      <c r="E1210" s="1" t="s">
        <v>763</v>
      </c>
      <c r="F1210" s="1" t="s">
        <v>711</v>
      </c>
      <c r="G1210" s="1" t="s">
        <v>722</v>
      </c>
      <c r="H1210" s="1" t="s">
        <v>713</v>
      </c>
      <c r="I1210" s="1" t="s">
        <v>714</v>
      </c>
      <c r="J1210" s="1" t="s">
        <v>6196</v>
      </c>
      <c r="K1210" s="1" t="s">
        <v>716</v>
      </c>
      <c r="L1210" s="1" t="s">
        <v>6197</v>
      </c>
      <c r="M1210" s="1" t="s">
        <v>718</v>
      </c>
    </row>
    <row r="1211" customFormat="false" ht="15" hidden="false" customHeight="false" outlineLevel="0" collapsed="false">
      <c r="A1211" s="1" t="s">
        <v>6198</v>
      </c>
      <c r="B1211" s="1" t="s">
        <v>879</v>
      </c>
      <c r="C1211" s="1" t="s">
        <v>6199</v>
      </c>
      <c r="D1211" s="2" t="n">
        <v>33004</v>
      </c>
      <c r="E1211" s="1" t="s">
        <v>710</v>
      </c>
      <c r="F1211" s="1" t="s">
        <v>711</v>
      </c>
      <c r="G1211" s="1" t="s">
        <v>712</v>
      </c>
      <c r="H1211" s="1" t="s">
        <v>713</v>
      </c>
      <c r="I1211" s="1" t="s">
        <v>714</v>
      </c>
      <c r="J1211" s="1" t="s">
        <v>6200</v>
      </c>
      <c r="K1211" s="1" t="s">
        <v>716</v>
      </c>
      <c r="L1211" s="1" t="s">
        <v>6201</v>
      </c>
      <c r="M1211" s="1" t="s">
        <v>718</v>
      </c>
    </row>
    <row r="1212" customFormat="false" ht="15" hidden="false" customHeight="false" outlineLevel="0" collapsed="false">
      <c r="A1212" s="1" t="s">
        <v>6202</v>
      </c>
      <c r="B1212" s="1" t="s">
        <v>6203</v>
      </c>
      <c r="C1212" s="1" t="s">
        <v>6204</v>
      </c>
      <c r="D1212" s="2" t="n">
        <v>30070</v>
      </c>
      <c r="E1212" s="1" t="s">
        <v>710</v>
      </c>
      <c r="F1212" s="1" t="s">
        <v>711</v>
      </c>
      <c r="G1212" s="1" t="s">
        <v>722</v>
      </c>
      <c r="H1212" s="1" t="s">
        <v>713</v>
      </c>
      <c r="I1212" s="1" t="s">
        <v>714</v>
      </c>
      <c r="J1212" s="1" t="s">
        <v>6205</v>
      </c>
      <c r="K1212" s="1" t="s">
        <v>6206</v>
      </c>
      <c r="L1212" s="1" t="s">
        <v>4936</v>
      </c>
      <c r="M1212" s="1" t="s">
        <v>718</v>
      </c>
    </row>
    <row r="1213" customFormat="false" ht="15" hidden="false" customHeight="false" outlineLevel="0" collapsed="false">
      <c r="A1213" s="1" t="s">
        <v>6207</v>
      </c>
      <c r="B1213" s="1" t="s">
        <v>6208</v>
      </c>
      <c r="C1213" s="1" t="s">
        <v>2632</v>
      </c>
      <c r="D1213" s="2" t="n">
        <v>30805</v>
      </c>
      <c r="E1213" s="1" t="s">
        <v>710</v>
      </c>
      <c r="F1213" s="1" t="s">
        <v>711</v>
      </c>
      <c r="G1213" s="1" t="s">
        <v>712</v>
      </c>
      <c r="H1213" s="1" t="s">
        <v>713</v>
      </c>
      <c r="I1213" s="1" t="s">
        <v>714</v>
      </c>
      <c r="J1213" s="1" t="s">
        <v>6209</v>
      </c>
      <c r="K1213" s="1" t="s">
        <v>6210</v>
      </c>
      <c r="L1213" s="1" t="s">
        <v>5729</v>
      </c>
      <c r="M1213" s="1" t="s">
        <v>718</v>
      </c>
    </row>
    <row r="1214" customFormat="false" ht="15" hidden="false" customHeight="false" outlineLevel="0" collapsed="false">
      <c r="A1214" s="1" t="s">
        <v>6211</v>
      </c>
      <c r="B1214" s="1" t="s">
        <v>6212</v>
      </c>
      <c r="C1214" s="1" t="s">
        <v>6213</v>
      </c>
      <c r="D1214" s="2" t="n">
        <v>31663</v>
      </c>
      <c r="E1214" s="1" t="s">
        <v>763</v>
      </c>
      <c r="F1214" s="1" t="s">
        <v>711</v>
      </c>
      <c r="G1214" s="1" t="s">
        <v>712</v>
      </c>
      <c r="H1214" s="1" t="s">
        <v>713</v>
      </c>
      <c r="I1214" s="1" t="s">
        <v>714</v>
      </c>
      <c r="J1214" s="1" t="s">
        <v>6214</v>
      </c>
      <c r="K1214" s="1" t="s">
        <v>716</v>
      </c>
      <c r="L1214" s="1" t="s">
        <v>5990</v>
      </c>
      <c r="M1214" s="1" t="s">
        <v>718</v>
      </c>
    </row>
    <row r="1215" customFormat="false" ht="15" hidden="false" customHeight="false" outlineLevel="0" collapsed="false">
      <c r="A1215" s="1" t="s">
        <v>6215</v>
      </c>
      <c r="B1215" s="1" t="s">
        <v>6216</v>
      </c>
      <c r="C1215" s="1" t="s">
        <v>739</v>
      </c>
      <c r="D1215" s="2" t="n">
        <v>32124</v>
      </c>
      <c r="E1215" s="1" t="s">
        <v>710</v>
      </c>
      <c r="F1215" s="1" t="s">
        <v>711</v>
      </c>
      <c r="G1215" s="1" t="s">
        <v>712</v>
      </c>
      <c r="H1215" s="1" t="s">
        <v>713</v>
      </c>
      <c r="I1215" s="1" t="s">
        <v>714</v>
      </c>
      <c r="J1215" s="1" t="s">
        <v>6217</v>
      </c>
      <c r="K1215" s="1" t="s">
        <v>716</v>
      </c>
      <c r="L1215" s="1" t="s">
        <v>2270</v>
      </c>
      <c r="M1215" s="1" t="s">
        <v>718</v>
      </c>
    </row>
    <row r="1216" customFormat="false" ht="15" hidden="false" customHeight="false" outlineLevel="0" collapsed="false">
      <c r="A1216" s="1" t="s">
        <v>6218</v>
      </c>
      <c r="B1216" s="1" t="s">
        <v>4906</v>
      </c>
      <c r="C1216" s="1" t="s">
        <v>6219</v>
      </c>
      <c r="D1216" s="2" t="n">
        <v>31409</v>
      </c>
      <c r="E1216" s="1" t="s">
        <v>710</v>
      </c>
      <c r="F1216" s="1" t="s">
        <v>711</v>
      </c>
      <c r="G1216" s="1" t="s">
        <v>712</v>
      </c>
      <c r="H1216" s="1" t="s">
        <v>713</v>
      </c>
      <c r="I1216" s="1" t="s">
        <v>714</v>
      </c>
      <c r="J1216" s="1" t="s">
        <v>6220</v>
      </c>
      <c r="K1216" s="1" t="s">
        <v>716</v>
      </c>
      <c r="L1216" s="1" t="s">
        <v>3137</v>
      </c>
      <c r="M1216" s="1" t="s">
        <v>718</v>
      </c>
    </row>
    <row r="1217" customFormat="false" ht="15" hidden="false" customHeight="false" outlineLevel="0" collapsed="false">
      <c r="A1217" s="1" t="s">
        <v>6221</v>
      </c>
      <c r="B1217" s="1" t="s">
        <v>6222</v>
      </c>
      <c r="C1217" s="1" t="s">
        <v>3388</v>
      </c>
      <c r="D1217" s="2" t="n">
        <v>35638</v>
      </c>
      <c r="E1217" s="1" t="s">
        <v>763</v>
      </c>
      <c r="F1217" s="1" t="s">
        <v>711</v>
      </c>
      <c r="G1217" s="1" t="s">
        <v>775</v>
      </c>
      <c r="H1217" s="1" t="s">
        <v>713</v>
      </c>
      <c r="I1217" s="1" t="s">
        <v>714</v>
      </c>
      <c r="J1217" s="1" t="s">
        <v>6223</v>
      </c>
      <c r="K1217" s="1" t="s">
        <v>6224</v>
      </c>
      <c r="L1217" s="1" t="s">
        <v>3390</v>
      </c>
      <c r="M1217" s="1" t="s">
        <v>718</v>
      </c>
    </row>
    <row r="1218" customFormat="false" ht="15" hidden="false" customHeight="false" outlineLevel="0" collapsed="false">
      <c r="A1218" s="1" t="s">
        <v>6225</v>
      </c>
      <c r="B1218" s="1" t="s">
        <v>2694</v>
      </c>
      <c r="C1218" s="1" t="s">
        <v>6226</v>
      </c>
      <c r="D1218" s="2" t="n">
        <v>35584</v>
      </c>
      <c r="E1218" s="1" t="s">
        <v>763</v>
      </c>
      <c r="F1218" s="1" t="s">
        <v>711</v>
      </c>
      <c r="G1218" s="1" t="s">
        <v>722</v>
      </c>
      <c r="H1218" s="1" t="s">
        <v>713</v>
      </c>
      <c r="I1218" s="1" t="s">
        <v>714</v>
      </c>
      <c r="J1218" s="1" t="s">
        <v>6227</v>
      </c>
      <c r="K1218" s="1" t="s">
        <v>6228</v>
      </c>
      <c r="L1218" s="1" t="s">
        <v>6229</v>
      </c>
      <c r="M1218" s="1" t="s">
        <v>718</v>
      </c>
    </row>
    <row r="1219" customFormat="false" ht="15" hidden="false" customHeight="false" outlineLevel="0" collapsed="false">
      <c r="A1219" s="1" t="s">
        <v>6230</v>
      </c>
      <c r="B1219" s="1" t="s">
        <v>6231</v>
      </c>
      <c r="C1219" s="1" t="s">
        <v>2006</v>
      </c>
      <c r="D1219" s="2" t="n">
        <v>35789</v>
      </c>
      <c r="E1219" s="1" t="s">
        <v>710</v>
      </c>
      <c r="F1219" s="1" t="s">
        <v>711</v>
      </c>
      <c r="G1219" s="1" t="s">
        <v>775</v>
      </c>
      <c r="H1219" s="1" t="s">
        <v>713</v>
      </c>
      <c r="I1219" s="1" t="s">
        <v>714</v>
      </c>
      <c r="J1219" s="1" t="s">
        <v>3171</v>
      </c>
      <c r="K1219" s="1" t="s">
        <v>6232</v>
      </c>
      <c r="L1219" s="1" t="s">
        <v>6233</v>
      </c>
      <c r="M1219" s="1" t="s">
        <v>718</v>
      </c>
    </row>
    <row r="1220" customFormat="false" ht="15" hidden="false" customHeight="false" outlineLevel="0" collapsed="false">
      <c r="A1220" s="1" t="s">
        <v>6234</v>
      </c>
      <c r="B1220" s="1" t="s">
        <v>6235</v>
      </c>
      <c r="C1220" s="1" t="s">
        <v>6236</v>
      </c>
      <c r="D1220" s="2" t="n">
        <v>35805</v>
      </c>
      <c r="E1220" s="1" t="s">
        <v>710</v>
      </c>
      <c r="F1220" s="1" t="s">
        <v>711</v>
      </c>
      <c r="G1220" s="1" t="s">
        <v>722</v>
      </c>
      <c r="H1220" s="1" t="s">
        <v>713</v>
      </c>
      <c r="I1220" s="1" t="s">
        <v>714</v>
      </c>
      <c r="J1220" s="1" t="s">
        <v>1544</v>
      </c>
      <c r="K1220" s="1" t="s">
        <v>6237</v>
      </c>
      <c r="L1220" s="1" t="s">
        <v>6238</v>
      </c>
      <c r="M1220" s="1" t="s">
        <v>718</v>
      </c>
    </row>
    <row r="1221" customFormat="false" ht="15" hidden="false" customHeight="false" outlineLevel="0" collapsed="false">
      <c r="A1221" s="1" t="s">
        <v>6239</v>
      </c>
      <c r="B1221" s="1" t="s">
        <v>6240</v>
      </c>
      <c r="C1221" s="1" t="s">
        <v>6241</v>
      </c>
      <c r="D1221" s="2" t="n">
        <v>35943</v>
      </c>
      <c r="E1221" s="1" t="s">
        <v>710</v>
      </c>
      <c r="F1221" s="1" t="s">
        <v>711</v>
      </c>
      <c r="G1221" s="1" t="s">
        <v>722</v>
      </c>
      <c r="H1221" s="1" t="s">
        <v>713</v>
      </c>
      <c r="I1221" s="1" t="s">
        <v>714</v>
      </c>
      <c r="J1221" s="1" t="s">
        <v>6242</v>
      </c>
      <c r="K1221" s="1" t="s">
        <v>6243</v>
      </c>
      <c r="L1221" s="1" t="s">
        <v>6244</v>
      </c>
      <c r="M1221" s="1" t="s">
        <v>718</v>
      </c>
    </row>
    <row r="1222" customFormat="false" ht="15" hidden="false" customHeight="false" outlineLevel="0" collapsed="false">
      <c r="A1222" s="1" t="s">
        <v>6245</v>
      </c>
      <c r="B1222" s="1" t="s">
        <v>900</v>
      </c>
      <c r="C1222" s="1" t="s">
        <v>3388</v>
      </c>
      <c r="D1222" s="2" t="n">
        <v>35372</v>
      </c>
      <c r="E1222" s="1" t="s">
        <v>710</v>
      </c>
      <c r="F1222" s="1" t="s">
        <v>711</v>
      </c>
      <c r="G1222" s="1" t="s">
        <v>712</v>
      </c>
      <c r="H1222" s="1" t="s">
        <v>713</v>
      </c>
      <c r="I1222" s="1" t="s">
        <v>714</v>
      </c>
      <c r="J1222" s="1" t="s">
        <v>3171</v>
      </c>
      <c r="K1222" s="1" t="s">
        <v>6246</v>
      </c>
      <c r="L1222" s="1" t="s">
        <v>6247</v>
      </c>
      <c r="M1222" s="1" t="s">
        <v>718</v>
      </c>
    </row>
    <row r="1223" customFormat="false" ht="15" hidden="false" customHeight="false" outlineLevel="0" collapsed="false">
      <c r="A1223" s="1" t="s">
        <v>6248</v>
      </c>
      <c r="B1223" s="1" t="s">
        <v>6249</v>
      </c>
      <c r="C1223" s="1" t="s">
        <v>6250</v>
      </c>
      <c r="D1223" s="2" t="n">
        <v>36362</v>
      </c>
      <c r="E1223" s="1" t="s">
        <v>710</v>
      </c>
      <c r="F1223" s="1" t="s">
        <v>711</v>
      </c>
      <c r="G1223" s="1" t="s">
        <v>722</v>
      </c>
      <c r="H1223" s="1" t="s">
        <v>713</v>
      </c>
      <c r="I1223" s="1" t="s">
        <v>714</v>
      </c>
      <c r="J1223" s="1" t="s">
        <v>838</v>
      </c>
      <c r="K1223" s="1" t="s">
        <v>6251</v>
      </c>
      <c r="L1223" s="1" t="s">
        <v>2590</v>
      </c>
      <c r="M1223" s="1" t="s">
        <v>718</v>
      </c>
    </row>
    <row r="1224" customFormat="false" ht="15" hidden="false" customHeight="false" outlineLevel="0" collapsed="false">
      <c r="A1224" s="1" t="s">
        <v>6252</v>
      </c>
      <c r="B1224" s="1" t="s">
        <v>6253</v>
      </c>
      <c r="C1224" s="1" t="s">
        <v>6254</v>
      </c>
      <c r="D1224" s="2" t="n">
        <v>35676</v>
      </c>
      <c r="E1224" s="1" t="s">
        <v>763</v>
      </c>
      <c r="F1224" s="1" t="s">
        <v>711</v>
      </c>
      <c r="G1224" s="1" t="s">
        <v>722</v>
      </c>
      <c r="H1224" s="1" t="s">
        <v>713</v>
      </c>
      <c r="I1224" s="1" t="s">
        <v>714</v>
      </c>
      <c r="J1224" s="1" t="s">
        <v>716</v>
      </c>
      <c r="K1224" s="1" t="s">
        <v>716</v>
      </c>
      <c r="L1224" s="1" t="s">
        <v>6255</v>
      </c>
      <c r="M1224" s="1" t="s">
        <v>718</v>
      </c>
    </row>
    <row r="1225" customFormat="false" ht="15" hidden="false" customHeight="false" outlineLevel="0" collapsed="false">
      <c r="A1225" s="1" t="s">
        <v>6256</v>
      </c>
      <c r="B1225" s="1" t="s">
        <v>6257</v>
      </c>
      <c r="C1225" s="1" t="s">
        <v>6258</v>
      </c>
      <c r="D1225" s="2" t="n">
        <v>36295</v>
      </c>
      <c r="E1225" s="1" t="s">
        <v>710</v>
      </c>
      <c r="F1225" s="1" t="s">
        <v>711</v>
      </c>
      <c r="G1225" s="1" t="s">
        <v>712</v>
      </c>
      <c r="H1225" s="1" t="s">
        <v>713</v>
      </c>
      <c r="I1225" s="1" t="s">
        <v>714</v>
      </c>
      <c r="J1225" s="1" t="s">
        <v>1670</v>
      </c>
      <c r="K1225" s="1" t="s">
        <v>6259</v>
      </c>
      <c r="L1225" s="1" t="s">
        <v>6260</v>
      </c>
      <c r="M1225" s="1" t="s">
        <v>718</v>
      </c>
    </row>
    <row r="1226" customFormat="false" ht="15" hidden="false" customHeight="false" outlineLevel="0" collapsed="false">
      <c r="A1226" s="1" t="s">
        <v>6261</v>
      </c>
      <c r="B1226" s="1" t="s">
        <v>6262</v>
      </c>
      <c r="C1226" s="1" t="s">
        <v>1280</v>
      </c>
      <c r="D1226" s="2" t="n">
        <v>35820</v>
      </c>
      <c r="E1226" s="1" t="s">
        <v>710</v>
      </c>
      <c r="F1226" s="1" t="s">
        <v>711</v>
      </c>
      <c r="G1226" s="1" t="s">
        <v>712</v>
      </c>
      <c r="H1226" s="1" t="s">
        <v>713</v>
      </c>
      <c r="I1226" s="1" t="s">
        <v>714</v>
      </c>
      <c r="J1226" s="1" t="s">
        <v>3893</v>
      </c>
      <c r="K1226" s="1" t="s">
        <v>6263</v>
      </c>
      <c r="L1226" s="1" t="s">
        <v>1283</v>
      </c>
      <c r="M1226" s="1" t="s">
        <v>718</v>
      </c>
    </row>
    <row r="1227" customFormat="false" ht="15" hidden="false" customHeight="false" outlineLevel="0" collapsed="false">
      <c r="A1227" s="1" t="s">
        <v>6264</v>
      </c>
      <c r="B1227" s="1" t="s">
        <v>935</v>
      </c>
      <c r="C1227" s="1" t="s">
        <v>6265</v>
      </c>
      <c r="D1227" s="2" t="n">
        <v>36476</v>
      </c>
      <c r="E1227" s="1" t="s">
        <v>710</v>
      </c>
      <c r="F1227" s="1" t="s">
        <v>711</v>
      </c>
      <c r="G1227" s="1" t="s">
        <v>712</v>
      </c>
      <c r="H1227" s="1" t="s">
        <v>713</v>
      </c>
      <c r="I1227" s="1" t="s">
        <v>714</v>
      </c>
      <c r="J1227" s="1" t="s">
        <v>859</v>
      </c>
      <c r="K1227" s="1" t="s">
        <v>6266</v>
      </c>
      <c r="L1227" s="1" t="s">
        <v>6267</v>
      </c>
      <c r="M1227" s="1" t="s">
        <v>718</v>
      </c>
    </row>
    <row r="1228" customFormat="false" ht="15" hidden="false" customHeight="false" outlineLevel="0" collapsed="false">
      <c r="A1228" s="1" t="s">
        <v>6268</v>
      </c>
      <c r="B1228" s="1" t="s">
        <v>6269</v>
      </c>
      <c r="C1228" s="1" t="s">
        <v>6270</v>
      </c>
      <c r="D1228" s="2" t="n">
        <v>35835</v>
      </c>
      <c r="E1228" s="1" t="s">
        <v>763</v>
      </c>
      <c r="F1228" s="1" t="s">
        <v>711</v>
      </c>
      <c r="G1228" s="1" t="s">
        <v>6271</v>
      </c>
      <c r="H1228" s="1" t="s">
        <v>713</v>
      </c>
      <c r="I1228" s="1" t="s">
        <v>714</v>
      </c>
      <c r="J1228" s="1" t="s">
        <v>2122</v>
      </c>
      <c r="K1228" s="1" t="s">
        <v>6272</v>
      </c>
      <c r="L1228" s="1" t="s">
        <v>6273</v>
      </c>
      <c r="M1228" s="1" t="s">
        <v>718</v>
      </c>
    </row>
    <row r="1229" customFormat="false" ht="15" hidden="false" customHeight="false" outlineLevel="0" collapsed="false">
      <c r="A1229" s="1" t="s">
        <v>6274</v>
      </c>
      <c r="B1229" s="1" t="s">
        <v>6275</v>
      </c>
      <c r="C1229" s="1" t="s">
        <v>2578</v>
      </c>
      <c r="D1229" s="2" t="n">
        <v>36578</v>
      </c>
      <c r="E1229" s="1" t="s">
        <v>710</v>
      </c>
      <c r="F1229" s="1" t="s">
        <v>711</v>
      </c>
      <c r="G1229" s="1" t="s">
        <v>722</v>
      </c>
      <c r="H1229" s="1" t="s">
        <v>713</v>
      </c>
      <c r="I1229" s="1" t="s">
        <v>714</v>
      </c>
      <c r="J1229" s="1" t="s">
        <v>2807</v>
      </c>
      <c r="K1229" s="1" t="s">
        <v>6276</v>
      </c>
      <c r="L1229" s="1" t="s">
        <v>2580</v>
      </c>
      <c r="M1229" s="1" t="s">
        <v>718</v>
      </c>
    </row>
    <row r="1230" customFormat="false" ht="15" hidden="false" customHeight="false" outlineLevel="0" collapsed="false">
      <c r="A1230" s="1" t="s">
        <v>6277</v>
      </c>
      <c r="B1230" s="1" t="s">
        <v>6278</v>
      </c>
      <c r="C1230" s="1" t="s">
        <v>779</v>
      </c>
      <c r="D1230" s="2" t="n">
        <v>36575</v>
      </c>
      <c r="E1230" s="1" t="s">
        <v>710</v>
      </c>
      <c r="F1230" s="1" t="s">
        <v>711</v>
      </c>
      <c r="G1230" s="1" t="s">
        <v>712</v>
      </c>
      <c r="H1230" s="1" t="s">
        <v>713</v>
      </c>
      <c r="I1230" s="1" t="s">
        <v>714</v>
      </c>
      <c r="J1230" s="1" t="s">
        <v>1723</v>
      </c>
      <c r="K1230" s="1" t="s">
        <v>6279</v>
      </c>
      <c r="L1230" s="1" t="s">
        <v>782</v>
      </c>
      <c r="M1230" s="1" t="s">
        <v>718</v>
      </c>
    </row>
    <row r="1231" customFormat="false" ht="15" hidden="false" customHeight="false" outlineLevel="0" collapsed="false">
      <c r="A1231" s="1" t="s">
        <v>6280</v>
      </c>
      <c r="B1231" s="1" t="s">
        <v>6281</v>
      </c>
      <c r="C1231" s="1" t="s">
        <v>2914</v>
      </c>
      <c r="D1231" s="2" t="n">
        <v>36555</v>
      </c>
      <c r="E1231" s="1" t="s">
        <v>763</v>
      </c>
      <c r="F1231" s="1" t="s">
        <v>711</v>
      </c>
      <c r="G1231" s="1" t="s">
        <v>712</v>
      </c>
      <c r="H1231" s="1" t="s">
        <v>713</v>
      </c>
      <c r="I1231" s="1" t="s">
        <v>714</v>
      </c>
      <c r="J1231" s="1" t="s">
        <v>3171</v>
      </c>
      <c r="K1231" s="1" t="s">
        <v>6282</v>
      </c>
      <c r="L1231" s="1" t="s">
        <v>2916</v>
      </c>
      <c r="M1231" s="1" t="s">
        <v>718</v>
      </c>
    </row>
    <row r="1232" customFormat="false" ht="15" hidden="false" customHeight="false" outlineLevel="0" collapsed="false">
      <c r="A1232" s="1" t="s">
        <v>6283</v>
      </c>
      <c r="B1232" s="1" t="s">
        <v>6284</v>
      </c>
      <c r="C1232" s="1" t="s">
        <v>6285</v>
      </c>
      <c r="D1232" s="2" t="n">
        <v>36854</v>
      </c>
      <c r="E1232" s="1" t="s">
        <v>763</v>
      </c>
      <c r="F1232" s="1" t="s">
        <v>711</v>
      </c>
      <c r="G1232" s="1" t="s">
        <v>712</v>
      </c>
      <c r="H1232" s="1" t="s">
        <v>713</v>
      </c>
      <c r="I1232" s="1" t="s">
        <v>714</v>
      </c>
      <c r="J1232" s="1" t="s">
        <v>3171</v>
      </c>
      <c r="K1232" s="1" t="s">
        <v>6286</v>
      </c>
      <c r="L1232" s="1" t="s">
        <v>6287</v>
      </c>
      <c r="M1232" s="1" t="s">
        <v>718</v>
      </c>
    </row>
    <row r="1233" customFormat="false" ht="15" hidden="false" customHeight="false" outlineLevel="0" collapsed="false">
      <c r="A1233" s="1" t="s">
        <v>6288</v>
      </c>
      <c r="B1233" s="1" t="s">
        <v>6289</v>
      </c>
      <c r="C1233" s="1" t="s">
        <v>2180</v>
      </c>
      <c r="D1233" s="2" t="n">
        <v>36138</v>
      </c>
      <c r="E1233" s="1" t="s">
        <v>710</v>
      </c>
      <c r="F1233" s="1" t="s">
        <v>711</v>
      </c>
      <c r="G1233" s="1" t="s">
        <v>722</v>
      </c>
      <c r="H1233" s="1" t="s">
        <v>713</v>
      </c>
      <c r="I1233" s="1" t="s">
        <v>714</v>
      </c>
      <c r="J1233" s="1" t="s">
        <v>6290</v>
      </c>
      <c r="K1233" s="1" t="s">
        <v>6291</v>
      </c>
      <c r="L1233" s="1" t="s">
        <v>6292</v>
      </c>
      <c r="M1233" s="1" t="s">
        <v>718</v>
      </c>
    </row>
    <row r="1234" customFormat="false" ht="15" hidden="false" customHeight="false" outlineLevel="0" collapsed="false">
      <c r="A1234" s="1" t="s">
        <v>6293</v>
      </c>
      <c r="B1234" s="1" t="s">
        <v>6294</v>
      </c>
      <c r="C1234" s="1" t="s">
        <v>2155</v>
      </c>
      <c r="D1234" s="2" t="n">
        <v>36786</v>
      </c>
      <c r="E1234" s="1" t="s">
        <v>710</v>
      </c>
      <c r="F1234" s="1" t="s">
        <v>711</v>
      </c>
      <c r="G1234" s="1" t="s">
        <v>722</v>
      </c>
      <c r="H1234" s="1" t="s">
        <v>713</v>
      </c>
      <c r="I1234" s="1" t="s">
        <v>714</v>
      </c>
      <c r="J1234" s="1" t="s">
        <v>1544</v>
      </c>
      <c r="K1234" s="1" t="s">
        <v>6295</v>
      </c>
      <c r="L1234" s="1" t="s">
        <v>2157</v>
      </c>
      <c r="M1234" s="1" t="s">
        <v>718</v>
      </c>
    </row>
    <row r="1235" customFormat="false" ht="15" hidden="false" customHeight="false" outlineLevel="0" collapsed="false">
      <c r="A1235" s="1" t="s">
        <v>6296</v>
      </c>
      <c r="B1235" s="1" t="s">
        <v>6297</v>
      </c>
      <c r="C1235" s="1" t="s">
        <v>6298</v>
      </c>
      <c r="D1235" s="2" t="n">
        <v>36827</v>
      </c>
      <c r="E1235" s="1" t="s">
        <v>710</v>
      </c>
      <c r="F1235" s="1" t="s">
        <v>711</v>
      </c>
      <c r="G1235" s="1" t="s">
        <v>712</v>
      </c>
      <c r="H1235" s="1" t="s">
        <v>713</v>
      </c>
      <c r="I1235" s="1" t="s">
        <v>714</v>
      </c>
      <c r="J1235" s="1" t="s">
        <v>838</v>
      </c>
      <c r="K1235" s="1" t="s">
        <v>6299</v>
      </c>
      <c r="L1235" s="1" t="s">
        <v>6300</v>
      </c>
      <c r="M1235" s="1" t="s">
        <v>718</v>
      </c>
    </row>
    <row r="1236" customFormat="false" ht="15" hidden="false" customHeight="false" outlineLevel="0" collapsed="false">
      <c r="A1236" s="1" t="s">
        <v>6301</v>
      </c>
      <c r="B1236" s="1" t="s">
        <v>2256</v>
      </c>
      <c r="C1236" s="1" t="s">
        <v>2292</v>
      </c>
      <c r="D1236" s="2" t="n">
        <v>36437</v>
      </c>
      <c r="E1236" s="1" t="s">
        <v>710</v>
      </c>
      <c r="F1236" s="1" t="s">
        <v>711</v>
      </c>
      <c r="G1236" s="1" t="s">
        <v>722</v>
      </c>
      <c r="H1236" s="1" t="s">
        <v>713</v>
      </c>
      <c r="I1236" s="1" t="s">
        <v>714</v>
      </c>
      <c r="J1236" s="1" t="s">
        <v>1670</v>
      </c>
      <c r="K1236" s="1" t="s">
        <v>6302</v>
      </c>
      <c r="L1236" s="1" t="s">
        <v>6303</v>
      </c>
      <c r="M1236" s="1" t="s">
        <v>718</v>
      </c>
    </row>
    <row r="1237" customFormat="false" ht="15" hidden="false" customHeight="false" outlineLevel="0" collapsed="false">
      <c r="A1237" s="1" t="s">
        <v>6304</v>
      </c>
      <c r="B1237" s="1" t="s">
        <v>6305</v>
      </c>
      <c r="C1237" s="1" t="s">
        <v>6306</v>
      </c>
      <c r="D1237" s="2" t="n">
        <v>36556</v>
      </c>
      <c r="E1237" s="1" t="s">
        <v>710</v>
      </c>
      <c r="F1237" s="1" t="s">
        <v>711</v>
      </c>
      <c r="G1237" s="1" t="s">
        <v>712</v>
      </c>
      <c r="H1237" s="1" t="s">
        <v>713</v>
      </c>
      <c r="I1237" s="1" t="s">
        <v>714</v>
      </c>
      <c r="J1237" s="1" t="s">
        <v>1670</v>
      </c>
      <c r="K1237" s="1" t="s">
        <v>6307</v>
      </c>
      <c r="L1237" s="1" t="s">
        <v>6308</v>
      </c>
      <c r="M1237" s="1" t="s">
        <v>718</v>
      </c>
    </row>
    <row r="1238" customFormat="false" ht="15" hidden="false" customHeight="false" outlineLevel="0" collapsed="false">
      <c r="A1238" s="1" t="s">
        <v>6309</v>
      </c>
      <c r="B1238" s="1" t="s">
        <v>1490</v>
      </c>
      <c r="C1238" s="1" t="s">
        <v>750</v>
      </c>
      <c r="D1238" s="2" t="n">
        <v>35983</v>
      </c>
      <c r="E1238" s="1" t="s">
        <v>710</v>
      </c>
      <c r="F1238" s="1" t="s">
        <v>711</v>
      </c>
      <c r="G1238" s="1" t="s">
        <v>712</v>
      </c>
      <c r="H1238" s="1" t="s">
        <v>713</v>
      </c>
      <c r="I1238" s="1" t="s">
        <v>714</v>
      </c>
      <c r="J1238" s="1" t="s">
        <v>6310</v>
      </c>
      <c r="K1238" s="1" t="s">
        <v>6311</v>
      </c>
      <c r="L1238" s="1" t="s">
        <v>4081</v>
      </c>
      <c r="M1238" s="1" t="s">
        <v>718</v>
      </c>
    </row>
    <row r="1239" customFormat="false" ht="15" hidden="false" customHeight="false" outlineLevel="0" collapsed="false">
      <c r="A1239" s="1" t="s">
        <v>6312</v>
      </c>
      <c r="B1239" s="1" t="s">
        <v>6313</v>
      </c>
      <c r="C1239" s="1" t="s">
        <v>6314</v>
      </c>
      <c r="D1239" s="2" t="n">
        <v>36857</v>
      </c>
      <c r="E1239" s="1" t="s">
        <v>763</v>
      </c>
      <c r="F1239" s="1" t="s">
        <v>711</v>
      </c>
      <c r="G1239" s="1" t="s">
        <v>712</v>
      </c>
      <c r="H1239" s="1" t="s">
        <v>713</v>
      </c>
      <c r="I1239" s="1" t="s">
        <v>714</v>
      </c>
      <c r="J1239" s="1" t="s">
        <v>1530</v>
      </c>
      <c r="K1239" s="1" t="s">
        <v>716</v>
      </c>
      <c r="L1239" s="1" t="s">
        <v>6315</v>
      </c>
      <c r="M1239" s="1" t="s">
        <v>718</v>
      </c>
    </row>
    <row r="1240" customFormat="false" ht="15" hidden="false" customHeight="false" outlineLevel="0" collapsed="false">
      <c r="A1240" s="1" t="s">
        <v>6316</v>
      </c>
      <c r="B1240" s="1" t="s">
        <v>1175</v>
      </c>
      <c r="C1240" s="1" t="s">
        <v>6317</v>
      </c>
      <c r="D1240" s="2" t="n">
        <v>36880</v>
      </c>
      <c r="E1240" s="1" t="s">
        <v>710</v>
      </c>
      <c r="F1240" s="1" t="s">
        <v>711</v>
      </c>
      <c r="G1240" s="1" t="s">
        <v>722</v>
      </c>
      <c r="H1240" s="1" t="s">
        <v>713</v>
      </c>
      <c r="I1240" s="1" t="s">
        <v>714</v>
      </c>
      <c r="J1240" s="1" t="s">
        <v>1723</v>
      </c>
      <c r="K1240" s="1" t="s">
        <v>716</v>
      </c>
      <c r="L1240" s="1" t="s">
        <v>866</v>
      </c>
      <c r="M1240" s="1" t="s">
        <v>718</v>
      </c>
    </row>
    <row r="1241" customFormat="false" ht="15" hidden="false" customHeight="false" outlineLevel="0" collapsed="false">
      <c r="A1241" s="1" t="s">
        <v>6318</v>
      </c>
      <c r="B1241" s="1" t="s">
        <v>6319</v>
      </c>
      <c r="C1241" s="1" t="s">
        <v>1349</v>
      </c>
      <c r="D1241" s="2" t="n">
        <v>36981</v>
      </c>
      <c r="E1241" s="1" t="s">
        <v>710</v>
      </c>
      <c r="F1241" s="1" t="s">
        <v>711</v>
      </c>
      <c r="G1241" s="1" t="s">
        <v>712</v>
      </c>
      <c r="H1241" s="1" t="s">
        <v>713</v>
      </c>
      <c r="I1241" s="1" t="s">
        <v>714</v>
      </c>
      <c r="J1241" s="1" t="s">
        <v>838</v>
      </c>
      <c r="K1241" s="1" t="s">
        <v>6320</v>
      </c>
      <c r="L1241" s="1" t="s">
        <v>1350</v>
      </c>
      <c r="M1241" s="1" t="s">
        <v>718</v>
      </c>
    </row>
    <row r="1242" customFormat="false" ht="15" hidden="false" customHeight="false" outlineLevel="0" collapsed="false">
      <c r="A1242" s="1" t="s">
        <v>6321</v>
      </c>
      <c r="B1242" s="1" t="s">
        <v>6322</v>
      </c>
      <c r="C1242" s="1" t="s">
        <v>6323</v>
      </c>
      <c r="D1242" s="2" t="n">
        <v>36954</v>
      </c>
      <c r="E1242" s="1" t="s">
        <v>763</v>
      </c>
      <c r="F1242" s="1" t="s">
        <v>711</v>
      </c>
      <c r="G1242" s="1" t="s">
        <v>712</v>
      </c>
      <c r="H1242" s="1" t="s">
        <v>713</v>
      </c>
      <c r="I1242" s="1" t="s">
        <v>714</v>
      </c>
      <c r="J1242" s="1" t="s">
        <v>821</v>
      </c>
      <c r="K1242" s="1" t="s">
        <v>6324</v>
      </c>
      <c r="L1242" s="1" t="s">
        <v>5473</v>
      </c>
      <c r="M1242" s="1" t="s">
        <v>718</v>
      </c>
    </row>
    <row r="1243" customFormat="false" ht="15" hidden="false" customHeight="false" outlineLevel="0" collapsed="false">
      <c r="A1243" s="1" t="s">
        <v>6325</v>
      </c>
      <c r="B1243" s="1" t="s">
        <v>6326</v>
      </c>
      <c r="C1243" s="1" t="s">
        <v>4996</v>
      </c>
      <c r="D1243" s="2" t="n">
        <v>36953</v>
      </c>
      <c r="E1243" s="1" t="s">
        <v>763</v>
      </c>
      <c r="F1243" s="1" t="s">
        <v>711</v>
      </c>
      <c r="G1243" s="1" t="s">
        <v>712</v>
      </c>
      <c r="H1243" s="1" t="s">
        <v>713</v>
      </c>
      <c r="I1243" s="1" t="s">
        <v>714</v>
      </c>
      <c r="J1243" s="1" t="s">
        <v>805</v>
      </c>
      <c r="K1243" s="1" t="s">
        <v>6327</v>
      </c>
      <c r="L1243" s="1" t="s">
        <v>6328</v>
      </c>
      <c r="M1243" s="1" t="s">
        <v>718</v>
      </c>
    </row>
    <row r="1244" customFormat="false" ht="15" hidden="false" customHeight="false" outlineLevel="0" collapsed="false">
      <c r="A1244" s="1" t="s">
        <v>6329</v>
      </c>
      <c r="B1244" s="1" t="s">
        <v>6330</v>
      </c>
      <c r="C1244" s="1" t="s">
        <v>6331</v>
      </c>
      <c r="D1244" s="2" t="n">
        <v>36667</v>
      </c>
      <c r="E1244" s="1" t="s">
        <v>763</v>
      </c>
      <c r="F1244" s="1" t="s">
        <v>711</v>
      </c>
      <c r="G1244" s="1" t="s">
        <v>712</v>
      </c>
      <c r="H1244" s="1" t="s">
        <v>713</v>
      </c>
      <c r="I1244" s="1" t="s">
        <v>714</v>
      </c>
      <c r="J1244" s="1" t="s">
        <v>3171</v>
      </c>
      <c r="K1244" s="1" t="s">
        <v>6332</v>
      </c>
      <c r="L1244" s="1" t="s">
        <v>5905</v>
      </c>
      <c r="M1244" s="1" t="s">
        <v>718</v>
      </c>
    </row>
    <row r="1245" customFormat="false" ht="15" hidden="false" customHeight="false" outlineLevel="0" collapsed="false">
      <c r="A1245" s="1" t="s">
        <v>6333</v>
      </c>
      <c r="B1245" s="1" t="s">
        <v>6334</v>
      </c>
      <c r="C1245" s="1" t="s">
        <v>2029</v>
      </c>
      <c r="D1245" s="2" t="n">
        <v>36697</v>
      </c>
      <c r="E1245" s="1" t="s">
        <v>710</v>
      </c>
      <c r="F1245" s="1" t="s">
        <v>711</v>
      </c>
      <c r="G1245" s="1" t="s">
        <v>712</v>
      </c>
      <c r="H1245" s="1" t="s">
        <v>713</v>
      </c>
      <c r="I1245" s="1" t="s">
        <v>714</v>
      </c>
      <c r="J1245" s="1" t="s">
        <v>1390</v>
      </c>
      <c r="K1245" s="1" t="s">
        <v>716</v>
      </c>
      <c r="L1245" s="1" t="s">
        <v>6335</v>
      </c>
      <c r="M1245" s="1" t="s">
        <v>718</v>
      </c>
    </row>
    <row r="1246" customFormat="false" ht="15" hidden="false" customHeight="false" outlineLevel="0" collapsed="false">
      <c r="A1246" s="1" t="s">
        <v>6336</v>
      </c>
      <c r="B1246" s="1" t="s">
        <v>6337</v>
      </c>
      <c r="C1246" s="1" t="s">
        <v>6338</v>
      </c>
      <c r="D1246" s="2" t="n">
        <v>36991</v>
      </c>
      <c r="E1246" s="1" t="s">
        <v>710</v>
      </c>
      <c r="F1246" s="1" t="s">
        <v>711</v>
      </c>
      <c r="G1246" s="1" t="s">
        <v>712</v>
      </c>
      <c r="H1246" s="1" t="s">
        <v>713</v>
      </c>
      <c r="I1246" s="1" t="s">
        <v>714</v>
      </c>
      <c r="J1246" s="1" t="s">
        <v>1244</v>
      </c>
      <c r="K1246" s="1" t="s">
        <v>6339</v>
      </c>
      <c r="L1246" s="1" t="s">
        <v>6340</v>
      </c>
      <c r="M1246" s="1" t="s">
        <v>718</v>
      </c>
    </row>
    <row r="1247" customFormat="false" ht="15" hidden="false" customHeight="false" outlineLevel="0" collapsed="false">
      <c r="A1247" s="1" t="s">
        <v>6341</v>
      </c>
      <c r="B1247" s="1" t="s">
        <v>6342</v>
      </c>
      <c r="C1247" s="1" t="s">
        <v>2637</v>
      </c>
      <c r="D1247" s="2" t="n">
        <v>37144</v>
      </c>
      <c r="E1247" s="1" t="s">
        <v>763</v>
      </c>
      <c r="F1247" s="1" t="s">
        <v>711</v>
      </c>
      <c r="G1247" s="1" t="s">
        <v>722</v>
      </c>
      <c r="H1247" s="1" t="s">
        <v>713</v>
      </c>
      <c r="I1247" s="1" t="s">
        <v>714</v>
      </c>
      <c r="J1247" s="1" t="s">
        <v>2298</v>
      </c>
      <c r="K1247" s="1" t="s">
        <v>716</v>
      </c>
      <c r="L1247" s="1" t="s">
        <v>2640</v>
      </c>
      <c r="M1247" s="1" t="s">
        <v>718</v>
      </c>
    </row>
    <row r="1248" customFormat="false" ht="15" hidden="false" customHeight="false" outlineLevel="0" collapsed="false">
      <c r="A1248" s="1" t="s">
        <v>6343</v>
      </c>
      <c r="B1248" s="1" t="s">
        <v>6344</v>
      </c>
      <c r="C1248" s="1" t="s">
        <v>2006</v>
      </c>
      <c r="D1248" s="2" t="n">
        <v>36776</v>
      </c>
      <c r="E1248" s="1" t="s">
        <v>763</v>
      </c>
      <c r="F1248" s="1" t="s">
        <v>711</v>
      </c>
      <c r="G1248" s="1" t="s">
        <v>712</v>
      </c>
      <c r="H1248" s="1" t="s">
        <v>713</v>
      </c>
      <c r="I1248" s="1" t="s">
        <v>714</v>
      </c>
      <c r="J1248" s="1" t="s">
        <v>6345</v>
      </c>
      <c r="K1248" s="1" t="s">
        <v>716</v>
      </c>
      <c r="L1248" s="1" t="s">
        <v>6346</v>
      </c>
      <c r="M1248" s="1" t="s">
        <v>718</v>
      </c>
    </row>
    <row r="1249" customFormat="false" ht="15" hidden="false" customHeight="false" outlineLevel="0" collapsed="false">
      <c r="A1249" s="1" t="s">
        <v>6347</v>
      </c>
      <c r="B1249" s="1" t="s">
        <v>6348</v>
      </c>
      <c r="C1249" s="1" t="s">
        <v>4068</v>
      </c>
      <c r="D1249" s="2" t="n">
        <v>36658</v>
      </c>
      <c r="E1249" s="1" t="s">
        <v>763</v>
      </c>
      <c r="F1249" s="1" t="s">
        <v>711</v>
      </c>
      <c r="G1249" s="1" t="s">
        <v>712</v>
      </c>
      <c r="H1249" s="1" t="s">
        <v>713</v>
      </c>
      <c r="I1249" s="1" t="s">
        <v>714</v>
      </c>
      <c r="J1249" s="1" t="s">
        <v>795</v>
      </c>
      <c r="K1249" s="1" t="s">
        <v>6349</v>
      </c>
      <c r="L1249" s="1" t="s">
        <v>4070</v>
      </c>
      <c r="M1249" s="1" t="s">
        <v>718</v>
      </c>
    </row>
    <row r="1250" customFormat="false" ht="15" hidden="false" customHeight="false" outlineLevel="0" collapsed="false">
      <c r="A1250" s="1" t="s">
        <v>6350</v>
      </c>
      <c r="B1250" s="1" t="s">
        <v>6351</v>
      </c>
      <c r="C1250" s="1" t="s">
        <v>750</v>
      </c>
      <c r="D1250" s="2" t="n">
        <v>36355</v>
      </c>
      <c r="E1250" s="1" t="s">
        <v>710</v>
      </c>
      <c r="F1250" s="1" t="s">
        <v>711</v>
      </c>
      <c r="G1250" s="1" t="s">
        <v>1220</v>
      </c>
      <c r="H1250" s="1" t="s">
        <v>713</v>
      </c>
      <c r="I1250" s="1" t="s">
        <v>714</v>
      </c>
      <c r="J1250" s="1" t="s">
        <v>6352</v>
      </c>
      <c r="K1250" s="1" t="s">
        <v>6353</v>
      </c>
      <c r="L1250" s="1" t="s">
        <v>6354</v>
      </c>
      <c r="M1250" s="1" t="s">
        <v>718</v>
      </c>
    </row>
    <row r="1251" customFormat="false" ht="15" hidden="false" customHeight="false" outlineLevel="0" collapsed="false">
      <c r="A1251" s="1" t="s">
        <v>6355</v>
      </c>
      <c r="B1251" s="1" t="s">
        <v>4594</v>
      </c>
      <c r="C1251" s="1" t="s">
        <v>6356</v>
      </c>
      <c r="D1251" s="2" t="n">
        <v>36548</v>
      </c>
      <c r="E1251" s="1" t="s">
        <v>710</v>
      </c>
      <c r="F1251" s="1" t="s">
        <v>711</v>
      </c>
      <c r="G1251" s="1" t="s">
        <v>722</v>
      </c>
      <c r="H1251" s="1" t="s">
        <v>713</v>
      </c>
      <c r="I1251" s="1" t="s">
        <v>714</v>
      </c>
      <c r="J1251" s="1" t="s">
        <v>6357</v>
      </c>
      <c r="K1251" s="1" t="s">
        <v>6358</v>
      </c>
      <c r="L1251" s="1" t="s">
        <v>6359</v>
      </c>
      <c r="M1251" s="1" t="s">
        <v>718</v>
      </c>
    </row>
    <row r="1252" customFormat="false" ht="15" hidden="false" customHeight="false" outlineLevel="0" collapsed="false">
      <c r="A1252" s="1" t="s">
        <v>6360</v>
      </c>
      <c r="B1252" s="1" t="s">
        <v>1481</v>
      </c>
      <c r="C1252" s="1" t="s">
        <v>6361</v>
      </c>
      <c r="D1252" s="2" t="n">
        <v>36123</v>
      </c>
      <c r="E1252" s="1" t="s">
        <v>710</v>
      </c>
      <c r="F1252" s="1" t="s">
        <v>711</v>
      </c>
      <c r="G1252" s="1" t="s">
        <v>712</v>
      </c>
      <c r="H1252" s="1" t="s">
        <v>713</v>
      </c>
      <c r="I1252" s="1" t="s">
        <v>714</v>
      </c>
      <c r="J1252" s="1" t="s">
        <v>1244</v>
      </c>
      <c r="K1252" s="1" t="s">
        <v>716</v>
      </c>
      <c r="L1252" s="1" t="s">
        <v>5154</v>
      </c>
      <c r="M1252" s="1" t="s">
        <v>718</v>
      </c>
    </row>
    <row r="1253" customFormat="false" ht="15" hidden="false" customHeight="false" outlineLevel="0" collapsed="false">
      <c r="A1253" s="1" t="s">
        <v>6362</v>
      </c>
      <c r="B1253" s="1" t="s">
        <v>993</v>
      </c>
      <c r="C1253" s="1" t="s">
        <v>5653</v>
      </c>
      <c r="D1253" s="2" t="n">
        <v>36479</v>
      </c>
      <c r="E1253" s="1" t="s">
        <v>710</v>
      </c>
      <c r="F1253" s="1" t="s">
        <v>711</v>
      </c>
      <c r="G1253" s="1" t="s">
        <v>2000</v>
      </c>
      <c r="H1253" s="1" t="s">
        <v>713</v>
      </c>
      <c r="I1253" s="1" t="s">
        <v>714</v>
      </c>
      <c r="J1253" s="1" t="s">
        <v>5972</v>
      </c>
      <c r="K1253" s="1" t="s">
        <v>6363</v>
      </c>
      <c r="L1253" s="1" t="s">
        <v>6172</v>
      </c>
      <c r="M1253" s="1" t="s">
        <v>718</v>
      </c>
    </row>
    <row r="1254" customFormat="false" ht="15" hidden="false" customHeight="false" outlineLevel="0" collapsed="false">
      <c r="A1254" s="1" t="s">
        <v>6364</v>
      </c>
      <c r="B1254" s="1" t="s">
        <v>2770</v>
      </c>
      <c r="C1254" s="1" t="s">
        <v>750</v>
      </c>
      <c r="D1254" s="2" t="n">
        <v>36626</v>
      </c>
      <c r="E1254" s="1" t="s">
        <v>710</v>
      </c>
      <c r="F1254" s="1" t="s">
        <v>711</v>
      </c>
      <c r="G1254" s="1" t="s">
        <v>722</v>
      </c>
      <c r="H1254" s="1" t="s">
        <v>713</v>
      </c>
      <c r="I1254" s="1" t="s">
        <v>714</v>
      </c>
      <c r="J1254" s="1" t="s">
        <v>6365</v>
      </c>
      <c r="K1254" s="1" t="s">
        <v>6366</v>
      </c>
      <c r="L1254" s="1" t="s">
        <v>6367</v>
      </c>
      <c r="M1254" s="1" t="s">
        <v>718</v>
      </c>
    </row>
    <row r="1255" customFormat="false" ht="15" hidden="false" customHeight="false" outlineLevel="0" collapsed="false">
      <c r="A1255" s="1" t="s">
        <v>6368</v>
      </c>
      <c r="B1255" s="1" t="s">
        <v>6369</v>
      </c>
      <c r="C1255" s="1" t="s">
        <v>6370</v>
      </c>
      <c r="D1255" s="2" t="n">
        <v>36352</v>
      </c>
      <c r="E1255" s="1" t="s">
        <v>710</v>
      </c>
      <c r="F1255" s="1" t="s">
        <v>711</v>
      </c>
      <c r="G1255" s="1" t="s">
        <v>712</v>
      </c>
      <c r="H1255" s="1" t="s">
        <v>713</v>
      </c>
      <c r="I1255" s="1" t="s">
        <v>714</v>
      </c>
      <c r="J1255" s="1" t="s">
        <v>978</v>
      </c>
      <c r="K1255" s="1" t="s">
        <v>716</v>
      </c>
      <c r="L1255" s="1" t="s">
        <v>6371</v>
      </c>
      <c r="M1255" s="1" t="s">
        <v>718</v>
      </c>
    </row>
    <row r="1256" customFormat="false" ht="15" hidden="false" customHeight="false" outlineLevel="0" collapsed="false">
      <c r="A1256" s="1" t="s">
        <v>6372</v>
      </c>
      <c r="B1256" s="1" t="s">
        <v>1416</v>
      </c>
      <c r="C1256" s="1" t="s">
        <v>6373</v>
      </c>
      <c r="D1256" s="2" t="n">
        <v>35615</v>
      </c>
      <c r="E1256" s="1" t="s">
        <v>710</v>
      </c>
      <c r="F1256" s="1" t="s">
        <v>711</v>
      </c>
      <c r="G1256" s="1" t="s">
        <v>722</v>
      </c>
      <c r="H1256" s="1" t="s">
        <v>713</v>
      </c>
      <c r="I1256" s="1" t="s">
        <v>714</v>
      </c>
      <c r="J1256" s="1" t="s">
        <v>716</v>
      </c>
      <c r="K1256" s="1" t="s">
        <v>6374</v>
      </c>
      <c r="L1256" s="1" t="s">
        <v>6375</v>
      </c>
      <c r="M1256" s="1" t="s">
        <v>718</v>
      </c>
    </row>
    <row r="1257" customFormat="false" ht="15" hidden="false" customHeight="false" outlineLevel="0" collapsed="false">
      <c r="A1257" s="1" t="s">
        <v>6376</v>
      </c>
      <c r="B1257" s="1" t="s">
        <v>6377</v>
      </c>
      <c r="C1257" s="1" t="s">
        <v>774</v>
      </c>
      <c r="D1257" s="2" t="n">
        <v>35974</v>
      </c>
      <c r="E1257" s="1" t="s">
        <v>710</v>
      </c>
      <c r="F1257" s="1" t="s">
        <v>711</v>
      </c>
      <c r="G1257" s="1" t="s">
        <v>722</v>
      </c>
      <c r="H1257" s="1" t="s">
        <v>713</v>
      </c>
      <c r="I1257" s="1" t="s">
        <v>714</v>
      </c>
      <c r="J1257" s="1" t="s">
        <v>838</v>
      </c>
      <c r="K1257" s="1" t="s">
        <v>716</v>
      </c>
      <c r="L1257" s="1" t="s">
        <v>776</v>
      </c>
      <c r="M1257" s="1" t="s">
        <v>718</v>
      </c>
    </row>
    <row r="1258" customFormat="false" ht="15" hidden="false" customHeight="false" outlineLevel="0" collapsed="false">
      <c r="A1258" s="1" t="s">
        <v>6378</v>
      </c>
      <c r="B1258" s="1" t="s">
        <v>6379</v>
      </c>
      <c r="C1258" s="1" t="s">
        <v>6380</v>
      </c>
      <c r="D1258" s="2" t="n">
        <v>36491</v>
      </c>
      <c r="E1258" s="1" t="s">
        <v>710</v>
      </c>
      <c r="F1258" s="1" t="s">
        <v>711</v>
      </c>
      <c r="G1258" s="1" t="s">
        <v>712</v>
      </c>
      <c r="H1258" s="1" t="s">
        <v>713</v>
      </c>
      <c r="I1258" s="1" t="s">
        <v>714</v>
      </c>
      <c r="J1258" s="1" t="s">
        <v>6381</v>
      </c>
      <c r="K1258" s="1" t="s">
        <v>716</v>
      </c>
      <c r="L1258" s="1" t="s">
        <v>6382</v>
      </c>
      <c r="M1258" s="1" t="s">
        <v>718</v>
      </c>
    </row>
    <row r="1259" customFormat="false" ht="15" hidden="false" customHeight="false" outlineLevel="0" collapsed="false">
      <c r="A1259" s="1" t="s">
        <v>6383</v>
      </c>
      <c r="B1259" s="1" t="s">
        <v>3544</v>
      </c>
      <c r="C1259" s="1" t="s">
        <v>6384</v>
      </c>
      <c r="D1259" s="2" t="n">
        <v>36044</v>
      </c>
      <c r="E1259" s="1" t="s">
        <v>710</v>
      </c>
      <c r="F1259" s="1" t="s">
        <v>711</v>
      </c>
      <c r="G1259" s="1" t="s">
        <v>2094</v>
      </c>
      <c r="H1259" s="1" t="s">
        <v>713</v>
      </c>
      <c r="I1259" s="1" t="s">
        <v>714</v>
      </c>
      <c r="J1259" s="1" t="s">
        <v>3678</v>
      </c>
      <c r="K1259" s="1" t="s">
        <v>6385</v>
      </c>
      <c r="L1259" s="1" t="s">
        <v>6386</v>
      </c>
      <c r="M1259" s="1" t="s">
        <v>718</v>
      </c>
    </row>
    <row r="1260" customFormat="false" ht="15" hidden="false" customHeight="false" outlineLevel="0" collapsed="false">
      <c r="A1260" s="1" t="s">
        <v>6387</v>
      </c>
      <c r="B1260" s="1" t="s">
        <v>6388</v>
      </c>
      <c r="C1260" s="1" t="s">
        <v>3850</v>
      </c>
      <c r="D1260" s="2" t="n">
        <v>36715</v>
      </c>
      <c r="E1260" s="1" t="s">
        <v>710</v>
      </c>
      <c r="F1260" s="1" t="s">
        <v>711</v>
      </c>
      <c r="G1260" s="1" t="s">
        <v>712</v>
      </c>
      <c r="H1260" s="1" t="s">
        <v>713</v>
      </c>
      <c r="I1260" s="1" t="s">
        <v>714</v>
      </c>
      <c r="J1260" s="1" t="s">
        <v>3171</v>
      </c>
      <c r="K1260" s="1" t="s">
        <v>716</v>
      </c>
      <c r="L1260" s="1" t="s">
        <v>6389</v>
      </c>
      <c r="M1260" s="1" t="s">
        <v>718</v>
      </c>
    </row>
    <row r="1261" customFormat="false" ht="15" hidden="false" customHeight="false" outlineLevel="0" collapsed="false">
      <c r="A1261" s="1" t="s">
        <v>6390</v>
      </c>
      <c r="B1261" s="1" t="s">
        <v>6391</v>
      </c>
      <c r="C1261" s="1" t="s">
        <v>6392</v>
      </c>
      <c r="D1261" s="2" t="n">
        <v>36501</v>
      </c>
      <c r="E1261" s="1" t="s">
        <v>710</v>
      </c>
      <c r="F1261" s="1" t="s">
        <v>711</v>
      </c>
      <c r="G1261" s="1" t="s">
        <v>712</v>
      </c>
      <c r="H1261" s="1" t="s">
        <v>713</v>
      </c>
      <c r="I1261" s="1" t="s">
        <v>714</v>
      </c>
      <c r="J1261" s="1" t="s">
        <v>3861</v>
      </c>
      <c r="K1261" s="1" t="s">
        <v>6393</v>
      </c>
      <c r="L1261" s="1" t="s">
        <v>6394</v>
      </c>
      <c r="M1261" s="1" t="s">
        <v>718</v>
      </c>
    </row>
    <row r="1262" customFormat="false" ht="15" hidden="false" customHeight="false" outlineLevel="0" collapsed="false">
      <c r="A1262" s="1" t="s">
        <v>6395</v>
      </c>
      <c r="B1262" s="1" t="s">
        <v>6396</v>
      </c>
      <c r="C1262" s="1" t="s">
        <v>6397</v>
      </c>
      <c r="D1262" s="2" t="n">
        <v>36487</v>
      </c>
      <c r="E1262" s="1" t="s">
        <v>710</v>
      </c>
      <c r="F1262" s="1" t="s">
        <v>711</v>
      </c>
      <c r="G1262" s="1" t="s">
        <v>722</v>
      </c>
      <c r="H1262" s="1" t="s">
        <v>713</v>
      </c>
      <c r="I1262" s="1" t="s">
        <v>714</v>
      </c>
      <c r="J1262" s="1" t="s">
        <v>6398</v>
      </c>
      <c r="K1262" s="1" t="s">
        <v>6399</v>
      </c>
      <c r="L1262" s="1" t="s">
        <v>6400</v>
      </c>
      <c r="M1262" s="1" t="s">
        <v>718</v>
      </c>
    </row>
    <row r="1263" customFormat="false" ht="15" hidden="false" customHeight="false" outlineLevel="0" collapsed="false">
      <c r="A1263" s="1" t="s">
        <v>6401</v>
      </c>
      <c r="B1263" s="1" t="s">
        <v>2071</v>
      </c>
      <c r="C1263" s="1" t="s">
        <v>6402</v>
      </c>
      <c r="D1263" s="2" t="n">
        <v>36172</v>
      </c>
      <c r="E1263" s="1" t="s">
        <v>710</v>
      </c>
      <c r="F1263" s="1" t="s">
        <v>711</v>
      </c>
      <c r="G1263" s="1" t="s">
        <v>712</v>
      </c>
      <c r="H1263" s="1" t="s">
        <v>713</v>
      </c>
      <c r="I1263" s="1" t="s">
        <v>714</v>
      </c>
      <c r="J1263" s="1" t="s">
        <v>6403</v>
      </c>
      <c r="K1263" s="1" t="s">
        <v>6404</v>
      </c>
      <c r="L1263" s="1" t="s">
        <v>6405</v>
      </c>
      <c r="M1263" s="1" t="s">
        <v>718</v>
      </c>
    </row>
    <row r="1264" customFormat="false" ht="15" hidden="false" customHeight="false" outlineLevel="0" collapsed="false">
      <c r="A1264" s="1" t="s">
        <v>6406</v>
      </c>
      <c r="B1264" s="1" t="s">
        <v>862</v>
      </c>
      <c r="C1264" s="1" t="s">
        <v>6407</v>
      </c>
      <c r="D1264" s="2" t="n">
        <v>36473</v>
      </c>
      <c r="E1264" s="1" t="s">
        <v>710</v>
      </c>
      <c r="F1264" s="1" t="s">
        <v>711</v>
      </c>
      <c r="G1264" s="1" t="s">
        <v>722</v>
      </c>
      <c r="H1264" s="1" t="s">
        <v>713</v>
      </c>
      <c r="I1264" s="1" t="s">
        <v>714</v>
      </c>
      <c r="J1264" s="1" t="s">
        <v>740</v>
      </c>
      <c r="K1264" s="1" t="s">
        <v>6408</v>
      </c>
      <c r="L1264" s="1" t="s">
        <v>6409</v>
      </c>
      <c r="M1264" s="1" t="s">
        <v>718</v>
      </c>
    </row>
    <row r="1265" customFormat="false" ht="15" hidden="false" customHeight="false" outlineLevel="0" collapsed="false">
      <c r="A1265" s="1" t="s">
        <v>6410</v>
      </c>
      <c r="B1265" s="1" t="s">
        <v>1138</v>
      </c>
      <c r="C1265" s="1" t="s">
        <v>1139</v>
      </c>
      <c r="D1265" s="2" t="n">
        <v>36583</v>
      </c>
      <c r="E1265" s="1" t="s">
        <v>710</v>
      </c>
      <c r="F1265" s="1" t="s">
        <v>711</v>
      </c>
      <c r="G1265" s="1" t="s">
        <v>712</v>
      </c>
      <c r="H1265" s="1" t="s">
        <v>713</v>
      </c>
      <c r="I1265" s="1" t="s">
        <v>714</v>
      </c>
      <c r="J1265" s="1" t="s">
        <v>821</v>
      </c>
      <c r="K1265" s="1" t="s">
        <v>6411</v>
      </c>
      <c r="L1265" s="1" t="s">
        <v>1140</v>
      </c>
      <c r="M1265" s="1" t="s">
        <v>718</v>
      </c>
    </row>
    <row r="1266" customFormat="false" ht="15" hidden="false" customHeight="false" outlineLevel="0" collapsed="false">
      <c r="A1266" s="1" t="s">
        <v>6412</v>
      </c>
      <c r="B1266" s="1" t="s">
        <v>6413</v>
      </c>
      <c r="C1266" s="1" t="s">
        <v>6414</v>
      </c>
      <c r="D1266" s="2" t="n">
        <v>36871</v>
      </c>
      <c r="E1266" s="1" t="s">
        <v>763</v>
      </c>
      <c r="F1266" s="1" t="s">
        <v>711</v>
      </c>
      <c r="G1266" s="1" t="s">
        <v>722</v>
      </c>
      <c r="H1266" s="1" t="s">
        <v>713</v>
      </c>
      <c r="I1266" s="1" t="s">
        <v>714</v>
      </c>
      <c r="J1266" s="1" t="s">
        <v>715</v>
      </c>
      <c r="K1266" s="1" t="s">
        <v>716</v>
      </c>
      <c r="L1266" s="1" t="s">
        <v>6415</v>
      </c>
      <c r="M1266" s="1" t="s">
        <v>718</v>
      </c>
    </row>
    <row r="1267" customFormat="false" ht="15" hidden="false" customHeight="false" outlineLevel="0" collapsed="false">
      <c r="A1267" s="1" t="s">
        <v>6416</v>
      </c>
      <c r="B1267" s="1" t="s">
        <v>1668</v>
      </c>
      <c r="C1267" s="1" t="s">
        <v>6417</v>
      </c>
      <c r="D1267" s="2" t="n">
        <v>36010</v>
      </c>
      <c r="E1267" s="1" t="s">
        <v>710</v>
      </c>
      <c r="F1267" s="1" t="s">
        <v>711</v>
      </c>
      <c r="G1267" s="1" t="s">
        <v>712</v>
      </c>
      <c r="H1267" s="1" t="s">
        <v>713</v>
      </c>
      <c r="I1267" s="1" t="s">
        <v>714</v>
      </c>
      <c r="J1267" s="1" t="s">
        <v>715</v>
      </c>
      <c r="K1267" s="1" t="s">
        <v>6418</v>
      </c>
      <c r="L1267" s="1" t="s">
        <v>6419</v>
      </c>
      <c r="M1267" s="1" t="s">
        <v>718</v>
      </c>
    </row>
    <row r="1268" customFormat="false" ht="15" hidden="false" customHeight="false" outlineLevel="0" collapsed="false">
      <c r="A1268" s="1" t="s">
        <v>6420</v>
      </c>
      <c r="B1268" s="1" t="s">
        <v>6421</v>
      </c>
      <c r="C1268" s="1" t="s">
        <v>6422</v>
      </c>
      <c r="D1268" s="2" t="n">
        <v>36726</v>
      </c>
      <c r="E1268" s="1" t="s">
        <v>763</v>
      </c>
      <c r="F1268" s="1" t="s">
        <v>711</v>
      </c>
      <c r="G1268" s="1" t="s">
        <v>1573</v>
      </c>
      <c r="H1268" s="1" t="s">
        <v>1574</v>
      </c>
      <c r="I1268" s="1" t="s">
        <v>1575</v>
      </c>
      <c r="J1268" s="1" t="s">
        <v>3171</v>
      </c>
      <c r="K1268" s="1" t="s">
        <v>6423</v>
      </c>
      <c r="L1268" s="1" t="s">
        <v>6424</v>
      </c>
      <c r="M1268" s="1" t="s">
        <v>718</v>
      </c>
    </row>
    <row r="1269" customFormat="false" ht="15" hidden="false" customHeight="false" outlineLevel="0" collapsed="false">
      <c r="A1269" s="1" t="s">
        <v>6425</v>
      </c>
      <c r="B1269" s="1" t="s">
        <v>6426</v>
      </c>
      <c r="C1269" s="1" t="s">
        <v>6427</v>
      </c>
      <c r="D1269" s="2" t="n">
        <v>37065</v>
      </c>
      <c r="E1269" s="1" t="s">
        <v>763</v>
      </c>
      <c r="F1269" s="1" t="s">
        <v>711</v>
      </c>
      <c r="G1269" s="1" t="s">
        <v>722</v>
      </c>
      <c r="H1269" s="1" t="s">
        <v>713</v>
      </c>
      <c r="I1269" s="1" t="s">
        <v>714</v>
      </c>
      <c r="J1269" s="1" t="s">
        <v>1244</v>
      </c>
      <c r="K1269" s="1" t="s">
        <v>6428</v>
      </c>
      <c r="L1269" s="1" t="s">
        <v>6429</v>
      </c>
      <c r="M1269" s="1" t="s">
        <v>718</v>
      </c>
    </row>
    <row r="1270" customFormat="false" ht="15" hidden="false" customHeight="false" outlineLevel="0" collapsed="false">
      <c r="A1270" s="1" t="s">
        <v>6430</v>
      </c>
      <c r="B1270" s="1" t="s">
        <v>6431</v>
      </c>
      <c r="C1270" s="1" t="s">
        <v>6432</v>
      </c>
      <c r="D1270" s="2" t="n">
        <v>36992</v>
      </c>
      <c r="E1270" s="1" t="s">
        <v>763</v>
      </c>
      <c r="F1270" s="1" t="s">
        <v>711</v>
      </c>
      <c r="G1270" s="1" t="s">
        <v>712</v>
      </c>
      <c r="H1270" s="1" t="s">
        <v>713</v>
      </c>
      <c r="I1270" s="1" t="s">
        <v>714</v>
      </c>
      <c r="J1270" s="1" t="s">
        <v>1723</v>
      </c>
      <c r="K1270" s="1" t="s">
        <v>6433</v>
      </c>
      <c r="L1270" s="1" t="s">
        <v>3454</v>
      </c>
      <c r="M1270" s="1" t="s">
        <v>718</v>
      </c>
    </row>
    <row r="1271" customFormat="false" ht="15" hidden="false" customHeight="false" outlineLevel="0" collapsed="false">
      <c r="A1271" s="1" t="s">
        <v>6434</v>
      </c>
      <c r="B1271" s="1" t="s">
        <v>1147</v>
      </c>
      <c r="C1271" s="1" t="s">
        <v>6435</v>
      </c>
      <c r="D1271" s="2" t="n">
        <v>36937</v>
      </c>
      <c r="E1271" s="1" t="s">
        <v>710</v>
      </c>
      <c r="F1271" s="1" t="s">
        <v>711</v>
      </c>
      <c r="G1271" s="1" t="s">
        <v>712</v>
      </c>
      <c r="H1271" s="1" t="s">
        <v>713</v>
      </c>
      <c r="I1271" s="1" t="s">
        <v>714</v>
      </c>
      <c r="J1271" s="1" t="s">
        <v>1584</v>
      </c>
      <c r="K1271" s="1" t="s">
        <v>6436</v>
      </c>
      <c r="L1271" s="1" t="s">
        <v>6437</v>
      </c>
      <c r="M1271" s="1" t="s">
        <v>718</v>
      </c>
    </row>
    <row r="1272" customFormat="false" ht="15" hidden="false" customHeight="false" outlineLevel="0" collapsed="false">
      <c r="A1272" s="1" t="s">
        <v>6438</v>
      </c>
      <c r="B1272" s="1" t="s">
        <v>6439</v>
      </c>
      <c r="C1272" s="1" t="s">
        <v>3875</v>
      </c>
      <c r="D1272" s="2" t="n">
        <v>37017</v>
      </c>
      <c r="E1272" s="1" t="s">
        <v>763</v>
      </c>
      <c r="F1272" s="1" t="s">
        <v>711</v>
      </c>
      <c r="G1272" s="1" t="s">
        <v>722</v>
      </c>
      <c r="H1272" s="1" t="s">
        <v>713</v>
      </c>
      <c r="I1272" s="1" t="s">
        <v>714</v>
      </c>
      <c r="J1272" s="1" t="s">
        <v>959</v>
      </c>
      <c r="K1272" s="1" t="s">
        <v>6440</v>
      </c>
      <c r="L1272" s="1" t="s">
        <v>3184</v>
      </c>
      <c r="M1272" s="1" t="s">
        <v>718</v>
      </c>
    </row>
    <row r="1273" customFormat="false" ht="15" hidden="false" customHeight="false" outlineLevel="0" collapsed="false">
      <c r="A1273" s="1" t="s">
        <v>6441</v>
      </c>
      <c r="B1273" s="1" t="s">
        <v>3082</v>
      </c>
      <c r="C1273" s="1" t="s">
        <v>6442</v>
      </c>
      <c r="D1273" s="2" t="n">
        <v>36966</v>
      </c>
      <c r="E1273" s="1" t="s">
        <v>763</v>
      </c>
      <c r="F1273" s="1" t="s">
        <v>711</v>
      </c>
      <c r="G1273" s="1" t="s">
        <v>712</v>
      </c>
      <c r="H1273" s="1" t="s">
        <v>713</v>
      </c>
      <c r="I1273" s="1" t="s">
        <v>714</v>
      </c>
      <c r="J1273" s="1" t="s">
        <v>1390</v>
      </c>
      <c r="K1273" s="1" t="s">
        <v>6443</v>
      </c>
      <c r="L1273" s="1" t="s">
        <v>6444</v>
      </c>
      <c r="M1273" s="1" t="s">
        <v>718</v>
      </c>
    </row>
    <row r="1274" customFormat="false" ht="15" hidden="false" customHeight="false" outlineLevel="0" collapsed="false">
      <c r="A1274" s="1" t="s">
        <v>6445</v>
      </c>
      <c r="B1274" s="1" t="s">
        <v>6446</v>
      </c>
      <c r="C1274" s="1" t="s">
        <v>6447</v>
      </c>
      <c r="D1274" s="2" t="n">
        <v>37096</v>
      </c>
      <c r="E1274" s="1" t="s">
        <v>710</v>
      </c>
      <c r="F1274" s="1" t="s">
        <v>711</v>
      </c>
      <c r="G1274" s="1" t="s">
        <v>1220</v>
      </c>
      <c r="H1274" s="1" t="s">
        <v>713</v>
      </c>
      <c r="I1274" s="1" t="s">
        <v>714</v>
      </c>
      <c r="J1274" s="1" t="s">
        <v>2117</v>
      </c>
      <c r="K1274" s="1" t="s">
        <v>6448</v>
      </c>
      <c r="L1274" s="1" t="s">
        <v>6449</v>
      </c>
      <c r="M1274" s="1" t="s">
        <v>718</v>
      </c>
    </row>
    <row r="1275" customFormat="false" ht="15" hidden="false" customHeight="false" outlineLevel="0" collapsed="false">
      <c r="A1275" s="1" t="s">
        <v>6450</v>
      </c>
      <c r="B1275" s="1" t="s">
        <v>5995</v>
      </c>
      <c r="C1275" s="1" t="s">
        <v>1253</v>
      </c>
      <c r="D1275" s="2" t="n">
        <v>37097</v>
      </c>
      <c r="E1275" s="1" t="s">
        <v>710</v>
      </c>
      <c r="F1275" s="1" t="s">
        <v>711</v>
      </c>
      <c r="G1275" s="1" t="s">
        <v>712</v>
      </c>
      <c r="H1275" s="1" t="s">
        <v>713</v>
      </c>
      <c r="I1275" s="1" t="s">
        <v>714</v>
      </c>
      <c r="J1275" s="1" t="s">
        <v>1244</v>
      </c>
      <c r="K1275" s="1" t="s">
        <v>6451</v>
      </c>
      <c r="L1275" s="1" t="s">
        <v>4808</v>
      </c>
      <c r="M1275" s="1" t="s">
        <v>718</v>
      </c>
    </row>
    <row r="1276" customFormat="false" ht="15" hidden="false" customHeight="false" outlineLevel="0" collapsed="false">
      <c r="A1276" s="1" t="s">
        <v>6452</v>
      </c>
      <c r="B1276" s="1" t="s">
        <v>6453</v>
      </c>
      <c r="C1276" s="1" t="s">
        <v>750</v>
      </c>
      <c r="D1276" s="2" t="n">
        <v>36446</v>
      </c>
      <c r="E1276" s="1" t="s">
        <v>710</v>
      </c>
      <c r="F1276" s="1" t="s">
        <v>711</v>
      </c>
      <c r="G1276" s="1" t="s">
        <v>712</v>
      </c>
      <c r="H1276" s="1" t="s">
        <v>713</v>
      </c>
      <c r="I1276" s="1" t="s">
        <v>714</v>
      </c>
      <c r="J1276" s="1" t="s">
        <v>3678</v>
      </c>
      <c r="K1276" s="1" t="s">
        <v>6454</v>
      </c>
      <c r="L1276" s="1" t="s">
        <v>6455</v>
      </c>
      <c r="M1276" s="1" t="s">
        <v>718</v>
      </c>
    </row>
    <row r="1277" customFormat="false" ht="15" hidden="false" customHeight="false" outlineLevel="0" collapsed="false">
      <c r="A1277" s="1" t="s">
        <v>6456</v>
      </c>
      <c r="B1277" s="1" t="s">
        <v>6457</v>
      </c>
      <c r="C1277" s="1" t="s">
        <v>750</v>
      </c>
      <c r="D1277" s="2" t="n">
        <v>36720</v>
      </c>
      <c r="E1277" s="1" t="s">
        <v>710</v>
      </c>
      <c r="F1277" s="1" t="s">
        <v>711</v>
      </c>
      <c r="G1277" s="1" t="s">
        <v>1450</v>
      </c>
      <c r="H1277" s="1" t="s">
        <v>713</v>
      </c>
      <c r="I1277" s="1" t="s">
        <v>714</v>
      </c>
      <c r="J1277" s="1" t="s">
        <v>3678</v>
      </c>
      <c r="K1277" s="1" t="s">
        <v>6458</v>
      </c>
      <c r="L1277" s="1" t="s">
        <v>6459</v>
      </c>
      <c r="M1277" s="1" t="s">
        <v>718</v>
      </c>
    </row>
    <row r="1278" customFormat="false" ht="15" hidden="false" customHeight="false" outlineLevel="0" collapsed="false">
      <c r="A1278" s="1" t="s">
        <v>6460</v>
      </c>
      <c r="B1278" s="1" t="s">
        <v>6461</v>
      </c>
      <c r="C1278" s="1" t="s">
        <v>6462</v>
      </c>
      <c r="D1278" s="2" t="n">
        <v>36734</v>
      </c>
      <c r="E1278" s="1" t="s">
        <v>763</v>
      </c>
      <c r="F1278" s="1" t="s">
        <v>711</v>
      </c>
      <c r="G1278" s="1" t="s">
        <v>712</v>
      </c>
      <c r="H1278" s="1" t="s">
        <v>713</v>
      </c>
      <c r="I1278" s="1" t="s">
        <v>714</v>
      </c>
      <c r="J1278" s="1" t="s">
        <v>978</v>
      </c>
      <c r="K1278" s="1" t="s">
        <v>6463</v>
      </c>
      <c r="L1278" s="1" t="s">
        <v>6464</v>
      </c>
      <c r="M1278" s="1" t="s">
        <v>718</v>
      </c>
    </row>
    <row r="1279" customFormat="false" ht="15" hidden="false" customHeight="false" outlineLevel="0" collapsed="false">
      <c r="A1279" s="1" t="s">
        <v>6465</v>
      </c>
      <c r="B1279" s="1" t="s">
        <v>6466</v>
      </c>
      <c r="C1279" s="1" t="s">
        <v>6467</v>
      </c>
      <c r="D1279" s="2" t="n">
        <v>36773</v>
      </c>
      <c r="E1279" s="1" t="s">
        <v>710</v>
      </c>
      <c r="F1279" s="1" t="s">
        <v>711</v>
      </c>
      <c r="G1279" s="1" t="s">
        <v>712</v>
      </c>
      <c r="H1279" s="1" t="s">
        <v>713</v>
      </c>
      <c r="I1279" s="1" t="s">
        <v>714</v>
      </c>
      <c r="J1279" s="1" t="s">
        <v>716</v>
      </c>
      <c r="K1279" s="1" t="s">
        <v>716</v>
      </c>
      <c r="L1279" s="1" t="s">
        <v>6468</v>
      </c>
      <c r="M1279" s="1" t="s">
        <v>718</v>
      </c>
    </row>
    <row r="1280" customFormat="false" ht="15" hidden="false" customHeight="false" outlineLevel="0" collapsed="false">
      <c r="A1280" s="1" t="s">
        <v>6469</v>
      </c>
      <c r="B1280" s="1" t="s">
        <v>6470</v>
      </c>
      <c r="C1280" s="1" t="s">
        <v>1562</v>
      </c>
      <c r="D1280" s="2" t="n">
        <v>37000</v>
      </c>
      <c r="E1280" s="1" t="s">
        <v>763</v>
      </c>
      <c r="F1280" s="1" t="s">
        <v>711</v>
      </c>
      <c r="G1280" s="1" t="s">
        <v>1563</v>
      </c>
      <c r="H1280" s="1" t="s">
        <v>713</v>
      </c>
      <c r="I1280" s="1" t="s">
        <v>714</v>
      </c>
      <c r="J1280" s="1" t="s">
        <v>821</v>
      </c>
      <c r="K1280" s="1" t="s">
        <v>6471</v>
      </c>
      <c r="L1280" s="1" t="s">
        <v>1564</v>
      </c>
      <c r="M1280" s="1" t="s">
        <v>718</v>
      </c>
    </row>
    <row r="1281" customFormat="false" ht="15" hidden="false" customHeight="false" outlineLevel="0" collapsed="false">
      <c r="A1281" s="1" t="s">
        <v>6472</v>
      </c>
      <c r="B1281" s="1" t="s">
        <v>6473</v>
      </c>
      <c r="C1281" s="1" t="s">
        <v>6474</v>
      </c>
      <c r="D1281" s="2" t="n">
        <v>35806</v>
      </c>
      <c r="E1281" s="1" t="s">
        <v>710</v>
      </c>
      <c r="F1281" s="1" t="s">
        <v>711</v>
      </c>
      <c r="G1281" s="1" t="s">
        <v>712</v>
      </c>
      <c r="H1281" s="1" t="s">
        <v>713</v>
      </c>
      <c r="I1281" s="1" t="s">
        <v>714</v>
      </c>
      <c r="J1281" s="1" t="s">
        <v>6475</v>
      </c>
      <c r="K1281" s="1" t="s">
        <v>6476</v>
      </c>
      <c r="L1281" s="1" t="s">
        <v>6477</v>
      </c>
      <c r="M1281" s="1" t="s">
        <v>718</v>
      </c>
    </row>
    <row r="1282" customFormat="false" ht="15" hidden="false" customHeight="false" outlineLevel="0" collapsed="false">
      <c r="A1282" s="1" t="s">
        <v>6478</v>
      </c>
      <c r="B1282" s="1" t="s">
        <v>5995</v>
      </c>
      <c r="C1282" s="1" t="s">
        <v>2632</v>
      </c>
      <c r="D1282" s="2" t="n">
        <v>37017</v>
      </c>
      <c r="E1282" s="1" t="s">
        <v>710</v>
      </c>
      <c r="F1282" s="1" t="s">
        <v>711</v>
      </c>
      <c r="G1282" s="1" t="s">
        <v>712</v>
      </c>
      <c r="H1282" s="1" t="s">
        <v>713</v>
      </c>
      <c r="I1282" s="1" t="s">
        <v>714</v>
      </c>
      <c r="J1282" s="1" t="s">
        <v>5793</v>
      </c>
      <c r="K1282" s="1" t="s">
        <v>716</v>
      </c>
      <c r="L1282" s="1" t="s">
        <v>6479</v>
      </c>
      <c r="M1282" s="1" t="s">
        <v>718</v>
      </c>
    </row>
    <row r="1283" customFormat="false" ht="15" hidden="false" customHeight="false" outlineLevel="0" collapsed="false">
      <c r="A1283" s="1" t="s">
        <v>6480</v>
      </c>
      <c r="B1283" s="1" t="s">
        <v>6481</v>
      </c>
      <c r="C1283" s="1" t="s">
        <v>1510</v>
      </c>
      <c r="D1283" s="2" t="n">
        <v>37510</v>
      </c>
      <c r="E1283" s="1" t="s">
        <v>763</v>
      </c>
      <c r="F1283" s="1" t="s">
        <v>711</v>
      </c>
      <c r="G1283" s="1" t="s">
        <v>712</v>
      </c>
      <c r="H1283" s="1" t="s">
        <v>713</v>
      </c>
      <c r="I1283" s="1" t="s">
        <v>714</v>
      </c>
      <c r="J1283" s="1" t="s">
        <v>1390</v>
      </c>
      <c r="K1283" s="1" t="s">
        <v>6482</v>
      </c>
      <c r="L1283" s="1" t="s">
        <v>1511</v>
      </c>
      <c r="M1283" s="1" t="s">
        <v>718</v>
      </c>
    </row>
    <row r="1284" customFormat="false" ht="15" hidden="false" customHeight="false" outlineLevel="0" collapsed="false">
      <c r="A1284" s="1" t="s">
        <v>6483</v>
      </c>
      <c r="B1284" s="1" t="s">
        <v>6484</v>
      </c>
      <c r="C1284" s="1" t="s">
        <v>6485</v>
      </c>
      <c r="D1284" s="2" t="n">
        <v>36927</v>
      </c>
      <c r="E1284" s="1" t="s">
        <v>710</v>
      </c>
      <c r="F1284" s="1" t="s">
        <v>711</v>
      </c>
      <c r="G1284" s="1" t="s">
        <v>712</v>
      </c>
      <c r="H1284" s="1" t="s">
        <v>713</v>
      </c>
      <c r="I1284" s="1" t="s">
        <v>714</v>
      </c>
      <c r="J1284" s="1" t="s">
        <v>6486</v>
      </c>
      <c r="K1284" s="1" t="s">
        <v>6487</v>
      </c>
      <c r="L1284" s="1" t="s">
        <v>6488</v>
      </c>
      <c r="M1284" s="1" t="s">
        <v>718</v>
      </c>
    </row>
    <row r="1285" customFormat="false" ht="15" hidden="false" customHeight="false" outlineLevel="0" collapsed="false">
      <c r="A1285" s="1" t="s">
        <v>6489</v>
      </c>
      <c r="B1285" s="1" t="s">
        <v>6490</v>
      </c>
      <c r="C1285" s="1" t="s">
        <v>6491</v>
      </c>
      <c r="D1285" s="2" t="n">
        <v>36900</v>
      </c>
      <c r="E1285" s="1" t="s">
        <v>710</v>
      </c>
      <c r="F1285" s="1" t="s">
        <v>711</v>
      </c>
      <c r="G1285" s="1" t="s">
        <v>712</v>
      </c>
      <c r="H1285" s="1" t="s">
        <v>713</v>
      </c>
      <c r="I1285" s="1" t="s">
        <v>714</v>
      </c>
      <c r="J1285" s="1" t="s">
        <v>6492</v>
      </c>
      <c r="K1285" s="1" t="s">
        <v>6493</v>
      </c>
      <c r="L1285" s="1" t="s">
        <v>3709</v>
      </c>
      <c r="M1285" s="1" t="s">
        <v>718</v>
      </c>
    </row>
    <row r="1286" customFormat="false" ht="15" hidden="false" customHeight="false" outlineLevel="0" collapsed="false">
      <c r="A1286" s="1" t="s">
        <v>6494</v>
      </c>
      <c r="B1286" s="1" t="s">
        <v>6495</v>
      </c>
      <c r="C1286" s="1" t="s">
        <v>6496</v>
      </c>
      <c r="D1286" s="2" t="n">
        <v>37209</v>
      </c>
      <c r="E1286" s="1" t="s">
        <v>763</v>
      </c>
      <c r="F1286" s="1" t="s">
        <v>711</v>
      </c>
      <c r="G1286" s="1" t="s">
        <v>712</v>
      </c>
      <c r="H1286" s="1" t="s">
        <v>713</v>
      </c>
      <c r="I1286" s="1" t="s">
        <v>714</v>
      </c>
      <c r="J1286" s="1" t="s">
        <v>1723</v>
      </c>
      <c r="K1286" s="1" t="s">
        <v>6497</v>
      </c>
      <c r="L1286" s="1" t="s">
        <v>6498</v>
      </c>
      <c r="M1286" s="1" t="s">
        <v>718</v>
      </c>
    </row>
    <row r="1287" customFormat="false" ht="15" hidden="false" customHeight="false" outlineLevel="0" collapsed="false">
      <c r="A1287" s="1" t="s">
        <v>6499</v>
      </c>
      <c r="B1287" s="1" t="s">
        <v>6500</v>
      </c>
      <c r="C1287" s="1" t="s">
        <v>6496</v>
      </c>
      <c r="D1287" s="2" t="n">
        <v>36743</v>
      </c>
      <c r="E1287" s="1" t="s">
        <v>710</v>
      </c>
      <c r="F1287" s="1" t="s">
        <v>711</v>
      </c>
      <c r="G1287" s="1" t="s">
        <v>712</v>
      </c>
      <c r="H1287" s="1" t="s">
        <v>713</v>
      </c>
      <c r="I1287" s="1" t="s">
        <v>714</v>
      </c>
      <c r="J1287" s="1" t="s">
        <v>1723</v>
      </c>
      <c r="K1287" s="1" t="s">
        <v>6497</v>
      </c>
      <c r="L1287" s="1" t="s">
        <v>6498</v>
      </c>
      <c r="M1287" s="1" t="s">
        <v>718</v>
      </c>
    </row>
    <row r="1288" customFormat="false" ht="15" hidden="false" customHeight="false" outlineLevel="0" collapsed="false">
      <c r="A1288" s="1" t="s">
        <v>6501</v>
      </c>
      <c r="B1288" s="1" t="s">
        <v>6502</v>
      </c>
      <c r="C1288" s="1" t="s">
        <v>1973</v>
      </c>
      <c r="D1288" s="2" t="n">
        <v>34556</v>
      </c>
      <c r="E1288" s="1" t="s">
        <v>763</v>
      </c>
      <c r="F1288" s="1" t="s">
        <v>711</v>
      </c>
      <c r="G1288" s="1" t="s">
        <v>712</v>
      </c>
      <c r="H1288" s="1" t="s">
        <v>713</v>
      </c>
      <c r="I1288" s="1" t="s">
        <v>714</v>
      </c>
      <c r="J1288" s="1" t="s">
        <v>6503</v>
      </c>
      <c r="K1288" s="1" t="s">
        <v>6504</v>
      </c>
      <c r="L1288" s="1" t="s">
        <v>1975</v>
      </c>
      <c r="M1288" s="1" t="s">
        <v>718</v>
      </c>
    </row>
    <row r="1289" customFormat="false" ht="15" hidden="false" customHeight="false" outlineLevel="0" collapsed="false">
      <c r="A1289" s="1" t="s">
        <v>6505</v>
      </c>
      <c r="B1289" s="1" t="s">
        <v>6506</v>
      </c>
      <c r="C1289" s="1" t="s">
        <v>6507</v>
      </c>
      <c r="D1289" s="2" t="n">
        <v>36600</v>
      </c>
      <c r="E1289" s="1" t="s">
        <v>710</v>
      </c>
      <c r="F1289" s="1" t="s">
        <v>711</v>
      </c>
      <c r="G1289" s="1" t="s">
        <v>775</v>
      </c>
      <c r="H1289" s="1" t="s">
        <v>713</v>
      </c>
      <c r="I1289" s="1" t="s">
        <v>714</v>
      </c>
      <c r="J1289" s="1" t="s">
        <v>6508</v>
      </c>
      <c r="K1289" s="1" t="s">
        <v>716</v>
      </c>
      <c r="L1289" s="1" t="s">
        <v>4042</v>
      </c>
      <c r="M1289" s="1" t="s">
        <v>718</v>
      </c>
    </row>
    <row r="1290" customFormat="false" ht="15" hidden="false" customHeight="false" outlineLevel="0" collapsed="false">
      <c r="A1290" s="1" t="s">
        <v>6509</v>
      </c>
      <c r="B1290" s="1" t="s">
        <v>6510</v>
      </c>
      <c r="C1290" s="1" t="s">
        <v>6511</v>
      </c>
      <c r="D1290" s="2" t="n">
        <v>35881</v>
      </c>
      <c r="E1290" s="1" t="s">
        <v>710</v>
      </c>
      <c r="F1290" s="1" t="s">
        <v>711</v>
      </c>
      <c r="G1290" s="1" t="s">
        <v>722</v>
      </c>
      <c r="H1290" s="1" t="s">
        <v>713</v>
      </c>
      <c r="I1290" s="1" t="s">
        <v>714</v>
      </c>
      <c r="J1290" s="1" t="s">
        <v>2117</v>
      </c>
      <c r="K1290" s="1" t="s">
        <v>6512</v>
      </c>
      <c r="L1290" s="1" t="s">
        <v>6513</v>
      </c>
      <c r="M1290" s="1" t="s">
        <v>718</v>
      </c>
    </row>
    <row r="1291" customFormat="false" ht="15" hidden="false" customHeight="false" outlineLevel="0" collapsed="false">
      <c r="A1291" s="1" t="s">
        <v>6514</v>
      </c>
      <c r="B1291" s="1" t="s">
        <v>6515</v>
      </c>
      <c r="C1291" s="1" t="s">
        <v>6397</v>
      </c>
      <c r="D1291" s="2" t="n">
        <v>33781</v>
      </c>
      <c r="E1291" s="1" t="s">
        <v>710</v>
      </c>
      <c r="F1291" s="1" t="s">
        <v>711</v>
      </c>
      <c r="G1291" s="1" t="s">
        <v>712</v>
      </c>
      <c r="H1291" s="1" t="s">
        <v>713</v>
      </c>
      <c r="I1291" s="1" t="s">
        <v>714</v>
      </c>
      <c r="J1291" s="1" t="s">
        <v>6516</v>
      </c>
      <c r="K1291" s="1" t="s">
        <v>6399</v>
      </c>
      <c r="L1291" s="1" t="s">
        <v>6400</v>
      </c>
      <c r="M1291" s="1" t="s">
        <v>718</v>
      </c>
    </row>
    <row r="1292" customFormat="false" ht="15" hidden="false" customHeight="false" outlineLevel="0" collapsed="false">
      <c r="A1292" s="1" t="s">
        <v>6517</v>
      </c>
      <c r="B1292" s="1" t="s">
        <v>6518</v>
      </c>
      <c r="C1292" s="1" t="s">
        <v>6519</v>
      </c>
      <c r="D1292" s="2" t="n">
        <v>35367</v>
      </c>
      <c r="E1292" s="1" t="s">
        <v>763</v>
      </c>
      <c r="F1292" s="1" t="s">
        <v>711</v>
      </c>
      <c r="G1292" s="1" t="s">
        <v>712</v>
      </c>
      <c r="H1292" s="1" t="s">
        <v>713</v>
      </c>
      <c r="I1292" s="1" t="s">
        <v>714</v>
      </c>
      <c r="J1292" s="1" t="s">
        <v>715</v>
      </c>
      <c r="K1292" s="1" t="s">
        <v>716</v>
      </c>
      <c r="L1292" s="1" t="s">
        <v>6415</v>
      </c>
      <c r="M1292" s="1" t="s">
        <v>718</v>
      </c>
    </row>
    <row r="1293" customFormat="false" ht="15" hidden="false" customHeight="false" outlineLevel="0" collapsed="false">
      <c r="A1293" s="1" t="s">
        <v>6520</v>
      </c>
      <c r="B1293" s="1" t="s">
        <v>6521</v>
      </c>
      <c r="C1293" s="1" t="s">
        <v>6522</v>
      </c>
      <c r="D1293" s="2" t="n">
        <v>37250</v>
      </c>
      <c r="E1293" s="1" t="s">
        <v>710</v>
      </c>
      <c r="F1293" s="1" t="s">
        <v>711</v>
      </c>
      <c r="G1293" s="1" t="s">
        <v>712</v>
      </c>
      <c r="H1293" s="1" t="s">
        <v>713</v>
      </c>
      <c r="I1293" s="1" t="s">
        <v>714</v>
      </c>
      <c r="J1293" s="1" t="s">
        <v>1244</v>
      </c>
      <c r="K1293" s="1" t="s">
        <v>6523</v>
      </c>
      <c r="L1293" s="1" t="s">
        <v>6524</v>
      </c>
      <c r="M1293" s="1" t="s">
        <v>718</v>
      </c>
    </row>
    <row r="1294" customFormat="false" ht="15" hidden="false" customHeight="false" outlineLevel="0" collapsed="false">
      <c r="A1294" s="1" t="s">
        <v>6525</v>
      </c>
      <c r="B1294" s="1" t="s">
        <v>6526</v>
      </c>
      <c r="C1294" s="1" t="s">
        <v>6527</v>
      </c>
      <c r="D1294" s="2" t="n">
        <v>37168</v>
      </c>
      <c r="E1294" s="1" t="s">
        <v>763</v>
      </c>
      <c r="F1294" s="1" t="s">
        <v>711</v>
      </c>
      <c r="G1294" s="1" t="s">
        <v>712</v>
      </c>
      <c r="H1294" s="1" t="s">
        <v>713</v>
      </c>
      <c r="I1294" s="1" t="s">
        <v>714</v>
      </c>
      <c r="J1294" s="1" t="s">
        <v>2664</v>
      </c>
      <c r="K1294" s="1" t="s">
        <v>6528</v>
      </c>
      <c r="L1294" s="1" t="s">
        <v>6529</v>
      </c>
      <c r="M1294" s="1" t="s">
        <v>718</v>
      </c>
    </row>
    <row r="1295" customFormat="false" ht="15" hidden="false" customHeight="false" outlineLevel="0" collapsed="false">
      <c r="A1295" s="1" t="s">
        <v>6530</v>
      </c>
      <c r="B1295" s="1" t="s">
        <v>6531</v>
      </c>
      <c r="C1295" s="1" t="s">
        <v>6532</v>
      </c>
      <c r="D1295" s="2" t="n">
        <v>36828</v>
      </c>
      <c r="E1295" s="1" t="s">
        <v>763</v>
      </c>
      <c r="F1295" s="1" t="s">
        <v>711</v>
      </c>
      <c r="G1295" s="1" t="s">
        <v>712</v>
      </c>
      <c r="H1295" s="1" t="s">
        <v>713</v>
      </c>
      <c r="I1295" s="1" t="s">
        <v>714</v>
      </c>
      <c r="J1295" s="1" t="s">
        <v>3171</v>
      </c>
      <c r="K1295" s="1" t="s">
        <v>6533</v>
      </c>
      <c r="L1295" s="1" t="s">
        <v>6534</v>
      </c>
      <c r="M1295" s="1" t="s">
        <v>718</v>
      </c>
    </row>
    <row r="1296" customFormat="false" ht="15" hidden="false" customHeight="false" outlineLevel="0" collapsed="false">
      <c r="A1296" s="1" t="s">
        <v>6535</v>
      </c>
      <c r="B1296" s="1" t="s">
        <v>6536</v>
      </c>
      <c r="C1296" s="1" t="s">
        <v>6537</v>
      </c>
      <c r="D1296" s="2" t="n">
        <v>36922</v>
      </c>
      <c r="E1296" s="1" t="s">
        <v>710</v>
      </c>
      <c r="F1296" s="1" t="s">
        <v>711</v>
      </c>
      <c r="G1296" s="1" t="s">
        <v>712</v>
      </c>
      <c r="H1296" s="1" t="s">
        <v>713</v>
      </c>
      <c r="I1296" s="1" t="s">
        <v>714</v>
      </c>
      <c r="J1296" s="1" t="s">
        <v>6538</v>
      </c>
      <c r="K1296" s="1" t="s">
        <v>6539</v>
      </c>
      <c r="L1296" s="1" t="s">
        <v>4534</v>
      </c>
      <c r="M1296" s="1" t="s">
        <v>718</v>
      </c>
    </row>
    <row r="1297" customFormat="false" ht="15" hidden="false" customHeight="false" outlineLevel="0" collapsed="false">
      <c r="A1297" s="1" t="s">
        <v>6540</v>
      </c>
      <c r="B1297" s="1" t="s">
        <v>6541</v>
      </c>
      <c r="C1297" s="1" t="s">
        <v>5923</v>
      </c>
      <c r="D1297" s="2" t="n">
        <v>36988</v>
      </c>
      <c r="E1297" s="1" t="s">
        <v>710</v>
      </c>
      <c r="F1297" s="1" t="s">
        <v>711</v>
      </c>
      <c r="G1297" s="1" t="s">
        <v>712</v>
      </c>
      <c r="H1297" s="1" t="s">
        <v>713</v>
      </c>
      <c r="I1297" s="1" t="s">
        <v>714</v>
      </c>
      <c r="J1297" s="1" t="s">
        <v>2997</v>
      </c>
      <c r="K1297" s="1" t="s">
        <v>716</v>
      </c>
      <c r="L1297" s="1" t="s">
        <v>5925</v>
      </c>
      <c r="M1297" s="1" t="s">
        <v>718</v>
      </c>
    </row>
    <row r="1298" customFormat="false" ht="15" hidden="false" customHeight="false" outlineLevel="0" collapsed="false">
      <c r="A1298" s="1" t="s">
        <v>6542</v>
      </c>
      <c r="B1298" s="1" t="s">
        <v>1716</v>
      </c>
      <c r="C1298" s="1" t="s">
        <v>6543</v>
      </c>
      <c r="D1298" s="2" t="n">
        <v>37153</v>
      </c>
      <c r="E1298" s="1" t="s">
        <v>710</v>
      </c>
      <c r="F1298" s="1" t="s">
        <v>711</v>
      </c>
      <c r="G1298" s="1" t="s">
        <v>712</v>
      </c>
      <c r="H1298" s="1" t="s">
        <v>713</v>
      </c>
      <c r="I1298" s="1" t="s">
        <v>714</v>
      </c>
      <c r="J1298" s="1" t="s">
        <v>1723</v>
      </c>
      <c r="K1298" s="1" t="s">
        <v>6544</v>
      </c>
      <c r="L1298" s="1" t="s">
        <v>6545</v>
      </c>
      <c r="M1298" s="1" t="s">
        <v>718</v>
      </c>
    </row>
    <row r="1299" customFormat="false" ht="15" hidden="false" customHeight="false" outlineLevel="0" collapsed="false">
      <c r="A1299" s="1" t="s">
        <v>6546</v>
      </c>
      <c r="B1299" s="1" t="s">
        <v>6547</v>
      </c>
      <c r="C1299" s="1" t="s">
        <v>2544</v>
      </c>
      <c r="D1299" s="2" t="n">
        <v>37190</v>
      </c>
      <c r="E1299" s="1" t="s">
        <v>710</v>
      </c>
      <c r="F1299" s="1" t="s">
        <v>711</v>
      </c>
      <c r="G1299" s="1" t="s">
        <v>712</v>
      </c>
      <c r="H1299" s="1" t="s">
        <v>713</v>
      </c>
      <c r="I1299" s="1" t="s">
        <v>714</v>
      </c>
      <c r="J1299" s="1" t="s">
        <v>821</v>
      </c>
      <c r="K1299" s="1" t="s">
        <v>6548</v>
      </c>
      <c r="L1299" s="1" t="s">
        <v>2546</v>
      </c>
      <c r="M1299" s="1" t="s">
        <v>718</v>
      </c>
    </row>
    <row r="1300" customFormat="false" ht="15" hidden="false" customHeight="false" outlineLevel="0" collapsed="false">
      <c r="A1300" s="1" t="s">
        <v>6549</v>
      </c>
      <c r="B1300" s="1" t="s">
        <v>6550</v>
      </c>
      <c r="C1300" s="1" t="s">
        <v>6551</v>
      </c>
      <c r="D1300" s="2" t="n">
        <v>36344</v>
      </c>
      <c r="E1300" s="1" t="s">
        <v>710</v>
      </c>
      <c r="F1300" s="1" t="s">
        <v>711</v>
      </c>
      <c r="G1300" s="1" t="s">
        <v>722</v>
      </c>
      <c r="H1300" s="1" t="s">
        <v>713</v>
      </c>
      <c r="I1300" s="1" t="s">
        <v>714</v>
      </c>
      <c r="J1300" s="1" t="s">
        <v>6552</v>
      </c>
      <c r="K1300" s="1" t="s">
        <v>6553</v>
      </c>
      <c r="L1300" s="1" t="s">
        <v>6554</v>
      </c>
      <c r="M1300" s="1" t="s">
        <v>718</v>
      </c>
    </row>
    <row r="1301" customFormat="false" ht="15" hidden="false" customHeight="false" outlineLevel="0" collapsed="false">
      <c r="A1301" s="1" t="s">
        <v>6555</v>
      </c>
      <c r="B1301" s="1" t="s">
        <v>4336</v>
      </c>
      <c r="C1301" s="1" t="s">
        <v>3200</v>
      </c>
      <c r="D1301" s="2" t="n">
        <v>36459</v>
      </c>
      <c r="E1301" s="1" t="s">
        <v>710</v>
      </c>
      <c r="F1301" s="1" t="s">
        <v>711</v>
      </c>
      <c r="G1301" s="1" t="s">
        <v>722</v>
      </c>
      <c r="H1301" s="1" t="s">
        <v>713</v>
      </c>
      <c r="I1301" s="1" t="s">
        <v>714</v>
      </c>
      <c r="J1301" s="1" t="s">
        <v>1670</v>
      </c>
      <c r="K1301" s="1" t="s">
        <v>6556</v>
      </c>
      <c r="L1301" s="1" t="s">
        <v>6557</v>
      </c>
      <c r="M1301" s="1" t="s">
        <v>718</v>
      </c>
    </row>
    <row r="1302" customFormat="false" ht="15" hidden="false" customHeight="false" outlineLevel="0" collapsed="false">
      <c r="A1302" s="1" t="s">
        <v>6558</v>
      </c>
      <c r="B1302" s="1" t="s">
        <v>6559</v>
      </c>
      <c r="C1302" s="1" t="s">
        <v>6560</v>
      </c>
      <c r="D1302" s="2" t="n">
        <v>36856</v>
      </c>
      <c r="E1302" s="1" t="s">
        <v>710</v>
      </c>
      <c r="F1302" s="1" t="s">
        <v>711</v>
      </c>
      <c r="G1302" s="1" t="s">
        <v>712</v>
      </c>
      <c r="H1302" s="1" t="s">
        <v>713</v>
      </c>
      <c r="I1302" s="1" t="s">
        <v>714</v>
      </c>
      <c r="J1302" s="1" t="s">
        <v>1530</v>
      </c>
      <c r="K1302" s="1" t="s">
        <v>6548</v>
      </c>
      <c r="L1302" s="1" t="s">
        <v>6561</v>
      </c>
      <c r="M1302" s="1" t="s">
        <v>718</v>
      </c>
    </row>
    <row r="1303" customFormat="false" ht="15" hidden="false" customHeight="false" outlineLevel="0" collapsed="false">
      <c r="A1303" s="1" t="s">
        <v>6562</v>
      </c>
      <c r="B1303" s="1" t="s">
        <v>6563</v>
      </c>
      <c r="C1303" s="1" t="s">
        <v>2121</v>
      </c>
      <c r="D1303" s="2" t="n">
        <v>37236</v>
      </c>
      <c r="E1303" s="1" t="s">
        <v>763</v>
      </c>
      <c r="F1303" s="1" t="s">
        <v>711</v>
      </c>
      <c r="G1303" s="1" t="s">
        <v>712</v>
      </c>
      <c r="H1303" s="1" t="s">
        <v>713</v>
      </c>
      <c r="I1303" s="1" t="s">
        <v>714</v>
      </c>
      <c r="J1303" s="1" t="s">
        <v>3678</v>
      </c>
      <c r="K1303" s="1" t="s">
        <v>6564</v>
      </c>
      <c r="L1303" s="1" t="s">
        <v>6565</v>
      </c>
      <c r="M1303" s="1" t="s">
        <v>718</v>
      </c>
    </row>
    <row r="1304" customFormat="false" ht="15" hidden="false" customHeight="false" outlineLevel="0" collapsed="false">
      <c r="A1304" s="1" t="s">
        <v>6566</v>
      </c>
      <c r="B1304" s="1" t="s">
        <v>6567</v>
      </c>
      <c r="C1304" s="1" t="s">
        <v>2876</v>
      </c>
      <c r="D1304" s="2" t="n">
        <v>36908</v>
      </c>
      <c r="E1304" s="1" t="s">
        <v>710</v>
      </c>
      <c r="F1304" s="1" t="s">
        <v>711</v>
      </c>
      <c r="G1304" s="1" t="s">
        <v>722</v>
      </c>
      <c r="H1304" s="1" t="s">
        <v>713</v>
      </c>
      <c r="I1304" s="1" t="s">
        <v>714</v>
      </c>
      <c r="J1304" s="1" t="s">
        <v>2117</v>
      </c>
      <c r="K1304" s="1" t="s">
        <v>6568</v>
      </c>
      <c r="L1304" s="1" t="s">
        <v>6569</v>
      </c>
      <c r="M1304" s="1" t="s">
        <v>718</v>
      </c>
    </row>
    <row r="1305" customFormat="false" ht="15" hidden="false" customHeight="false" outlineLevel="0" collapsed="false">
      <c r="A1305" s="1" t="s">
        <v>6570</v>
      </c>
      <c r="B1305" s="1" t="s">
        <v>6571</v>
      </c>
      <c r="C1305" s="1" t="s">
        <v>3407</v>
      </c>
      <c r="D1305" s="2" t="n">
        <v>37072</v>
      </c>
      <c r="E1305" s="1" t="s">
        <v>763</v>
      </c>
      <c r="F1305" s="1" t="s">
        <v>711</v>
      </c>
      <c r="G1305" s="1" t="s">
        <v>722</v>
      </c>
      <c r="H1305" s="1" t="s">
        <v>713</v>
      </c>
      <c r="I1305" s="1" t="s">
        <v>714</v>
      </c>
      <c r="J1305" s="1" t="s">
        <v>832</v>
      </c>
      <c r="K1305" s="1" t="s">
        <v>6572</v>
      </c>
      <c r="L1305" s="1" t="s">
        <v>3410</v>
      </c>
      <c r="M1305" s="1" t="s">
        <v>718</v>
      </c>
    </row>
    <row r="1306" customFormat="false" ht="15" hidden="false" customHeight="false" outlineLevel="0" collapsed="false">
      <c r="A1306" s="1" t="s">
        <v>6573</v>
      </c>
      <c r="B1306" s="1" t="s">
        <v>6574</v>
      </c>
      <c r="C1306" s="1" t="s">
        <v>750</v>
      </c>
      <c r="D1306" s="2" t="n">
        <v>37209</v>
      </c>
      <c r="E1306" s="1" t="s">
        <v>763</v>
      </c>
      <c r="F1306" s="1" t="s">
        <v>711</v>
      </c>
      <c r="G1306" s="1" t="s">
        <v>712</v>
      </c>
      <c r="H1306" s="1" t="s">
        <v>713</v>
      </c>
      <c r="I1306" s="1" t="s">
        <v>714</v>
      </c>
      <c r="J1306" s="1" t="s">
        <v>2298</v>
      </c>
      <c r="K1306" s="1" t="s">
        <v>6575</v>
      </c>
      <c r="L1306" s="1" t="s">
        <v>6576</v>
      </c>
      <c r="M1306" s="1" t="s">
        <v>718</v>
      </c>
    </row>
    <row r="1307" customFormat="false" ht="15" hidden="false" customHeight="false" outlineLevel="0" collapsed="false">
      <c r="A1307" s="1" t="s">
        <v>6577</v>
      </c>
      <c r="B1307" s="1" t="s">
        <v>6578</v>
      </c>
      <c r="C1307" s="1" t="s">
        <v>6579</v>
      </c>
      <c r="D1307" s="2" t="n">
        <v>37116</v>
      </c>
      <c r="E1307" s="1" t="s">
        <v>763</v>
      </c>
      <c r="F1307" s="1" t="s">
        <v>711</v>
      </c>
      <c r="G1307" s="1" t="s">
        <v>712</v>
      </c>
      <c r="H1307" s="1" t="s">
        <v>713</v>
      </c>
      <c r="I1307" s="1" t="s">
        <v>714</v>
      </c>
      <c r="J1307" s="1" t="s">
        <v>1723</v>
      </c>
      <c r="K1307" s="1" t="s">
        <v>6580</v>
      </c>
      <c r="L1307" s="1" t="s">
        <v>4662</v>
      </c>
      <c r="M1307" s="1" t="s">
        <v>718</v>
      </c>
    </row>
    <row r="1308" customFormat="false" ht="15" hidden="false" customHeight="false" outlineLevel="0" collapsed="false">
      <c r="A1308" s="1" t="s">
        <v>6581</v>
      </c>
      <c r="B1308" s="1" t="s">
        <v>6582</v>
      </c>
      <c r="C1308" s="1" t="s">
        <v>3856</v>
      </c>
      <c r="D1308" s="2" t="n">
        <v>37238</v>
      </c>
      <c r="E1308" s="1" t="s">
        <v>763</v>
      </c>
      <c r="F1308" s="1" t="s">
        <v>711</v>
      </c>
      <c r="G1308" s="1" t="s">
        <v>722</v>
      </c>
      <c r="H1308" s="1" t="s">
        <v>713</v>
      </c>
      <c r="I1308" s="1" t="s">
        <v>714</v>
      </c>
      <c r="J1308" s="1" t="s">
        <v>6583</v>
      </c>
      <c r="K1308" s="1" t="s">
        <v>6584</v>
      </c>
      <c r="L1308" s="1" t="s">
        <v>3858</v>
      </c>
      <c r="M1308" s="1" t="s">
        <v>718</v>
      </c>
    </row>
    <row r="1309" customFormat="false" ht="15" hidden="false" customHeight="false" outlineLevel="0" collapsed="false">
      <c r="A1309" s="1" t="s">
        <v>6585</v>
      </c>
      <c r="B1309" s="1" t="s">
        <v>6586</v>
      </c>
      <c r="C1309" s="1" t="s">
        <v>6587</v>
      </c>
      <c r="D1309" s="2" t="n">
        <v>36307</v>
      </c>
      <c r="E1309" s="1" t="s">
        <v>710</v>
      </c>
      <c r="F1309" s="1" t="s">
        <v>711</v>
      </c>
      <c r="G1309" s="1" t="s">
        <v>712</v>
      </c>
      <c r="H1309" s="1" t="s">
        <v>713</v>
      </c>
      <c r="I1309" s="1" t="s">
        <v>714</v>
      </c>
      <c r="J1309" s="1" t="s">
        <v>838</v>
      </c>
      <c r="K1309" s="1" t="s">
        <v>6588</v>
      </c>
      <c r="L1309" s="1" t="s">
        <v>6589</v>
      </c>
      <c r="M1309" s="1" t="s">
        <v>718</v>
      </c>
    </row>
    <row r="1310" customFormat="false" ht="15" hidden="false" customHeight="false" outlineLevel="0" collapsed="false">
      <c r="A1310" s="1" t="s">
        <v>6590</v>
      </c>
      <c r="B1310" s="1" t="s">
        <v>6591</v>
      </c>
      <c r="C1310" s="1" t="s">
        <v>6592</v>
      </c>
      <c r="D1310" s="2" t="n">
        <v>37091</v>
      </c>
      <c r="E1310" s="1" t="s">
        <v>710</v>
      </c>
      <c r="F1310" s="1" t="s">
        <v>711</v>
      </c>
      <c r="G1310" s="1" t="s">
        <v>712</v>
      </c>
      <c r="H1310" s="1" t="s">
        <v>713</v>
      </c>
      <c r="I1310" s="1" t="s">
        <v>714</v>
      </c>
      <c r="J1310" s="1" t="s">
        <v>1244</v>
      </c>
      <c r="K1310" s="1" t="s">
        <v>6593</v>
      </c>
      <c r="L1310" s="1" t="s">
        <v>6594</v>
      </c>
      <c r="M1310" s="1" t="s">
        <v>718</v>
      </c>
    </row>
    <row r="1311" customFormat="false" ht="15" hidden="false" customHeight="false" outlineLevel="0" collapsed="false">
      <c r="A1311" s="1" t="s">
        <v>6595</v>
      </c>
      <c r="B1311" s="1" t="s">
        <v>2805</v>
      </c>
      <c r="C1311" s="1" t="s">
        <v>6596</v>
      </c>
      <c r="D1311" s="2" t="n">
        <v>36772</v>
      </c>
      <c r="E1311" s="1" t="s">
        <v>710</v>
      </c>
      <c r="F1311" s="1" t="s">
        <v>711</v>
      </c>
      <c r="G1311" s="1" t="s">
        <v>722</v>
      </c>
      <c r="H1311" s="1" t="s">
        <v>713</v>
      </c>
      <c r="I1311" s="1" t="s">
        <v>714</v>
      </c>
      <c r="J1311" s="1" t="s">
        <v>2564</v>
      </c>
      <c r="K1311" s="1" t="s">
        <v>6597</v>
      </c>
      <c r="L1311" s="1" t="s">
        <v>6598</v>
      </c>
      <c r="M1311" s="1" t="s">
        <v>718</v>
      </c>
    </row>
    <row r="1312" customFormat="false" ht="15" hidden="false" customHeight="false" outlineLevel="0" collapsed="false">
      <c r="A1312" s="1" t="s">
        <v>6599</v>
      </c>
      <c r="B1312" s="1" t="s">
        <v>6600</v>
      </c>
      <c r="C1312" s="1" t="s">
        <v>6601</v>
      </c>
      <c r="D1312" s="2" t="n">
        <v>37198</v>
      </c>
      <c r="E1312" s="1" t="s">
        <v>763</v>
      </c>
      <c r="F1312" s="1" t="s">
        <v>711</v>
      </c>
      <c r="G1312" s="1" t="s">
        <v>712</v>
      </c>
      <c r="H1312" s="1" t="s">
        <v>713</v>
      </c>
      <c r="I1312" s="1" t="s">
        <v>714</v>
      </c>
      <c r="J1312" s="1" t="s">
        <v>6602</v>
      </c>
      <c r="K1312" s="1" t="s">
        <v>6603</v>
      </c>
      <c r="L1312" s="1" t="s">
        <v>6604</v>
      </c>
      <c r="M1312" s="1" t="s">
        <v>718</v>
      </c>
    </row>
    <row r="1313" customFormat="false" ht="15" hidden="false" customHeight="false" outlineLevel="0" collapsed="false">
      <c r="A1313" s="1" t="s">
        <v>6605</v>
      </c>
      <c r="B1313" s="1" t="s">
        <v>6606</v>
      </c>
      <c r="C1313" s="1" t="s">
        <v>6607</v>
      </c>
      <c r="D1313" s="2" t="n">
        <v>36656</v>
      </c>
      <c r="E1313" s="1" t="s">
        <v>710</v>
      </c>
      <c r="F1313" s="1" t="s">
        <v>711</v>
      </c>
      <c r="G1313" s="1" t="s">
        <v>712</v>
      </c>
      <c r="H1313" s="1" t="s">
        <v>713</v>
      </c>
      <c r="I1313" s="1" t="s">
        <v>714</v>
      </c>
      <c r="J1313" s="1" t="s">
        <v>3171</v>
      </c>
      <c r="K1313" s="1" t="s">
        <v>716</v>
      </c>
      <c r="L1313" s="1" t="s">
        <v>6608</v>
      </c>
      <c r="M1313" s="1" t="s">
        <v>718</v>
      </c>
    </row>
    <row r="1314" customFormat="false" ht="15" hidden="false" customHeight="false" outlineLevel="0" collapsed="false">
      <c r="A1314" s="1" t="s">
        <v>6609</v>
      </c>
      <c r="B1314" s="1" t="s">
        <v>6610</v>
      </c>
      <c r="C1314" s="1" t="s">
        <v>4523</v>
      </c>
      <c r="D1314" s="2" t="n">
        <v>37111</v>
      </c>
      <c r="E1314" s="1" t="s">
        <v>763</v>
      </c>
      <c r="F1314" s="1" t="s">
        <v>711</v>
      </c>
      <c r="G1314" s="1" t="s">
        <v>722</v>
      </c>
      <c r="H1314" s="1" t="s">
        <v>713</v>
      </c>
      <c r="I1314" s="1" t="s">
        <v>714</v>
      </c>
      <c r="J1314" s="1" t="s">
        <v>6611</v>
      </c>
      <c r="K1314" s="1" t="s">
        <v>716</v>
      </c>
      <c r="L1314" s="1" t="s">
        <v>4525</v>
      </c>
      <c r="M1314" s="1" t="s">
        <v>718</v>
      </c>
    </row>
    <row r="1315" customFormat="false" ht="15" hidden="false" customHeight="false" outlineLevel="0" collapsed="false">
      <c r="A1315" s="1" t="s">
        <v>6612</v>
      </c>
      <c r="B1315" s="1" t="s">
        <v>6613</v>
      </c>
      <c r="C1315" s="1" t="s">
        <v>3051</v>
      </c>
      <c r="D1315" s="2" t="n">
        <v>36802</v>
      </c>
      <c r="E1315" s="1" t="s">
        <v>763</v>
      </c>
      <c r="F1315" s="1" t="s">
        <v>711</v>
      </c>
      <c r="G1315" s="1" t="s">
        <v>1220</v>
      </c>
      <c r="H1315" s="1" t="s">
        <v>713</v>
      </c>
      <c r="I1315" s="1" t="s">
        <v>714</v>
      </c>
      <c r="J1315" s="1" t="s">
        <v>6614</v>
      </c>
      <c r="K1315" s="1" t="s">
        <v>6615</v>
      </c>
      <c r="L1315" s="1" t="s">
        <v>3053</v>
      </c>
      <c r="M1315" s="1" t="s">
        <v>718</v>
      </c>
    </row>
    <row r="1316" customFormat="false" ht="15" hidden="false" customHeight="false" outlineLevel="0" collapsed="false">
      <c r="A1316" s="1" t="s">
        <v>6616</v>
      </c>
      <c r="B1316" s="1" t="s">
        <v>6617</v>
      </c>
      <c r="C1316" s="1" t="s">
        <v>750</v>
      </c>
      <c r="D1316" s="2" t="n">
        <v>37240</v>
      </c>
      <c r="E1316" s="1" t="s">
        <v>710</v>
      </c>
      <c r="F1316" s="1" t="s">
        <v>711</v>
      </c>
      <c r="G1316" s="1" t="s">
        <v>722</v>
      </c>
      <c r="H1316" s="1" t="s">
        <v>713</v>
      </c>
      <c r="I1316" s="1" t="s">
        <v>714</v>
      </c>
      <c r="J1316" s="1" t="s">
        <v>1398</v>
      </c>
      <c r="K1316" s="1" t="s">
        <v>6618</v>
      </c>
      <c r="L1316" s="1" t="s">
        <v>6619</v>
      </c>
      <c r="M1316" s="1" t="s">
        <v>718</v>
      </c>
    </row>
    <row r="1317" customFormat="false" ht="15" hidden="false" customHeight="false" outlineLevel="0" collapsed="false">
      <c r="A1317" s="1" t="s">
        <v>6620</v>
      </c>
      <c r="B1317" s="1" t="s">
        <v>3432</v>
      </c>
      <c r="C1317" s="1" t="s">
        <v>750</v>
      </c>
      <c r="D1317" s="2" t="n">
        <v>36852</v>
      </c>
      <c r="E1317" s="1" t="s">
        <v>710</v>
      </c>
      <c r="F1317" s="1" t="s">
        <v>711</v>
      </c>
      <c r="G1317" s="1" t="s">
        <v>722</v>
      </c>
      <c r="H1317" s="1" t="s">
        <v>713</v>
      </c>
      <c r="I1317" s="1" t="s">
        <v>714</v>
      </c>
      <c r="J1317" s="1" t="s">
        <v>1398</v>
      </c>
      <c r="K1317" s="1" t="s">
        <v>6621</v>
      </c>
      <c r="L1317" s="1" t="s">
        <v>6619</v>
      </c>
      <c r="M1317" s="1" t="s">
        <v>718</v>
      </c>
    </row>
    <row r="1318" customFormat="false" ht="15" hidden="false" customHeight="false" outlineLevel="0" collapsed="false">
      <c r="A1318" s="1" t="s">
        <v>6622</v>
      </c>
      <c r="B1318" s="1" t="s">
        <v>1538</v>
      </c>
      <c r="C1318" s="1" t="s">
        <v>6623</v>
      </c>
      <c r="D1318" s="2" t="n">
        <v>36363</v>
      </c>
      <c r="E1318" s="1" t="s">
        <v>763</v>
      </c>
      <c r="F1318" s="1" t="s">
        <v>711</v>
      </c>
      <c r="G1318" s="1" t="s">
        <v>712</v>
      </c>
      <c r="H1318" s="1" t="s">
        <v>713</v>
      </c>
      <c r="I1318" s="1" t="s">
        <v>714</v>
      </c>
      <c r="J1318" s="1" t="s">
        <v>1244</v>
      </c>
      <c r="K1318" s="1" t="s">
        <v>6624</v>
      </c>
      <c r="L1318" s="1" t="s">
        <v>6625</v>
      </c>
      <c r="M1318" s="1" t="s">
        <v>718</v>
      </c>
    </row>
    <row r="1319" customFormat="false" ht="15" hidden="false" customHeight="false" outlineLevel="0" collapsed="false">
      <c r="A1319" s="1" t="s">
        <v>6626</v>
      </c>
      <c r="B1319" s="1" t="s">
        <v>6627</v>
      </c>
      <c r="C1319" s="1" t="s">
        <v>2144</v>
      </c>
      <c r="D1319" s="2" t="n">
        <v>37211</v>
      </c>
      <c r="E1319" s="1" t="s">
        <v>763</v>
      </c>
      <c r="F1319" s="1" t="s">
        <v>711</v>
      </c>
      <c r="G1319" s="1" t="s">
        <v>712</v>
      </c>
      <c r="H1319" s="1" t="s">
        <v>713</v>
      </c>
      <c r="I1319" s="1" t="s">
        <v>714</v>
      </c>
      <c r="J1319" s="1" t="s">
        <v>821</v>
      </c>
      <c r="K1319" s="1" t="s">
        <v>6628</v>
      </c>
      <c r="L1319" s="1" t="s">
        <v>2146</v>
      </c>
      <c r="M1319" s="1" t="s">
        <v>718</v>
      </c>
    </row>
    <row r="1320" customFormat="false" ht="15" hidden="false" customHeight="false" outlineLevel="0" collapsed="false">
      <c r="A1320" s="1" t="s">
        <v>6629</v>
      </c>
      <c r="B1320" s="1" t="s">
        <v>1490</v>
      </c>
      <c r="C1320" s="1" t="s">
        <v>6630</v>
      </c>
      <c r="D1320" s="2" t="n">
        <v>37003</v>
      </c>
      <c r="E1320" s="1" t="s">
        <v>710</v>
      </c>
      <c r="F1320" s="1" t="s">
        <v>711</v>
      </c>
      <c r="G1320" s="1" t="s">
        <v>712</v>
      </c>
      <c r="H1320" s="1" t="s">
        <v>713</v>
      </c>
      <c r="I1320" s="1" t="s">
        <v>714</v>
      </c>
      <c r="J1320" s="1" t="s">
        <v>1584</v>
      </c>
      <c r="K1320" s="1" t="s">
        <v>6631</v>
      </c>
      <c r="L1320" s="1" t="s">
        <v>6632</v>
      </c>
      <c r="M1320" s="1" t="s">
        <v>718</v>
      </c>
    </row>
    <row r="1321" customFormat="false" ht="15" hidden="false" customHeight="false" outlineLevel="0" collapsed="false">
      <c r="A1321" s="1" t="s">
        <v>6633</v>
      </c>
      <c r="B1321" s="1" t="s">
        <v>6634</v>
      </c>
      <c r="C1321" s="1" t="s">
        <v>1421</v>
      </c>
      <c r="D1321" s="2" t="n">
        <v>37358</v>
      </c>
      <c r="E1321" s="1" t="s">
        <v>710</v>
      </c>
      <c r="F1321" s="1" t="s">
        <v>711</v>
      </c>
      <c r="G1321" s="1" t="s">
        <v>712</v>
      </c>
      <c r="H1321" s="1" t="s">
        <v>713</v>
      </c>
      <c r="I1321" s="1" t="s">
        <v>714</v>
      </c>
      <c r="J1321" s="1" t="s">
        <v>2117</v>
      </c>
      <c r="K1321" s="1" t="s">
        <v>6635</v>
      </c>
      <c r="L1321" s="1" t="s">
        <v>6636</v>
      </c>
      <c r="M1321" s="1" t="s">
        <v>718</v>
      </c>
    </row>
    <row r="1322" customFormat="false" ht="15" hidden="false" customHeight="false" outlineLevel="0" collapsed="false">
      <c r="A1322" s="1" t="s">
        <v>6637</v>
      </c>
      <c r="B1322" s="1" t="s">
        <v>6638</v>
      </c>
      <c r="C1322" s="1" t="s">
        <v>5514</v>
      </c>
      <c r="D1322" s="2" t="n">
        <v>37001</v>
      </c>
      <c r="E1322" s="1" t="s">
        <v>763</v>
      </c>
      <c r="F1322" s="1" t="s">
        <v>711</v>
      </c>
      <c r="G1322" s="1" t="s">
        <v>722</v>
      </c>
      <c r="H1322" s="1" t="s">
        <v>713</v>
      </c>
      <c r="I1322" s="1" t="s">
        <v>714</v>
      </c>
      <c r="J1322" s="1" t="s">
        <v>821</v>
      </c>
      <c r="K1322" s="1" t="s">
        <v>6639</v>
      </c>
      <c r="L1322" s="1" t="s">
        <v>5516</v>
      </c>
      <c r="M1322" s="1" t="s">
        <v>718</v>
      </c>
    </row>
    <row r="1323" customFormat="false" ht="15" hidden="false" customHeight="false" outlineLevel="0" collapsed="false">
      <c r="A1323" s="1" t="s">
        <v>6640</v>
      </c>
      <c r="B1323" s="1" t="s">
        <v>6641</v>
      </c>
      <c r="C1323" s="1" t="s">
        <v>6642</v>
      </c>
      <c r="D1323" s="2" t="n">
        <v>35156</v>
      </c>
      <c r="E1323" s="1" t="s">
        <v>763</v>
      </c>
      <c r="F1323" s="1" t="s">
        <v>711</v>
      </c>
      <c r="G1323" s="1" t="s">
        <v>1450</v>
      </c>
      <c r="H1323" s="1" t="s">
        <v>713</v>
      </c>
      <c r="I1323" s="1" t="s">
        <v>714</v>
      </c>
      <c r="J1323" s="1" t="s">
        <v>978</v>
      </c>
      <c r="K1323" s="1" t="s">
        <v>716</v>
      </c>
      <c r="L1323" s="1" t="s">
        <v>6643</v>
      </c>
      <c r="M1323" s="1" t="s">
        <v>718</v>
      </c>
    </row>
    <row r="1324" customFormat="false" ht="15" hidden="false" customHeight="false" outlineLevel="0" collapsed="false">
      <c r="A1324" s="1" t="s">
        <v>6644</v>
      </c>
      <c r="B1324" s="1" t="s">
        <v>6645</v>
      </c>
      <c r="C1324" s="1" t="s">
        <v>6646</v>
      </c>
      <c r="D1324" s="2" t="n">
        <v>37529</v>
      </c>
      <c r="E1324" s="1" t="s">
        <v>763</v>
      </c>
      <c r="F1324" s="1" t="s">
        <v>711</v>
      </c>
      <c r="G1324" s="1" t="s">
        <v>722</v>
      </c>
      <c r="H1324" s="1" t="s">
        <v>713</v>
      </c>
      <c r="I1324" s="1" t="s">
        <v>714</v>
      </c>
      <c r="J1324" s="1" t="s">
        <v>1723</v>
      </c>
      <c r="K1324" s="1" t="s">
        <v>6647</v>
      </c>
      <c r="L1324" s="1" t="s">
        <v>6648</v>
      </c>
      <c r="M1324" s="1" t="s">
        <v>718</v>
      </c>
    </row>
    <row r="1325" customFormat="false" ht="15" hidden="false" customHeight="false" outlineLevel="0" collapsed="false">
      <c r="A1325" s="1" t="s">
        <v>6649</v>
      </c>
      <c r="B1325" s="1" t="s">
        <v>3544</v>
      </c>
      <c r="C1325" s="1" t="s">
        <v>6650</v>
      </c>
      <c r="D1325" s="2" t="n">
        <v>36750</v>
      </c>
      <c r="E1325" s="1" t="s">
        <v>710</v>
      </c>
      <c r="F1325" s="1" t="s">
        <v>711</v>
      </c>
      <c r="G1325" s="1" t="s">
        <v>712</v>
      </c>
      <c r="H1325" s="1" t="s">
        <v>713</v>
      </c>
      <c r="I1325" s="1" t="s">
        <v>714</v>
      </c>
      <c r="J1325" s="1" t="s">
        <v>6651</v>
      </c>
      <c r="K1325" s="1" t="s">
        <v>6652</v>
      </c>
      <c r="L1325" s="1" t="s">
        <v>6653</v>
      </c>
      <c r="M1325" s="1" t="s">
        <v>718</v>
      </c>
    </row>
    <row r="1326" customFormat="false" ht="15" hidden="false" customHeight="false" outlineLevel="0" collapsed="false">
      <c r="A1326" s="1" t="s">
        <v>6654</v>
      </c>
      <c r="B1326" s="1" t="s">
        <v>6655</v>
      </c>
      <c r="C1326" s="1" t="s">
        <v>1893</v>
      </c>
      <c r="D1326" s="2" t="n">
        <v>37183</v>
      </c>
      <c r="E1326" s="1" t="s">
        <v>710</v>
      </c>
      <c r="F1326" s="1" t="s">
        <v>711</v>
      </c>
      <c r="G1326" s="1" t="s">
        <v>722</v>
      </c>
      <c r="H1326" s="1" t="s">
        <v>713</v>
      </c>
      <c r="I1326" s="1" t="s">
        <v>714</v>
      </c>
      <c r="J1326" s="1" t="s">
        <v>6656</v>
      </c>
      <c r="K1326" s="1" t="s">
        <v>6657</v>
      </c>
      <c r="L1326" s="1" t="s">
        <v>1894</v>
      </c>
      <c r="M1326" s="1" t="s">
        <v>718</v>
      </c>
    </row>
    <row r="1327" customFormat="false" ht="15" hidden="false" customHeight="false" outlineLevel="0" collapsed="false">
      <c r="A1327" s="1" t="s">
        <v>6658</v>
      </c>
      <c r="B1327" s="1" t="s">
        <v>6659</v>
      </c>
      <c r="C1327" s="1" t="s">
        <v>6660</v>
      </c>
      <c r="D1327" s="2" t="n">
        <v>37187</v>
      </c>
      <c r="E1327" s="1" t="s">
        <v>763</v>
      </c>
      <c r="F1327" s="1" t="s">
        <v>711</v>
      </c>
      <c r="G1327" s="1" t="s">
        <v>712</v>
      </c>
      <c r="H1327" s="1" t="s">
        <v>713</v>
      </c>
      <c r="I1327" s="1" t="s">
        <v>714</v>
      </c>
      <c r="J1327" s="1" t="s">
        <v>6661</v>
      </c>
      <c r="K1327" s="1" t="s">
        <v>6662</v>
      </c>
      <c r="L1327" s="1" t="s">
        <v>6663</v>
      </c>
      <c r="M1327" s="1" t="s">
        <v>718</v>
      </c>
    </row>
    <row r="1328" customFormat="false" ht="15" hidden="false" customHeight="false" outlineLevel="0" collapsed="false">
      <c r="A1328" s="1" t="s">
        <v>6664</v>
      </c>
      <c r="B1328" s="1" t="s">
        <v>6665</v>
      </c>
      <c r="C1328" s="1" t="s">
        <v>6666</v>
      </c>
      <c r="D1328" s="2" t="n">
        <v>37495</v>
      </c>
      <c r="E1328" s="1" t="s">
        <v>763</v>
      </c>
      <c r="F1328" s="1" t="s">
        <v>711</v>
      </c>
      <c r="G1328" s="1" t="s">
        <v>712</v>
      </c>
      <c r="H1328" s="1" t="s">
        <v>713</v>
      </c>
      <c r="I1328" s="1" t="s">
        <v>714</v>
      </c>
      <c r="J1328" s="1" t="s">
        <v>3678</v>
      </c>
      <c r="K1328" s="1" t="s">
        <v>6385</v>
      </c>
      <c r="L1328" s="1" t="s">
        <v>6386</v>
      </c>
      <c r="M1328" s="1" t="s">
        <v>718</v>
      </c>
    </row>
    <row r="1329" customFormat="false" ht="15" hidden="false" customHeight="false" outlineLevel="0" collapsed="false">
      <c r="A1329" s="1" t="s">
        <v>6667</v>
      </c>
      <c r="B1329" s="1" t="s">
        <v>6668</v>
      </c>
      <c r="C1329" s="1" t="s">
        <v>3329</v>
      </c>
      <c r="D1329" s="2" t="n">
        <v>37214</v>
      </c>
      <c r="E1329" s="1" t="s">
        <v>710</v>
      </c>
      <c r="F1329" s="1" t="s">
        <v>711</v>
      </c>
      <c r="G1329" s="1" t="s">
        <v>722</v>
      </c>
      <c r="H1329" s="1" t="s">
        <v>713</v>
      </c>
      <c r="I1329" s="1" t="s">
        <v>714</v>
      </c>
      <c r="J1329" s="1" t="s">
        <v>1244</v>
      </c>
      <c r="K1329" s="1" t="s">
        <v>6669</v>
      </c>
      <c r="L1329" s="1" t="s">
        <v>3331</v>
      </c>
      <c r="M1329" s="1" t="s">
        <v>718</v>
      </c>
    </row>
    <row r="1330" customFormat="false" ht="15" hidden="false" customHeight="false" outlineLevel="0" collapsed="false">
      <c r="A1330" s="1" t="s">
        <v>6670</v>
      </c>
      <c r="B1330" s="1" t="s">
        <v>6671</v>
      </c>
      <c r="C1330" s="1" t="s">
        <v>6672</v>
      </c>
      <c r="D1330" s="2" t="n">
        <v>37134</v>
      </c>
      <c r="E1330" s="1" t="s">
        <v>763</v>
      </c>
      <c r="F1330" s="1" t="s">
        <v>711</v>
      </c>
      <c r="G1330" s="1" t="s">
        <v>712</v>
      </c>
      <c r="H1330" s="1" t="s">
        <v>713</v>
      </c>
      <c r="I1330" s="1" t="s">
        <v>714</v>
      </c>
      <c r="J1330" s="1" t="s">
        <v>1244</v>
      </c>
      <c r="K1330" s="1" t="s">
        <v>6673</v>
      </c>
      <c r="L1330" s="1" t="s">
        <v>801</v>
      </c>
      <c r="M1330" s="1" t="s">
        <v>718</v>
      </c>
    </row>
    <row r="1331" customFormat="false" ht="15" hidden="false" customHeight="false" outlineLevel="0" collapsed="false">
      <c r="A1331" s="1" t="s">
        <v>6674</v>
      </c>
      <c r="B1331" s="1" t="s">
        <v>6675</v>
      </c>
      <c r="C1331" s="1" t="s">
        <v>1514</v>
      </c>
      <c r="D1331" s="2" t="n">
        <v>37105</v>
      </c>
      <c r="E1331" s="1" t="s">
        <v>763</v>
      </c>
      <c r="F1331" s="1" t="s">
        <v>711</v>
      </c>
      <c r="G1331" s="1" t="s">
        <v>712</v>
      </c>
      <c r="H1331" s="1" t="s">
        <v>713</v>
      </c>
      <c r="I1331" s="1" t="s">
        <v>714</v>
      </c>
      <c r="J1331" s="1" t="s">
        <v>1244</v>
      </c>
      <c r="K1331" s="1" t="s">
        <v>6676</v>
      </c>
      <c r="L1331" s="1" t="s">
        <v>4893</v>
      </c>
      <c r="M1331" s="1" t="s">
        <v>718</v>
      </c>
    </row>
    <row r="1332" customFormat="false" ht="15" hidden="false" customHeight="false" outlineLevel="0" collapsed="false">
      <c r="A1332" s="1" t="s">
        <v>6677</v>
      </c>
      <c r="B1332" s="1" t="s">
        <v>6678</v>
      </c>
      <c r="C1332" s="1" t="s">
        <v>6679</v>
      </c>
      <c r="D1332" s="2" t="n">
        <v>36943</v>
      </c>
      <c r="E1332" s="1" t="s">
        <v>763</v>
      </c>
      <c r="F1332" s="1" t="s">
        <v>711</v>
      </c>
      <c r="G1332" s="1" t="s">
        <v>722</v>
      </c>
      <c r="H1332" s="1" t="s">
        <v>713</v>
      </c>
      <c r="I1332" s="1" t="s">
        <v>714</v>
      </c>
      <c r="J1332" s="1" t="s">
        <v>1530</v>
      </c>
      <c r="K1332" s="1" t="s">
        <v>6680</v>
      </c>
      <c r="L1332" s="1" t="s">
        <v>4340</v>
      </c>
      <c r="M1332" s="1" t="s">
        <v>718</v>
      </c>
    </row>
    <row r="1333" customFormat="false" ht="15" hidden="false" customHeight="false" outlineLevel="0" collapsed="false">
      <c r="A1333" s="1" t="s">
        <v>6681</v>
      </c>
      <c r="B1333" s="1" t="s">
        <v>6682</v>
      </c>
      <c r="C1333" s="1" t="s">
        <v>6683</v>
      </c>
      <c r="D1333" s="2" t="n">
        <v>37178</v>
      </c>
      <c r="E1333" s="1" t="s">
        <v>763</v>
      </c>
      <c r="F1333" s="1" t="s">
        <v>711</v>
      </c>
      <c r="G1333" s="1" t="s">
        <v>712</v>
      </c>
      <c r="H1333" s="1" t="s">
        <v>713</v>
      </c>
      <c r="I1333" s="1" t="s">
        <v>714</v>
      </c>
      <c r="J1333" s="1" t="s">
        <v>838</v>
      </c>
      <c r="K1333" s="1" t="s">
        <v>6684</v>
      </c>
      <c r="L1333" s="1" t="s">
        <v>6685</v>
      </c>
      <c r="M1333" s="1" t="s">
        <v>718</v>
      </c>
    </row>
    <row r="1334" customFormat="false" ht="15" hidden="false" customHeight="false" outlineLevel="0" collapsed="false">
      <c r="A1334" s="1" t="s">
        <v>6686</v>
      </c>
      <c r="B1334" s="1" t="s">
        <v>6687</v>
      </c>
      <c r="C1334" s="1" t="s">
        <v>6688</v>
      </c>
      <c r="D1334" s="2" t="n">
        <v>37093</v>
      </c>
      <c r="E1334" s="1" t="s">
        <v>763</v>
      </c>
      <c r="F1334" s="1" t="s">
        <v>711</v>
      </c>
      <c r="G1334" s="1" t="s">
        <v>722</v>
      </c>
      <c r="H1334" s="1" t="s">
        <v>713</v>
      </c>
      <c r="I1334" s="1" t="s">
        <v>714</v>
      </c>
      <c r="J1334" s="1" t="s">
        <v>2889</v>
      </c>
      <c r="K1334" s="1" t="s">
        <v>6689</v>
      </c>
      <c r="L1334" s="1" t="s">
        <v>6690</v>
      </c>
      <c r="M1334" s="1" t="s">
        <v>718</v>
      </c>
    </row>
    <row r="1335" customFormat="false" ht="15" hidden="false" customHeight="false" outlineLevel="0" collapsed="false">
      <c r="A1335" s="1" t="s">
        <v>6691</v>
      </c>
      <c r="B1335" s="1" t="s">
        <v>1523</v>
      </c>
      <c r="C1335" s="1" t="s">
        <v>6692</v>
      </c>
      <c r="D1335" s="2" t="n">
        <v>37036</v>
      </c>
      <c r="E1335" s="1" t="s">
        <v>763</v>
      </c>
      <c r="F1335" s="1" t="s">
        <v>711</v>
      </c>
      <c r="G1335" s="1" t="s">
        <v>712</v>
      </c>
      <c r="H1335" s="1" t="s">
        <v>713</v>
      </c>
      <c r="I1335" s="1" t="s">
        <v>714</v>
      </c>
      <c r="J1335" s="1" t="s">
        <v>1530</v>
      </c>
      <c r="K1335" s="1" t="s">
        <v>6693</v>
      </c>
      <c r="L1335" s="1" t="s">
        <v>6694</v>
      </c>
      <c r="M1335" s="1" t="s">
        <v>718</v>
      </c>
    </row>
    <row r="1336" customFormat="false" ht="15" hidden="false" customHeight="false" outlineLevel="0" collapsed="false">
      <c r="A1336" s="1" t="s">
        <v>6695</v>
      </c>
      <c r="B1336" s="1" t="s">
        <v>1397</v>
      </c>
      <c r="C1336" s="1" t="s">
        <v>6696</v>
      </c>
      <c r="D1336" s="2" t="n">
        <v>37132</v>
      </c>
      <c r="E1336" s="1" t="s">
        <v>710</v>
      </c>
      <c r="F1336" s="1" t="s">
        <v>711</v>
      </c>
      <c r="G1336" s="1" t="s">
        <v>712</v>
      </c>
      <c r="H1336" s="1" t="s">
        <v>713</v>
      </c>
      <c r="I1336" s="1" t="s">
        <v>714</v>
      </c>
      <c r="J1336" s="1" t="s">
        <v>2889</v>
      </c>
      <c r="K1336" s="1" t="s">
        <v>6697</v>
      </c>
      <c r="L1336" s="1" t="s">
        <v>6698</v>
      </c>
      <c r="M1336" s="1" t="s">
        <v>718</v>
      </c>
    </row>
    <row r="1337" customFormat="false" ht="15" hidden="false" customHeight="false" outlineLevel="0" collapsed="false">
      <c r="A1337" s="1" t="s">
        <v>6699</v>
      </c>
      <c r="B1337" s="1" t="s">
        <v>6700</v>
      </c>
      <c r="C1337" s="1" t="s">
        <v>6701</v>
      </c>
      <c r="D1337" s="2" t="n">
        <v>37024</v>
      </c>
      <c r="E1337" s="1" t="s">
        <v>763</v>
      </c>
      <c r="F1337" s="1" t="s">
        <v>711</v>
      </c>
      <c r="G1337" s="1" t="s">
        <v>712</v>
      </c>
      <c r="H1337" s="1" t="s">
        <v>713</v>
      </c>
      <c r="I1337" s="1" t="s">
        <v>714</v>
      </c>
      <c r="J1337" s="1" t="s">
        <v>1723</v>
      </c>
      <c r="K1337" s="1" t="s">
        <v>6702</v>
      </c>
      <c r="L1337" s="1" t="s">
        <v>6703</v>
      </c>
      <c r="M1337" s="1" t="s">
        <v>718</v>
      </c>
    </row>
    <row r="1338" customFormat="false" ht="15" hidden="false" customHeight="false" outlineLevel="0" collapsed="false">
      <c r="A1338" s="1" t="s">
        <v>6704</v>
      </c>
      <c r="B1338" s="1" t="s">
        <v>6705</v>
      </c>
      <c r="C1338" s="1" t="s">
        <v>1366</v>
      </c>
      <c r="D1338" s="2" t="n">
        <v>37134</v>
      </c>
      <c r="E1338" s="1" t="s">
        <v>710</v>
      </c>
      <c r="F1338" s="1" t="s">
        <v>711</v>
      </c>
      <c r="G1338" s="1" t="s">
        <v>722</v>
      </c>
      <c r="H1338" s="1" t="s">
        <v>713</v>
      </c>
      <c r="I1338" s="1" t="s">
        <v>714</v>
      </c>
      <c r="J1338" s="1" t="s">
        <v>1723</v>
      </c>
      <c r="K1338" s="1" t="s">
        <v>6706</v>
      </c>
      <c r="L1338" s="1" t="s">
        <v>1368</v>
      </c>
      <c r="M1338" s="1" t="s">
        <v>718</v>
      </c>
    </row>
    <row r="1339" customFormat="false" ht="15" hidden="false" customHeight="false" outlineLevel="0" collapsed="false">
      <c r="A1339" s="1" t="s">
        <v>6707</v>
      </c>
      <c r="B1339" s="1" t="s">
        <v>6708</v>
      </c>
      <c r="C1339" s="1" t="s">
        <v>5496</v>
      </c>
      <c r="D1339" s="2" t="n">
        <v>37006</v>
      </c>
      <c r="E1339" s="1" t="s">
        <v>763</v>
      </c>
      <c r="F1339" s="1" t="s">
        <v>711</v>
      </c>
      <c r="G1339" s="1" t="s">
        <v>712</v>
      </c>
      <c r="H1339" s="1" t="s">
        <v>713</v>
      </c>
      <c r="I1339" s="1" t="s">
        <v>714</v>
      </c>
      <c r="J1339" s="1" t="s">
        <v>1723</v>
      </c>
      <c r="K1339" s="1" t="s">
        <v>6709</v>
      </c>
      <c r="L1339" s="1" t="s">
        <v>5498</v>
      </c>
      <c r="M1339" s="1" t="s">
        <v>718</v>
      </c>
    </row>
    <row r="1340" customFormat="false" ht="15" hidden="false" customHeight="false" outlineLevel="0" collapsed="false">
      <c r="A1340" s="1" t="s">
        <v>6710</v>
      </c>
      <c r="B1340" s="1" t="s">
        <v>6711</v>
      </c>
      <c r="C1340" s="1" t="s">
        <v>6712</v>
      </c>
      <c r="D1340" s="2" t="n">
        <v>37092</v>
      </c>
      <c r="E1340" s="1" t="s">
        <v>763</v>
      </c>
      <c r="F1340" s="1" t="s">
        <v>711</v>
      </c>
      <c r="G1340" s="1" t="s">
        <v>712</v>
      </c>
      <c r="H1340" s="1" t="s">
        <v>713</v>
      </c>
      <c r="I1340" s="1" t="s">
        <v>714</v>
      </c>
      <c r="J1340" s="1" t="s">
        <v>6163</v>
      </c>
      <c r="K1340" s="1" t="s">
        <v>6713</v>
      </c>
      <c r="L1340" s="1" t="s">
        <v>6714</v>
      </c>
      <c r="M1340" s="1" t="s">
        <v>718</v>
      </c>
    </row>
    <row r="1341" customFormat="false" ht="15" hidden="false" customHeight="false" outlineLevel="0" collapsed="false">
      <c r="A1341" s="1" t="s">
        <v>6715</v>
      </c>
      <c r="B1341" s="1" t="s">
        <v>6716</v>
      </c>
      <c r="C1341" s="1" t="s">
        <v>6717</v>
      </c>
      <c r="D1341" s="2" t="n">
        <v>37173</v>
      </c>
      <c r="E1341" s="1" t="s">
        <v>763</v>
      </c>
      <c r="F1341" s="1" t="s">
        <v>711</v>
      </c>
      <c r="G1341" s="1" t="s">
        <v>712</v>
      </c>
      <c r="H1341" s="1" t="s">
        <v>713</v>
      </c>
      <c r="I1341" s="1" t="s">
        <v>714</v>
      </c>
      <c r="J1341" s="1" t="s">
        <v>2602</v>
      </c>
      <c r="K1341" s="1" t="s">
        <v>6718</v>
      </c>
      <c r="L1341" s="1" t="s">
        <v>6719</v>
      </c>
      <c r="M1341" s="1" t="s">
        <v>718</v>
      </c>
    </row>
    <row r="1342" customFormat="false" ht="15" hidden="false" customHeight="false" outlineLevel="0" collapsed="false">
      <c r="A1342" s="1" t="s">
        <v>6720</v>
      </c>
      <c r="B1342" s="1" t="s">
        <v>6721</v>
      </c>
      <c r="C1342" s="1" t="s">
        <v>6722</v>
      </c>
      <c r="D1342" s="2" t="n">
        <v>37233</v>
      </c>
      <c r="E1342" s="1" t="s">
        <v>763</v>
      </c>
      <c r="F1342" s="1" t="s">
        <v>711</v>
      </c>
      <c r="G1342" s="1" t="s">
        <v>722</v>
      </c>
      <c r="H1342" s="1" t="s">
        <v>713</v>
      </c>
      <c r="I1342" s="1" t="s">
        <v>714</v>
      </c>
      <c r="J1342" s="1" t="s">
        <v>1398</v>
      </c>
      <c r="K1342" s="1" t="s">
        <v>6723</v>
      </c>
      <c r="L1342" s="1" t="s">
        <v>6724</v>
      </c>
      <c r="M1342" s="1" t="s">
        <v>718</v>
      </c>
    </row>
    <row r="1343" customFormat="false" ht="15" hidden="false" customHeight="false" outlineLevel="0" collapsed="false">
      <c r="A1343" s="1" t="s">
        <v>6725</v>
      </c>
      <c r="B1343" s="1" t="s">
        <v>6726</v>
      </c>
      <c r="C1343" s="1" t="s">
        <v>6727</v>
      </c>
      <c r="D1343" s="2" t="n">
        <v>36600</v>
      </c>
      <c r="E1343" s="1" t="s">
        <v>763</v>
      </c>
      <c r="F1343" s="1" t="s">
        <v>711</v>
      </c>
      <c r="G1343" s="1" t="s">
        <v>712</v>
      </c>
      <c r="H1343" s="1" t="s">
        <v>713</v>
      </c>
      <c r="I1343" s="1" t="s">
        <v>714</v>
      </c>
      <c r="J1343" s="1" t="s">
        <v>6352</v>
      </c>
      <c r="K1343" s="1" t="s">
        <v>6728</v>
      </c>
      <c r="L1343" s="1" t="s">
        <v>2521</v>
      </c>
      <c r="M1343" s="1" t="s">
        <v>718</v>
      </c>
    </row>
    <row r="1344" customFormat="false" ht="15" hidden="false" customHeight="false" outlineLevel="0" collapsed="false">
      <c r="A1344" s="1" t="s">
        <v>6729</v>
      </c>
      <c r="B1344" s="1" t="s">
        <v>6730</v>
      </c>
      <c r="C1344" s="1" t="s">
        <v>2193</v>
      </c>
      <c r="D1344" s="2" t="n">
        <v>35922</v>
      </c>
      <c r="E1344" s="1" t="s">
        <v>710</v>
      </c>
      <c r="F1344" s="1" t="s">
        <v>711</v>
      </c>
      <c r="G1344" s="1" t="s">
        <v>712</v>
      </c>
      <c r="H1344" s="1" t="s">
        <v>713</v>
      </c>
      <c r="I1344" s="1" t="s">
        <v>714</v>
      </c>
      <c r="J1344" s="1" t="s">
        <v>6731</v>
      </c>
      <c r="K1344" s="1" t="s">
        <v>6732</v>
      </c>
      <c r="L1344" s="1" t="s">
        <v>2195</v>
      </c>
      <c r="M1344" s="1" t="s">
        <v>718</v>
      </c>
    </row>
    <row r="1345" customFormat="false" ht="15" hidden="false" customHeight="false" outlineLevel="0" collapsed="false">
      <c r="A1345" s="1" t="s">
        <v>6733</v>
      </c>
      <c r="B1345" s="1" t="s">
        <v>6734</v>
      </c>
      <c r="C1345" s="1" t="s">
        <v>6735</v>
      </c>
      <c r="D1345" s="2" t="n">
        <v>36844</v>
      </c>
      <c r="E1345" s="1" t="s">
        <v>710</v>
      </c>
      <c r="F1345" s="1" t="s">
        <v>711</v>
      </c>
      <c r="G1345" s="1" t="s">
        <v>712</v>
      </c>
      <c r="H1345" s="1" t="s">
        <v>713</v>
      </c>
      <c r="I1345" s="1" t="s">
        <v>714</v>
      </c>
      <c r="J1345" s="1" t="s">
        <v>6736</v>
      </c>
      <c r="K1345" s="1" t="s">
        <v>6737</v>
      </c>
      <c r="L1345" s="1" t="s">
        <v>6083</v>
      </c>
      <c r="M1345" s="1" t="s">
        <v>718</v>
      </c>
    </row>
    <row r="1346" customFormat="false" ht="15" hidden="false" customHeight="false" outlineLevel="0" collapsed="false">
      <c r="A1346" s="1" t="s">
        <v>6738</v>
      </c>
      <c r="B1346" s="1" t="s">
        <v>6739</v>
      </c>
      <c r="C1346" s="1" t="s">
        <v>1534</v>
      </c>
      <c r="D1346" s="2" t="n">
        <v>37216</v>
      </c>
      <c r="E1346" s="1" t="s">
        <v>763</v>
      </c>
      <c r="F1346" s="1" t="s">
        <v>711</v>
      </c>
      <c r="G1346" s="1" t="s">
        <v>722</v>
      </c>
      <c r="H1346" s="1" t="s">
        <v>713</v>
      </c>
      <c r="I1346" s="1" t="s">
        <v>714</v>
      </c>
      <c r="J1346" s="1" t="s">
        <v>6740</v>
      </c>
      <c r="K1346" s="1" t="s">
        <v>716</v>
      </c>
      <c r="L1346" s="1" t="s">
        <v>1536</v>
      </c>
      <c r="M1346" s="1" t="s">
        <v>718</v>
      </c>
    </row>
    <row r="1347" customFormat="false" ht="15" hidden="false" customHeight="false" outlineLevel="0" collapsed="false">
      <c r="A1347" s="1" t="s">
        <v>6741</v>
      </c>
      <c r="B1347" s="1" t="s">
        <v>5459</v>
      </c>
      <c r="C1347" s="1" t="s">
        <v>6742</v>
      </c>
      <c r="D1347" s="2" t="n">
        <v>37227</v>
      </c>
      <c r="E1347" s="1" t="s">
        <v>763</v>
      </c>
      <c r="F1347" s="1" t="s">
        <v>711</v>
      </c>
      <c r="G1347" s="1" t="s">
        <v>722</v>
      </c>
      <c r="H1347" s="1" t="s">
        <v>713</v>
      </c>
      <c r="I1347" s="1" t="s">
        <v>714</v>
      </c>
      <c r="J1347" s="1" t="s">
        <v>6743</v>
      </c>
      <c r="K1347" s="1" t="s">
        <v>6744</v>
      </c>
      <c r="L1347" s="1" t="s">
        <v>6745</v>
      </c>
      <c r="M1347" s="1" t="s">
        <v>718</v>
      </c>
    </row>
    <row r="1348" customFormat="false" ht="15" hidden="false" customHeight="false" outlineLevel="0" collapsed="false">
      <c r="A1348" s="1" t="s">
        <v>6746</v>
      </c>
      <c r="B1348" s="1" t="s">
        <v>6747</v>
      </c>
      <c r="C1348" s="1" t="s">
        <v>1455</v>
      </c>
      <c r="D1348" s="2" t="n">
        <v>37051</v>
      </c>
      <c r="E1348" s="1" t="s">
        <v>710</v>
      </c>
      <c r="F1348" s="1" t="s">
        <v>711</v>
      </c>
      <c r="G1348" s="1" t="s">
        <v>712</v>
      </c>
      <c r="H1348" s="1" t="s">
        <v>713</v>
      </c>
      <c r="I1348" s="1" t="s">
        <v>714</v>
      </c>
      <c r="J1348" s="1" t="s">
        <v>1390</v>
      </c>
      <c r="K1348" s="1" t="s">
        <v>6748</v>
      </c>
      <c r="L1348" s="1" t="s">
        <v>4904</v>
      </c>
      <c r="M1348" s="1" t="s">
        <v>718</v>
      </c>
    </row>
    <row r="1349" customFormat="false" ht="15" hidden="false" customHeight="false" outlineLevel="0" collapsed="false">
      <c r="A1349" s="1" t="s">
        <v>6749</v>
      </c>
      <c r="B1349" s="1" t="s">
        <v>6750</v>
      </c>
      <c r="C1349" s="1" t="s">
        <v>6751</v>
      </c>
      <c r="D1349" s="2" t="n">
        <v>37190</v>
      </c>
      <c r="E1349" s="1" t="s">
        <v>710</v>
      </c>
      <c r="F1349" s="1" t="s">
        <v>711</v>
      </c>
      <c r="G1349" s="1" t="s">
        <v>712</v>
      </c>
      <c r="H1349" s="1" t="s">
        <v>713</v>
      </c>
      <c r="I1349" s="1" t="s">
        <v>714</v>
      </c>
      <c r="J1349" s="1" t="s">
        <v>6752</v>
      </c>
      <c r="K1349" s="1" t="s">
        <v>6753</v>
      </c>
      <c r="L1349" s="1" t="s">
        <v>6754</v>
      </c>
      <c r="M1349" s="1" t="s">
        <v>718</v>
      </c>
    </row>
    <row r="1350" customFormat="false" ht="15" hidden="false" customHeight="false" outlineLevel="0" collapsed="false">
      <c r="A1350" s="1" t="s">
        <v>6755</v>
      </c>
      <c r="B1350" s="1" t="s">
        <v>6756</v>
      </c>
      <c r="C1350" s="1" t="s">
        <v>6757</v>
      </c>
      <c r="D1350" s="2" t="n">
        <v>36908</v>
      </c>
      <c r="E1350" s="1" t="s">
        <v>763</v>
      </c>
      <c r="F1350" s="1" t="s">
        <v>711</v>
      </c>
      <c r="G1350" s="1" t="s">
        <v>712</v>
      </c>
      <c r="H1350" s="1" t="s">
        <v>713</v>
      </c>
      <c r="I1350" s="1" t="s">
        <v>714</v>
      </c>
      <c r="J1350" s="1" t="s">
        <v>6758</v>
      </c>
      <c r="K1350" s="1" t="s">
        <v>6759</v>
      </c>
      <c r="L1350" s="1" t="s">
        <v>6760</v>
      </c>
      <c r="M1350" s="1" t="s">
        <v>718</v>
      </c>
    </row>
    <row r="1351" customFormat="false" ht="15" hidden="false" customHeight="false" outlineLevel="0" collapsed="false">
      <c r="A1351" s="1" t="s">
        <v>6761</v>
      </c>
      <c r="B1351" s="1" t="s">
        <v>6762</v>
      </c>
      <c r="C1351" s="1" t="s">
        <v>3086</v>
      </c>
      <c r="D1351" s="2" t="n">
        <v>36438</v>
      </c>
      <c r="E1351" s="1" t="s">
        <v>763</v>
      </c>
      <c r="F1351" s="1" t="s">
        <v>711</v>
      </c>
      <c r="G1351" s="1" t="s">
        <v>712</v>
      </c>
      <c r="H1351" s="1" t="s">
        <v>713</v>
      </c>
      <c r="I1351" s="1" t="s">
        <v>714</v>
      </c>
      <c r="J1351" s="1" t="s">
        <v>6763</v>
      </c>
      <c r="K1351" s="1" t="s">
        <v>6764</v>
      </c>
      <c r="L1351" s="1" t="s">
        <v>6765</v>
      </c>
      <c r="M1351" s="1" t="s">
        <v>718</v>
      </c>
    </row>
    <row r="1352" customFormat="false" ht="15" hidden="false" customHeight="false" outlineLevel="0" collapsed="false">
      <c r="A1352" s="1" t="s">
        <v>6766</v>
      </c>
      <c r="B1352" s="1" t="s">
        <v>6767</v>
      </c>
      <c r="C1352" s="1" t="s">
        <v>3086</v>
      </c>
      <c r="D1352" s="2" t="n">
        <v>36846</v>
      </c>
      <c r="E1352" s="1" t="s">
        <v>710</v>
      </c>
      <c r="F1352" s="1" t="s">
        <v>711</v>
      </c>
      <c r="G1352" s="1" t="s">
        <v>712</v>
      </c>
      <c r="H1352" s="1" t="s">
        <v>713</v>
      </c>
      <c r="I1352" s="1" t="s">
        <v>714</v>
      </c>
      <c r="J1352" s="1" t="s">
        <v>1398</v>
      </c>
      <c r="K1352" s="1" t="s">
        <v>6764</v>
      </c>
      <c r="L1352" s="1" t="s">
        <v>6765</v>
      </c>
      <c r="M1352" s="1" t="s">
        <v>718</v>
      </c>
    </row>
    <row r="1353" customFormat="false" ht="15" hidden="false" customHeight="false" outlineLevel="0" collapsed="false">
      <c r="A1353" s="1" t="s">
        <v>6768</v>
      </c>
      <c r="B1353" s="1" t="s">
        <v>6769</v>
      </c>
      <c r="C1353" s="1" t="s">
        <v>2385</v>
      </c>
      <c r="D1353" s="2" t="n">
        <v>37095</v>
      </c>
      <c r="E1353" s="1" t="s">
        <v>710</v>
      </c>
      <c r="F1353" s="1" t="s">
        <v>711</v>
      </c>
      <c r="G1353" s="1" t="s">
        <v>2386</v>
      </c>
      <c r="H1353" s="1" t="s">
        <v>2387</v>
      </c>
      <c r="I1353" s="1" t="s">
        <v>2388</v>
      </c>
      <c r="J1353" s="1" t="s">
        <v>978</v>
      </c>
      <c r="K1353" s="1" t="s">
        <v>6770</v>
      </c>
      <c r="L1353" s="1" t="s">
        <v>6771</v>
      </c>
      <c r="M1353" s="1" t="s">
        <v>718</v>
      </c>
    </row>
    <row r="1354" customFormat="false" ht="15" hidden="false" customHeight="false" outlineLevel="0" collapsed="false">
      <c r="A1354" s="1" t="s">
        <v>6772</v>
      </c>
      <c r="B1354" s="1" t="s">
        <v>6773</v>
      </c>
      <c r="C1354" s="1" t="s">
        <v>6774</v>
      </c>
      <c r="D1354" s="2" t="n">
        <v>36901</v>
      </c>
      <c r="E1354" s="1" t="s">
        <v>710</v>
      </c>
      <c r="F1354" s="1" t="s">
        <v>711</v>
      </c>
      <c r="G1354" s="1" t="s">
        <v>712</v>
      </c>
      <c r="H1354" s="1" t="s">
        <v>713</v>
      </c>
      <c r="I1354" s="1" t="s">
        <v>714</v>
      </c>
      <c r="J1354" s="1" t="s">
        <v>6775</v>
      </c>
      <c r="K1354" s="1" t="s">
        <v>6487</v>
      </c>
      <c r="L1354" s="1" t="s">
        <v>6776</v>
      </c>
      <c r="M1354" s="1" t="s">
        <v>718</v>
      </c>
    </row>
    <row r="1355" customFormat="false" ht="15" hidden="false" customHeight="false" outlineLevel="0" collapsed="false">
      <c r="A1355" s="1" t="s">
        <v>6777</v>
      </c>
      <c r="B1355" s="1" t="s">
        <v>6778</v>
      </c>
      <c r="C1355" s="1" t="s">
        <v>4162</v>
      </c>
      <c r="D1355" s="2" t="n">
        <v>36905</v>
      </c>
      <c r="E1355" s="1" t="s">
        <v>710</v>
      </c>
      <c r="F1355" s="1" t="s">
        <v>711</v>
      </c>
      <c r="G1355" s="1" t="s">
        <v>722</v>
      </c>
      <c r="H1355" s="1" t="s">
        <v>713</v>
      </c>
      <c r="I1355" s="1" t="s">
        <v>714</v>
      </c>
      <c r="J1355" s="1" t="s">
        <v>6779</v>
      </c>
      <c r="K1355" s="1" t="s">
        <v>6780</v>
      </c>
      <c r="L1355" s="1" t="s">
        <v>6781</v>
      </c>
      <c r="M1355" s="1" t="s">
        <v>718</v>
      </c>
    </row>
    <row r="1356" customFormat="false" ht="15" hidden="false" customHeight="false" outlineLevel="0" collapsed="false">
      <c r="A1356" s="1" t="s">
        <v>6782</v>
      </c>
      <c r="B1356" s="1" t="s">
        <v>6783</v>
      </c>
      <c r="C1356" s="1" t="s">
        <v>6784</v>
      </c>
      <c r="D1356" s="2" t="n">
        <v>36309</v>
      </c>
      <c r="E1356" s="1" t="s">
        <v>763</v>
      </c>
      <c r="F1356" s="1" t="s">
        <v>711</v>
      </c>
      <c r="G1356" s="1" t="s">
        <v>712</v>
      </c>
      <c r="H1356" s="1" t="s">
        <v>713</v>
      </c>
      <c r="I1356" s="1" t="s">
        <v>714</v>
      </c>
      <c r="J1356" s="1" t="s">
        <v>6785</v>
      </c>
      <c r="K1356" s="1" t="s">
        <v>716</v>
      </c>
      <c r="L1356" s="1" t="s">
        <v>6786</v>
      </c>
      <c r="M1356" s="1" t="s">
        <v>718</v>
      </c>
    </row>
    <row r="1357" customFormat="false" ht="15" hidden="false" customHeight="false" outlineLevel="0" collapsed="false">
      <c r="A1357" s="1" t="s">
        <v>6787</v>
      </c>
      <c r="B1357" s="1" t="s">
        <v>6788</v>
      </c>
      <c r="C1357" s="1" t="s">
        <v>6784</v>
      </c>
      <c r="D1357" s="2" t="n">
        <v>36981</v>
      </c>
      <c r="E1357" s="1" t="s">
        <v>710</v>
      </c>
      <c r="F1357" s="1" t="s">
        <v>711</v>
      </c>
      <c r="G1357" s="1" t="s">
        <v>712</v>
      </c>
      <c r="H1357" s="1" t="s">
        <v>713</v>
      </c>
      <c r="I1357" s="1" t="s">
        <v>714</v>
      </c>
      <c r="J1357" s="1" t="s">
        <v>3171</v>
      </c>
      <c r="K1357" s="1" t="s">
        <v>716</v>
      </c>
      <c r="L1357" s="1" t="s">
        <v>6786</v>
      </c>
      <c r="M1357" s="1" t="s">
        <v>718</v>
      </c>
    </row>
    <row r="1358" customFormat="false" ht="15" hidden="false" customHeight="false" outlineLevel="0" collapsed="false">
      <c r="A1358" s="1" t="s">
        <v>6789</v>
      </c>
      <c r="B1358" s="1" t="s">
        <v>6790</v>
      </c>
      <c r="C1358" s="1" t="s">
        <v>6791</v>
      </c>
      <c r="D1358" s="2" t="n">
        <v>37123</v>
      </c>
      <c r="E1358" s="1" t="s">
        <v>763</v>
      </c>
      <c r="F1358" s="1" t="s">
        <v>711</v>
      </c>
      <c r="G1358" s="1" t="s">
        <v>722</v>
      </c>
      <c r="H1358" s="1" t="s">
        <v>713</v>
      </c>
      <c r="I1358" s="1" t="s">
        <v>714</v>
      </c>
      <c r="J1358" s="1" t="s">
        <v>3678</v>
      </c>
      <c r="K1358" s="1" t="s">
        <v>6792</v>
      </c>
      <c r="L1358" s="1" t="s">
        <v>6793</v>
      </c>
      <c r="M1358" s="1" t="s">
        <v>718</v>
      </c>
    </row>
    <row r="1359" customFormat="false" ht="15" hidden="false" customHeight="false" outlineLevel="0" collapsed="false">
      <c r="A1359" s="1" t="s">
        <v>6794</v>
      </c>
      <c r="B1359" s="1" t="s">
        <v>6795</v>
      </c>
      <c r="C1359" s="1" t="s">
        <v>6796</v>
      </c>
      <c r="D1359" s="2" t="n">
        <v>37150</v>
      </c>
      <c r="E1359" s="1" t="s">
        <v>763</v>
      </c>
      <c r="F1359" s="1" t="s">
        <v>711</v>
      </c>
      <c r="G1359" s="1" t="s">
        <v>712</v>
      </c>
      <c r="H1359" s="1" t="s">
        <v>713</v>
      </c>
      <c r="I1359" s="1" t="s">
        <v>714</v>
      </c>
      <c r="J1359" s="1" t="s">
        <v>1390</v>
      </c>
      <c r="K1359" s="1" t="s">
        <v>6797</v>
      </c>
      <c r="L1359" s="1" t="s">
        <v>6798</v>
      </c>
      <c r="M1359" s="1" t="s">
        <v>718</v>
      </c>
    </row>
    <row r="1360" customFormat="false" ht="15" hidden="false" customHeight="false" outlineLevel="0" collapsed="false">
      <c r="A1360" s="1" t="s">
        <v>6799</v>
      </c>
      <c r="B1360" s="1" t="s">
        <v>6800</v>
      </c>
      <c r="C1360" s="1" t="s">
        <v>3067</v>
      </c>
      <c r="D1360" s="2" t="n">
        <v>36974</v>
      </c>
      <c r="E1360" s="1" t="s">
        <v>710</v>
      </c>
      <c r="F1360" s="1" t="s">
        <v>711</v>
      </c>
      <c r="G1360" s="1" t="s">
        <v>722</v>
      </c>
      <c r="H1360" s="1" t="s">
        <v>713</v>
      </c>
      <c r="I1360" s="1" t="s">
        <v>714</v>
      </c>
      <c r="J1360" s="1" t="s">
        <v>6801</v>
      </c>
      <c r="K1360" s="1" t="s">
        <v>6802</v>
      </c>
      <c r="L1360" s="1" t="s">
        <v>944</v>
      </c>
      <c r="M1360" s="1" t="s">
        <v>718</v>
      </c>
    </row>
    <row r="1361" customFormat="false" ht="15" hidden="false" customHeight="false" outlineLevel="0" collapsed="false">
      <c r="A1361" s="1" t="s">
        <v>6803</v>
      </c>
      <c r="B1361" s="1" t="s">
        <v>3687</v>
      </c>
      <c r="C1361" s="1" t="s">
        <v>6804</v>
      </c>
      <c r="D1361" s="2" t="n">
        <v>37055</v>
      </c>
      <c r="E1361" s="1" t="s">
        <v>763</v>
      </c>
      <c r="F1361" s="1" t="s">
        <v>711</v>
      </c>
      <c r="G1361" s="1" t="s">
        <v>722</v>
      </c>
      <c r="H1361" s="1" t="s">
        <v>713</v>
      </c>
      <c r="I1361" s="1" t="s">
        <v>714</v>
      </c>
      <c r="J1361" s="1" t="s">
        <v>1723</v>
      </c>
      <c r="K1361" s="1" t="s">
        <v>6805</v>
      </c>
      <c r="L1361" s="1" t="s">
        <v>6806</v>
      </c>
      <c r="M1361" s="1" t="s">
        <v>718</v>
      </c>
    </row>
    <row r="1362" customFormat="false" ht="15" hidden="false" customHeight="false" outlineLevel="0" collapsed="false">
      <c r="A1362" s="1" t="s">
        <v>6807</v>
      </c>
      <c r="B1362" s="1" t="s">
        <v>6808</v>
      </c>
      <c r="C1362" s="1" t="s">
        <v>6809</v>
      </c>
      <c r="D1362" s="2" t="n">
        <v>36747</v>
      </c>
      <c r="E1362" s="1" t="s">
        <v>763</v>
      </c>
      <c r="F1362" s="1" t="s">
        <v>711</v>
      </c>
      <c r="G1362" s="1" t="s">
        <v>722</v>
      </c>
      <c r="H1362" s="1" t="s">
        <v>713</v>
      </c>
      <c r="I1362" s="1" t="s">
        <v>714</v>
      </c>
      <c r="J1362" s="1" t="s">
        <v>838</v>
      </c>
      <c r="K1362" s="1" t="s">
        <v>716</v>
      </c>
      <c r="L1362" s="1" t="s">
        <v>6810</v>
      </c>
      <c r="M1362" s="1" t="s">
        <v>718</v>
      </c>
    </row>
    <row r="1363" customFormat="false" ht="15" hidden="false" customHeight="false" outlineLevel="0" collapsed="false">
      <c r="A1363" s="1" t="s">
        <v>6811</v>
      </c>
      <c r="B1363" s="1" t="s">
        <v>6812</v>
      </c>
      <c r="C1363" s="1" t="s">
        <v>6813</v>
      </c>
      <c r="D1363" s="2" t="n">
        <v>36735</v>
      </c>
      <c r="E1363" s="1" t="s">
        <v>710</v>
      </c>
      <c r="F1363" s="1" t="s">
        <v>711</v>
      </c>
      <c r="G1363" s="1" t="s">
        <v>712</v>
      </c>
      <c r="H1363" s="1" t="s">
        <v>713</v>
      </c>
      <c r="I1363" s="1" t="s">
        <v>714</v>
      </c>
      <c r="J1363" s="1" t="s">
        <v>1723</v>
      </c>
      <c r="K1363" s="1" t="s">
        <v>6814</v>
      </c>
      <c r="L1363" s="1" t="s">
        <v>6815</v>
      </c>
      <c r="M1363" s="1" t="s">
        <v>718</v>
      </c>
    </row>
    <row r="1364" customFormat="false" ht="15" hidden="false" customHeight="false" outlineLevel="0" collapsed="false">
      <c r="A1364" s="1" t="s">
        <v>6816</v>
      </c>
      <c r="B1364" s="1" t="s">
        <v>6817</v>
      </c>
      <c r="C1364" s="1" t="s">
        <v>6818</v>
      </c>
      <c r="D1364" s="2" t="n">
        <v>35022</v>
      </c>
      <c r="E1364" s="1" t="s">
        <v>763</v>
      </c>
      <c r="F1364" s="1" t="s">
        <v>711</v>
      </c>
      <c r="G1364" s="1" t="s">
        <v>722</v>
      </c>
      <c r="H1364" s="1" t="s">
        <v>713</v>
      </c>
      <c r="I1364" s="1" t="s">
        <v>714</v>
      </c>
      <c r="J1364" s="1" t="s">
        <v>715</v>
      </c>
      <c r="K1364" s="1" t="s">
        <v>6819</v>
      </c>
      <c r="L1364" s="1" t="s">
        <v>6820</v>
      </c>
      <c r="M1364" s="1" t="s">
        <v>718</v>
      </c>
    </row>
    <row r="1365" customFormat="false" ht="15" hidden="false" customHeight="false" outlineLevel="0" collapsed="false">
      <c r="A1365" s="1" t="s">
        <v>6821</v>
      </c>
      <c r="B1365" s="1" t="s">
        <v>6822</v>
      </c>
      <c r="C1365" s="1" t="s">
        <v>6757</v>
      </c>
      <c r="D1365" s="2" t="n">
        <v>35967</v>
      </c>
      <c r="E1365" s="1" t="s">
        <v>710</v>
      </c>
      <c r="F1365" s="1" t="s">
        <v>711</v>
      </c>
      <c r="G1365" s="1" t="s">
        <v>712</v>
      </c>
      <c r="H1365" s="1" t="s">
        <v>713</v>
      </c>
      <c r="I1365" s="1" t="s">
        <v>714</v>
      </c>
      <c r="J1365" s="1" t="s">
        <v>6823</v>
      </c>
      <c r="K1365" s="1" t="s">
        <v>6824</v>
      </c>
      <c r="L1365" s="1" t="s">
        <v>6760</v>
      </c>
      <c r="M1365" s="1" t="s">
        <v>718</v>
      </c>
    </row>
    <row r="1366" customFormat="false" ht="15" hidden="false" customHeight="false" outlineLevel="0" collapsed="false">
      <c r="A1366" s="1" t="s">
        <v>6825</v>
      </c>
      <c r="B1366" s="1" t="s">
        <v>6826</v>
      </c>
      <c r="C1366" s="1" t="s">
        <v>1795</v>
      </c>
      <c r="D1366" s="2" t="n">
        <v>36736</v>
      </c>
      <c r="E1366" s="1" t="s">
        <v>710</v>
      </c>
      <c r="F1366" s="1" t="s">
        <v>711</v>
      </c>
      <c r="G1366" s="1" t="s">
        <v>712</v>
      </c>
      <c r="H1366" s="1" t="s">
        <v>713</v>
      </c>
      <c r="I1366" s="1" t="s">
        <v>714</v>
      </c>
      <c r="J1366" s="1" t="s">
        <v>3171</v>
      </c>
      <c r="K1366" s="1" t="s">
        <v>6827</v>
      </c>
      <c r="L1366" s="1" t="s">
        <v>6828</v>
      </c>
      <c r="M1366" s="1" t="s">
        <v>718</v>
      </c>
    </row>
    <row r="1367" customFormat="false" ht="15" hidden="false" customHeight="false" outlineLevel="0" collapsed="false">
      <c r="A1367" s="1" t="s">
        <v>6829</v>
      </c>
      <c r="B1367" s="1" t="s">
        <v>6830</v>
      </c>
      <c r="C1367" s="1" t="s">
        <v>6831</v>
      </c>
      <c r="D1367" s="2" t="n">
        <v>35671</v>
      </c>
      <c r="E1367" s="1" t="s">
        <v>763</v>
      </c>
      <c r="F1367" s="1" t="s">
        <v>711</v>
      </c>
      <c r="G1367" s="1" t="s">
        <v>712</v>
      </c>
      <c r="H1367" s="1" t="s">
        <v>713</v>
      </c>
      <c r="I1367" s="1" t="s">
        <v>714</v>
      </c>
      <c r="J1367" s="1" t="s">
        <v>3171</v>
      </c>
      <c r="K1367" s="1" t="s">
        <v>6832</v>
      </c>
      <c r="L1367" s="1" t="s">
        <v>3966</v>
      </c>
      <c r="M1367" s="1" t="s">
        <v>718</v>
      </c>
    </row>
    <row r="1368" customFormat="false" ht="15" hidden="false" customHeight="false" outlineLevel="0" collapsed="false">
      <c r="A1368" s="1" t="s">
        <v>6833</v>
      </c>
      <c r="B1368" s="1" t="s">
        <v>6834</v>
      </c>
      <c r="C1368" s="1" t="s">
        <v>6835</v>
      </c>
      <c r="D1368" s="2" t="n">
        <v>34813</v>
      </c>
      <c r="E1368" s="1" t="s">
        <v>710</v>
      </c>
      <c r="F1368" s="1" t="s">
        <v>711</v>
      </c>
      <c r="G1368" s="1" t="s">
        <v>712</v>
      </c>
      <c r="H1368" s="1" t="s">
        <v>713</v>
      </c>
      <c r="I1368" s="1" t="s">
        <v>714</v>
      </c>
      <c r="J1368" s="1" t="s">
        <v>751</v>
      </c>
      <c r="K1368" s="1" t="s">
        <v>6836</v>
      </c>
      <c r="L1368" s="1" t="s">
        <v>6837</v>
      </c>
      <c r="M1368" s="1" t="s">
        <v>718</v>
      </c>
    </row>
    <row r="1369" customFormat="false" ht="15" hidden="false" customHeight="false" outlineLevel="0" collapsed="false">
      <c r="A1369" s="1" t="s">
        <v>6838</v>
      </c>
      <c r="B1369" s="1" t="s">
        <v>6839</v>
      </c>
      <c r="C1369" s="1" t="s">
        <v>750</v>
      </c>
      <c r="D1369" s="2" t="n">
        <v>36915</v>
      </c>
      <c r="E1369" s="1" t="s">
        <v>710</v>
      </c>
      <c r="F1369" s="1" t="s">
        <v>711</v>
      </c>
      <c r="G1369" s="1" t="s">
        <v>722</v>
      </c>
      <c r="H1369" s="1" t="s">
        <v>713</v>
      </c>
      <c r="I1369" s="1" t="s">
        <v>714</v>
      </c>
      <c r="J1369" s="1" t="s">
        <v>2001</v>
      </c>
      <c r="K1369" s="1" t="s">
        <v>6840</v>
      </c>
      <c r="L1369" s="1" t="s">
        <v>6841</v>
      </c>
      <c r="M1369" s="1" t="s">
        <v>718</v>
      </c>
    </row>
    <row r="1370" customFormat="false" ht="15" hidden="false" customHeight="false" outlineLevel="0" collapsed="false">
      <c r="A1370" s="1" t="s">
        <v>6842</v>
      </c>
      <c r="B1370" s="1" t="s">
        <v>6843</v>
      </c>
      <c r="C1370" s="1" t="s">
        <v>1619</v>
      </c>
      <c r="D1370" s="2" t="n">
        <v>35767</v>
      </c>
      <c r="E1370" s="1" t="s">
        <v>763</v>
      </c>
      <c r="F1370" s="1" t="s">
        <v>711</v>
      </c>
      <c r="G1370" s="1" t="s">
        <v>6844</v>
      </c>
      <c r="H1370" s="1" t="s">
        <v>713</v>
      </c>
      <c r="I1370" s="1" t="s">
        <v>714</v>
      </c>
      <c r="J1370" s="1" t="s">
        <v>6845</v>
      </c>
      <c r="K1370" s="1" t="s">
        <v>716</v>
      </c>
      <c r="L1370" s="1" t="s">
        <v>6846</v>
      </c>
      <c r="M1370" s="1" t="s">
        <v>718</v>
      </c>
    </row>
    <row r="1371" customFormat="false" ht="15" hidden="false" customHeight="false" outlineLevel="0" collapsed="false">
      <c r="A1371" s="1" t="s">
        <v>6847</v>
      </c>
      <c r="B1371" s="1" t="s">
        <v>6848</v>
      </c>
      <c r="C1371" s="1" t="s">
        <v>6849</v>
      </c>
      <c r="D1371" s="2" t="n">
        <v>36021</v>
      </c>
      <c r="E1371" s="1" t="s">
        <v>763</v>
      </c>
      <c r="F1371" s="1" t="s">
        <v>711</v>
      </c>
      <c r="G1371" s="1" t="s">
        <v>6850</v>
      </c>
      <c r="H1371" s="1" t="s">
        <v>2083</v>
      </c>
      <c r="I1371" s="1" t="s">
        <v>2084</v>
      </c>
      <c r="J1371" s="1" t="s">
        <v>6851</v>
      </c>
      <c r="K1371" s="1" t="s">
        <v>716</v>
      </c>
      <c r="L1371" s="1" t="s">
        <v>6852</v>
      </c>
      <c r="M1371" s="1" t="s">
        <v>2083</v>
      </c>
    </row>
    <row r="1372" customFormat="false" ht="15" hidden="false" customHeight="false" outlineLevel="0" collapsed="false">
      <c r="A1372" s="1" t="s">
        <v>6853</v>
      </c>
      <c r="B1372" s="1" t="s">
        <v>6854</v>
      </c>
      <c r="C1372" s="1" t="s">
        <v>5156</v>
      </c>
      <c r="D1372" s="2" t="n">
        <v>37210</v>
      </c>
      <c r="E1372" s="1" t="s">
        <v>763</v>
      </c>
      <c r="F1372" s="1" t="s">
        <v>711</v>
      </c>
      <c r="G1372" s="1" t="s">
        <v>775</v>
      </c>
      <c r="H1372" s="1" t="s">
        <v>713</v>
      </c>
      <c r="I1372" s="1" t="s">
        <v>714</v>
      </c>
      <c r="J1372" s="1" t="s">
        <v>1723</v>
      </c>
      <c r="K1372" s="1" t="s">
        <v>6855</v>
      </c>
      <c r="L1372" s="1" t="s">
        <v>6856</v>
      </c>
      <c r="M1372" s="1" t="s">
        <v>718</v>
      </c>
    </row>
    <row r="1373" customFormat="false" ht="15" hidden="false" customHeight="false" outlineLevel="0" collapsed="false">
      <c r="A1373" s="1" t="s">
        <v>6857</v>
      </c>
      <c r="B1373" s="1" t="s">
        <v>6858</v>
      </c>
      <c r="C1373" s="1" t="s">
        <v>1234</v>
      </c>
      <c r="D1373" s="2" t="n">
        <v>37544</v>
      </c>
      <c r="E1373" s="1" t="s">
        <v>710</v>
      </c>
      <c r="F1373" s="1" t="s">
        <v>711</v>
      </c>
      <c r="G1373" s="1" t="s">
        <v>712</v>
      </c>
      <c r="H1373" s="1" t="s">
        <v>713</v>
      </c>
      <c r="I1373" s="1" t="s">
        <v>714</v>
      </c>
      <c r="J1373" s="1" t="s">
        <v>1244</v>
      </c>
      <c r="K1373" s="1" t="s">
        <v>716</v>
      </c>
      <c r="L1373" s="1" t="s">
        <v>6859</v>
      </c>
      <c r="M1373" s="1" t="s">
        <v>718</v>
      </c>
    </row>
    <row r="1374" customFormat="false" ht="15" hidden="false" customHeight="false" outlineLevel="0" collapsed="false">
      <c r="A1374" s="1" t="s">
        <v>6860</v>
      </c>
      <c r="B1374" s="1" t="s">
        <v>6861</v>
      </c>
      <c r="C1374" s="1" t="s">
        <v>1059</v>
      </c>
      <c r="D1374" s="2" t="n">
        <v>36786</v>
      </c>
      <c r="E1374" s="1" t="s">
        <v>763</v>
      </c>
      <c r="F1374" s="1" t="s">
        <v>711</v>
      </c>
      <c r="G1374" s="1" t="s">
        <v>712</v>
      </c>
      <c r="H1374" s="1" t="s">
        <v>713</v>
      </c>
      <c r="I1374" s="1" t="s">
        <v>714</v>
      </c>
      <c r="J1374" s="1" t="s">
        <v>1898</v>
      </c>
      <c r="K1374" s="1" t="s">
        <v>6862</v>
      </c>
      <c r="L1374" s="1" t="s">
        <v>4880</v>
      </c>
      <c r="M1374" s="1" t="s">
        <v>718</v>
      </c>
    </row>
    <row r="1375" customFormat="false" ht="15" hidden="false" customHeight="false" outlineLevel="0" collapsed="false">
      <c r="A1375" s="1" t="s">
        <v>6863</v>
      </c>
      <c r="B1375" s="1" t="s">
        <v>6864</v>
      </c>
      <c r="C1375" s="1" t="s">
        <v>2457</v>
      </c>
      <c r="D1375" s="2" t="n">
        <v>37205</v>
      </c>
      <c r="E1375" s="1" t="s">
        <v>763</v>
      </c>
      <c r="F1375" s="1" t="s">
        <v>711</v>
      </c>
      <c r="G1375" s="1" t="s">
        <v>722</v>
      </c>
      <c r="H1375" s="1" t="s">
        <v>713</v>
      </c>
      <c r="I1375" s="1" t="s">
        <v>714</v>
      </c>
      <c r="J1375" s="1" t="s">
        <v>6865</v>
      </c>
      <c r="K1375" s="1" t="s">
        <v>6866</v>
      </c>
      <c r="L1375" s="1" t="s">
        <v>2459</v>
      </c>
      <c r="M1375" s="1" t="s">
        <v>718</v>
      </c>
    </row>
    <row r="1376" customFormat="false" ht="15" hidden="false" customHeight="false" outlineLevel="0" collapsed="false">
      <c r="A1376" s="1" t="s">
        <v>6867</v>
      </c>
      <c r="B1376" s="1" t="s">
        <v>2374</v>
      </c>
      <c r="C1376" s="1" t="s">
        <v>739</v>
      </c>
      <c r="D1376" s="2" t="n">
        <v>37145</v>
      </c>
      <c r="E1376" s="1" t="s">
        <v>763</v>
      </c>
      <c r="F1376" s="1" t="s">
        <v>711</v>
      </c>
      <c r="G1376" s="1" t="s">
        <v>722</v>
      </c>
      <c r="H1376" s="1" t="s">
        <v>713</v>
      </c>
      <c r="I1376" s="1" t="s">
        <v>714</v>
      </c>
      <c r="J1376" s="1" t="s">
        <v>6868</v>
      </c>
      <c r="K1376" s="1" t="s">
        <v>6869</v>
      </c>
      <c r="L1376" s="1" t="s">
        <v>3668</v>
      </c>
      <c r="M1376" s="1" t="s">
        <v>718</v>
      </c>
    </row>
    <row r="1377" customFormat="false" ht="15" hidden="false" customHeight="false" outlineLevel="0" collapsed="false">
      <c r="A1377" s="1" t="s">
        <v>6870</v>
      </c>
      <c r="B1377" s="1" t="s">
        <v>6871</v>
      </c>
      <c r="C1377" s="1" t="s">
        <v>6872</v>
      </c>
      <c r="D1377" s="2" t="n">
        <v>37243</v>
      </c>
      <c r="E1377" s="1" t="s">
        <v>763</v>
      </c>
      <c r="F1377" s="1" t="s">
        <v>711</v>
      </c>
      <c r="G1377" s="1" t="s">
        <v>712</v>
      </c>
      <c r="H1377" s="1" t="s">
        <v>713</v>
      </c>
      <c r="I1377" s="1" t="s">
        <v>714</v>
      </c>
      <c r="J1377" s="1" t="s">
        <v>716</v>
      </c>
      <c r="K1377" s="1" t="s">
        <v>716</v>
      </c>
      <c r="L1377" s="1" t="s">
        <v>6873</v>
      </c>
      <c r="M1377" s="1" t="s">
        <v>718</v>
      </c>
    </row>
    <row r="1378" customFormat="false" ht="15" hidden="false" customHeight="false" outlineLevel="0" collapsed="false">
      <c r="A1378" s="1" t="s">
        <v>6874</v>
      </c>
      <c r="B1378" s="1" t="s">
        <v>6875</v>
      </c>
      <c r="C1378" s="1" t="s">
        <v>4018</v>
      </c>
      <c r="D1378" s="2" t="n">
        <v>37352</v>
      </c>
      <c r="E1378" s="1" t="s">
        <v>710</v>
      </c>
      <c r="F1378" s="1" t="s">
        <v>711</v>
      </c>
      <c r="G1378" s="1" t="s">
        <v>712</v>
      </c>
      <c r="H1378" s="1" t="s">
        <v>713</v>
      </c>
      <c r="I1378" s="1" t="s">
        <v>714</v>
      </c>
      <c r="J1378" s="1" t="s">
        <v>6876</v>
      </c>
      <c r="K1378" s="1" t="s">
        <v>6877</v>
      </c>
      <c r="L1378" s="1" t="s">
        <v>4021</v>
      </c>
      <c r="M1378" s="1" t="s">
        <v>718</v>
      </c>
    </row>
    <row r="1379" customFormat="false" ht="15" hidden="false" customHeight="false" outlineLevel="0" collapsed="false">
      <c r="A1379" s="1" t="s">
        <v>6878</v>
      </c>
      <c r="B1379" s="1" t="s">
        <v>6879</v>
      </c>
      <c r="C1379" s="1" t="s">
        <v>2067</v>
      </c>
      <c r="D1379" s="2" t="n">
        <v>37240</v>
      </c>
      <c r="E1379" s="1" t="s">
        <v>763</v>
      </c>
      <c r="F1379" s="1" t="s">
        <v>711</v>
      </c>
      <c r="G1379" s="1" t="s">
        <v>722</v>
      </c>
      <c r="H1379" s="1" t="s">
        <v>713</v>
      </c>
      <c r="I1379" s="1" t="s">
        <v>714</v>
      </c>
      <c r="J1379" s="1" t="s">
        <v>2117</v>
      </c>
      <c r="K1379" s="1" t="s">
        <v>6880</v>
      </c>
      <c r="L1379" s="1" t="s">
        <v>2069</v>
      </c>
      <c r="M1379" s="1" t="s">
        <v>718</v>
      </c>
    </row>
    <row r="1380" customFormat="false" ht="15" hidden="false" customHeight="false" outlineLevel="0" collapsed="false">
      <c r="A1380" s="1" t="s">
        <v>6881</v>
      </c>
      <c r="B1380" s="1" t="s">
        <v>6882</v>
      </c>
      <c r="C1380" s="1" t="s">
        <v>1068</v>
      </c>
      <c r="D1380" s="2" t="n">
        <v>37232</v>
      </c>
      <c r="E1380" s="1" t="s">
        <v>763</v>
      </c>
      <c r="F1380" s="1" t="s">
        <v>711</v>
      </c>
      <c r="G1380" s="1" t="s">
        <v>722</v>
      </c>
      <c r="H1380" s="1" t="s">
        <v>713</v>
      </c>
      <c r="I1380" s="1" t="s">
        <v>714</v>
      </c>
      <c r="J1380" s="1" t="s">
        <v>6883</v>
      </c>
      <c r="K1380" s="1" t="s">
        <v>716</v>
      </c>
      <c r="L1380" s="1" t="s">
        <v>1069</v>
      </c>
      <c r="M1380" s="1" t="s">
        <v>718</v>
      </c>
    </row>
    <row r="1381" customFormat="false" ht="15" hidden="false" customHeight="false" outlineLevel="0" collapsed="false">
      <c r="A1381" s="1" t="s">
        <v>6884</v>
      </c>
      <c r="B1381" s="1" t="s">
        <v>5959</v>
      </c>
      <c r="C1381" s="1" t="s">
        <v>2121</v>
      </c>
      <c r="D1381" s="2" t="n">
        <v>37229</v>
      </c>
      <c r="E1381" s="1" t="s">
        <v>763</v>
      </c>
      <c r="F1381" s="1" t="s">
        <v>711</v>
      </c>
      <c r="G1381" s="1" t="s">
        <v>722</v>
      </c>
      <c r="H1381" s="1" t="s">
        <v>713</v>
      </c>
      <c r="I1381" s="1" t="s">
        <v>714</v>
      </c>
      <c r="J1381" s="1" t="s">
        <v>6885</v>
      </c>
      <c r="K1381" s="1" t="s">
        <v>6886</v>
      </c>
      <c r="L1381" s="1" t="s">
        <v>1418</v>
      </c>
      <c r="M1381" s="1" t="s">
        <v>718</v>
      </c>
    </row>
    <row r="1382" customFormat="false" ht="15" hidden="false" customHeight="false" outlineLevel="0" collapsed="false">
      <c r="A1382" s="1" t="s">
        <v>6887</v>
      </c>
      <c r="B1382" s="1" t="s">
        <v>5664</v>
      </c>
      <c r="C1382" s="1" t="s">
        <v>6888</v>
      </c>
      <c r="D1382" s="2" t="n">
        <v>37119</v>
      </c>
      <c r="E1382" s="1" t="s">
        <v>763</v>
      </c>
      <c r="F1382" s="1" t="s">
        <v>711</v>
      </c>
      <c r="G1382" s="1" t="s">
        <v>712</v>
      </c>
      <c r="H1382" s="1" t="s">
        <v>713</v>
      </c>
      <c r="I1382" s="1" t="s">
        <v>714</v>
      </c>
      <c r="J1382" s="1" t="s">
        <v>928</v>
      </c>
      <c r="K1382" s="1" t="s">
        <v>6889</v>
      </c>
      <c r="L1382" s="1" t="s">
        <v>6890</v>
      </c>
      <c r="M1382" s="1" t="s">
        <v>718</v>
      </c>
    </row>
    <row r="1383" customFormat="false" ht="15" hidden="false" customHeight="false" outlineLevel="0" collapsed="false">
      <c r="A1383" s="1" t="s">
        <v>6891</v>
      </c>
      <c r="B1383" s="1" t="s">
        <v>6892</v>
      </c>
      <c r="C1383" s="1" t="s">
        <v>1139</v>
      </c>
      <c r="D1383" s="2" t="n">
        <v>37108</v>
      </c>
      <c r="E1383" s="1" t="s">
        <v>763</v>
      </c>
      <c r="F1383" s="1" t="s">
        <v>711</v>
      </c>
      <c r="G1383" s="1" t="s">
        <v>712</v>
      </c>
      <c r="H1383" s="1" t="s">
        <v>713</v>
      </c>
      <c r="I1383" s="1" t="s">
        <v>714</v>
      </c>
      <c r="J1383" s="1" t="s">
        <v>715</v>
      </c>
      <c r="K1383" s="1" t="s">
        <v>6893</v>
      </c>
      <c r="L1383" s="1" t="s">
        <v>6894</v>
      </c>
      <c r="M1383" s="1" t="s">
        <v>718</v>
      </c>
    </row>
    <row r="1384" customFormat="false" ht="15" hidden="false" customHeight="false" outlineLevel="0" collapsed="false">
      <c r="A1384" s="1" t="s">
        <v>6895</v>
      </c>
      <c r="B1384" s="1" t="s">
        <v>6896</v>
      </c>
      <c r="C1384" s="1" t="s">
        <v>6897</v>
      </c>
      <c r="D1384" s="2" t="n">
        <v>36915</v>
      </c>
      <c r="E1384" s="1" t="s">
        <v>763</v>
      </c>
      <c r="F1384" s="1" t="s">
        <v>711</v>
      </c>
      <c r="G1384" s="1" t="s">
        <v>712</v>
      </c>
      <c r="H1384" s="1" t="s">
        <v>713</v>
      </c>
      <c r="I1384" s="1" t="s">
        <v>714</v>
      </c>
      <c r="J1384" s="1" t="s">
        <v>1723</v>
      </c>
      <c r="K1384" s="1" t="s">
        <v>6898</v>
      </c>
      <c r="L1384" s="1" t="s">
        <v>6899</v>
      </c>
      <c r="M1384" s="1" t="s">
        <v>718</v>
      </c>
    </row>
    <row r="1385" customFormat="false" ht="15" hidden="false" customHeight="false" outlineLevel="0" collapsed="false">
      <c r="A1385" s="1" t="s">
        <v>6900</v>
      </c>
      <c r="B1385" s="1" t="s">
        <v>6901</v>
      </c>
      <c r="C1385" s="1" t="s">
        <v>6902</v>
      </c>
      <c r="D1385" s="2" t="n">
        <v>37198</v>
      </c>
      <c r="E1385" s="1" t="s">
        <v>763</v>
      </c>
      <c r="F1385" s="1" t="s">
        <v>711</v>
      </c>
      <c r="G1385" s="1" t="s">
        <v>2094</v>
      </c>
      <c r="H1385" s="1" t="s">
        <v>713</v>
      </c>
      <c r="I1385" s="1" t="s">
        <v>714</v>
      </c>
      <c r="J1385" s="1" t="s">
        <v>1723</v>
      </c>
      <c r="K1385" s="1" t="s">
        <v>6903</v>
      </c>
      <c r="L1385" s="1" t="s">
        <v>3993</v>
      </c>
      <c r="M1385" s="1" t="s">
        <v>718</v>
      </c>
    </row>
    <row r="1386" customFormat="false" ht="15" hidden="false" customHeight="false" outlineLevel="0" collapsed="false">
      <c r="A1386" s="1" t="s">
        <v>6904</v>
      </c>
      <c r="B1386" s="1" t="s">
        <v>935</v>
      </c>
      <c r="C1386" s="1" t="s">
        <v>6905</v>
      </c>
      <c r="D1386" s="2" t="n">
        <v>36483</v>
      </c>
      <c r="E1386" s="1" t="s">
        <v>710</v>
      </c>
      <c r="F1386" s="1" t="s">
        <v>711</v>
      </c>
      <c r="G1386" s="1" t="s">
        <v>722</v>
      </c>
      <c r="H1386" s="1" t="s">
        <v>713</v>
      </c>
      <c r="I1386" s="1" t="s">
        <v>714</v>
      </c>
      <c r="J1386" s="1" t="s">
        <v>1723</v>
      </c>
      <c r="K1386" s="1" t="s">
        <v>6906</v>
      </c>
      <c r="L1386" s="1" t="s">
        <v>6907</v>
      </c>
      <c r="M1386" s="1" t="s">
        <v>718</v>
      </c>
    </row>
    <row r="1387" customFormat="false" ht="15" hidden="false" customHeight="false" outlineLevel="0" collapsed="false">
      <c r="A1387" s="1" t="s">
        <v>6908</v>
      </c>
      <c r="B1387" s="1" t="s">
        <v>6909</v>
      </c>
      <c r="C1387" s="1" t="s">
        <v>1713</v>
      </c>
      <c r="D1387" s="2" t="n">
        <v>37000</v>
      </c>
      <c r="E1387" s="1" t="s">
        <v>763</v>
      </c>
      <c r="F1387" s="1" t="s">
        <v>711</v>
      </c>
      <c r="G1387" s="1" t="s">
        <v>712</v>
      </c>
      <c r="H1387" s="1" t="s">
        <v>713</v>
      </c>
      <c r="I1387" s="1" t="s">
        <v>714</v>
      </c>
      <c r="J1387" s="1" t="s">
        <v>1723</v>
      </c>
      <c r="K1387" s="1" t="s">
        <v>6910</v>
      </c>
      <c r="L1387" s="1" t="s">
        <v>6911</v>
      </c>
      <c r="M1387" s="1" t="s">
        <v>718</v>
      </c>
    </row>
    <row r="1388" customFormat="false" ht="15" hidden="false" customHeight="false" outlineLevel="0" collapsed="false">
      <c r="A1388" s="1" t="s">
        <v>6912</v>
      </c>
      <c r="B1388" s="1" t="s">
        <v>6913</v>
      </c>
      <c r="C1388" s="1" t="s">
        <v>6914</v>
      </c>
      <c r="D1388" s="2" t="n">
        <v>36389</v>
      </c>
      <c r="E1388" s="1" t="s">
        <v>763</v>
      </c>
      <c r="F1388" s="1" t="s">
        <v>711</v>
      </c>
      <c r="G1388" s="1" t="s">
        <v>722</v>
      </c>
      <c r="H1388" s="1" t="s">
        <v>713</v>
      </c>
      <c r="I1388" s="1" t="s">
        <v>714</v>
      </c>
      <c r="J1388" s="1" t="s">
        <v>1723</v>
      </c>
      <c r="K1388" s="1" t="s">
        <v>6915</v>
      </c>
      <c r="L1388" s="1" t="s">
        <v>6916</v>
      </c>
      <c r="M1388" s="1" t="s">
        <v>718</v>
      </c>
    </row>
    <row r="1389" customFormat="false" ht="15" hidden="false" customHeight="false" outlineLevel="0" collapsed="false">
      <c r="A1389" s="1" t="s">
        <v>6917</v>
      </c>
      <c r="B1389" s="1" t="s">
        <v>6918</v>
      </c>
      <c r="C1389" s="1" t="s">
        <v>6919</v>
      </c>
      <c r="D1389" s="2" t="n">
        <v>37234</v>
      </c>
      <c r="E1389" s="1" t="s">
        <v>763</v>
      </c>
      <c r="F1389" s="1" t="s">
        <v>711</v>
      </c>
      <c r="G1389" s="1" t="s">
        <v>712</v>
      </c>
      <c r="H1389" s="1" t="s">
        <v>713</v>
      </c>
      <c r="I1389" s="1" t="s">
        <v>714</v>
      </c>
      <c r="J1389" s="1" t="s">
        <v>1723</v>
      </c>
      <c r="K1389" s="1" t="s">
        <v>6920</v>
      </c>
      <c r="L1389" s="1" t="s">
        <v>6921</v>
      </c>
      <c r="M1389" s="1" t="s">
        <v>718</v>
      </c>
    </row>
    <row r="1390" customFormat="false" ht="15" hidden="false" customHeight="false" outlineLevel="0" collapsed="false">
      <c r="A1390" s="1" t="s">
        <v>6922</v>
      </c>
      <c r="B1390" s="1" t="s">
        <v>6923</v>
      </c>
      <c r="C1390" s="1" t="s">
        <v>1491</v>
      </c>
      <c r="D1390" s="2" t="n">
        <v>37162</v>
      </c>
      <c r="E1390" s="1" t="s">
        <v>763</v>
      </c>
      <c r="F1390" s="1" t="s">
        <v>711</v>
      </c>
      <c r="G1390" s="1" t="s">
        <v>722</v>
      </c>
      <c r="H1390" s="1" t="s">
        <v>713</v>
      </c>
      <c r="I1390" s="1" t="s">
        <v>714</v>
      </c>
      <c r="J1390" s="1" t="s">
        <v>6924</v>
      </c>
      <c r="K1390" s="1" t="s">
        <v>6925</v>
      </c>
      <c r="L1390" s="1" t="s">
        <v>1492</v>
      </c>
      <c r="M1390" s="1" t="s">
        <v>718</v>
      </c>
    </row>
    <row r="1391" customFormat="false" ht="15" hidden="false" customHeight="false" outlineLevel="0" collapsed="false">
      <c r="A1391" s="1" t="s">
        <v>6926</v>
      </c>
      <c r="B1391" s="1" t="s">
        <v>1523</v>
      </c>
      <c r="C1391" s="1" t="s">
        <v>6927</v>
      </c>
      <c r="D1391" s="2" t="n">
        <v>36943</v>
      </c>
      <c r="E1391" s="1" t="s">
        <v>763</v>
      </c>
      <c r="F1391" s="1" t="s">
        <v>711</v>
      </c>
      <c r="G1391" s="1" t="s">
        <v>712</v>
      </c>
      <c r="H1391" s="1" t="s">
        <v>713</v>
      </c>
      <c r="I1391" s="1" t="s">
        <v>714</v>
      </c>
      <c r="J1391" s="1" t="s">
        <v>6928</v>
      </c>
      <c r="K1391" s="1" t="s">
        <v>6929</v>
      </c>
      <c r="L1391" s="1" t="s">
        <v>6930</v>
      </c>
      <c r="M1391" s="1" t="s">
        <v>718</v>
      </c>
    </row>
    <row r="1392" customFormat="false" ht="15" hidden="false" customHeight="false" outlineLevel="0" collapsed="false">
      <c r="A1392" s="1" t="s">
        <v>6931</v>
      </c>
      <c r="B1392" s="1" t="s">
        <v>6531</v>
      </c>
      <c r="C1392" s="1" t="s">
        <v>6932</v>
      </c>
      <c r="D1392" s="2" t="n">
        <v>37165</v>
      </c>
      <c r="E1392" s="1" t="s">
        <v>763</v>
      </c>
      <c r="F1392" s="1" t="s">
        <v>711</v>
      </c>
      <c r="G1392" s="1" t="s">
        <v>712</v>
      </c>
      <c r="H1392" s="1" t="s">
        <v>713</v>
      </c>
      <c r="I1392" s="1" t="s">
        <v>714</v>
      </c>
      <c r="J1392" s="1" t="s">
        <v>6933</v>
      </c>
      <c r="K1392" s="1" t="s">
        <v>6934</v>
      </c>
      <c r="L1392" s="1" t="s">
        <v>6183</v>
      </c>
      <c r="M1392" s="1" t="s">
        <v>718</v>
      </c>
    </row>
    <row r="1393" customFormat="false" ht="15" hidden="false" customHeight="false" outlineLevel="0" collapsed="false">
      <c r="A1393" s="1" t="s">
        <v>6935</v>
      </c>
      <c r="B1393" s="1" t="s">
        <v>6936</v>
      </c>
      <c r="C1393" s="1" t="s">
        <v>1610</v>
      </c>
      <c r="D1393" s="2" t="n">
        <v>37180</v>
      </c>
      <c r="E1393" s="1" t="s">
        <v>710</v>
      </c>
      <c r="F1393" s="1" t="s">
        <v>711</v>
      </c>
      <c r="G1393" s="1" t="s">
        <v>712</v>
      </c>
      <c r="H1393" s="1" t="s">
        <v>713</v>
      </c>
      <c r="I1393" s="1" t="s">
        <v>714</v>
      </c>
      <c r="J1393" s="1" t="s">
        <v>4940</v>
      </c>
      <c r="K1393" s="1" t="s">
        <v>6937</v>
      </c>
      <c r="L1393" s="1" t="s">
        <v>6938</v>
      </c>
      <c r="M1393" s="1" t="s">
        <v>718</v>
      </c>
    </row>
    <row r="1394" customFormat="false" ht="15" hidden="false" customHeight="false" outlineLevel="0" collapsed="false">
      <c r="A1394" s="1" t="s">
        <v>6939</v>
      </c>
      <c r="B1394" s="1" t="s">
        <v>6940</v>
      </c>
      <c r="C1394" s="1" t="s">
        <v>1748</v>
      </c>
      <c r="D1394" s="2" t="n">
        <v>36932</v>
      </c>
      <c r="E1394" s="1" t="s">
        <v>763</v>
      </c>
      <c r="F1394" s="1" t="s">
        <v>711</v>
      </c>
      <c r="G1394" s="1" t="s">
        <v>712</v>
      </c>
      <c r="H1394" s="1" t="s">
        <v>713</v>
      </c>
      <c r="I1394" s="1" t="s">
        <v>714</v>
      </c>
      <c r="J1394" s="1" t="s">
        <v>6941</v>
      </c>
      <c r="K1394" s="1" t="s">
        <v>6942</v>
      </c>
      <c r="L1394" s="1" t="s">
        <v>1749</v>
      </c>
      <c r="M1394" s="1" t="s">
        <v>718</v>
      </c>
    </row>
    <row r="1395" customFormat="false" ht="15" hidden="false" customHeight="false" outlineLevel="0" collapsed="false">
      <c r="A1395" s="1" t="s">
        <v>6943</v>
      </c>
      <c r="B1395" s="1" t="s">
        <v>6944</v>
      </c>
      <c r="C1395" s="1" t="s">
        <v>6945</v>
      </c>
      <c r="D1395" s="2" t="n">
        <v>37225</v>
      </c>
      <c r="E1395" s="1" t="s">
        <v>763</v>
      </c>
      <c r="F1395" s="1" t="s">
        <v>711</v>
      </c>
      <c r="G1395" s="1" t="s">
        <v>712</v>
      </c>
      <c r="H1395" s="1" t="s">
        <v>713</v>
      </c>
      <c r="I1395" s="1" t="s">
        <v>714</v>
      </c>
      <c r="J1395" s="1" t="s">
        <v>6946</v>
      </c>
      <c r="K1395" s="1" t="s">
        <v>716</v>
      </c>
      <c r="L1395" s="1" t="s">
        <v>6947</v>
      </c>
      <c r="M1395" s="1" t="s">
        <v>718</v>
      </c>
    </row>
    <row r="1396" customFormat="false" ht="15" hidden="false" customHeight="false" outlineLevel="0" collapsed="false">
      <c r="A1396" s="1" t="s">
        <v>6948</v>
      </c>
      <c r="B1396" s="1" t="s">
        <v>4594</v>
      </c>
      <c r="C1396" s="1" t="s">
        <v>2632</v>
      </c>
      <c r="D1396" s="2" t="n">
        <v>37180</v>
      </c>
      <c r="E1396" s="1" t="s">
        <v>710</v>
      </c>
      <c r="F1396" s="1" t="s">
        <v>711</v>
      </c>
      <c r="G1396" s="1" t="s">
        <v>712</v>
      </c>
      <c r="H1396" s="1" t="s">
        <v>713</v>
      </c>
      <c r="I1396" s="1" t="s">
        <v>714</v>
      </c>
      <c r="J1396" s="1" t="s">
        <v>5767</v>
      </c>
      <c r="K1396" s="1" t="s">
        <v>6949</v>
      </c>
      <c r="L1396" s="1" t="s">
        <v>6950</v>
      </c>
      <c r="M1396" s="1" t="s">
        <v>718</v>
      </c>
    </row>
    <row r="1397" customFormat="false" ht="15" hidden="false" customHeight="false" outlineLevel="0" collapsed="false">
      <c r="A1397" s="1" t="s">
        <v>6951</v>
      </c>
      <c r="B1397" s="1" t="s">
        <v>6952</v>
      </c>
      <c r="C1397" s="1" t="s">
        <v>6953</v>
      </c>
      <c r="D1397" s="2" t="n">
        <v>36559</v>
      </c>
      <c r="E1397" s="1" t="s">
        <v>710</v>
      </c>
      <c r="F1397" s="1" t="s">
        <v>711</v>
      </c>
      <c r="G1397" s="1" t="s">
        <v>712</v>
      </c>
      <c r="H1397" s="1" t="s">
        <v>713</v>
      </c>
      <c r="I1397" s="1" t="s">
        <v>714</v>
      </c>
      <c r="J1397" s="1" t="s">
        <v>5767</v>
      </c>
      <c r="K1397" s="1" t="s">
        <v>6954</v>
      </c>
      <c r="L1397" s="1" t="s">
        <v>6955</v>
      </c>
      <c r="M1397" s="1" t="s">
        <v>718</v>
      </c>
    </row>
    <row r="1398" customFormat="false" ht="15" hidden="false" customHeight="false" outlineLevel="0" collapsed="false">
      <c r="A1398" s="1" t="s">
        <v>6956</v>
      </c>
      <c r="B1398" s="1" t="s">
        <v>6957</v>
      </c>
      <c r="C1398" s="1" t="s">
        <v>6958</v>
      </c>
      <c r="D1398" s="2" t="n">
        <v>37148</v>
      </c>
      <c r="E1398" s="1" t="s">
        <v>763</v>
      </c>
      <c r="F1398" s="1" t="s">
        <v>711</v>
      </c>
      <c r="G1398" s="1" t="s">
        <v>722</v>
      </c>
      <c r="H1398" s="1" t="s">
        <v>713</v>
      </c>
      <c r="I1398" s="1" t="s">
        <v>714</v>
      </c>
      <c r="J1398" s="1" t="s">
        <v>6959</v>
      </c>
      <c r="K1398" s="1" t="s">
        <v>6960</v>
      </c>
      <c r="L1398" s="1" t="s">
        <v>5511</v>
      </c>
      <c r="M1398" s="1" t="s">
        <v>718</v>
      </c>
    </row>
    <row r="1399" customFormat="false" ht="15" hidden="false" customHeight="false" outlineLevel="0" collapsed="false">
      <c r="A1399" s="1" t="s">
        <v>6961</v>
      </c>
      <c r="B1399" s="1" t="s">
        <v>6962</v>
      </c>
      <c r="C1399" s="1" t="s">
        <v>774</v>
      </c>
      <c r="D1399" s="2" t="n">
        <v>37027</v>
      </c>
      <c r="E1399" s="1" t="s">
        <v>710</v>
      </c>
      <c r="F1399" s="1" t="s">
        <v>711</v>
      </c>
      <c r="G1399" s="1" t="s">
        <v>712</v>
      </c>
      <c r="H1399" s="1" t="s">
        <v>713</v>
      </c>
      <c r="I1399" s="1" t="s">
        <v>714</v>
      </c>
      <c r="J1399" s="1" t="s">
        <v>838</v>
      </c>
      <c r="K1399" s="1" t="s">
        <v>6963</v>
      </c>
      <c r="L1399" s="1" t="s">
        <v>776</v>
      </c>
      <c r="M1399" s="1" t="s">
        <v>718</v>
      </c>
    </row>
    <row r="1400" customFormat="false" ht="15" hidden="false" customHeight="false" outlineLevel="0" collapsed="false">
      <c r="A1400" s="1" t="s">
        <v>6964</v>
      </c>
      <c r="B1400" s="1" t="s">
        <v>6965</v>
      </c>
      <c r="C1400" s="1" t="s">
        <v>6966</v>
      </c>
      <c r="D1400" s="2" t="n">
        <v>37232</v>
      </c>
      <c r="E1400" s="1" t="s">
        <v>763</v>
      </c>
      <c r="F1400" s="1" t="s">
        <v>711</v>
      </c>
      <c r="G1400" s="1" t="s">
        <v>712</v>
      </c>
      <c r="H1400" s="1" t="s">
        <v>713</v>
      </c>
      <c r="I1400" s="1" t="s">
        <v>714</v>
      </c>
      <c r="J1400" s="1" t="s">
        <v>6967</v>
      </c>
      <c r="K1400" s="1" t="s">
        <v>6968</v>
      </c>
      <c r="L1400" s="1" t="s">
        <v>6969</v>
      </c>
      <c r="M1400" s="1" t="s">
        <v>718</v>
      </c>
    </row>
    <row r="1401" customFormat="false" ht="15" hidden="false" customHeight="false" outlineLevel="0" collapsed="false">
      <c r="A1401" s="1" t="s">
        <v>6970</v>
      </c>
      <c r="B1401" s="1" t="s">
        <v>6971</v>
      </c>
      <c r="C1401" s="1" t="s">
        <v>6972</v>
      </c>
      <c r="D1401" s="2" t="n">
        <v>36770</v>
      </c>
      <c r="E1401" s="1" t="s">
        <v>710</v>
      </c>
      <c r="F1401" s="1" t="s">
        <v>711</v>
      </c>
      <c r="G1401" s="1" t="s">
        <v>712</v>
      </c>
      <c r="H1401" s="1" t="s">
        <v>713</v>
      </c>
      <c r="I1401" s="1" t="s">
        <v>714</v>
      </c>
      <c r="J1401" s="1" t="s">
        <v>1131</v>
      </c>
      <c r="K1401" s="1" t="s">
        <v>6973</v>
      </c>
      <c r="L1401" s="1" t="s">
        <v>6974</v>
      </c>
      <c r="M1401" s="1" t="s">
        <v>718</v>
      </c>
    </row>
    <row r="1402" customFormat="false" ht="15" hidden="false" customHeight="false" outlineLevel="0" collapsed="false">
      <c r="A1402" s="1" t="s">
        <v>6975</v>
      </c>
      <c r="B1402" s="1" t="s">
        <v>6976</v>
      </c>
      <c r="C1402" s="1" t="s">
        <v>750</v>
      </c>
      <c r="D1402" s="2" t="n">
        <v>36942</v>
      </c>
      <c r="E1402" s="1" t="s">
        <v>710</v>
      </c>
      <c r="F1402" s="1" t="s">
        <v>711</v>
      </c>
      <c r="G1402" s="1" t="s">
        <v>712</v>
      </c>
      <c r="H1402" s="1" t="s">
        <v>713</v>
      </c>
      <c r="I1402" s="1" t="s">
        <v>714</v>
      </c>
      <c r="J1402" s="1" t="s">
        <v>6977</v>
      </c>
      <c r="K1402" s="1" t="s">
        <v>6978</v>
      </c>
      <c r="L1402" s="1" t="s">
        <v>6979</v>
      </c>
      <c r="M1402" s="1" t="s">
        <v>718</v>
      </c>
    </row>
    <row r="1403" customFormat="false" ht="15" hidden="false" customHeight="false" outlineLevel="0" collapsed="false">
      <c r="A1403" s="1" t="s">
        <v>6980</v>
      </c>
      <c r="B1403" s="1" t="s">
        <v>6981</v>
      </c>
      <c r="C1403" s="1" t="s">
        <v>6982</v>
      </c>
      <c r="D1403" s="2" t="n">
        <v>36718</v>
      </c>
      <c r="E1403" s="1" t="s">
        <v>763</v>
      </c>
      <c r="F1403" s="1" t="s">
        <v>711</v>
      </c>
      <c r="G1403" s="1" t="s">
        <v>722</v>
      </c>
      <c r="H1403" s="1" t="s">
        <v>713</v>
      </c>
      <c r="I1403" s="1" t="s">
        <v>714</v>
      </c>
      <c r="J1403" s="1" t="s">
        <v>6983</v>
      </c>
      <c r="K1403" s="1" t="s">
        <v>716</v>
      </c>
      <c r="L1403" s="1" t="s">
        <v>6984</v>
      </c>
      <c r="M1403" s="1" t="s">
        <v>718</v>
      </c>
    </row>
    <row r="1404" customFormat="false" ht="15" hidden="false" customHeight="false" outlineLevel="0" collapsed="false">
      <c r="A1404" s="1" t="s">
        <v>6985</v>
      </c>
      <c r="B1404" s="1" t="s">
        <v>6986</v>
      </c>
      <c r="C1404" s="1" t="s">
        <v>6987</v>
      </c>
      <c r="D1404" s="2" t="n">
        <v>37350</v>
      </c>
      <c r="E1404" s="1" t="s">
        <v>763</v>
      </c>
      <c r="F1404" s="1" t="s">
        <v>711</v>
      </c>
      <c r="G1404" s="1" t="s">
        <v>712</v>
      </c>
      <c r="H1404" s="1" t="s">
        <v>713</v>
      </c>
      <c r="I1404" s="1" t="s">
        <v>714</v>
      </c>
      <c r="J1404" s="1" t="s">
        <v>1505</v>
      </c>
      <c r="K1404" s="1" t="s">
        <v>6988</v>
      </c>
      <c r="L1404" s="1" t="s">
        <v>6989</v>
      </c>
      <c r="M1404" s="1" t="s">
        <v>718</v>
      </c>
    </row>
    <row r="1405" customFormat="false" ht="15" hidden="false" customHeight="false" outlineLevel="0" collapsed="false">
      <c r="A1405" s="1" t="s">
        <v>6990</v>
      </c>
      <c r="B1405" s="1" t="s">
        <v>6991</v>
      </c>
      <c r="C1405" s="1" t="s">
        <v>2212</v>
      </c>
      <c r="D1405" s="2" t="n">
        <v>36321</v>
      </c>
      <c r="E1405" s="1" t="s">
        <v>763</v>
      </c>
      <c r="F1405" s="1" t="s">
        <v>711</v>
      </c>
      <c r="G1405" s="1" t="s">
        <v>712</v>
      </c>
      <c r="H1405" s="1" t="s">
        <v>713</v>
      </c>
      <c r="I1405" s="1" t="s">
        <v>714</v>
      </c>
      <c r="J1405" s="1" t="s">
        <v>790</v>
      </c>
      <c r="K1405" s="1" t="s">
        <v>6992</v>
      </c>
      <c r="L1405" s="1" t="s">
        <v>2119</v>
      </c>
      <c r="M1405" s="1" t="s">
        <v>718</v>
      </c>
    </row>
    <row r="1406" customFormat="false" ht="15" hidden="false" customHeight="false" outlineLevel="0" collapsed="false">
      <c r="A1406" s="1" t="s">
        <v>6993</v>
      </c>
      <c r="B1406" s="1" t="s">
        <v>6994</v>
      </c>
      <c r="C1406" s="1" t="s">
        <v>4925</v>
      </c>
      <c r="D1406" s="2" t="n">
        <v>37238</v>
      </c>
      <c r="E1406" s="1" t="s">
        <v>763</v>
      </c>
      <c r="F1406" s="1" t="s">
        <v>711</v>
      </c>
      <c r="G1406" s="1" t="s">
        <v>712</v>
      </c>
      <c r="H1406" s="1" t="s">
        <v>713</v>
      </c>
      <c r="I1406" s="1" t="s">
        <v>714</v>
      </c>
      <c r="J1406" s="1" t="s">
        <v>6995</v>
      </c>
      <c r="K1406" s="1" t="s">
        <v>6996</v>
      </c>
      <c r="L1406" s="1" t="s">
        <v>4926</v>
      </c>
      <c r="M1406" s="1" t="s">
        <v>718</v>
      </c>
    </row>
    <row r="1407" customFormat="false" ht="15" hidden="false" customHeight="false" outlineLevel="0" collapsed="false">
      <c r="A1407" s="1" t="s">
        <v>6997</v>
      </c>
      <c r="B1407" s="1" t="s">
        <v>6998</v>
      </c>
      <c r="C1407" s="1" t="s">
        <v>6999</v>
      </c>
      <c r="D1407" s="2" t="n">
        <v>36976</v>
      </c>
      <c r="E1407" s="1" t="s">
        <v>710</v>
      </c>
      <c r="F1407" s="1" t="s">
        <v>711</v>
      </c>
      <c r="G1407" s="1" t="s">
        <v>722</v>
      </c>
      <c r="H1407" s="1" t="s">
        <v>713</v>
      </c>
      <c r="I1407" s="1" t="s">
        <v>714</v>
      </c>
      <c r="J1407" s="1" t="s">
        <v>821</v>
      </c>
      <c r="K1407" s="1" t="s">
        <v>7000</v>
      </c>
      <c r="L1407" s="1" t="s">
        <v>7001</v>
      </c>
      <c r="M1407" s="1" t="s">
        <v>718</v>
      </c>
    </row>
    <row r="1408" customFormat="false" ht="15" hidden="false" customHeight="false" outlineLevel="0" collapsed="false">
      <c r="A1408" s="1" t="s">
        <v>7002</v>
      </c>
      <c r="B1408" s="1" t="s">
        <v>738</v>
      </c>
      <c r="C1408" s="1" t="s">
        <v>7003</v>
      </c>
      <c r="D1408" s="2" t="n">
        <v>36930</v>
      </c>
      <c r="E1408" s="1" t="s">
        <v>710</v>
      </c>
      <c r="F1408" s="1" t="s">
        <v>711</v>
      </c>
      <c r="G1408" s="1" t="s">
        <v>712</v>
      </c>
      <c r="H1408" s="1" t="s">
        <v>713</v>
      </c>
      <c r="I1408" s="1" t="s">
        <v>714</v>
      </c>
      <c r="J1408" s="1" t="s">
        <v>1244</v>
      </c>
      <c r="K1408" s="1" t="s">
        <v>7004</v>
      </c>
      <c r="L1408" s="1" t="s">
        <v>7005</v>
      </c>
      <c r="M1408" s="1" t="s">
        <v>718</v>
      </c>
    </row>
    <row r="1409" customFormat="false" ht="15" hidden="false" customHeight="false" outlineLevel="0" collapsed="false">
      <c r="A1409" s="1" t="s">
        <v>7006</v>
      </c>
      <c r="B1409" s="1" t="s">
        <v>7007</v>
      </c>
      <c r="C1409" s="1" t="s">
        <v>7008</v>
      </c>
      <c r="D1409" s="2" t="n">
        <v>36106</v>
      </c>
      <c r="E1409" s="1" t="s">
        <v>763</v>
      </c>
      <c r="F1409" s="1" t="s">
        <v>711</v>
      </c>
      <c r="G1409" s="1" t="s">
        <v>722</v>
      </c>
      <c r="H1409" s="1" t="s">
        <v>713</v>
      </c>
      <c r="I1409" s="1" t="s">
        <v>714</v>
      </c>
      <c r="J1409" s="1" t="s">
        <v>715</v>
      </c>
      <c r="K1409" s="1" t="s">
        <v>7009</v>
      </c>
      <c r="L1409" s="1" t="s">
        <v>1822</v>
      </c>
      <c r="M1409" s="1" t="s">
        <v>718</v>
      </c>
    </row>
    <row r="1410" customFormat="false" ht="15" hidden="false" customHeight="false" outlineLevel="0" collapsed="false">
      <c r="A1410" s="1" t="s">
        <v>7010</v>
      </c>
      <c r="B1410" s="1" t="s">
        <v>7011</v>
      </c>
      <c r="C1410" s="1" t="s">
        <v>5520</v>
      </c>
      <c r="D1410" s="2" t="n">
        <v>34820</v>
      </c>
      <c r="E1410" s="1" t="s">
        <v>763</v>
      </c>
      <c r="F1410" s="1" t="s">
        <v>711</v>
      </c>
      <c r="G1410" s="1" t="s">
        <v>722</v>
      </c>
      <c r="H1410" s="1" t="s">
        <v>713</v>
      </c>
      <c r="I1410" s="1" t="s">
        <v>714</v>
      </c>
      <c r="J1410" s="1" t="s">
        <v>4787</v>
      </c>
      <c r="K1410" s="1" t="s">
        <v>716</v>
      </c>
      <c r="L1410" s="1" t="s">
        <v>7012</v>
      </c>
      <c r="M1410" s="1" t="s">
        <v>718</v>
      </c>
    </row>
    <row r="1411" customFormat="false" ht="15" hidden="false" customHeight="false" outlineLevel="0" collapsed="false">
      <c r="A1411" s="1" t="s">
        <v>7013</v>
      </c>
      <c r="B1411" s="1" t="s">
        <v>7014</v>
      </c>
      <c r="C1411" s="1" t="s">
        <v>7015</v>
      </c>
      <c r="D1411" s="2" t="n">
        <v>37020</v>
      </c>
      <c r="E1411" s="1" t="s">
        <v>763</v>
      </c>
      <c r="F1411" s="1" t="s">
        <v>711</v>
      </c>
      <c r="G1411" s="1" t="s">
        <v>712</v>
      </c>
      <c r="H1411" s="1" t="s">
        <v>713</v>
      </c>
      <c r="I1411" s="1" t="s">
        <v>714</v>
      </c>
      <c r="J1411" s="1" t="s">
        <v>5972</v>
      </c>
      <c r="K1411" s="1" t="s">
        <v>7016</v>
      </c>
      <c r="L1411" s="1" t="s">
        <v>7017</v>
      </c>
      <c r="M1411" s="1" t="s">
        <v>718</v>
      </c>
    </row>
    <row r="1412" customFormat="false" ht="15" hidden="false" customHeight="false" outlineLevel="0" collapsed="false">
      <c r="A1412" s="1" t="s">
        <v>7018</v>
      </c>
      <c r="B1412" s="1" t="s">
        <v>7019</v>
      </c>
      <c r="C1412" s="1" t="s">
        <v>7020</v>
      </c>
      <c r="D1412" s="2" t="n">
        <v>36989</v>
      </c>
      <c r="E1412" s="1" t="s">
        <v>710</v>
      </c>
      <c r="F1412" s="1" t="s">
        <v>711</v>
      </c>
      <c r="G1412" s="1" t="s">
        <v>712</v>
      </c>
      <c r="H1412" s="1" t="s">
        <v>713</v>
      </c>
      <c r="I1412" s="1" t="s">
        <v>714</v>
      </c>
      <c r="J1412" s="1" t="s">
        <v>7021</v>
      </c>
      <c r="K1412" s="1" t="s">
        <v>7022</v>
      </c>
      <c r="L1412" s="1" t="s">
        <v>7023</v>
      </c>
      <c r="M1412" s="1" t="s">
        <v>718</v>
      </c>
    </row>
    <row r="1413" customFormat="false" ht="15" hidden="false" customHeight="false" outlineLevel="0" collapsed="false">
      <c r="A1413" s="1" t="s">
        <v>7024</v>
      </c>
      <c r="B1413" s="1" t="s">
        <v>7025</v>
      </c>
      <c r="C1413" s="1" t="s">
        <v>7026</v>
      </c>
      <c r="D1413" s="2" t="n">
        <v>37053</v>
      </c>
      <c r="E1413" s="1" t="s">
        <v>710</v>
      </c>
      <c r="F1413" s="1" t="s">
        <v>711</v>
      </c>
      <c r="G1413" s="1" t="s">
        <v>722</v>
      </c>
      <c r="H1413" s="1" t="s">
        <v>713</v>
      </c>
      <c r="I1413" s="1" t="s">
        <v>714</v>
      </c>
      <c r="J1413" s="1" t="s">
        <v>1244</v>
      </c>
      <c r="K1413" s="1" t="s">
        <v>7027</v>
      </c>
      <c r="L1413" s="1" t="s">
        <v>7028</v>
      </c>
      <c r="M1413" s="1" t="s">
        <v>718</v>
      </c>
    </row>
    <row r="1414" customFormat="false" ht="15" hidden="false" customHeight="false" outlineLevel="0" collapsed="false">
      <c r="A1414" s="1" t="s">
        <v>7029</v>
      </c>
      <c r="B1414" s="1" t="s">
        <v>7030</v>
      </c>
      <c r="C1414" s="1" t="s">
        <v>7031</v>
      </c>
      <c r="D1414" s="2" t="n">
        <v>37084</v>
      </c>
      <c r="E1414" s="1" t="s">
        <v>763</v>
      </c>
      <c r="F1414" s="1" t="s">
        <v>711</v>
      </c>
      <c r="G1414" s="1" t="s">
        <v>712</v>
      </c>
      <c r="H1414" s="1" t="s">
        <v>713</v>
      </c>
      <c r="I1414" s="1" t="s">
        <v>714</v>
      </c>
      <c r="J1414" s="1" t="s">
        <v>1530</v>
      </c>
      <c r="K1414" s="1" t="s">
        <v>7032</v>
      </c>
      <c r="L1414" s="1" t="s">
        <v>7033</v>
      </c>
      <c r="M1414" s="1" t="s">
        <v>718</v>
      </c>
    </row>
    <row r="1415" customFormat="false" ht="15" hidden="false" customHeight="false" outlineLevel="0" collapsed="false">
      <c r="A1415" s="1" t="s">
        <v>7034</v>
      </c>
      <c r="B1415" s="1" t="s">
        <v>7035</v>
      </c>
      <c r="C1415" s="1" t="s">
        <v>2663</v>
      </c>
      <c r="D1415" s="2" t="n">
        <v>37049</v>
      </c>
      <c r="E1415" s="1" t="s">
        <v>763</v>
      </c>
      <c r="F1415" s="1" t="s">
        <v>711</v>
      </c>
      <c r="G1415" s="1" t="s">
        <v>712</v>
      </c>
      <c r="H1415" s="1" t="s">
        <v>713</v>
      </c>
      <c r="I1415" s="1" t="s">
        <v>714</v>
      </c>
      <c r="J1415" s="1" t="s">
        <v>1045</v>
      </c>
      <c r="K1415" s="1" t="s">
        <v>7036</v>
      </c>
      <c r="L1415" s="1" t="s">
        <v>2666</v>
      </c>
      <c r="M1415" s="1" t="s">
        <v>718</v>
      </c>
    </row>
    <row r="1416" customFormat="false" ht="15" hidden="false" customHeight="false" outlineLevel="0" collapsed="false">
      <c r="A1416" s="1" t="s">
        <v>7037</v>
      </c>
      <c r="B1416" s="1" t="s">
        <v>7038</v>
      </c>
      <c r="C1416" s="1" t="s">
        <v>7039</v>
      </c>
      <c r="D1416" s="2" t="n">
        <v>36678</v>
      </c>
      <c r="E1416" s="1" t="s">
        <v>763</v>
      </c>
      <c r="F1416" s="1" t="s">
        <v>711</v>
      </c>
      <c r="G1416" s="1" t="s">
        <v>722</v>
      </c>
      <c r="H1416" s="1" t="s">
        <v>713</v>
      </c>
      <c r="I1416" s="1" t="s">
        <v>714</v>
      </c>
      <c r="J1416" s="1" t="s">
        <v>5362</v>
      </c>
      <c r="K1416" s="1" t="s">
        <v>7040</v>
      </c>
      <c r="L1416" s="1" t="s">
        <v>7041</v>
      </c>
      <c r="M1416" s="1" t="s">
        <v>718</v>
      </c>
    </row>
    <row r="1417" customFormat="false" ht="15" hidden="false" customHeight="false" outlineLevel="0" collapsed="false">
      <c r="A1417" s="1" t="s">
        <v>7042</v>
      </c>
      <c r="B1417" s="1" t="s">
        <v>7043</v>
      </c>
      <c r="C1417" s="1" t="s">
        <v>1936</v>
      </c>
      <c r="D1417" s="2" t="n">
        <v>34729</v>
      </c>
      <c r="E1417" s="1" t="s">
        <v>710</v>
      </c>
      <c r="F1417" s="1" t="s">
        <v>711</v>
      </c>
      <c r="G1417" s="1" t="s">
        <v>712</v>
      </c>
      <c r="H1417" s="1" t="s">
        <v>713</v>
      </c>
      <c r="I1417" s="1" t="s">
        <v>714</v>
      </c>
      <c r="J1417" s="1" t="s">
        <v>6196</v>
      </c>
      <c r="K1417" s="1" t="s">
        <v>7044</v>
      </c>
      <c r="L1417" s="1" t="s">
        <v>2537</v>
      </c>
      <c r="M1417" s="1" t="s">
        <v>718</v>
      </c>
    </row>
    <row r="1418" customFormat="false" ht="15" hidden="false" customHeight="false" outlineLevel="0" collapsed="false">
      <c r="A1418" s="1" t="s">
        <v>7045</v>
      </c>
      <c r="B1418" s="1" t="s">
        <v>7046</v>
      </c>
      <c r="C1418" s="1" t="s">
        <v>7047</v>
      </c>
      <c r="D1418" s="2" t="n">
        <v>37202</v>
      </c>
      <c r="E1418" s="1" t="s">
        <v>763</v>
      </c>
      <c r="F1418" s="1" t="s">
        <v>711</v>
      </c>
      <c r="G1418" s="1" t="s">
        <v>712</v>
      </c>
      <c r="H1418" s="1" t="s">
        <v>713</v>
      </c>
      <c r="I1418" s="1" t="s">
        <v>714</v>
      </c>
      <c r="J1418" s="1" t="s">
        <v>715</v>
      </c>
      <c r="K1418" s="1" t="s">
        <v>7048</v>
      </c>
      <c r="L1418" s="1" t="s">
        <v>7049</v>
      </c>
      <c r="M1418" s="1" t="s">
        <v>718</v>
      </c>
    </row>
    <row r="1419" customFormat="false" ht="15" hidden="false" customHeight="false" outlineLevel="0" collapsed="false">
      <c r="A1419" s="1" t="s">
        <v>7050</v>
      </c>
      <c r="B1419" s="1" t="s">
        <v>7051</v>
      </c>
      <c r="C1419" s="1" t="s">
        <v>7052</v>
      </c>
      <c r="D1419" s="2" t="n">
        <v>37070</v>
      </c>
      <c r="E1419" s="1" t="s">
        <v>763</v>
      </c>
      <c r="F1419" s="1" t="s">
        <v>711</v>
      </c>
      <c r="G1419" s="1" t="s">
        <v>722</v>
      </c>
      <c r="H1419" s="1" t="s">
        <v>713</v>
      </c>
      <c r="I1419" s="1" t="s">
        <v>714</v>
      </c>
      <c r="J1419" s="1" t="s">
        <v>7053</v>
      </c>
      <c r="K1419" s="1" t="s">
        <v>7054</v>
      </c>
      <c r="L1419" s="1" t="s">
        <v>7055</v>
      </c>
      <c r="M1419" s="1" t="s">
        <v>718</v>
      </c>
    </row>
    <row r="1420" customFormat="false" ht="15" hidden="false" customHeight="false" outlineLevel="0" collapsed="false">
      <c r="A1420" s="1" t="s">
        <v>7056</v>
      </c>
      <c r="B1420" s="1" t="s">
        <v>7057</v>
      </c>
      <c r="C1420" s="1" t="s">
        <v>1049</v>
      </c>
      <c r="D1420" s="2" t="n">
        <v>37583</v>
      </c>
      <c r="E1420" s="1" t="s">
        <v>763</v>
      </c>
      <c r="F1420" s="1" t="s">
        <v>711</v>
      </c>
      <c r="G1420" s="1" t="s">
        <v>712</v>
      </c>
      <c r="H1420" s="1" t="s">
        <v>713</v>
      </c>
      <c r="I1420" s="1" t="s">
        <v>714</v>
      </c>
      <c r="J1420" s="1" t="s">
        <v>7058</v>
      </c>
      <c r="K1420" s="1" t="s">
        <v>7059</v>
      </c>
      <c r="L1420" s="1" t="s">
        <v>7060</v>
      </c>
      <c r="M1420" s="1" t="s">
        <v>718</v>
      </c>
    </row>
    <row r="1421" customFormat="false" ht="15" hidden="false" customHeight="false" outlineLevel="0" collapsed="false">
      <c r="A1421" s="1" t="s">
        <v>7061</v>
      </c>
      <c r="B1421" s="1" t="s">
        <v>1561</v>
      </c>
      <c r="C1421" s="1" t="s">
        <v>7062</v>
      </c>
      <c r="D1421" s="2" t="n">
        <v>36381</v>
      </c>
      <c r="E1421" s="1" t="s">
        <v>710</v>
      </c>
      <c r="F1421" s="1" t="s">
        <v>711</v>
      </c>
      <c r="G1421" s="1" t="s">
        <v>722</v>
      </c>
      <c r="H1421" s="1" t="s">
        <v>713</v>
      </c>
      <c r="I1421" s="1" t="s">
        <v>714</v>
      </c>
      <c r="J1421" s="1" t="s">
        <v>7063</v>
      </c>
      <c r="K1421" s="1" t="s">
        <v>7064</v>
      </c>
      <c r="L1421" s="1" t="s">
        <v>5224</v>
      </c>
      <c r="M1421" s="1" t="s">
        <v>718</v>
      </c>
    </row>
    <row r="1422" customFormat="false" ht="15" hidden="false" customHeight="false" outlineLevel="0" collapsed="false">
      <c r="A1422" s="1" t="s">
        <v>7065</v>
      </c>
      <c r="B1422" s="1" t="s">
        <v>7066</v>
      </c>
      <c r="C1422" s="1" t="s">
        <v>2121</v>
      </c>
      <c r="D1422" s="2" t="n">
        <v>36100</v>
      </c>
      <c r="E1422" s="1" t="s">
        <v>710</v>
      </c>
      <c r="F1422" s="1" t="s">
        <v>711</v>
      </c>
      <c r="G1422" s="1" t="s">
        <v>722</v>
      </c>
      <c r="H1422" s="1" t="s">
        <v>713</v>
      </c>
      <c r="I1422" s="1" t="s">
        <v>714</v>
      </c>
      <c r="J1422" s="1" t="s">
        <v>7067</v>
      </c>
      <c r="K1422" s="1" t="s">
        <v>7068</v>
      </c>
      <c r="L1422" s="1" t="s">
        <v>7069</v>
      </c>
      <c r="M1422" s="1" t="s">
        <v>718</v>
      </c>
    </row>
    <row r="1423" customFormat="false" ht="15" hidden="false" customHeight="false" outlineLevel="0" collapsed="false">
      <c r="A1423" s="1" t="s">
        <v>7070</v>
      </c>
      <c r="B1423" s="1" t="s">
        <v>7071</v>
      </c>
      <c r="C1423" s="1" t="s">
        <v>7072</v>
      </c>
      <c r="D1423" s="2" t="n">
        <v>37187</v>
      </c>
      <c r="E1423" s="1" t="s">
        <v>763</v>
      </c>
      <c r="F1423" s="1" t="s">
        <v>711</v>
      </c>
      <c r="G1423" s="1" t="s">
        <v>722</v>
      </c>
      <c r="H1423" s="1" t="s">
        <v>713</v>
      </c>
      <c r="I1423" s="1" t="s">
        <v>714</v>
      </c>
      <c r="J1423" s="1" t="s">
        <v>7073</v>
      </c>
      <c r="K1423" s="1" t="s">
        <v>716</v>
      </c>
      <c r="L1423" s="1" t="s">
        <v>7074</v>
      </c>
      <c r="M1423" s="1" t="s">
        <v>718</v>
      </c>
    </row>
    <row r="1424" customFormat="false" ht="15" hidden="false" customHeight="false" outlineLevel="0" collapsed="false">
      <c r="A1424" s="1" t="s">
        <v>7075</v>
      </c>
      <c r="B1424" s="1" t="s">
        <v>7076</v>
      </c>
      <c r="C1424" s="1" t="s">
        <v>2292</v>
      </c>
      <c r="D1424" s="2" t="n">
        <v>36328</v>
      </c>
      <c r="E1424" s="1" t="s">
        <v>763</v>
      </c>
      <c r="F1424" s="1" t="s">
        <v>711</v>
      </c>
      <c r="G1424" s="1" t="s">
        <v>722</v>
      </c>
      <c r="H1424" s="1" t="s">
        <v>713</v>
      </c>
      <c r="I1424" s="1" t="s">
        <v>714</v>
      </c>
      <c r="J1424" s="1" t="s">
        <v>7077</v>
      </c>
      <c r="K1424" s="1" t="s">
        <v>7078</v>
      </c>
      <c r="L1424" s="1" t="s">
        <v>7079</v>
      </c>
      <c r="M1424" s="1" t="s">
        <v>718</v>
      </c>
    </row>
    <row r="1425" customFormat="false" ht="15" hidden="false" customHeight="false" outlineLevel="0" collapsed="false">
      <c r="A1425" s="1" t="s">
        <v>7080</v>
      </c>
      <c r="B1425" s="1" t="s">
        <v>7081</v>
      </c>
      <c r="C1425" s="1" t="s">
        <v>2076</v>
      </c>
      <c r="D1425" s="2" t="n">
        <v>37006</v>
      </c>
      <c r="E1425" s="1" t="s">
        <v>710</v>
      </c>
      <c r="F1425" s="1" t="s">
        <v>711</v>
      </c>
      <c r="G1425" s="1" t="s">
        <v>722</v>
      </c>
      <c r="H1425" s="1" t="s">
        <v>713</v>
      </c>
      <c r="I1425" s="1" t="s">
        <v>714</v>
      </c>
      <c r="J1425" s="1" t="s">
        <v>3678</v>
      </c>
      <c r="K1425" s="1" t="s">
        <v>7082</v>
      </c>
      <c r="L1425" s="1" t="s">
        <v>7083</v>
      </c>
      <c r="M1425" s="1" t="s">
        <v>718</v>
      </c>
    </row>
    <row r="1426" customFormat="false" ht="15" hidden="false" customHeight="false" outlineLevel="0" collapsed="false">
      <c r="A1426" s="1" t="s">
        <v>7084</v>
      </c>
      <c r="B1426" s="1" t="s">
        <v>7085</v>
      </c>
      <c r="C1426" s="1" t="s">
        <v>7086</v>
      </c>
      <c r="D1426" s="2" t="n">
        <v>37265</v>
      </c>
      <c r="E1426" s="1" t="s">
        <v>763</v>
      </c>
      <c r="F1426" s="1" t="s">
        <v>711</v>
      </c>
      <c r="G1426" s="1" t="s">
        <v>712</v>
      </c>
      <c r="H1426" s="1" t="s">
        <v>713</v>
      </c>
      <c r="I1426" s="1" t="s">
        <v>714</v>
      </c>
      <c r="J1426" s="1" t="s">
        <v>7087</v>
      </c>
      <c r="K1426" s="1" t="s">
        <v>7088</v>
      </c>
      <c r="L1426" s="1" t="s">
        <v>7089</v>
      </c>
      <c r="M1426" s="1" t="s">
        <v>718</v>
      </c>
    </row>
    <row r="1427" customFormat="false" ht="15" hidden="false" customHeight="false" outlineLevel="0" collapsed="false">
      <c r="A1427" s="1" t="s">
        <v>7090</v>
      </c>
      <c r="B1427" s="1" t="s">
        <v>7091</v>
      </c>
      <c r="C1427" s="1" t="s">
        <v>7092</v>
      </c>
      <c r="D1427" s="2" t="n">
        <v>36869</v>
      </c>
      <c r="E1427" s="1" t="s">
        <v>763</v>
      </c>
      <c r="F1427" s="1" t="s">
        <v>711</v>
      </c>
      <c r="G1427" s="1" t="s">
        <v>712</v>
      </c>
      <c r="H1427" s="1" t="s">
        <v>713</v>
      </c>
      <c r="I1427" s="1" t="s">
        <v>714</v>
      </c>
      <c r="J1427" s="1" t="s">
        <v>1244</v>
      </c>
      <c r="K1427" s="1" t="s">
        <v>716</v>
      </c>
      <c r="L1427" s="1" t="s">
        <v>7093</v>
      </c>
      <c r="M1427" s="1" t="s">
        <v>718</v>
      </c>
    </row>
    <row r="1428" customFormat="false" ht="15" hidden="false" customHeight="false" outlineLevel="0" collapsed="false">
      <c r="A1428" s="1" t="s">
        <v>7094</v>
      </c>
      <c r="B1428" s="1" t="s">
        <v>7095</v>
      </c>
      <c r="C1428" s="1" t="s">
        <v>1015</v>
      </c>
      <c r="D1428" s="2" t="n">
        <v>37011</v>
      </c>
      <c r="E1428" s="1" t="s">
        <v>710</v>
      </c>
      <c r="F1428" s="1" t="s">
        <v>711</v>
      </c>
      <c r="G1428" s="1" t="s">
        <v>722</v>
      </c>
      <c r="H1428" s="1" t="s">
        <v>713</v>
      </c>
      <c r="I1428" s="1" t="s">
        <v>714</v>
      </c>
      <c r="J1428" s="1" t="s">
        <v>1530</v>
      </c>
      <c r="K1428" s="1" t="s">
        <v>7096</v>
      </c>
      <c r="L1428" s="1" t="s">
        <v>1017</v>
      </c>
      <c r="M1428" s="1" t="s">
        <v>718</v>
      </c>
    </row>
    <row r="1429" customFormat="false" ht="15" hidden="false" customHeight="false" outlineLevel="0" collapsed="false">
      <c r="A1429" s="1" t="s">
        <v>7097</v>
      </c>
      <c r="B1429" s="1" t="s">
        <v>981</v>
      </c>
      <c r="C1429" s="1" t="s">
        <v>7098</v>
      </c>
      <c r="D1429" s="2" t="n">
        <v>36966</v>
      </c>
      <c r="E1429" s="1" t="s">
        <v>710</v>
      </c>
      <c r="F1429" s="1" t="s">
        <v>711</v>
      </c>
      <c r="G1429" s="1" t="s">
        <v>722</v>
      </c>
      <c r="H1429" s="1" t="s">
        <v>713</v>
      </c>
      <c r="I1429" s="1" t="s">
        <v>714</v>
      </c>
      <c r="J1429" s="1" t="s">
        <v>892</v>
      </c>
      <c r="K1429" s="1" t="s">
        <v>716</v>
      </c>
      <c r="L1429" s="1" t="s">
        <v>7099</v>
      </c>
      <c r="M1429" s="1" t="s">
        <v>718</v>
      </c>
    </row>
    <row r="1430" customFormat="false" ht="15" hidden="false" customHeight="false" outlineLevel="0" collapsed="false">
      <c r="A1430" s="1" t="s">
        <v>7100</v>
      </c>
      <c r="B1430" s="1" t="s">
        <v>3544</v>
      </c>
      <c r="C1430" s="1" t="s">
        <v>7101</v>
      </c>
      <c r="D1430" s="2" t="n">
        <v>36976</v>
      </c>
      <c r="E1430" s="1" t="s">
        <v>710</v>
      </c>
      <c r="F1430" s="1" t="s">
        <v>711</v>
      </c>
      <c r="G1430" s="1" t="s">
        <v>722</v>
      </c>
      <c r="H1430" s="1" t="s">
        <v>713</v>
      </c>
      <c r="I1430" s="1" t="s">
        <v>714</v>
      </c>
      <c r="J1430" s="1" t="s">
        <v>959</v>
      </c>
      <c r="K1430" s="1" t="s">
        <v>7102</v>
      </c>
      <c r="L1430" s="1" t="s">
        <v>7103</v>
      </c>
      <c r="M1430" s="1" t="s">
        <v>718</v>
      </c>
    </row>
    <row r="1431" customFormat="false" ht="15" hidden="false" customHeight="false" outlineLevel="0" collapsed="false">
      <c r="A1431" s="1" t="s">
        <v>7104</v>
      </c>
      <c r="B1431" s="1" t="s">
        <v>7105</v>
      </c>
      <c r="C1431" s="1" t="s">
        <v>7106</v>
      </c>
      <c r="D1431" s="2" t="n">
        <v>36503</v>
      </c>
      <c r="E1431" s="1" t="s">
        <v>763</v>
      </c>
      <c r="F1431" s="1" t="s">
        <v>711</v>
      </c>
      <c r="G1431" s="1" t="s">
        <v>722</v>
      </c>
      <c r="H1431" s="1" t="s">
        <v>713</v>
      </c>
      <c r="I1431" s="1" t="s">
        <v>714</v>
      </c>
      <c r="J1431" s="1" t="s">
        <v>7058</v>
      </c>
      <c r="K1431" s="1" t="s">
        <v>7107</v>
      </c>
      <c r="L1431" s="1" t="s">
        <v>7108</v>
      </c>
      <c r="M1431" s="1" t="s">
        <v>718</v>
      </c>
    </row>
    <row r="1432" customFormat="false" ht="15" hidden="false" customHeight="false" outlineLevel="0" collapsed="false">
      <c r="A1432" s="1" t="s">
        <v>7109</v>
      </c>
      <c r="B1432" s="1" t="s">
        <v>7110</v>
      </c>
      <c r="C1432" s="1" t="s">
        <v>6642</v>
      </c>
      <c r="D1432" s="2" t="n">
        <v>35618</v>
      </c>
      <c r="E1432" s="1" t="s">
        <v>710</v>
      </c>
      <c r="F1432" s="1" t="s">
        <v>711</v>
      </c>
      <c r="G1432" s="1" t="s">
        <v>1450</v>
      </c>
      <c r="H1432" s="1" t="s">
        <v>713</v>
      </c>
      <c r="I1432" s="1" t="s">
        <v>714</v>
      </c>
      <c r="J1432" s="1" t="s">
        <v>978</v>
      </c>
      <c r="K1432" s="1" t="s">
        <v>7111</v>
      </c>
      <c r="L1432" s="1" t="s">
        <v>6643</v>
      </c>
      <c r="M1432" s="1" t="s">
        <v>718</v>
      </c>
    </row>
    <row r="1433" customFormat="false" ht="15" hidden="false" customHeight="false" outlineLevel="0" collapsed="false">
      <c r="A1433" s="1" t="s">
        <v>7112</v>
      </c>
      <c r="B1433" s="1" t="s">
        <v>7113</v>
      </c>
      <c r="C1433" s="1" t="s">
        <v>7114</v>
      </c>
      <c r="D1433" s="2" t="n">
        <v>37645</v>
      </c>
      <c r="E1433" s="1" t="s">
        <v>763</v>
      </c>
      <c r="F1433" s="1" t="s">
        <v>711</v>
      </c>
      <c r="G1433" s="1" t="s">
        <v>712</v>
      </c>
      <c r="H1433" s="1" t="s">
        <v>713</v>
      </c>
      <c r="I1433" s="1" t="s">
        <v>714</v>
      </c>
      <c r="J1433" s="1" t="s">
        <v>7115</v>
      </c>
      <c r="K1433" s="1" t="s">
        <v>7116</v>
      </c>
      <c r="L1433" s="1" t="s">
        <v>5729</v>
      </c>
      <c r="M1433" s="1" t="s">
        <v>718</v>
      </c>
    </row>
    <row r="1434" customFormat="false" ht="15" hidden="false" customHeight="false" outlineLevel="0" collapsed="false">
      <c r="A1434" s="1" t="s">
        <v>7117</v>
      </c>
      <c r="B1434" s="1" t="s">
        <v>7118</v>
      </c>
      <c r="C1434" s="1" t="s">
        <v>7119</v>
      </c>
      <c r="D1434" s="2" t="n">
        <v>36890</v>
      </c>
      <c r="E1434" s="1" t="s">
        <v>710</v>
      </c>
      <c r="F1434" s="1" t="s">
        <v>711</v>
      </c>
      <c r="G1434" s="1" t="s">
        <v>722</v>
      </c>
      <c r="H1434" s="1" t="s">
        <v>713</v>
      </c>
      <c r="I1434" s="1" t="s">
        <v>714</v>
      </c>
      <c r="J1434" s="1" t="s">
        <v>7120</v>
      </c>
      <c r="K1434" s="1" t="s">
        <v>7121</v>
      </c>
      <c r="L1434" s="1" t="s">
        <v>7122</v>
      </c>
      <c r="M1434" s="1" t="s">
        <v>718</v>
      </c>
    </row>
    <row r="1435" customFormat="false" ht="15" hidden="false" customHeight="false" outlineLevel="0" collapsed="false">
      <c r="A1435" s="1" t="s">
        <v>7123</v>
      </c>
      <c r="B1435" s="1" t="s">
        <v>7124</v>
      </c>
      <c r="C1435" s="1" t="s">
        <v>7125</v>
      </c>
      <c r="D1435" s="2" t="n">
        <v>36717</v>
      </c>
      <c r="E1435" s="1" t="s">
        <v>763</v>
      </c>
      <c r="F1435" s="1" t="s">
        <v>711</v>
      </c>
      <c r="G1435" s="1" t="s">
        <v>722</v>
      </c>
      <c r="H1435" s="1" t="s">
        <v>713</v>
      </c>
      <c r="I1435" s="1" t="s">
        <v>714</v>
      </c>
      <c r="J1435" s="1" t="s">
        <v>7077</v>
      </c>
      <c r="K1435" s="1" t="s">
        <v>7078</v>
      </c>
      <c r="L1435" s="1" t="s">
        <v>7079</v>
      </c>
      <c r="M1435" s="1" t="s">
        <v>718</v>
      </c>
    </row>
    <row r="1436" customFormat="false" ht="15" hidden="false" customHeight="false" outlineLevel="0" collapsed="false">
      <c r="A1436" s="1" t="s">
        <v>7126</v>
      </c>
      <c r="B1436" s="1" t="s">
        <v>7127</v>
      </c>
      <c r="C1436" s="1" t="s">
        <v>7128</v>
      </c>
      <c r="D1436" s="2" t="n">
        <v>37149</v>
      </c>
      <c r="E1436" s="1" t="s">
        <v>763</v>
      </c>
      <c r="F1436" s="1" t="s">
        <v>711</v>
      </c>
      <c r="G1436" s="1" t="s">
        <v>712</v>
      </c>
      <c r="H1436" s="1" t="s">
        <v>713</v>
      </c>
      <c r="I1436" s="1" t="s">
        <v>714</v>
      </c>
      <c r="J1436" s="1" t="s">
        <v>2807</v>
      </c>
      <c r="K1436" s="1" t="s">
        <v>7129</v>
      </c>
      <c r="L1436" s="1" t="s">
        <v>7130</v>
      </c>
      <c r="M1436" s="1" t="s">
        <v>718</v>
      </c>
    </row>
    <row r="1437" customFormat="false" ht="15" hidden="false" customHeight="false" outlineLevel="0" collapsed="false">
      <c r="A1437" s="1" t="s">
        <v>7131</v>
      </c>
      <c r="B1437" s="1" t="s">
        <v>7132</v>
      </c>
      <c r="C1437" s="1" t="s">
        <v>7133</v>
      </c>
      <c r="D1437" s="2" t="n">
        <v>36965</v>
      </c>
      <c r="E1437" s="1" t="s">
        <v>763</v>
      </c>
      <c r="F1437" s="1" t="s">
        <v>711</v>
      </c>
      <c r="G1437" s="1" t="s">
        <v>712</v>
      </c>
      <c r="H1437" s="1" t="s">
        <v>713</v>
      </c>
      <c r="I1437" s="1" t="s">
        <v>714</v>
      </c>
      <c r="J1437" s="1" t="s">
        <v>3678</v>
      </c>
      <c r="K1437" s="1" t="s">
        <v>7134</v>
      </c>
      <c r="L1437" s="1" t="s">
        <v>4273</v>
      </c>
      <c r="M1437" s="1" t="s">
        <v>718</v>
      </c>
    </row>
    <row r="1438" customFormat="false" ht="15" hidden="false" customHeight="false" outlineLevel="0" collapsed="false">
      <c r="A1438" s="1" t="s">
        <v>7135</v>
      </c>
      <c r="B1438" s="1" t="s">
        <v>7136</v>
      </c>
      <c r="C1438" s="1" t="s">
        <v>5835</v>
      </c>
      <c r="D1438" s="2" t="n">
        <v>37138</v>
      </c>
      <c r="E1438" s="1" t="s">
        <v>710</v>
      </c>
      <c r="F1438" s="1" t="s">
        <v>711</v>
      </c>
      <c r="G1438" s="1" t="s">
        <v>722</v>
      </c>
      <c r="H1438" s="1" t="s">
        <v>713</v>
      </c>
      <c r="I1438" s="1" t="s">
        <v>714</v>
      </c>
      <c r="J1438" s="1" t="s">
        <v>1244</v>
      </c>
      <c r="K1438" s="1" t="s">
        <v>7137</v>
      </c>
      <c r="L1438" s="1" t="s">
        <v>5837</v>
      </c>
      <c r="M1438" s="1" t="s">
        <v>718</v>
      </c>
    </row>
    <row r="1439" customFormat="false" ht="15" hidden="false" customHeight="false" outlineLevel="0" collapsed="false">
      <c r="A1439" s="1" t="s">
        <v>7138</v>
      </c>
      <c r="B1439" s="1" t="s">
        <v>7139</v>
      </c>
      <c r="C1439" s="1" t="s">
        <v>7140</v>
      </c>
      <c r="D1439" s="2" t="n">
        <v>35910</v>
      </c>
      <c r="E1439" s="1" t="s">
        <v>710</v>
      </c>
      <c r="F1439" s="1" t="s">
        <v>711</v>
      </c>
      <c r="G1439" s="1" t="s">
        <v>712</v>
      </c>
      <c r="H1439" s="1" t="s">
        <v>713</v>
      </c>
      <c r="I1439" s="1" t="s">
        <v>714</v>
      </c>
      <c r="J1439" s="1" t="s">
        <v>1131</v>
      </c>
      <c r="K1439" s="1" t="s">
        <v>7141</v>
      </c>
      <c r="L1439" s="1" t="s">
        <v>7142</v>
      </c>
      <c r="M1439" s="1" t="s">
        <v>718</v>
      </c>
    </row>
    <row r="1440" customFormat="false" ht="15" hidden="false" customHeight="false" outlineLevel="0" collapsed="false">
      <c r="A1440" s="1" t="s">
        <v>7143</v>
      </c>
      <c r="B1440" s="1" t="s">
        <v>7144</v>
      </c>
      <c r="C1440" s="1" t="s">
        <v>986</v>
      </c>
      <c r="D1440" s="2" t="n">
        <v>34597</v>
      </c>
      <c r="E1440" s="1" t="s">
        <v>710</v>
      </c>
      <c r="F1440" s="1" t="s">
        <v>711</v>
      </c>
      <c r="G1440" s="1" t="s">
        <v>722</v>
      </c>
      <c r="H1440" s="1" t="s">
        <v>713</v>
      </c>
      <c r="I1440" s="1" t="s">
        <v>714</v>
      </c>
      <c r="J1440" s="1" t="s">
        <v>716</v>
      </c>
      <c r="K1440" s="1" t="s">
        <v>716</v>
      </c>
      <c r="L1440" s="1" t="s">
        <v>1418</v>
      </c>
      <c r="M1440" s="1" t="s">
        <v>718</v>
      </c>
    </row>
    <row r="1441" customFormat="false" ht="15" hidden="false" customHeight="false" outlineLevel="0" collapsed="false">
      <c r="A1441" s="1" t="s">
        <v>7145</v>
      </c>
      <c r="B1441" s="1" t="s">
        <v>5664</v>
      </c>
      <c r="C1441" s="1" t="s">
        <v>6888</v>
      </c>
      <c r="D1441" s="2" t="n">
        <v>37119</v>
      </c>
      <c r="E1441" s="1" t="s">
        <v>710</v>
      </c>
      <c r="F1441" s="1" t="s">
        <v>711</v>
      </c>
      <c r="G1441" s="1" t="s">
        <v>712</v>
      </c>
      <c r="H1441" s="1" t="s">
        <v>713</v>
      </c>
      <c r="I1441" s="1" t="s">
        <v>714</v>
      </c>
      <c r="J1441" s="1" t="s">
        <v>928</v>
      </c>
      <c r="K1441" s="1" t="s">
        <v>6889</v>
      </c>
      <c r="L1441" s="1" t="s">
        <v>6890</v>
      </c>
      <c r="M1441" s="1" t="s">
        <v>718</v>
      </c>
    </row>
    <row r="1442" customFormat="false" ht="15" hidden="false" customHeight="false" outlineLevel="0" collapsed="false">
      <c r="A1442" s="1" t="s">
        <v>7146</v>
      </c>
      <c r="B1442" s="1" t="s">
        <v>7147</v>
      </c>
      <c r="C1442" s="1" t="s">
        <v>7148</v>
      </c>
      <c r="D1442" s="2" t="n">
        <v>36973</v>
      </c>
      <c r="E1442" s="1" t="s">
        <v>763</v>
      </c>
      <c r="F1442" s="1" t="s">
        <v>711</v>
      </c>
      <c r="G1442" s="1" t="s">
        <v>722</v>
      </c>
      <c r="H1442" s="1" t="s">
        <v>713</v>
      </c>
      <c r="I1442" s="1" t="s">
        <v>714</v>
      </c>
      <c r="J1442" s="1" t="s">
        <v>715</v>
      </c>
      <c r="K1442" s="1" t="s">
        <v>716</v>
      </c>
      <c r="L1442" s="1" t="s">
        <v>7149</v>
      </c>
      <c r="M1442" s="1" t="s">
        <v>718</v>
      </c>
    </row>
    <row r="1443" customFormat="false" ht="15" hidden="false" customHeight="false" outlineLevel="0" collapsed="false">
      <c r="A1443" s="1" t="s">
        <v>7150</v>
      </c>
      <c r="B1443" s="1" t="s">
        <v>7151</v>
      </c>
      <c r="C1443" s="1" t="s">
        <v>7152</v>
      </c>
      <c r="D1443" s="2" t="n">
        <v>37204</v>
      </c>
      <c r="E1443" s="1" t="s">
        <v>763</v>
      </c>
      <c r="F1443" s="1" t="s">
        <v>711</v>
      </c>
      <c r="G1443" s="1" t="s">
        <v>722</v>
      </c>
      <c r="H1443" s="1" t="s">
        <v>713</v>
      </c>
      <c r="I1443" s="1" t="s">
        <v>714</v>
      </c>
      <c r="J1443" s="1" t="s">
        <v>838</v>
      </c>
      <c r="K1443" s="1" t="s">
        <v>716</v>
      </c>
      <c r="L1443" s="1" t="s">
        <v>7153</v>
      </c>
      <c r="M1443" s="1" t="s">
        <v>718</v>
      </c>
    </row>
    <row r="1444" customFormat="false" ht="15" hidden="false" customHeight="false" outlineLevel="0" collapsed="false">
      <c r="A1444" s="1" t="s">
        <v>7154</v>
      </c>
      <c r="B1444" s="1" t="s">
        <v>7155</v>
      </c>
      <c r="C1444" s="1" t="s">
        <v>7156</v>
      </c>
      <c r="D1444" s="2" t="n">
        <v>37241</v>
      </c>
      <c r="E1444" s="1" t="s">
        <v>763</v>
      </c>
      <c r="F1444" s="1" t="s">
        <v>711</v>
      </c>
      <c r="G1444" s="1" t="s">
        <v>712</v>
      </c>
      <c r="H1444" s="1" t="s">
        <v>713</v>
      </c>
      <c r="I1444" s="1" t="s">
        <v>714</v>
      </c>
      <c r="J1444" s="1" t="s">
        <v>3893</v>
      </c>
      <c r="K1444" s="1" t="s">
        <v>7157</v>
      </c>
      <c r="L1444" s="1" t="s">
        <v>7158</v>
      </c>
      <c r="M1444" s="1" t="s">
        <v>718</v>
      </c>
    </row>
    <row r="1445" customFormat="false" ht="15" hidden="false" customHeight="false" outlineLevel="0" collapsed="false">
      <c r="A1445" s="1" t="s">
        <v>7159</v>
      </c>
      <c r="B1445" s="1" t="s">
        <v>7160</v>
      </c>
      <c r="C1445" s="1" t="s">
        <v>5856</v>
      </c>
      <c r="D1445" s="2" t="n">
        <v>36147</v>
      </c>
      <c r="E1445" s="1" t="s">
        <v>763</v>
      </c>
      <c r="F1445" s="1" t="s">
        <v>711</v>
      </c>
      <c r="G1445" s="1" t="s">
        <v>7161</v>
      </c>
      <c r="H1445" s="1" t="s">
        <v>2083</v>
      </c>
      <c r="I1445" s="1" t="s">
        <v>2084</v>
      </c>
      <c r="J1445" s="1" t="s">
        <v>7162</v>
      </c>
      <c r="K1445" s="1" t="s">
        <v>716</v>
      </c>
      <c r="L1445" s="1" t="s">
        <v>7163</v>
      </c>
      <c r="M1445" s="1" t="s">
        <v>2083</v>
      </c>
    </row>
    <row r="1446" customFormat="false" ht="15" hidden="false" customHeight="false" outlineLevel="0" collapsed="false">
      <c r="A1446" s="1" t="s">
        <v>7164</v>
      </c>
      <c r="B1446" s="1" t="s">
        <v>7165</v>
      </c>
      <c r="C1446" s="1" t="s">
        <v>7166</v>
      </c>
      <c r="D1446" s="2" t="n">
        <v>35257</v>
      </c>
      <c r="E1446" s="1" t="s">
        <v>710</v>
      </c>
      <c r="F1446" s="1" t="s">
        <v>711</v>
      </c>
      <c r="G1446" s="1" t="s">
        <v>7167</v>
      </c>
      <c r="H1446" s="1" t="s">
        <v>2387</v>
      </c>
      <c r="I1446" s="1" t="s">
        <v>2388</v>
      </c>
      <c r="J1446" s="1" t="s">
        <v>716</v>
      </c>
      <c r="K1446" s="1" t="s">
        <v>716</v>
      </c>
      <c r="L1446" s="1" t="s">
        <v>960</v>
      </c>
      <c r="M1446" s="1" t="s">
        <v>718</v>
      </c>
    </row>
    <row r="1447" customFormat="false" ht="15" hidden="false" customHeight="false" outlineLevel="0" collapsed="false">
      <c r="A1447" s="1" t="s">
        <v>7168</v>
      </c>
      <c r="B1447" s="1" t="s">
        <v>7169</v>
      </c>
      <c r="C1447" s="1" t="s">
        <v>1086</v>
      </c>
      <c r="D1447" s="2" t="n">
        <v>36410</v>
      </c>
      <c r="E1447" s="1" t="s">
        <v>710</v>
      </c>
      <c r="F1447" s="1" t="s">
        <v>711</v>
      </c>
      <c r="G1447" s="1" t="s">
        <v>712</v>
      </c>
      <c r="H1447" s="1" t="s">
        <v>713</v>
      </c>
      <c r="I1447" s="1" t="s">
        <v>714</v>
      </c>
      <c r="J1447" s="1" t="s">
        <v>1131</v>
      </c>
      <c r="K1447" s="1" t="s">
        <v>716</v>
      </c>
      <c r="L1447" s="1" t="s">
        <v>7170</v>
      </c>
      <c r="M1447" s="1" t="s">
        <v>718</v>
      </c>
    </row>
    <row r="1448" customFormat="false" ht="15" hidden="false" customHeight="false" outlineLevel="0" collapsed="false">
      <c r="A1448" s="1" t="s">
        <v>7171</v>
      </c>
      <c r="B1448" s="1" t="s">
        <v>7172</v>
      </c>
      <c r="C1448" s="1" t="s">
        <v>2260</v>
      </c>
      <c r="D1448" s="2" t="n">
        <v>35687</v>
      </c>
      <c r="E1448" s="1" t="s">
        <v>763</v>
      </c>
      <c r="F1448" s="1" t="s">
        <v>711</v>
      </c>
      <c r="G1448" s="1" t="s">
        <v>712</v>
      </c>
      <c r="H1448" s="1" t="s">
        <v>713</v>
      </c>
      <c r="I1448" s="1" t="s">
        <v>714</v>
      </c>
      <c r="J1448" s="1" t="s">
        <v>1244</v>
      </c>
      <c r="K1448" s="1" t="s">
        <v>716</v>
      </c>
      <c r="L1448" s="1" t="s">
        <v>7173</v>
      </c>
      <c r="M1448" s="1" t="s">
        <v>718</v>
      </c>
    </row>
    <row r="1449" customFormat="false" ht="15" hidden="false" customHeight="false" outlineLevel="0" collapsed="false">
      <c r="A1449" s="1" t="s">
        <v>7174</v>
      </c>
      <c r="B1449" s="1" t="s">
        <v>7175</v>
      </c>
      <c r="C1449" s="1" t="s">
        <v>7176</v>
      </c>
      <c r="D1449" s="2" t="n">
        <v>36846</v>
      </c>
      <c r="E1449" s="1" t="s">
        <v>710</v>
      </c>
      <c r="F1449" s="1" t="s">
        <v>711</v>
      </c>
      <c r="G1449" s="1" t="s">
        <v>722</v>
      </c>
      <c r="H1449" s="1" t="s">
        <v>713</v>
      </c>
      <c r="I1449" s="1" t="s">
        <v>714</v>
      </c>
      <c r="J1449" s="1" t="s">
        <v>7177</v>
      </c>
      <c r="K1449" s="1" t="s">
        <v>716</v>
      </c>
      <c r="L1449" s="1" t="s">
        <v>7178</v>
      </c>
      <c r="M1449" s="1" t="s">
        <v>718</v>
      </c>
    </row>
    <row r="1450" customFormat="false" ht="15" hidden="false" customHeight="false" outlineLevel="0" collapsed="false">
      <c r="A1450" s="1" t="s">
        <v>7179</v>
      </c>
      <c r="B1450" s="1" t="s">
        <v>7180</v>
      </c>
      <c r="C1450" s="1" t="s">
        <v>7181</v>
      </c>
      <c r="D1450" s="2" t="n">
        <v>36893</v>
      </c>
      <c r="E1450" s="1" t="s">
        <v>763</v>
      </c>
      <c r="F1450" s="1" t="s">
        <v>711</v>
      </c>
      <c r="G1450" s="1" t="s">
        <v>712</v>
      </c>
      <c r="H1450" s="1" t="s">
        <v>713</v>
      </c>
      <c r="I1450" s="1" t="s">
        <v>714</v>
      </c>
      <c r="J1450" s="1" t="s">
        <v>3861</v>
      </c>
      <c r="K1450" s="1" t="s">
        <v>716</v>
      </c>
      <c r="L1450" s="1" t="s">
        <v>7182</v>
      </c>
      <c r="M1450" s="1" t="s">
        <v>718</v>
      </c>
    </row>
    <row r="1451" customFormat="false" ht="15" hidden="false" customHeight="false" outlineLevel="0" collapsed="false">
      <c r="A1451" s="1" t="s">
        <v>7183</v>
      </c>
      <c r="B1451" s="1" t="s">
        <v>7184</v>
      </c>
      <c r="C1451" s="1" t="s">
        <v>2141</v>
      </c>
      <c r="D1451" s="2" t="n">
        <v>36873</v>
      </c>
      <c r="E1451" s="1" t="s">
        <v>763</v>
      </c>
      <c r="F1451" s="1" t="s">
        <v>711</v>
      </c>
      <c r="G1451" s="1" t="s">
        <v>722</v>
      </c>
      <c r="H1451" s="1" t="s">
        <v>713</v>
      </c>
      <c r="I1451" s="1" t="s">
        <v>714</v>
      </c>
      <c r="J1451" s="1" t="s">
        <v>7185</v>
      </c>
      <c r="K1451" s="1" t="s">
        <v>716</v>
      </c>
      <c r="L1451" s="1" t="s">
        <v>2142</v>
      </c>
      <c r="M1451" s="1" t="s">
        <v>718</v>
      </c>
    </row>
    <row r="1452" customFormat="false" ht="15" hidden="false" customHeight="false" outlineLevel="0" collapsed="false">
      <c r="A1452" s="1" t="s">
        <v>7186</v>
      </c>
      <c r="B1452" s="1" t="s">
        <v>7187</v>
      </c>
      <c r="C1452" s="1" t="s">
        <v>7188</v>
      </c>
      <c r="D1452" s="2" t="n">
        <v>35967</v>
      </c>
      <c r="E1452" s="1" t="s">
        <v>763</v>
      </c>
      <c r="F1452" s="1" t="s">
        <v>711</v>
      </c>
      <c r="G1452" s="1" t="s">
        <v>722</v>
      </c>
      <c r="H1452" s="1" t="s">
        <v>713</v>
      </c>
      <c r="I1452" s="1" t="s">
        <v>714</v>
      </c>
      <c r="J1452" s="1" t="s">
        <v>7189</v>
      </c>
      <c r="K1452" s="1" t="s">
        <v>716</v>
      </c>
      <c r="L1452" s="1" t="s">
        <v>7190</v>
      </c>
      <c r="M1452" s="1" t="s">
        <v>718</v>
      </c>
    </row>
    <row r="1453" customFormat="false" ht="15" hidden="false" customHeight="false" outlineLevel="0" collapsed="false">
      <c r="A1453" s="1" t="s">
        <v>7191</v>
      </c>
      <c r="B1453" s="1" t="s">
        <v>7192</v>
      </c>
      <c r="C1453" s="1" t="s">
        <v>7193</v>
      </c>
      <c r="D1453" s="2" t="n">
        <v>36823</v>
      </c>
      <c r="E1453" s="1" t="s">
        <v>710</v>
      </c>
      <c r="F1453" s="1" t="s">
        <v>711</v>
      </c>
      <c r="G1453" s="1" t="s">
        <v>712</v>
      </c>
      <c r="H1453" s="1" t="s">
        <v>713</v>
      </c>
      <c r="I1453" s="1" t="s">
        <v>714</v>
      </c>
      <c r="J1453" s="1" t="s">
        <v>7194</v>
      </c>
      <c r="K1453" s="1" t="s">
        <v>7195</v>
      </c>
      <c r="L1453" s="1" t="s">
        <v>7196</v>
      </c>
      <c r="M1453" s="1" t="s">
        <v>718</v>
      </c>
    </row>
    <row r="1454" customFormat="false" ht="15" hidden="false" customHeight="false" outlineLevel="0" collapsed="false">
      <c r="A1454" s="1" t="s">
        <v>7197</v>
      </c>
      <c r="B1454" s="1" t="s">
        <v>2728</v>
      </c>
      <c r="C1454" s="1" t="s">
        <v>7198</v>
      </c>
      <c r="D1454" s="2" t="n">
        <v>36085</v>
      </c>
      <c r="E1454" s="1" t="s">
        <v>710</v>
      </c>
      <c r="F1454" s="1" t="s">
        <v>711</v>
      </c>
      <c r="G1454" s="1" t="s">
        <v>712</v>
      </c>
      <c r="H1454" s="1" t="s">
        <v>713</v>
      </c>
      <c r="I1454" s="1" t="s">
        <v>714</v>
      </c>
      <c r="J1454" s="1" t="s">
        <v>3678</v>
      </c>
      <c r="K1454" s="1" t="s">
        <v>7199</v>
      </c>
      <c r="L1454" s="1" t="s">
        <v>7200</v>
      </c>
      <c r="M1454" s="1" t="s">
        <v>718</v>
      </c>
    </row>
    <row r="1455" customFormat="false" ht="15" hidden="false" customHeight="false" outlineLevel="0" collapsed="false">
      <c r="A1455" s="1" t="s">
        <v>7201</v>
      </c>
      <c r="B1455" s="1" t="s">
        <v>7202</v>
      </c>
      <c r="C1455" s="1" t="s">
        <v>3413</v>
      </c>
      <c r="D1455" s="2" t="n">
        <v>36254</v>
      </c>
      <c r="E1455" s="1" t="s">
        <v>710</v>
      </c>
      <c r="F1455" s="1" t="s">
        <v>711</v>
      </c>
      <c r="G1455" s="1" t="s">
        <v>722</v>
      </c>
      <c r="H1455" s="1" t="s">
        <v>713</v>
      </c>
      <c r="I1455" s="1" t="s">
        <v>714</v>
      </c>
      <c r="J1455" s="1" t="s">
        <v>7203</v>
      </c>
      <c r="K1455" s="1" t="s">
        <v>716</v>
      </c>
      <c r="L1455" s="1" t="s">
        <v>3415</v>
      </c>
      <c r="M1455" s="1" t="s">
        <v>718</v>
      </c>
    </row>
    <row r="1456" customFormat="false" ht="15" hidden="false" customHeight="false" outlineLevel="0" collapsed="false">
      <c r="A1456" s="1" t="s">
        <v>7204</v>
      </c>
      <c r="B1456" s="1" t="s">
        <v>7205</v>
      </c>
      <c r="C1456" s="1" t="s">
        <v>7206</v>
      </c>
      <c r="D1456" s="2" t="n">
        <v>34782</v>
      </c>
      <c r="E1456" s="1" t="s">
        <v>763</v>
      </c>
      <c r="F1456" s="1" t="s">
        <v>711</v>
      </c>
      <c r="G1456" s="1" t="s">
        <v>712</v>
      </c>
      <c r="H1456" s="1" t="s">
        <v>713</v>
      </c>
      <c r="I1456" s="1" t="s">
        <v>714</v>
      </c>
      <c r="J1456" s="1" t="s">
        <v>7207</v>
      </c>
      <c r="K1456" s="1" t="s">
        <v>7208</v>
      </c>
      <c r="L1456" s="1" t="s">
        <v>7209</v>
      </c>
      <c r="M1456" s="1" t="s">
        <v>718</v>
      </c>
    </row>
    <row r="1457" customFormat="false" ht="15" hidden="false" customHeight="false" outlineLevel="0" collapsed="false">
      <c r="A1457" s="1" t="s">
        <v>7210</v>
      </c>
      <c r="B1457" s="1" t="s">
        <v>1481</v>
      </c>
      <c r="C1457" s="1" t="s">
        <v>4398</v>
      </c>
      <c r="D1457" s="2" t="n">
        <v>37035</v>
      </c>
      <c r="E1457" s="1" t="s">
        <v>710</v>
      </c>
      <c r="F1457" s="1" t="s">
        <v>711</v>
      </c>
      <c r="G1457" s="1" t="s">
        <v>722</v>
      </c>
      <c r="H1457" s="1" t="s">
        <v>713</v>
      </c>
      <c r="I1457" s="1" t="s">
        <v>714</v>
      </c>
      <c r="J1457" s="1" t="s">
        <v>1505</v>
      </c>
      <c r="K1457" s="1" t="s">
        <v>7211</v>
      </c>
      <c r="L1457" s="1" t="s">
        <v>4401</v>
      </c>
      <c r="M1457" s="1" t="s">
        <v>718</v>
      </c>
    </row>
    <row r="1458" customFormat="false" ht="15" hidden="false" customHeight="false" outlineLevel="0" collapsed="false">
      <c r="A1458" s="1" t="s">
        <v>7212</v>
      </c>
      <c r="B1458" s="1" t="s">
        <v>7213</v>
      </c>
      <c r="C1458" s="1" t="s">
        <v>4569</v>
      </c>
      <c r="D1458" s="2" t="n">
        <v>36036</v>
      </c>
      <c r="E1458" s="1" t="s">
        <v>763</v>
      </c>
      <c r="F1458" s="1" t="s">
        <v>711</v>
      </c>
      <c r="G1458" s="1" t="s">
        <v>722</v>
      </c>
      <c r="H1458" s="1" t="s">
        <v>713</v>
      </c>
      <c r="I1458" s="1" t="s">
        <v>714</v>
      </c>
      <c r="J1458" s="1" t="s">
        <v>1244</v>
      </c>
      <c r="K1458" s="1" t="s">
        <v>7214</v>
      </c>
      <c r="L1458" s="1" t="s">
        <v>7215</v>
      </c>
      <c r="M1458" s="1" t="s">
        <v>718</v>
      </c>
    </row>
    <row r="1459" customFormat="false" ht="15" hidden="false" customHeight="false" outlineLevel="0" collapsed="false">
      <c r="A1459" s="1" t="s">
        <v>7216</v>
      </c>
      <c r="B1459" s="1" t="s">
        <v>1657</v>
      </c>
      <c r="C1459" s="1" t="s">
        <v>7217</v>
      </c>
      <c r="D1459" s="2" t="n">
        <v>35716</v>
      </c>
      <c r="E1459" s="1" t="s">
        <v>710</v>
      </c>
      <c r="F1459" s="1" t="s">
        <v>711</v>
      </c>
      <c r="G1459" s="1" t="s">
        <v>722</v>
      </c>
      <c r="H1459" s="1" t="s">
        <v>713</v>
      </c>
      <c r="I1459" s="1" t="s">
        <v>714</v>
      </c>
      <c r="J1459" s="1" t="s">
        <v>7218</v>
      </c>
      <c r="K1459" s="1" t="s">
        <v>7219</v>
      </c>
      <c r="L1459" s="1" t="s">
        <v>7209</v>
      </c>
      <c r="M1459" s="1" t="s">
        <v>718</v>
      </c>
    </row>
    <row r="1460" customFormat="false" ht="15" hidden="false" customHeight="false" outlineLevel="0" collapsed="false">
      <c r="A1460" s="1" t="s">
        <v>7220</v>
      </c>
      <c r="B1460" s="1" t="s">
        <v>7221</v>
      </c>
      <c r="C1460" s="1" t="s">
        <v>7217</v>
      </c>
      <c r="D1460" s="2" t="n">
        <v>35595</v>
      </c>
      <c r="E1460" s="1" t="s">
        <v>710</v>
      </c>
      <c r="F1460" s="1" t="s">
        <v>711</v>
      </c>
      <c r="G1460" s="1" t="s">
        <v>712</v>
      </c>
      <c r="H1460" s="1" t="s">
        <v>713</v>
      </c>
      <c r="I1460" s="1" t="s">
        <v>714</v>
      </c>
      <c r="J1460" s="1" t="s">
        <v>7218</v>
      </c>
      <c r="K1460" s="1" t="s">
        <v>7219</v>
      </c>
      <c r="L1460" s="1" t="s">
        <v>7209</v>
      </c>
      <c r="M1460" s="1" t="s">
        <v>718</v>
      </c>
    </row>
    <row r="1461" customFormat="false" ht="15" hidden="false" customHeight="false" outlineLevel="0" collapsed="false">
      <c r="A1461" s="1" t="s">
        <v>7222</v>
      </c>
      <c r="B1461" s="1" t="s">
        <v>1848</v>
      </c>
      <c r="C1461" s="1" t="s">
        <v>7223</v>
      </c>
      <c r="D1461" s="2" t="n">
        <v>36528</v>
      </c>
      <c r="E1461" s="1" t="s">
        <v>710</v>
      </c>
      <c r="F1461" s="1" t="s">
        <v>711</v>
      </c>
      <c r="G1461" s="1" t="s">
        <v>712</v>
      </c>
      <c r="H1461" s="1" t="s">
        <v>713</v>
      </c>
      <c r="I1461" s="1" t="s">
        <v>714</v>
      </c>
      <c r="J1461" s="1" t="s">
        <v>7224</v>
      </c>
      <c r="K1461" s="1" t="s">
        <v>7225</v>
      </c>
      <c r="L1461" s="1" t="s">
        <v>7226</v>
      </c>
      <c r="M1461" s="1" t="s">
        <v>718</v>
      </c>
    </row>
    <row r="1462" customFormat="false" ht="15" hidden="false" customHeight="false" outlineLevel="0" collapsed="false">
      <c r="A1462" s="1" t="s">
        <v>7227</v>
      </c>
      <c r="B1462" s="1" t="s">
        <v>7228</v>
      </c>
      <c r="C1462" s="1" t="s">
        <v>4569</v>
      </c>
      <c r="D1462" s="2" t="n">
        <v>36432</v>
      </c>
      <c r="E1462" s="1" t="s">
        <v>710</v>
      </c>
      <c r="F1462" s="1" t="s">
        <v>711</v>
      </c>
      <c r="G1462" s="1" t="s">
        <v>2499</v>
      </c>
      <c r="H1462" s="1" t="s">
        <v>713</v>
      </c>
      <c r="I1462" s="1" t="s">
        <v>714</v>
      </c>
      <c r="J1462" s="1" t="s">
        <v>1244</v>
      </c>
      <c r="K1462" s="1" t="s">
        <v>7214</v>
      </c>
      <c r="L1462" s="1" t="s">
        <v>7215</v>
      </c>
      <c r="M1462" s="1" t="s">
        <v>718</v>
      </c>
    </row>
    <row r="1463" customFormat="false" ht="15" hidden="false" customHeight="false" outlineLevel="0" collapsed="false">
      <c r="A1463" s="1" t="s">
        <v>7229</v>
      </c>
      <c r="B1463" s="1" t="s">
        <v>7230</v>
      </c>
      <c r="C1463" s="1" t="s">
        <v>7231</v>
      </c>
      <c r="D1463" s="2" t="n">
        <v>35801</v>
      </c>
      <c r="E1463" s="1" t="s">
        <v>763</v>
      </c>
      <c r="F1463" s="1" t="s">
        <v>711</v>
      </c>
      <c r="G1463" s="1" t="s">
        <v>712</v>
      </c>
      <c r="H1463" s="1" t="s">
        <v>713</v>
      </c>
      <c r="I1463" s="1" t="s">
        <v>714</v>
      </c>
      <c r="J1463" s="1" t="s">
        <v>7232</v>
      </c>
      <c r="K1463" s="1" t="s">
        <v>716</v>
      </c>
      <c r="L1463" s="1" t="s">
        <v>7233</v>
      </c>
      <c r="M1463" s="1" t="s">
        <v>718</v>
      </c>
    </row>
    <row r="1464" customFormat="false" ht="15" hidden="false" customHeight="false" outlineLevel="0" collapsed="false">
      <c r="A1464" s="1" t="s">
        <v>7234</v>
      </c>
      <c r="B1464" s="1" t="s">
        <v>7235</v>
      </c>
      <c r="C1464" s="1" t="s">
        <v>7236</v>
      </c>
      <c r="D1464" s="2" t="n">
        <v>34911</v>
      </c>
      <c r="E1464" s="1" t="s">
        <v>710</v>
      </c>
      <c r="F1464" s="1" t="s">
        <v>711</v>
      </c>
      <c r="G1464" s="1" t="s">
        <v>712</v>
      </c>
      <c r="H1464" s="1" t="s">
        <v>713</v>
      </c>
      <c r="I1464" s="1" t="s">
        <v>714</v>
      </c>
      <c r="J1464" s="1" t="s">
        <v>5772</v>
      </c>
      <c r="K1464" s="1" t="s">
        <v>7237</v>
      </c>
      <c r="L1464" s="1" t="s">
        <v>6554</v>
      </c>
      <c r="M1464" s="1" t="s">
        <v>718</v>
      </c>
    </row>
    <row r="1465" customFormat="false" ht="15" hidden="false" customHeight="false" outlineLevel="0" collapsed="false">
      <c r="A1465" s="1" t="s">
        <v>7238</v>
      </c>
      <c r="B1465" s="1" t="s">
        <v>1397</v>
      </c>
      <c r="C1465" s="1" t="s">
        <v>2127</v>
      </c>
      <c r="D1465" s="2" t="n">
        <v>34292</v>
      </c>
      <c r="E1465" s="1" t="s">
        <v>710</v>
      </c>
      <c r="F1465" s="1" t="s">
        <v>711</v>
      </c>
      <c r="G1465" s="1" t="s">
        <v>722</v>
      </c>
      <c r="H1465" s="1" t="s">
        <v>713</v>
      </c>
      <c r="I1465" s="1" t="s">
        <v>714</v>
      </c>
      <c r="J1465" s="1" t="s">
        <v>978</v>
      </c>
      <c r="K1465" s="1" t="s">
        <v>7239</v>
      </c>
      <c r="L1465" s="1" t="s">
        <v>7240</v>
      </c>
      <c r="M1465" s="1" t="s">
        <v>718</v>
      </c>
    </row>
    <row r="1466" customFormat="false" ht="15" hidden="false" customHeight="false" outlineLevel="0" collapsed="false">
      <c r="A1466" s="1" t="s">
        <v>7241</v>
      </c>
      <c r="B1466" s="1" t="s">
        <v>7242</v>
      </c>
      <c r="C1466" s="1" t="s">
        <v>2260</v>
      </c>
      <c r="D1466" s="2" t="n">
        <v>34598</v>
      </c>
      <c r="E1466" s="1" t="s">
        <v>710</v>
      </c>
      <c r="F1466" s="1" t="s">
        <v>711</v>
      </c>
      <c r="G1466" s="1" t="s">
        <v>7243</v>
      </c>
      <c r="H1466" s="1" t="s">
        <v>713</v>
      </c>
      <c r="I1466" s="1" t="s">
        <v>714</v>
      </c>
      <c r="J1466" s="1" t="s">
        <v>978</v>
      </c>
      <c r="K1466" s="1" t="s">
        <v>7239</v>
      </c>
      <c r="L1466" s="1" t="s">
        <v>7240</v>
      </c>
      <c r="M1466" s="1" t="s">
        <v>718</v>
      </c>
    </row>
    <row r="1467" customFormat="false" ht="15" hidden="false" customHeight="false" outlineLevel="0" collapsed="false">
      <c r="A1467" s="1" t="s">
        <v>7244</v>
      </c>
      <c r="B1467" s="1" t="s">
        <v>2092</v>
      </c>
      <c r="C1467" s="1" t="s">
        <v>2093</v>
      </c>
      <c r="D1467" s="2" t="n">
        <v>36511</v>
      </c>
      <c r="E1467" s="1" t="s">
        <v>763</v>
      </c>
      <c r="F1467" s="1" t="s">
        <v>711</v>
      </c>
      <c r="G1467" s="1" t="s">
        <v>2094</v>
      </c>
      <c r="H1467" s="1" t="s">
        <v>713</v>
      </c>
      <c r="I1467" s="1" t="s">
        <v>714</v>
      </c>
      <c r="J1467" s="1" t="s">
        <v>1244</v>
      </c>
      <c r="K1467" s="1" t="s">
        <v>7245</v>
      </c>
      <c r="L1467" s="1" t="s">
        <v>1418</v>
      </c>
      <c r="M1467" s="1" t="s">
        <v>718</v>
      </c>
    </row>
    <row r="1468" customFormat="false" ht="15" hidden="false" customHeight="false" outlineLevel="0" collapsed="false">
      <c r="A1468" s="1" t="s">
        <v>7246</v>
      </c>
      <c r="B1468" s="1" t="s">
        <v>7247</v>
      </c>
      <c r="C1468" s="1" t="s">
        <v>7248</v>
      </c>
      <c r="D1468" s="2" t="n">
        <v>35980</v>
      </c>
      <c r="E1468" s="1" t="s">
        <v>710</v>
      </c>
      <c r="F1468" s="1" t="s">
        <v>711</v>
      </c>
      <c r="G1468" s="1" t="s">
        <v>712</v>
      </c>
      <c r="H1468" s="1" t="s">
        <v>713</v>
      </c>
      <c r="I1468" s="1" t="s">
        <v>714</v>
      </c>
      <c r="J1468" s="1" t="s">
        <v>3171</v>
      </c>
      <c r="K1468" s="1" t="s">
        <v>7249</v>
      </c>
      <c r="L1468" s="1" t="s">
        <v>7250</v>
      </c>
      <c r="M1468" s="1" t="s">
        <v>718</v>
      </c>
    </row>
    <row r="1469" customFormat="false" ht="15" hidden="false" customHeight="false" outlineLevel="0" collapsed="false">
      <c r="A1469" s="1" t="s">
        <v>7251</v>
      </c>
      <c r="B1469" s="1" t="s">
        <v>7252</v>
      </c>
      <c r="C1469" s="1" t="s">
        <v>7253</v>
      </c>
      <c r="D1469" s="2" t="n">
        <v>34972</v>
      </c>
      <c r="E1469" s="1" t="s">
        <v>710</v>
      </c>
      <c r="F1469" s="1" t="s">
        <v>711</v>
      </c>
      <c r="G1469" s="1" t="s">
        <v>712</v>
      </c>
      <c r="H1469" s="1" t="s">
        <v>713</v>
      </c>
      <c r="I1469" s="1" t="s">
        <v>714</v>
      </c>
      <c r="J1469" s="1" t="s">
        <v>1390</v>
      </c>
      <c r="K1469" s="1" t="s">
        <v>716</v>
      </c>
      <c r="L1469" s="1" t="s">
        <v>7254</v>
      </c>
      <c r="M1469" s="1" t="s">
        <v>718</v>
      </c>
    </row>
    <row r="1470" customFormat="false" ht="15" hidden="false" customHeight="false" outlineLevel="0" collapsed="false">
      <c r="A1470" s="1" t="s">
        <v>7255</v>
      </c>
      <c r="B1470" s="1" t="s">
        <v>7256</v>
      </c>
      <c r="C1470" s="1" t="s">
        <v>6735</v>
      </c>
      <c r="D1470" s="2" t="n">
        <v>36844</v>
      </c>
      <c r="E1470" s="1" t="s">
        <v>710</v>
      </c>
      <c r="F1470" s="1" t="s">
        <v>711</v>
      </c>
      <c r="G1470" s="1" t="s">
        <v>712</v>
      </c>
      <c r="H1470" s="1" t="s">
        <v>713</v>
      </c>
      <c r="I1470" s="1" t="s">
        <v>714</v>
      </c>
      <c r="J1470" s="1" t="s">
        <v>3171</v>
      </c>
      <c r="K1470" s="1" t="s">
        <v>6737</v>
      </c>
      <c r="L1470" s="1" t="s">
        <v>6083</v>
      </c>
      <c r="M1470" s="1" t="s">
        <v>718</v>
      </c>
    </row>
    <row r="1471" customFormat="false" ht="15" hidden="false" customHeight="false" outlineLevel="0" collapsed="false">
      <c r="A1471" s="1" t="s">
        <v>7257</v>
      </c>
      <c r="B1471" s="1" t="s">
        <v>7258</v>
      </c>
      <c r="C1471" s="1" t="s">
        <v>7259</v>
      </c>
      <c r="D1471" s="2" t="n">
        <v>35849</v>
      </c>
      <c r="E1471" s="1" t="s">
        <v>763</v>
      </c>
      <c r="F1471" s="1" t="s">
        <v>711</v>
      </c>
      <c r="G1471" s="1" t="s">
        <v>712</v>
      </c>
      <c r="H1471" s="1" t="s">
        <v>713</v>
      </c>
      <c r="I1471" s="1" t="s">
        <v>714</v>
      </c>
      <c r="J1471" s="1" t="s">
        <v>7260</v>
      </c>
      <c r="K1471" s="1" t="s">
        <v>7261</v>
      </c>
      <c r="L1471" s="1" t="s">
        <v>7262</v>
      </c>
      <c r="M1471" s="1" t="s">
        <v>718</v>
      </c>
    </row>
    <row r="1472" customFormat="false" ht="15" hidden="false" customHeight="false" outlineLevel="0" collapsed="false">
      <c r="A1472" s="1" t="s">
        <v>7263</v>
      </c>
      <c r="B1472" s="1" t="s">
        <v>1147</v>
      </c>
      <c r="C1472" s="1" t="s">
        <v>7264</v>
      </c>
      <c r="D1472" s="2" t="n">
        <v>36651</v>
      </c>
      <c r="E1472" s="1" t="s">
        <v>763</v>
      </c>
      <c r="F1472" s="1" t="s">
        <v>711</v>
      </c>
      <c r="G1472" s="1" t="s">
        <v>7265</v>
      </c>
      <c r="H1472" s="1" t="s">
        <v>713</v>
      </c>
      <c r="I1472" s="1" t="s">
        <v>714</v>
      </c>
      <c r="J1472" s="1" t="s">
        <v>1723</v>
      </c>
      <c r="K1472" s="1" t="s">
        <v>7266</v>
      </c>
      <c r="L1472" s="1" t="s">
        <v>7267</v>
      </c>
      <c r="M1472" s="1" t="s">
        <v>718</v>
      </c>
    </row>
    <row r="1473" customFormat="false" ht="15" hidden="false" customHeight="false" outlineLevel="0" collapsed="false">
      <c r="A1473" s="1" t="s">
        <v>7268</v>
      </c>
      <c r="B1473" s="1" t="s">
        <v>7269</v>
      </c>
      <c r="C1473" s="1" t="s">
        <v>7270</v>
      </c>
      <c r="D1473" s="2" t="n">
        <v>35038</v>
      </c>
      <c r="E1473" s="1" t="s">
        <v>710</v>
      </c>
      <c r="F1473" s="1" t="s">
        <v>711</v>
      </c>
      <c r="G1473" s="1" t="s">
        <v>722</v>
      </c>
      <c r="H1473" s="1" t="s">
        <v>713</v>
      </c>
      <c r="I1473" s="1" t="s">
        <v>714</v>
      </c>
      <c r="J1473" s="1" t="s">
        <v>716</v>
      </c>
      <c r="K1473" s="1" t="s">
        <v>716</v>
      </c>
      <c r="L1473" s="1" t="s">
        <v>7271</v>
      </c>
      <c r="M1473" s="1" t="s">
        <v>718</v>
      </c>
    </row>
    <row r="1474" customFormat="false" ht="15" hidden="false" customHeight="false" outlineLevel="0" collapsed="false">
      <c r="A1474" s="1" t="s">
        <v>7272</v>
      </c>
      <c r="B1474" s="1" t="s">
        <v>7273</v>
      </c>
      <c r="C1474" s="1" t="s">
        <v>7274</v>
      </c>
      <c r="D1474" s="2" t="n">
        <v>34230</v>
      </c>
      <c r="E1474" s="1" t="s">
        <v>710</v>
      </c>
      <c r="F1474" s="1" t="s">
        <v>711</v>
      </c>
      <c r="G1474" s="1" t="s">
        <v>722</v>
      </c>
      <c r="H1474" s="1" t="s">
        <v>713</v>
      </c>
      <c r="I1474" s="1" t="s">
        <v>714</v>
      </c>
      <c r="J1474" s="1" t="s">
        <v>716</v>
      </c>
      <c r="K1474" s="1" t="s">
        <v>716</v>
      </c>
      <c r="L1474" s="1" t="s">
        <v>6554</v>
      </c>
      <c r="M1474" s="1" t="s">
        <v>718</v>
      </c>
    </row>
    <row r="1475" customFormat="false" ht="15" hidden="false" customHeight="false" outlineLevel="0" collapsed="false">
      <c r="A1475" s="1" t="s">
        <v>7275</v>
      </c>
      <c r="B1475" s="1" t="s">
        <v>738</v>
      </c>
      <c r="C1475" s="1" t="s">
        <v>7276</v>
      </c>
      <c r="D1475" s="2" t="n">
        <v>31005</v>
      </c>
      <c r="E1475" s="1" t="s">
        <v>710</v>
      </c>
      <c r="F1475" s="1" t="s">
        <v>711</v>
      </c>
      <c r="G1475" s="1" t="s">
        <v>712</v>
      </c>
      <c r="H1475" s="1" t="s">
        <v>713</v>
      </c>
      <c r="I1475" s="1" t="s">
        <v>714</v>
      </c>
      <c r="J1475" s="1" t="s">
        <v>716</v>
      </c>
      <c r="K1475" s="1" t="s">
        <v>716</v>
      </c>
      <c r="L1475" s="1" t="s">
        <v>4931</v>
      </c>
      <c r="M1475" s="1" t="s">
        <v>718</v>
      </c>
    </row>
    <row r="1476" customFormat="false" ht="15" hidden="false" customHeight="false" outlineLevel="0" collapsed="false">
      <c r="A1476" s="1" t="s">
        <v>7277</v>
      </c>
      <c r="B1476" s="1" t="s">
        <v>7278</v>
      </c>
      <c r="C1476" s="1" t="s">
        <v>2806</v>
      </c>
      <c r="D1476" s="2" t="n">
        <v>30364</v>
      </c>
      <c r="E1476" s="1" t="s">
        <v>763</v>
      </c>
      <c r="F1476" s="1" t="s">
        <v>711</v>
      </c>
      <c r="G1476" s="1" t="s">
        <v>722</v>
      </c>
      <c r="H1476" s="1" t="s">
        <v>713</v>
      </c>
      <c r="I1476" s="1" t="s">
        <v>714</v>
      </c>
      <c r="J1476" s="1" t="s">
        <v>716</v>
      </c>
      <c r="K1476" s="1" t="s">
        <v>716</v>
      </c>
      <c r="L1476" s="1" t="s">
        <v>6409</v>
      </c>
      <c r="M1476" s="1" t="s">
        <v>718</v>
      </c>
    </row>
    <row r="1477" customFormat="false" ht="15" hidden="false" customHeight="false" outlineLevel="0" collapsed="false">
      <c r="A1477" s="1" t="s">
        <v>7279</v>
      </c>
      <c r="B1477" s="1" t="s">
        <v>7280</v>
      </c>
      <c r="C1477" s="1" t="s">
        <v>891</v>
      </c>
      <c r="D1477" s="2" t="n">
        <v>33682</v>
      </c>
      <c r="E1477" s="1" t="s">
        <v>763</v>
      </c>
      <c r="F1477" s="1" t="s">
        <v>711</v>
      </c>
      <c r="G1477" s="1" t="s">
        <v>712</v>
      </c>
      <c r="H1477" s="1" t="s">
        <v>713</v>
      </c>
      <c r="I1477" s="1" t="s">
        <v>714</v>
      </c>
      <c r="J1477" s="1" t="s">
        <v>716</v>
      </c>
      <c r="K1477" s="1" t="s">
        <v>716</v>
      </c>
      <c r="L1477" s="1" t="s">
        <v>6014</v>
      </c>
      <c r="M1477" s="1" t="s">
        <v>718</v>
      </c>
    </row>
    <row r="1478" customFormat="false" ht="15" hidden="false" customHeight="false" outlineLevel="0" collapsed="false">
      <c r="A1478" s="1" t="s">
        <v>7281</v>
      </c>
      <c r="B1478" s="1" t="s">
        <v>7282</v>
      </c>
      <c r="C1478" s="1" t="s">
        <v>7283</v>
      </c>
      <c r="D1478" s="2" t="n">
        <v>29082</v>
      </c>
      <c r="E1478" s="1" t="s">
        <v>710</v>
      </c>
      <c r="F1478" s="1" t="s">
        <v>711</v>
      </c>
      <c r="G1478" s="1" t="s">
        <v>712</v>
      </c>
      <c r="H1478" s="1" t="s">
        <v>713</v>
      </c>
      <c r="I1478" s="1" t="s">
        <v>714</v>
      </c>
      <c r="J1478" s="1" t="s">
        <v>716</v>
      </c>
      <c r="K1478" s="1" t="s">
        <v>716</v>
      </c>
      <c r="L1478" s="1" t="s">
        <v>5734</v>
      </c>
      <c r="M1478" s="1" t="s">
        <v>718</v>
      </c>
    </row>
    <row r="1479" customFormat="false" ht="15" hidden="false" customHeight="false" outlineLevel="0" collapsed="false">
      <c r="A1479" s="1" t="s">
        <v>7284</v>
      </c>
      <c r="B1479" s="1" t="s">
        <v>7285</v>
      </c>
      <c r="C1479" s="1" t="s">
        <v>2812</v>
      </c>
      <c r="D1479" s="2" t="n">
        <v>35624</v>
      </c>
      <c r="E1479" s="1" t="s">
        <v>763</v>
      </c>
      <c r="F1479" s="1" t="s">
        <v>711</v>
      </c>
      <c r="G1479" s="1" t="s">
        <v>712</v>
      </c>
      <c r="H1479" s="1" t="s">
        <v>713</v>
      </c>
      <c r="I1479" s="1" t="s">
        <v>714</v>
      </c>
      <c r="J1479" s="1" t="s">
        <v>7286</v>
      </c>
      <c r="K1479" s="1" t="s">
        <v>7287</v>
      </c>
      <c r="L1479" s="1" t="s">
        <v>2814</v>
      </c>
      <c r="M1479" s="1" t="s">
        <v>718</v>
      </c>
    </row>
    <row r="1480" customFormat="false" ht="15" hidden="false" customHeight="false" outlineLevel="0" collapsed="false">
      <c r="A1480" s="1" t="s">
        <v>7288</v>
      </c>
      <c r="B1480" s="1" t="s">
        <v>7289</v>
      </c>
      <c r="C1480" s="1" t="s">
        <v>7290</v>
      </c>
      <c r="D1480" s="2" t="n">
        <v>34634</v>
      </c>
      <c r="E1480" s="1" t="s">
        <v>710</v>
      </c>
      <c r="F1480" s="1" t="s">
        <v>711</v>
      </c>
      <c r="G1480" s="1" t="s">
        <v>712</v>
      </c>
      <c r="H1480" s="1" t="s">
        <v>713</v>
      </c>
      <c r="I1480" s="1" t="s">
        <v>714</v>
      </c>
      <c r="J1480" s="1" t="s">
        <v>7291</v>
      </c>
      <c r="K1480" s="1" t="s">
        <v>716</v>
      </c>
      <c r="L1480" s="1" t="s">
        <v>7240</v>
      </c>
      <c r="M1480" s="1" t="s">
        <v>718</v>
      </c>
    </row>
    <row r="1481" customFormat="false" ht="15" hidden="false" customHeight="false" outlineLevel="0" collapsed="false">
      <c r="A1481" s="1" t="s">
        <v>7292</v>
      </c>
      <c r="B1481" s="1" t="s">
        <v>7293</v>
      </c>
      <c r="C1481" s="1" t="s">
        <v>3775</v>
      </c>
      <c r="D1481" s="2" t="n">
        <v>30211</v>
      </c>
      <c r="E1481" s="1" t="s">
        <v>710</v>
      </c>
      <c r="F1481" s="1" t="s">
        <v>711</v>
      </c>
      <c r="G1481" s="1" t="s">
        <v>712</v>
      </c>
      <c r="H1481" s="1" t="s">
        <v>713</v>
      </c>
      <c r="I1481" s="1" t="s">
        <v>714</v>
      </c>
      <c r="J1481" s="1" t="s">
        <v>1723</v>
      </c>
      <c r="K1481" s="1" t="s">
        <v>716</v>
      </c>
      <c r="L1481" s="1" t="s">
        <v>6907</v>
      </c>
      <c r="M1481" s="1" t="s">
        <v>718</v>
      </c>
    </row>
    <row r="1482" customFormat="false" ht="15" hidden="false" customHeight="false" outlineLevel="0" collapsed="false">
      <c r="A1482" s="1" t="s">
        <v>7294</v>
      </c>
      <c r="B1482" s="1" t="s">
        <v>7295</v>
      </c>
      <c r="C1482" s="1" t="s">
        <v>3253</v>
      </c>
      <c r="D1482" s="2" t="n">
        <v>36719</v>
      </c>
      <c r="E1482" s="1" t="s">
        <v>710</v>
      </c>
      <c r="F1482" s="1" t="s">
        <v>711</v>
      </c>
      <c r="G1482" s="1" t="s">
        <v>712</v>
      </c>
      <c r="H1482" s="1" t="s">
        <v>713</v>
      </c>
      <c r="I1482" s="1" t="s">
        <v>714</v>
      </c>
      <c r="J1482" s="1" t="s">
        <v>7296</v>
      </c>
      <c r="K1482" s="1" t="s">
        <v>7297</v>
      </c>
      <c r="L1482" s="1" t="s">
        <v>7298</v>
      </c>
      <c r="M1482" s="1" t="s">
        <v>718</v>
      </c>
    </row>
    <row r="1483" customFormat="false" ht="15" hidden="false" customHeight="false" outlineLevel="0" collapsed="false">
      <c r="A1483" s="1" t="s">
        <v>7299</v>
      </c>
      <c r="B1483" s="1" t="s">
        <v>7300</v>
      </c>
      <c r="C1483" s="1" t="s">
        <v>7301</v>
      </c>
      <c r="D1483" s="2" t="n">
        <v>30845</v>
      </c>
      <c r="E1483" s="1" t="s">
        <v>763</v>
      </c>
      <c r="F1483" s="1" t="s">
        <v>711</v>
      </c>
      <c r="G1483" s="1" t="s">
        <v>712</v>
      </c>
      <c r="H1483" s="1" t="s">
        <v>713</v>
      </c>
      <c r="I1483" s="1" t="s">
        <v>714</v>
      </c>
      <c r="J1483" s="1" t="s">
        <v>4239</v>
      </c>
      <c r="K1483" s="1" t="s">
        <v>716</v>
      </c>
      <c r="L1483" s="1" t="s">
        <v>6703</v>
      </c>
      <c r="M1483" s="1" t="s">
        <v>718</v>
      </c>
    </row>
    <row r="1484" customFormat="false" ht="15" hidden="false" customHeight="false" outlineLevel="0" collapsed="false">
      <c r="A1484" s="1" t="s">
        <v>7302</v>
      </c>
      <c r="B1484" s="1" t="s">
        <v>7303</v>
      </c>
      <c r="C1484" s="1" t="s">
        <v>7304</v>
      </c>
      <c r="D1484" s="2" t="n">
        <v>33436</v>
      </c>
      <c r="E1484" s="1" t="s">
        <v>710</v>
      </c>
      <c r="F1484" s="1" t="s">
        <v>711</v>
      </c>
      <c r="G1484" s="1" t="s">
        <v>712</v>
      </c>
      <c r="H1484" s="1" t="s">
        <v>713</v>
      </c>
      <c r="I1484" s="1" t="s">
        <v>714</v>
      </c>
      <c r="J1484" s="1" t="s">
        <v>4239</v>
      </c>
      <c r="K1484" s="1" t="s">
        <v>716</v>
      </c>
      <c r="L1484" s="1" t="s">
        <v>6694</v>
      </c>
      <c r="M1484" s="1" t="s">
        <v>718</v>
      </c>
    </row>
    <row r="1485" customFormat="false" ht="15" hidden="false" customHeight="false" outlineLevel="0" collapsed="false">
      <c r="A1485" s="1" t="s">
        <v>7305</v>
      </c>
      <c r="B1485" s="1" t="s">
        <v>7306</v>
      </c>
      <c r="C1485" s="1" t="s">
        <v>1518</v>
      </c>
      <c r="D1485" s="2" t="n">
        <v>33135</v>
      </c>
      <c r="E1485" s="1" t="s">
        <v>763</v>
      </c>
      <c r="F1485" s="1" t="s">
        <v>711</v>
      </c>
      <c r="G1485" s="1" t="s">
        <v>712</v>
      </c>
      <c r="H1485" s="1" t="s">
        <v>713</v>
      </c>
      <c r="I1485" s="1" t="s">
        <v>714</v>
      </c>
      <c r="J1485" s="1" t="s">
        <v>4239</v>
      </c>
      <c r="K1485" s="1" t="s">
        <v>716</v>
      </c>
      <c r="L1485" s="1" t="s">
        <v>6247</v>
      </c>
      <c r="M1485" s="1" t="s">
        <v>718</v>
      </c>
    </row>
    <row r="1486" customFormat="false" ht="15" hidden="false" customHeight="false" outlineLevel="0" collapsed="false">
      <c r="A1486" s="1" t="s">
        <v>7307</v>
      </c>
      <c r="B1486" s="1" t="s">
        <v>1985</v>
      </c>
      <c r="C1486" s="1" t="s">
        <v>7308</v>
      </c>
      <c r="D1486" s="2" t="n">
        <v>33398</v>
      </c>
      <c r="E1486" s="1" t="s">
        <v>710</v>
      </c>
      <c r="F1486" s="1" t="s">
        <v>711</v>
      </c>
      <c r="G1486" s="1" t="s">
        <v>712</v>
      </c>
      <c r="H1486" s="1" t="s">
        <v>713</v>
      </c>
      <c r="I1486" s="1" t="s">
        <v>714</v>
      </c>
      <c r="J1486" s="1" t="s">
        <v>4239</v>
      </c>
      <c r="K1486" s="1" t="s">
        <v>716</v>
      </c>
      <c r="L1486" s="1" t="s">
        <v>1418</v>
      </c>
      <c r="M1486" s="1" t="s">
        <v>718</v>
      </c>
    </row>
    <row r="1487" customFormat="false" ht="15" hidden="false" customHeight="false" outlineLevel="0" collapsed="false">
      <c r="A1487" s="1" t="s">
        <v>7309</v>
      </c>
      <c r="B1487" s="1" t="s">
        <v>7310</v>
      </c>
      <c r="C1487" s="1" t="s">
        <v>1430</v>
      </c>
      <c r="D1487" s="2" t="n">
        <v>29920</v>
      </c>
      <c r="E1487" s="1" t="s">
        <v>710</v>
      </c>
      <c r="F1487" s="1" t="s">
        <v>711</v>
      </c>
      <c r="G1487" s="1" t="s">
        <v>722</v>
      </c>
      <c r="H1487" s="1" t="s">
        <v>713</v>
      </c>
      <c r="I1487" s="1" t="s">
        <v>714</v>
      </c>
      <c r="J1487" s="1" t="s">
        <v>716</v>
      </c>
      <c r="K1487" s="1" t="s">
        <v>716</v>
      </c>
      <c r="L1487" s="1" t="s">
        <v>1418</v>
      </c>
      <c r="M1487" s="1" t="s">
        <v>718</v>
      </c>
    </row>
    <row r="1488" customFormat="false" ht="15" hidden="false" customHeight="false" outlineLevel="0" collapsed="false">
      <c r="A1488" s="1" t="s">
        <v>7311</v>
      </c>
      <c r="B1488" s="1" t="s">
        <v>7312</v>
      </c>
      <c r="C1488" s="1" t="s">
        <v>7313</v>
      </c>
      <c r="D1488" s="2" t="n">
        <v>34195</v>
      </c>
      <c r="E1488" s="1" t="s">
        <v>710</v>
      </c>
      <c r="F1488" s="1" t="s">
        <v>711</v>
      </c>
      <c r="G1488" s="1" t="s">
        <v>712</v>
      </c>
      <c r="H1488" s="1" t="s">
        <v>713</v>
      </c>
      <c r="I1488" s="1" t="s">
        <v>714</v>
      </c>
      <c r="J1488" s="1" t="s">
        <v>716</v>
      </c>
      <c r="K1488" s="1" t="s">
        <v>716</v>
      </c>
      <c r="L1488" s="1" t="s">
        <v>1418</v>
      </c>
      <c r="M1488" s="1" t="s">
        <v>718</v>
      </c>
    </row>
    <row r="1489" customFormat="false" ht="15" hidden="false" customHeight="false" outlineLevel="0" collapsed="false">
      <c r="A1489" s="1" t="s">
        <v>7314</v>
      </c>
      <c r="B1489" s="1" t="s">
        <v>7315</v>
      </c>
      <c r="C1489" s="1" t="s">
        <v>7316</v>
      </c>
      <c r="D1489" s="2" t="n">
        <v>33660</v>
      </c>
      <c r="E1489" s="1" t="s">
        <v>710</v>
      </c>
      <c r="F1489" s="1" t="s">
        <v>711</v>
      </c>
      <c r="G1489" s="1" t="s">
        <v>722</v>
      </c>
      <c r="H1489" s="1" t="s">
        <v>713</v>
      </c>
      <c r="I1489" s="1" t="s">
        <v>714</v>
      </c>
      <c r="J1489" s="1" t="s">
        <v>716</v>
      </c>
      <c r="K1489" s="1" t="s">
        <v>716</v>
      </c>
      <c r="L1489" s="1" t="s">
        <v>1418</v>
      </c>
      <c r="M1489" s="1" t="s">
        <v>718</v>
      </c>
    </row>
    <row r="1490" customFormat="false" ht="15" hidden="false" customHeight="false" outlineLevel="0" collapsed="false">
      <c r="A1490" s="1" t="s">
        <v>7317</v>
      </c>
      <c r="B1490" s="1" t="s">
        <v>7318</v>
      </c>
      <c r="C1490" s="1" t="s">
        <v>2242</v>
      </c>
      <c r="D1490" s="2" t="n">
        <v>34621</v>
      </c>
      <c r="E1490" s="1" t="s">
        <v>710</v>
      </c>
      <c r="F1490" s="1" t="s">
        <v>711</v>
      </c>
      <c r="G1490" s="1" t="s">
        <v>712</v>
      </c>
      <c r="H1490" s="1" t="s">
        <v>713</v>
      </c>
      <c r="I1490" s="1" t="s">
        <v>714</v>
      </c>
      <c r="J1490" s="1" t="s">
        <v>716</v>
      </c>
      <c r="K1490" s="1" t="s">
        <v>716</v>
      </c>
      <c r="L1490" s="1" t="s">
        <v>5719</v>
      </c>
      <c r="M1490" s="1" t="s">
        <v>718</v>
      </c>
    </row>
    <row r="1491" customFormat="false" ht="15" hidden="false" customHeight="false" outlineLevel="0" collapsed="false">
      <c r="A1491" s="1" t="s">
        <v>7319</v>
      </c>
      <c r="B1491" s="1" t="s">
        <v>7320</v>
      </c>
      <c r="C1491" s="1" t="s">
        <v>7321</v>
      </c>
      <c r="D1491" s="2" t="n">
        <v>26440</v>
      </c>
      <c r="E1491" s="1" t="s">
        <v>763</v>
      </c>
      <c r="F1491" s="1" t="s">
        <v>711</v>
      </c>
      <c r="G1491" s="1" t="s">
        <v>722</v>
      </c>
      <c r="H1491" s="1" t="s">
        <v>713</v>
      </c>
      <c r="I1491" s="1" t="s">
        <v>714</v>
      </c>
      <c r="J1491" s="1" t="s">
        <v>716</v>
      </c>
      <c r="K1491" s="1" t="s">
        <v>716</v>
      </c>
      <c r="L1491" s="1" t="s">
        <v>1418</v>
      </c>
      <c r="M1491" s="1" t="s">
        <v>718</v>
      </c>
    </row>
    <row r="1492" customFormat="false" ht="15" hidden="false" customHeight="false" outlineLevel="0" collapsed="false">
      <c r="A1492" s="1" t="s">
        <v>7322</v>
      </c>
      <c r="B1492" s="1" t="s">
        <v>7323</v>
      </c>
      <c r="C1492" s="1" t="s">
        <v>2529</v>
      </c>
      <c r="D1492" s="2" t="n">
        <v>34135</v>
      </c>
      <c r="E1492" s="1" t="s">
        <v>710</v>
      </c>
      <c r="F1492" s="1" t="s">
        <v>711</v>
      </c>
      <c r="G1492" s="1" t="s">
        <v>712</v>
      </c>
      <c r="H1492" s="1" t="s">
        <v>713</v>
      </c>
      <c r="I1492" s="1" t="s">
        <v>714</v>
      </c>
      <c r="J1492" s="1" t="s">
        <v>716</v>
      </c>
      <c r="K1492" s="1" t="s">
        <v>716</v>
      </c>
      <c r="L1492" s="1" t="s">
        <v>1418</v>
      </c>
      <c r="M1492" s="1" t="s">
        <v>718</v>
      </c>
    </row>
    <row r="1493" customFormat="false" ht="15" hidden="false" customHeight="false" outlineLevel="0" collapsed="false">
      <c r="A1493" s="1" t="s">
        <v>7324</v>
      </c>
      <c r="B1493" s="1" t="s">
        <v>7325</v>
      </c>
      <c r="C1493" s="1" t="s">
        <v>7326</v>
      </c>
      <c r="D1493" s="2" t="n">
        <v>33563</v>
      </c>
      <c r="E1493" s="1" t="s">
        <v>763</v>
      </c>
      <c r="F1493" s="1" t="s">
        <v>711</v>
      </c>
      <c r="G1493" s="1" t="s">
        <v>722</v>
      </c>
      <c r="H1493" s="1" t="s">
        <v>713</v>
      </c>
      <c r="I1493" s="1" t="s">
        <v>714</v>
      </c>
      <c r="J1493" s="1" t="s">
        <v>716</v>
      </c>
      <c r="K1493" s="1" t="s">
        <v>716</v>
      </c>
      <c r="L1493" s="1" t="s">
        <v>1418</v>
      </c>
      <c r="M1493" s="1" t="s">
        <v>718</v>
      </c>
    </row>
    <row r="1494" customFormat="false" ht="15" hidden="false" customHeight="false" outlineLevel="0" collapsed="false">
      <c r="A1494" s="1" t="s">
        <v>7327</v>
      </c>
      <c r="B1494" s="1" t="s">
        <v>7328</v>
      </c>
      <c r="C1494" s="1" t="s">
        <v>7329</v>
      </c>
      <c r="D1494" s="2" t="n">
        <v>36720</v>
      </c>
      <c r="E1494" s="1" t="s">
        <v>763</v>
      </c>
      <c r="F1494" s="1" t="s">
        <v>711</v>
      </c>
      <c r="G1494" s="1" t="s">
        <v>722</v>
      </c>
      <c r="H1494" s="1" t="s">
        <v>713</v>
      </c>
      <c r="I1494" s="1" t="s">
        <v>714</v>
      </c>
      <c r="J1494" s="1" t="s">
        <v>3171</v>
      </c>
      <c r="K1494" s="1" t="s">
        <v>7330</v>
      </c>
      <c r="L1494" s="1" t="s">
        <v>7331</v>
      </c>
      <c r="M1494" s="1" t="s">
        <v>718</v>
      </c>
    </row>
    <row r="1495" customFormat="false" ht="15" hidden="false" customHeight="false" outlineLevel="0" collapsed="false">
      <c r="A1495" s="1" t="s">
        <v>7332</v>
      </c>
      <c r="B1495" s="1" t="s">
        <v>7333</v>
      </c>
      <c r="C1495" s="1" t="s">
        <v>1518</v>
      </c>
      <c r="D1495" s="2" t="n">
        <v>34980</v>
      </c>
      <c r="E1495" s="1" t="s">
        <v>710</v>
      </c>
      <c r="F1495" s="1" t="s">
        <v>711</v>
      </c>
      <c r="G1495" s="1" t="s">
        <v>712</v>
      </c>
      <c r="H1495" s="1" t="s">
        <v>713</v>
      </c>
      <c r="I1495" s="1" t="s">
        <v>714</v>
      </c>
      <c r="J1495" s="1" t="s">
        <v>716</v>
      </c>
      <c r="K1495" s="1" t="s">
        <v>716</v>
      </c>
      <c r="L1495" s="1" t="s">
        <v>1418</v>
      </c>
      <c r="M1495" s="1" t="s">
        <v>718</v>
      </c>
    </row>
    <row r="1496" customFormat="false" ht="15" hidden="false" customHeight="false" outlineLevel="0" collapsed="false">
      <c r="A1496" s="1" t="s">
        <v>7334</v>
      </c>
      <c r="B1496" s="1" t="s">
        <v>7335</v>
      </c>
      <c r="C1496" s="1" t="s">
        <v>1248</v>
      </c>
      <c r="D1496" s="2" t="n">
        <v>34992</v>
      </c>
      <c r="E1496" s="1" t="s">
        <v>710</v>
      </c>
      <c r="F1496" s="1" t="s">
        <v>711</v>
      </c>
      <c r="G1496" s="1" t="s">
        <v>722</v>
      </c>
      <c r="H1496" s="1" t="s">
        <v>713</v>
      </c>
      <c r="I1496" s="1" t="s">
        <v>714</v>
      </c>
      <c r="J1496" s="1" t="s">
        <v>716</v>
      </c>
      <c r="K1496" s="1" t="s">
        <v>716</v>
      </c>
      <c r="L1496" s="1" t="s">
        <v>1250</v>
      </c>
      <c r="M1496" s="1" t="s">
        <v>718</v>
      </c>
    </row>
    <row r="1497" customFormat="false" ht="15" hidden="false" customHeight="false" outlineLevel="0" collapsed="false">
      <c r="A1497" s="1" t="s">
        <v>7336</v>
      </c>
      <c r="B1497" s="1" t="s">
        <v>7337</v>
      </c>
      <c r="C1497" s="1" t="s">
        <v>4985</v>
      </c>
      <c r="D1497" s="2" t="n">
        <v>33438</v>
      </c>
      <c r="E1497" s="1" t="s">
        <v>710</v>
      </c>
      <c r="F1497" s="1" t="s">
        <v>711</v>
      </c>
      <c r="G1497" s="1" t="s">
        <v>1693</v>
      </c>
      <c r="H1497" s="1" t="s">
        <v>713</v>
      </c>
      <c r="I1497" s="1" t="s">
        <v>714</v>
      </c>
      <c r="J1497" s="1" t="s">
        <v>716</v>
      </c>
      <c r="K1497" s="1" t="s">
        <v>716</v>
      </c>
      <c r="L1497" s="1" t="s">
        <v>1418</v>
      </c>
      <c r="M1497" s="1" t="s">
        <v>718</v>
      </c>
    </row>
    <row r="1498" customFormat="false" ht="15" hidden="false" customHeight="false" outlineLevel="0" collapsed="false">
      <c r="A1498" s="1" t="s">
        <v>7338</v>
      </c>
      <c r="B1498" s="1" t="s">
        <v>7339</v>
      </c>
      <c r="C1498" s="1" t="s">
        <v>7340</v>
      </c>
      <c r="D1498" s="2" t="n">
        <v>37599</v>
      </c>
      <c r="E1498" s="1" t="s">
        <v>763</v>
      </c>
      <c r="F1498" s="1" t="s">
        <v>711</v>
      </c>
      <c r="G1498" s="1" t="s">
        <v>712</v>
      </c>
      <c r="H1498" s="1" t="s">
        <v>713</v>
      </c>
      <c r="I1498" s="1" t="s">
        <v>714</v>
      </c>
      <c r="J1498" s="1" t="s">
        <v>838</v>
      </c>
      <c r="K1498" s="1" t="s">
        <v>7341</v>
      </c>
      <c r="L1498" s="1" t="s">
        <v>2911</v>
      </c>
      <c r="M1498" s="1" t="s">
        <v>718</v>
      </c>
    </row>
    <row r="1499" customFormat="false" ht="15" hidden="false" customHeight="false" outlineLevel="0" collapsed="false">
      <c r="A1499" s="1" t="s">
        <v>7342</v>
      </c>
      <c r="B1499" s="1" t="s">
        <v>7343</v>
      </c>
      <c r="C1499" s="1" t="s">
        <v>7344</v>
      </c>
      <c r="D1499" s="2" t="n">
        <v>36104</v>
      </c>
      <c r="E1499" s="1" t="s">
        <v>763</v>
      </c>
      <c r="F1499" s="1" t="s">
        <v>711</v>
      </c>
      <c r="G1499" s="1" t="s">
        <v>722</v>
      </c>
      <c r="H1499" s="1" t="s">
        <v>713</v>
      </c>
      <c r="I1499" s="1" t="s">
        <v>714</v>
      </c>
      <c r="J1499" s="1" t="s">
        <v>959</v>
      </c>
      <c r="K1499" s="1" t="s">
        <v>7345</v>
      </c>
      <c r="L1499" s="1" t="s">
        <v>3804</v>
      </c>
      <c r="M1499" s="1" t="s">
        <v>718</v>
      </c>
    </row>
    <row r="1500" customFormat="false" ht="15" hidden="false" customHeight="false" outlineLevel="0" collapsed="false">
      <c r="A1500" s="1" t="s">
        <v>7346</v>
      </c>
      <c r="B1500" s="1" t="s">
        <v>7347</v>
      </c>
      <c r="C1500" s="1" t="s">
        <v>7348</v>
      </c>
      <c r="D1500" s="2" t="n">
        <v>36248</v>
      </c>
      <c r="E1500" s="1" t="s">
        <v>763</v>
      </c>
      <c r="F1500" s="1" t="s">
        <v>711</v>
      </c>
      <c r="G1500" s="1" t="s">
        <v>722</v>
      </c>
      <c r="H1500" s="1" t="s">
        <v>713</v>
      </c>
      <c r="I1500" s="1" t="s">
        <v>714</v>
      </c>
      <c r="J1500" s="1" t="s">
        <v>7349</v>
      </c>
      <c r="K1500" s="1" t="s">
        <v>716</v>
      </c>
      <c r="L1500" s="1" t="s">
        <v>7350</v>
      </c>
      <c r="M1500" s="1" t="s">
        <v>718</v>
      </c>
    </row>
    <row r="1501" customFormat="false" ht="15" hidden="false" customHeight="false" outlineLevel="0" collapsed="false">
      <c r="A1501" s="1" t="s">
        <v>7351</v>
      </c>
      <c r="B1501" s="1" t="s">
        <v>7352</v>
      </c>
      <c r="C1501" s="1" t="s">
        <v>7353</v>
      </c>
      <c r="D1501" s="2" t="n">
        <v>36559</v>
      </c>
      <c r="E1501" s="1" t="s">
        <v>710</v>
      </c>
      <c r="F1501" s="1" t="s">
        <v>711</v>
      </c>
      <c r="G1501" s="1" t="s">
        <v>1573</v>
      </c>
      <c r="H1501" s="1" t="s">
        <v>1574</v>
      </c>
      <c r="I1501" s="1" t="s">
        <v>1575</v>
      </c>
      <c r="J1501" s="1" t="s">
        <v>7354</v>
      </c>
      <c r="K1501" s="1" t="s">
        <v>7355</v>
      </c>
      <c r="L1501" s="1" t="s">
        <v>1418</v>
      </c>
      <c r="M1501" s="1" t="s">
        <v>718</v>
      </c>
    </row>
    <row r="1502" customFormat="false" ht="15" hidden="false" customHeight="false" outlineLevel="0" collapsed="false">
      <c r="A1502" s="1" t="s">
        <v>7356</v>
      </c>
      <c r="B1502" s="1" t="s">
        <v>7357</v>
      </c>
      <c r="C1502" s="1" t="s">
        <v>7358</v>
      </c>
      <c r="D1502" s="2" t="n">
        <v>36518</v>
      </c>
      <c r="E1502" s="1" t="s">
        <v>763</v>
      </c>
      <c r="F1502" s="1" t="s">
        <v>711</v>
      </c>
      <c r="G1502" s="1" t="s">
        <v>722</v>
      </c>
      <c r="H1502" s="1" t="s">
        <v>713</v>
      </c>
      <c r="I1502" s="1" t="s">
        <v>714</v>
      </c>
      <c r="J1502" s="1" t="s">
        <v>1544</v>
      </c>
      <c r="K1502" s="1" t="s">
        <v>7359</v>
      </c>
      <c r="L1502" s="1" t="s">
        <v>7360</v>
      </c>
      <c r="M1502" s="1" t="s">
        <v>718</v>
      </c>
    </row>
    <row r="1503" customFormat="false" ht="15" hidden="false" customHeight="false" outlineLevel="0" collapsed="false">
      <c r="A1503" s="1" t="s">
        <v>7361</v>
      </c>
      <c r="B1503" s="1" t="s">
        <v>7362</v>
      </c>
      <c r="C1503" s="1" t="s">
        <v>7363</v>
      </c>
      <c r="D1503" s="2" t="n">
        <v>36695</v>
      </c>
      <c r="E1503" s="1" t="s">
        <v>710</v>
      </c>
      <c r="F1503" s="1" t="s">
        <v>711</v>
      </c>
      <c r="G1503" s="1" t="s">
        <v>712</v>
      </c>
      <c r="H1503" s="1" t="s">
        <v>713</v>
      </c>
      <c r="I1503" s="1" t="s">
        <v>714</v>
      </c>
      <c r="J1503" s="1" t="s">
        <v>716</v>
      </c>
      <c r="K1503" s="1" t="s">
        <v>716</v>
      </c>
      <c r="L1503" s="1" t="s">
        <v>1949</v>
      </c>
      <c r="M1503" s="1" t="s">
        <v>718</v>
      </c>
    </row>
    <row r="1504" customFormat="false" ht="15" hidden="false" customHeight="false" outlineLevel="0" collapsed="false">
      <c r="A1504" s="1" t="s">
        <v>7364</v>
      </c>
      <c r="B1504" s="1" t="s">
        <v>2858</v>
      </c>
      <c r="C1504" s="1" t="s">
        <v>7365</v>
      </c>
      <c r="D1504" s="2" t="n">
        <v>35591</v>
      </c>
      <c r="E1504" s="1" t="s">
        <v>710</v>
      </c>
      <c r="F1504" s="1" t="s">
        <v>711</v>
      </c>
      <c r="G1504" s="1" t="s">
        <v>722</v>
      </c>
      <c r="H1504" s="1" t="s">
        <v>713</v>
      </c>
      <c r="I1504" s="1" t="s">
        <v>714</v>
      </c>
      <c r="J1504" s="1" t="s">
        <v>1445</v>
      </c>
      <c r="K1504" s="1" t="s">
        <v>716</v>
      </c>
      <c r="L1504" s="1" t="s">
        <v>7366</v>
      </c>
      <c r="M1504" s="1" t="s">
        <v>718</v>
      </c>
    </row>
    <row r="1505" customFormat="false" ht="15" hidden="false" customHeight="false" outlineLevel="0" collapsed="false">
      <c r="A1505" s="1" t="s">
        <v>7367</v>
      </c>
      <c r="B1505" s="1" t="s">
        <v>7368</v>
      </c>
      <c r="C1505" s="1" t="s">
        <v>7369</v>
      </c>
      <c r="D1505" s="2" t="n">
        <v>36217</v>
      </c>
      <c r="E1505" s="1" t="s">
        <v>763</v>
      </c>
      <c r="F1505" s="1" t="s">
        <v>711</v>
      </c>
      <c r="G1505" s="1" t="s">
        <v>722</v>
      </c>
      <c r="H1505" s="1" t="s">
        <v>713</v>
      </c>
      <c r="I1505" s="1" t="s">
        <v>714</v>
      </c>
      <c r="J1505" s="1" t="s">
        <v>716</v>
      </c>
      <c r="K1505" s="1" t="s">
        <v>716</v>
      </c>
      <c r="L1505" s="1" t="s">
        <v>7370</v>
      </c>
      <c r="M1505" s="1" t="s">
        <v>718</v>
      </c>
    </row>
    <row r="1506" customFormat="false" ht="15" hidden="false" customHeight="false" outlineLevel="0" collapsed="false">
      <c r="A1506" s="1" t="s">
        <v>7371</v>
      </c>
      <c r="B1506" s="1" t="s">
        <v>7372</v>
      </c>
      <c r="C1506" s="1" t="s">
        <v>7373</v>
      </c>
      <c r="D1506" s="2" t="n">
        <v>37085</v>
      </c>
      <c r="E1506" s="1" t="s">
        <v>710</v>
      </c>
      <c r="F1506" s="1" t="s">
        <v>711</v>
      </c>
      <c r="G1506" s="1" t="s">
        <v>722</v>
      </c>
      <c r="H1506" s="1" t="s">
        <v>713</v>
      </c>
      <c r="I1506" s="1" t="s">
        <v>714</v>
      </c>
      <c r="J1506" s="1" t="s">
        <v>7374</v>
      </c>
      <c r="K1506" s="1" t="s">
        <v>716</v>
      </c>
      <c r="L1506" s="1" t="s">
        <v>3714</v>
      </c>
      <c r="M1506" s="1" t="s">
        <v>718</v>
      </c>
    </row>
    <row r="1507" customFormat="false" ht="15" hidden="false" customHeight="false" outlineLevel="0" collapsed="false">
      <c r="A1507" s="1" t="s">
        <v>7375</v>
      </c>
      <c r="B1507" s="1" t="s">
        <v>7376</v>
      </c>
      <c r="C1507" s="1" t="s">
        <v>7377</v>
      </c>
      <c r="D1507" s="2" t="n">
        <v>37008</v>
      </c>
      <c r="E1507" s="1" t="s">
        <v>710</v>
      </c>
      <c r="F1507" s="1" t="s">
        <v>711</v>
      </c>
      <c r="G1507" s="1" t="s">
        <v>722</v>
      </c>
      <c r="H1507" s="1" t="s">
        <v>713</v>
      </c>
      <c r="I1507" s="1" t="s">
        <v>714</v>
      </c>
      <c r="J1507" s="1" t="s">
        <v>7378</v>
      </c>
      <c r="K1507" s="1" t="s">
        <v>7379</v>
      </c>
      <c r="L1507" s="1" t="s">
        <v>7380</v>
      </c>
      <c r="M1507" s="1" t="s">
        <v>718</v>
      </c>
    </row>
    <row r="1508" customFormat="false" ht="15" hidden="false" customHeight="false" outlineLevel="0" collapsed="false">
      <c r="A1508" s="1" t="s">
        <v>7381</v>
      </c>
      <c r="B1508" s="1" t="s">
        <v>7382</v>
      </c>
      <c r="C1508" s="1" t="s">
        <v>7176</v>
      </c>
      <c r="D1508" s="2" t="n">
        <v>36671</v>
      </c>
      <c r="E1508" s="1" t="s">
        <v>763</v>
      </c>
      <c r="F1508" s="1" t="s">
        <v>711</v>
      </c>
      <c r="G1508" s="1" t="s">
        <v>712</v>
      </c>
      <c r="H1508" s="1" t="s">
        <v>713</v>
      </c>
      <c r="I1508" s="1" t="s">
        <v>714</v>
      </c>
      <c r="J1508" s="1" t="s">
        <v>4121</v>
      </c>
      <c r="K1508" s="1" t="s">
        <v>7383</v>
      </c>
      <c r="L1508" s="1" t="s">
        <v>7384</v>
      </c>
      <c r="M1508" s="1" t="s">
        <v>718</v>
      </c>
    </row>
    <row r="1509" customFormat="false" ht="15" hidden="false" customHeight="false" outlineLevel="0" collapsed="false">
      <c r="A1509" s="1" t="s">
        <v>7385</v>
      </c>
      <c r="B1509" s="1" t="s">
        <v>7386</v>
      </c>
      <c r="C1509" s="1" t="s">
        <v>7387</v>
      </c>
      <c r="D1509" s="2" t="n">
        <v>37022</v>
      </c>
      <c r="E1509" s="1" t="s">
        <v>763</v>
      </c>
      <c r="F1509" s="1" t="s">
        <v>711</v>
      </c>
      <c r="G1509" s="1" t="s">
        <v>712</v>
      </c>
      <c r="H1509" s="1" t="s">
        <v>713</v>
      </c>
      <c r="I1509" s="1" t="s">
        <v>714</v>
      </c>
      <c r="J1509" s="1" t="s">
        <v>1131</v>
      </c>
      <c r="K1509" s="1" t="s">
        <v>7388</v>
      </c>
      <c r="L1509" s="1" t="s">
        <v>7389</v>
      </c>
      <c r="M1509" s="1" t="s">
        <v>718</v>
      </c>
    </row>
    <row r="1510" customFormat="false" ht="15" hidden="false" customHeight="false" outlineLevel="0" collapsed="false">
      <c r="A1510" s="1" t="s">
        <v>7390</v>
      </c>
      <c r="B1510" s="1" t="s">
        <v>6531</v>
      </c>
      <c r="C1510" s="1" t="s">
        <v>7391</v>
      </c>
      <c r="D1510" s="2" t="n">
        <v>37179</v>
      </c>
      <c r="E1510" s="1" t="s">
        <v>763</v>
      </c>
      <c r="F1510" s="1" t="s">
        <v>711</v>
      </c>
      <c r="G1510" s="1" t="s">
        <v>722</v>
      </c>
      <c r="H1510" s="1" t="s">
        <v>713</v>
      </c>
      <c r="I1510" s="1" t="s">
        <v>714</v>
      </c>
      <c r="J1510" s="1" t="s">
        <v>7392</v>
      </c>
      <c r="K1510" s="1" t="s">
        <v>7393</v>
      </c>
      <c r="L1510" s="1" t="s">
        <v>7394</v>
      </c>
      <c r="M1510" s="1" t="s">
        <v>718</v>
      </c>
    </row>
    <row r="1511" customFormat="false" ht="15" hidden="false" customHeight="false" outlineLevel="0" collapsed="false">
      <c r="A1511" s="1" t="s">
        <v>7395</v>
      </c>
      <c r="B1511" s="1" t="s">
        <v>7396</v>
      </c>
      <c r="C1511" s="1" t="s">
        <v>5097</v>
      </c>
      <c r="D1511" s="2" t="n">
        <v>36770</v>
      </c>
      <c r="E1511" s="1" t="s">
        <v>710</v>
      </c>
      <c r="F1511" s="1" t="s">
        <v>711</v>
      </c>
      <c r="G1511" s="1" t="s">
        <v>722</v>
      </c>
      <c r="H1511" s="1" t="s">
        <v>713</v>
      </c>
      <c r="I1511" s="1" t="s">
        <v>714</v>
      </c>
      <c r="J1511" s="1" t="s">
        <v>2117</v>
      </c>
      <c r="K1511" s="1" t="s">
        <v>7397</v>
      </c>
      <c r="L1511" s="1" t="s">
        <v>5100</v>
      </c>
      <c r="M1511" s="1" t="s">
        <v>718</v>
      </c>
    </row>
    <row r="1512" customFormat="false" ht="15" hidden="false" customHeight="false" outlineLevel="0" collapsed="false">
      <c r="A1512" s="1" t="s">
        <v>7398</v>
      </c>
      <c r="B1512" s="1" t="s">
        <v>7399</v>
      </c>
      <c r="C1512" s="1" t="s">
        <v>7400</v>
      </c>
      <c r="D1512" s="2" t="n">
        <v>37275</v>
      </c>
      <c r="E1512" s="1" t="s">
        <v>763</v>
      </c>
      <c r="F1512" s="1" t="s">
        <v>711</v>
      </c>
      <c r="G1512" s="1" t="s">
        <v>712</v>
      </c>
      <c r="H1512" s="1" t="s">
        <v>713</v>
      </c>
      <c r="I1512" s="1" t="s">
        <v>714</v>
      </c>
      <c r="J1512" s="1" t="s">
        <v>1131</v>
      </c>
      <c r="K1512" s="1" t="s">
        <v>7401</v>
      </c>
      <c r="L1512" s="1" t="s">
        <v>7402</v>
      </c>
      <c r="M1512" s="1" t="s">
        <v>718</v>
      </c>
    </row>
    <row r="1513" customFormat="false" ht="15" hidden="false" customHeight="false" outlineLevel="0" collapsed="false">
      <c r="A1513" s="1" t="s">
        <v>7403</v>
      </c>
      <c r="B1513" s="1" t="s">
        <v>7404</v>
      </c>
      <c r="C1513" s="1" t="s">
        <v>1143</v>
      </c>
      <c r="D1513" s="2" t="n">
        <v>37129</v>
      </c>
      <c r="E1513" s="1" t="s">
        <v>710</v>
      </c>
      <c r="F1513" s="1" t="s">
        <v>711</v>
      </c>
      <c r="G1513" s="1" t="s">
        <v>712</v>
      </c>
      <c r="H1513" s="1" t="s">
        <v>713</v>
      </c>
      <c r="I1513" s="1" t="s">
        <v>714</v>
      </c>
      <c r="J1513" s="1" t="s">
        <v>821</v>
      </c>
      <c r="K1513" s="1" t="s">
        <v>716</v>
      </c>
      <c r="L1513" s="1" t="s">
        <v>7405</v>
      </c>
      <c r="M1513" s="1" t="s">
        <v>718</v>
      </c>
    </row>
    <row r="1514" customFormat="false" ht="15" hidden="false" customHeight="false" outlineLevel="0" collapsed="false">
      <c r="A1514" s="1" t="s">
        <v>7406</v>
      </c>
      <c r="B1514" s="1" t="s">
        <v>7407</v>
      </c>
      <c r="C1514" s="1" t="s">
        <v>2632</v>
      </c>
      <c r="D1514" s="2" t="n">
        <v>37141</v>
      </c>
      <c r="E1514" s="1" t="s">
        <v>763</v>
      </c>
      <c r="F1514" s="1" t="s">
        <v>711</v>
      </c>
      <c r="G1514" s="1" t="s">
        <v>722</v>
      </c>
      <c r="H1514" s="1" t="s">
        <v>713</v>
      </c>
      <c r="I1514" s="1" t="s">
        <v>714</v>
      </c>
      <c r="J1514" s="1" t="s">
        <v>7408</v>
      </c>
      <c r="K1514" s="1" t="s">
        <v>7409</v>
      </c>
      <c r="L1514" s="1" t="s">
        <v>5398</v>
      </c>
      <c r="M1514" s="1" t="s">
        <v>718</v>
      </c>
    </row>
    <row r="1515" customFormat="false" ht="15" hidden="false" customHeight="false" outlineLevel="0" collapsed="false">
      <c r="A1515" s="1" t="s">
        <v>7410</v>
      </c>
      <c r="B1515" s="1" t="s">
        <v>7411</v>
      </c>
      <c r="C1515" s="1" t="s">
        <v>739</v>
      </c>
      <c r="D1515" s="2" t="n">
        <v>37097</v>
      </c>
      <c r="E1515" s="1" t="s">
        <v>763</v>
      </c>
      <c r="F1515" s="1" t="s">
        <v>711</v>
      </c>
      <c r="G1515" s="1" t="s">
        <v>722</v>
      </c>
      <c r="H1515" s="1" t="s">
        <v>713</v>
      </c>
      <c r="I1515" s="1" t="s">
        <v>714</v>
      </c>
      <c r="J1515" s="1" t="s">
        <v>5342</v>
      </c>
      <c r="K1515" s="1" t="s">
        <v>7412</v>
      </c>
      <c r="L1515" s="1" t="s">
        <v>7413</v>
      </c>
      <c r="M1515" s="1" t="s">
        <v>718</v>
      </c>
    </row>
    <row r="1516" customFormat="false" ht="15" hidden="false" customHeight="false" outlineLevel="0" collapsed="false">
      <c r="A1516" s="1" t="s">
        <v>7414</v>
      </c>
      <c r="B1516" s="1" t="s">
        <v>1760</v>
      </c>
      <c r="C1516" s="1" t="s">
        <v>739</v>
      </c>
      <c r="D1516" s="2" t="n">
        <v>36858</v>
      </c>
      <c r="E1516" s="1" t="s">
        <v>710</v>
      </c>
      <c r="F1516" s="1" t="s">
        <v>711</v>
      </c>
      <c r="G1516" s="1" t="s">
        <v>722</v>
      </c>
      <c r="H1516" s="1" t="s">
        <v>713</v>
      </c>
      <c r="I1516" s="1" t="s">
        <v>714</v>
      </c>
      <c r="J1516" s="1" t="s">
        <v>821</v>
      </c>
      <c r="K1516" s="1" t="s">
        <v>7415</v>
      </c>
      <c r="L1516" s="1" t="s">
        <v>7416</v>
      </c>
      <c r="M1516" s="1" t="s">
        <v>718</v>
      </c>
    </row>
    <row r="1517" customFormat="false" ht="15" hidden="false" customHeight="false" outlineLevel="0" collapsed="false">
      <c r="A1517" s="1" t="s">
        <v>7417</v>
      </c>
      <c r="B1517" s="1" t="s">
        <v>738</v>
      </c>
      <c r="C1517" s="1" t="s">
        <v>2859</v>
      </c>
      <c r="D1517" s="2" t="n">
        <v>36908</v>
      </c>
      <c r="E1517" s="1" t="s">
        <v>710</v>
      </c>
      <c r="F1517" s="1" t="s">
        <v>711</v>
      </c>
      <c r="G1517" s="1" t="s">
        <v>722</v>
      </c>
      <c r="H1517" s="1" t="s">
        <v>713</v>
      </c>
      <c r="I1517" s="1" t="s">
        <v>714</v>
      </c>
      <c r="J1517" s="1" t="s">
        <v>1244</v>
      </c>
      <c r="K1517" s="1" t="s">
        <v>716</v>
      </c>
      <c r="L1517" s="1" t="s">
        <v>4614</v>
      </c>
      <c r="M1517" s="1" t="s">
        <v>718</v>
      </c>
    </row>
    <row r="1518" customFormat="false" ht="15" hidden="false" customHeight="false" outlineLevel="0" collapsed="false">
      <c r="A1518" s="1" t="s">
        <v>7418</v>
      </c>
      <c r="B1518" s="1" t="s">
        <v>7419</v>
      </c>
      <c r="C1518" s="1" t="s">
        <v>3545</v>
      </c>
      <c r="D1518" s="2" t="n">
        <v>37186</v>
      </c>
      <c r="E1518" s="1" t="s">
        <v>763</v>
      </c>
      <c r="F1518" s="1" t="s">
        <v>711</v>
      </c>
      <c r="G1518" s="1" t="s">
        <v>712</v>
      </c>
      <c r="H1518" s="1" t="s">
        <v>713</v>
      </c>
      <c r="I1518" s="1" t="s">
        <v>714</v>
      </c>
      <c r="J1518" s="1" t="s">
        <v>1244</v>
      </c>
      <c r="K1518" s="1" t="s">
        <v>7420</v>
      </c>
      <c r="L1518" s="1" t="s">
        <v>3548</v>
      </c>
      <c r="M1518" s="1" t="s">
        <v>718</v>
      </c>
    </row>
    <row r="1519" customFormat="false" ht="15" hidden="false" customHeight="false" outlineLevel="0" collapsed="false">
      <c r="A1519" s="1" t="s">
        <v>7421</v>
      </c>
      <c r="B1519" s="1" t="s">
        <v>7422</v>
      </c>
      <c r="C1519" s="1" t="s">
        <v>3545</v>
      </c>
      <c r="D1519" s="2" t="n">
        <v>37202</v>
      </c>
      <c r="E1519" s="1" t="s">
        <v>710</v>
      </c>
      <c r="F1519" s="1" t="s">
        <v>711</v>
      </c>
      <c r="G1519" s="1" t="s">
        <v>712</v>
      </c>
      <c r="H1519" s="1" t="s">
        <v>713</v>
      </c>
      <c r="I1519" s="1" t="s">
        <v>714</v>
      </c>
      <c r="J1519" s="1" t="s">
        <v>1390</v>
      </c>
      <c r="K1519" s="1" t="s">
        <v>7423</v>
      </c>
      <c r="L1519" s="1" t="s">
        <v>7424</v>
      </c>
      <c r="M1519" s="1" t="s">
        <v>718</v>
      </c>
    </row>
    <row r="1520" customFormat="false" ht="15" hidden="false" customHeight="false" outlineLevel="0" collapsed="false">
      <c r="A1520" s="1" t="s">
        <v>7425</v>
      </c>
      <c r="B1520" s="1" t="s">
        <v>7426</v>
      </c>
      <c r="C1520" s="1" t="s">
        <v>3545</v>
      </c>
      <c r="D1520" s="2" t="n">
        <v>36057</v>
      </c>
      <c r="E1520" s="1" t="s">
        <v>763</v>
      </c>
      <c r="F1520" s="1" t="s">
        <v>711</v>
      </c>
      <c r="G1520" s="1" t="s">
        <v>712</v>
      </c>
      <c r="H1520" s="1" t="s">
        <v>713</v>
      </c>
      <c r="I1520" s="1" t="s">
        <v>714</v>
      </c>
      <c r="J1520" s="1" t="s">
        <v>3678</v>
      </c>
      <c r="K1520" s="1" t="s">
        <v>7427</v>
      </c>
      <c r="L1520" s="1" t="s">
        <v>7428</v>
      </c>
      <c r="M1520" s="1" t="s">
        <v>718</v>
      </c>
    </row>
    <row r="1521" customFormat="false" ht="15" hidden="false" customHeight="false" outlineLevel="0" collapsed="false">
      <c r="A1521" s="1" t="s">
        <v>7429</v>
      </c>
      <c r="B1521" s="1" t="s">
        <v>7430</v>
      </c>
      <c r="C1521" s="1" t="s">
        <v>4005</v>
      </c>
      <c r="D1521" s="2" t="n">
        <v>36105</v>
      </c>
      <c r="E1521" s="1" t="s">
        <v>763</v>
      </c>
      <c r="F1521" s="1" t="s">
        <v>711</v>
      </c>
      <c r="G1521" s="1" t="s">
        <v>722</v>
      </c>
      <c r="H1521" s="1" t="s">
        <v>713</v>
      </c>
      <c r="I1521" s="1" t="s">
        <v>714</v>
      </c>
      <c r="J1521" s="1" t="s">
        <v>7431</v>
      </c>
      <c r="K1521" s="1" t="s">
        <v>716</v>
      </c>
      <c r="L1521" s="1" t="s">
        <v>7432</v>
      </c>
      <c r="M1521" s="1" t="s">
        <v>718</v>
      </c>
    </row>
    <row r="1522" customFormat="false" ht="15" hidden="false" customHeight="false" outlineLevel="0" collapsed="false">
      <c r="A1522" s="1" t="s">
        <v>7433</v>
      </c>
      <c r="B1522" s="1" t="s">
        <v>7434</v>
      </c>
      <c r="C1522" s="1" t="s">
        <v>6835</v>
      </c>
      <c r="D1522" s="2" t="n">
        <v>34412</v>
      </c>
      <c r="E1522" s="1" t="s">
        <v>710</v>
      </c>
      <c r="F1522" s="1" t="s">
        <v>711</v>
      </c>
      <c r="G1522" s="1" t="s">
        <v>722</v>
      </c>
      <c r="H1522" s="1" t="s">
        <v>713</v>
      </c>
      <c r="I1522" s="1" t="s">
        <v>714</v>
      </c>
      <c r="J1522" s="1" t="s">
        <v>751</v>
      </c>
      <c r="K1522" s="1" t="s">
        <v>7435</v>
      </c>
      <c r="L1522" s="1" t="s">
        <v>1773</v>
      </c>
      <c r="M1522" s="1" t="s">
        <v>718</v>
      </c>
    </row>
    <row r="1523" customFormat="false" ht="15" hidden="false" customHeight="false" outlineLevel="0" collapsed="false">
      <c r="A1523" s="1" t="s">
        <v>7436</v>
      </c>
      <c r="B1523" s="1" t="s">
        <v>7437</v>
      </c>
      <c r="C1523" s="1" t="s">
        <v>3545</v>
      </c>
      <c r="D1523" s="2" t="n">
        <v>35354</v>
      </c>
      <c r="E1523" s="1" t="s">
        <v>710</v>
      </c>
      <c r="F1523" s="1" t="s">
        <v>711</v>
      </c>
      <c r="G1523" s="1" t="s">
        <v>712</v>
      </c>
      <c r="H1523" s="1" t="s">
        <v>713</v>
      </c>
      <c r="I1523" s="1" t="s">
        <v>714</v>
      </c>
      <c r="J1523" s="1" t="s">
        <v>7438</v>
      </c>
      <c r="K1523" s="1" t="s">
        <v>7439</v>
      </c>
      <c r="L1523" s="1" t="s">
        <v>7428</v>
      </c>
      <c r="M1523" s="1" t="s">
        <v>718</v>
      </c>
    </row>
    <row r="1524" customFormat="false" ht="15" hidden="false" customHeight="false" outlineLevel="0" collapsed="false">
      <c r="A1524" s="1" t="s">
        <v>7440</v>
      </c>
      <c r="B1524" s="1" t="s">
        <v>7441</v>
      </c>
      <c r="C1524" s="1" t="s">
        <v>4388</v>
      </c>
      <c r="D1524" s="2" t="n">
        <v>34176</v>
      </c>
      <c r="E1524" s="1" t="s">
        <v>763</v>
      </c>
      <c r="F1524" s="1" t="s">
        <v>711</v>
      </c>
      <c r="G1524" s="1" t="s">
        <v>775</v>
      </c>
      <c r="H1524" s="1" t="s">
        <v>713</v>
      </c>
      <c r="I1524" s="1" t="s">
        <v>714</v>
      </c>
      <c r="J1524" s="1" t="s">
        <v>7442</v>
      </c>
      <c r="K1524" s="1" t="s">
        <v>7443</v>
      </c>
      <c r="L1524" s="1" t="s">
        <v>4391</v>
      </c>
      <c r="M1524" s="1" t="s">
        <v>718</v>
      </c>
    </row>
    <row r="1525" customFormat="false" ht="15" hidden="false" customHeight="false" outlineLevel="0" collapsed="false">
      <c r="A1525" s="1" t="s">
        <v>7444</v>
      </c>
      <c r="B1525" s="1" t="s">
        <v>7445</v>
      </c>
      <c r="C1525" s="1" t="s">
        <v>986</v>
      </c>
      <c r="D1525" s="2" t="n">
        <v>37154</v>
      </c>
      <c r="E1525" s="1" t="s">
        <v>763</v>
      </c>
      <c r="F1525" s="1" t="s">
        <v>711</v>
      </c>
      <c r="G1525" s="1" t="s">
        <v>722</v>
      </c>
      <c r="H1525" s="1" t="s">
        <v>713</v>
      </c>
      <c r="I1525" s="1" t="s">
        <v>714</v>
      </c>
      <c r="J1525" s="1" t="s">
        <v>2041</v>
      </c>
      <c r="K1525" s="1" t="s">
        <v>716</v>
      </c>
      <c r="L1525" s="1" t="s">
        <v>2043</v>
      </c>
      <c r="M1525" s="1" t="s">
        <v>718</v>
      </c>
    </row>
    <row r="1526" customFormat="false" ht="15" hidden="false" customHeight="false" outlineLevel="0" collapsed="false">
      <c r="A1526" s="1" t="s">
        <v>7446</v>
      </c>
      <c r="B1526" s="1" t="s">
        <v>2374</v>
      </c>
      <c r="C1526" s="1" t="s">
        <v>4626</v>
      </c>
      <c r="D1526" s="2" t="n">
        <v>37068</v>
      </c>
      <c r="E1526" s="1" t="s">
        <v>710</v>
      </c>
      <c r="F1526" s="1" t="s">
        <v>711</v>
      </c>
      <c r="G1526" s="1" t="s">
        <v>722</v>
      </c>
      <c r="H1526" s="1" t="s">
        <v>713</v>
      </c>
      <c r="I1526" s="1" t="s">
        <v>714</v>
      </c>
      <c r="J1526" s="1" t="s">
        <v>751</v>
      </c>
      <c r="K1526" s="1" t="s">
        <v>7447</v>
      </c>
      <c r="L1526" s="1" t="s">
        <v>7448</v>
      </c>
      <c r="M1526" s="1" t="s">
        <v>718</v>
      </c>
    </row>
    <row r="1527" customFormat="false" ht="15" hidden="false" customHeight="false" outlineLevel="0" collapsed="false">
      <c r="A1527" s="1" t="s">
        <v>7449</v>
      </c>
      <c r="B1527" s="1" t="s">
        <v>7450</v>
      </c>
      <c r="C1527" s="1" t="s">
        <v>2165</v>
      </c>
      <c r="D1527" s="2" t="n">
        <v>37162</v>
      </c>
      <c r="E1527" s="1" t="s">
        <v>710</v>
      </c>
      <c r="F1527" s="1" t="s">
        <v>711</v>
      </c>
      <c r="G1527" s="1" t="s">
        <v>722</v>
      </c>
      <c r="H1527" s="1" t="s">
        <v>713</v>
      </c>
      <c r="I1527" s="1" t="s">
        <v>714</v>
      </c>
      <c r="J1527" s="1" t="s">
        <v>1723</v>
      </c>
      <c r="K1527" s="1" t="s">
        <v>7451</v>
      </c>
      <c r="L1527" s="1" t="s">
        <v>2167</v>
      </c>
      <c r="M1527" s="1" t="s">
        <v>718</v>
      </c>
    </row>
    <row r="1528" customFormat="false" ht="15" hidden="false" customHeight="false" outlineLevel="0" collapsed="false">
      <c r="A1528" s="1" t="s">
        <v>7452</v>
      </c>
      <c r="B1528" s="1" t="s">
        <v>7453</v>
      </c>
      <c r="C1528" s="1" t="s">
        <v>7454</v>
      </c>
      <c r="D1528" s="2" t="n">
        <v>37198</v>
      </c>
      <c r="E1528" s="1" t="s">
        <v>763</v>
      </c>
      <c r="F1528" s="1" t="s">
        <v>711</v>
      </c>
      <c r="G1528" s="1" t="s">
        <v>712</v>
      </c>
      <c r="H1528" s="1" t="s">
        <v>713</v>
      </c>
      <c r="I1528" s="1" t="s">
        <v>714</v>
      </c>
      <c r="J1528" s="1" t="s">
        <v>1445</v>
      </c>
      <c r="K1528" s="1" t="s">
        <v>7455</v>
      </c>
      <c r="L1528" s="1" t="s">
        <v>7456</v>
      </c>
      <c r="M1528" s="1" t="s">
        <v>718</v>
      </c>
    </row>
    <row r="1529" customFormat="false" ht="15" hidden="false" customHeight="false" outlineLevel="0" collapsed="false">
      <c r="A1529" s="1" t="s">
        <v>7457</v>
      </c>
      <c r="B1529" s="1" t="s">
        <v>7458</v>
      </c>
      <c r="C1529" s="1" t="s">
        <v>3377</v>
      </c>
      <c r="D1529" s="2" t="n">
        <v>37099</v>
      </c>
      <c r="E1529" s="1" t="s">
        <v>763</v>
      </c>
      <c r="F1529" s="1" t="s">
        <v>711</v>
      </c>
      <c r="G1529" s="1" t="s">
        <v>712</v>
      </c>
      <c r="H1529" s="1" t="s">
        <v>713</v>
      </c>
      <c r="I1529" s="1" t="s">
        <v>714</v>
      </c>
      <c r="J1529" s="1" t="s">
        <v>1445</v>
      </c>
      <c r="K1529" s="1" t="s">
        <v>7455</v>
      </c>
      <c r="L1529" s="1" t="s">
        <v>7459</v>
      </c>
      <c r="M1529" s="1" t="s">
        <v>718</v>
      </c>
    </row>
    <row r="1530" customFormat="false" ht="15" hidden="false" customHeight="false" outlineLevel="0" collapsed="false">
      <c r="A1530" s="1" t="s">
        <v>7460</v>
      </c>
      <c r="B1530" s="1" t="s">
        <v>7461</v>
      </c>
      <c r="C1530" s="1" t="s">
        <v>2170</v>
      </c>
      <c r="D1530" s="2" t="n">
        <v>37157</v>
      </c>
      <c r="E1530" s="1" t="s">
        <v>763</v>
      </c>
      <c r="F1530" s="1" t="s">
        <v>711</v>
      </c>
      <c r="G1530" s="1" t="s">
        <v>712</v>
      </c>
      <c r="H1530" s="1" t="s">
        <v>713</v>
      </c>
      <c r="I1530" s="1" t="s">
        <v>714</v>
      </c>
      <c r="J1530" s="1" t="s">
        <v>7462</v>
      </c>
      <c r="K1530" s="1" t="s">
        <v>7463</v>
      </c>
      <c r="L1530" s="1" t="s">
        <v>7464</v>
      </c>
      <c r="M1530" s="1" t="s">
        <v>718</v>
      </c>
    </row>
    <row r="1531" customFormat="false" ht="15" hidden="false" customHeight="false" outlineLevel="0" collapsed="false">
      <c r="A1531" s="1" t="s">
        <v>7465</v>
      </c>
      <c r="B1531" s="1" t="s">
        <v>5750</v>
      </c>
      <c r="C1531" s="1" t="s">
        <v>2643</v>
      </c>
      <c r="D1531" s="2" t="n">
        <v>36893</v>
      </c>
      <c r="E1531" s="1" t="s">
        <v>710</v>
      </c>
      <c r="F1531" s="1" t="s">
        <v>711</v>
      </c>
      <c r="G1531" s="1" t="s">
        <v>722</v>
      </c>
      <c r="H1531" s="1" t="s">
        <v>713</v>
      </c>
      <c r="I1531" s="1" t="s">
        <v>714</v>
      </c>
      <c r="J1531" s="1" t="s">
        <v>7466</v>
      </c>
      <c r="K1531" s="1" t="s">
        <v>7467</v>
      </c>
      <c r="L1531" s="1" t="s">
        <v>2842</v>
      </c>
      <c r="M1531" s="1" t="s">
        <v>718</v>
      </c>
    </row>
    <row r="1532" customFormat="false" ht="15" hidden="false" customHeight="false" outlineLevel="0" collapsed="false">
      <c r="A1532" s="1" t="s">
        <v>7468</v>
      </c>
      <c r="B1532" s="1" t="s">
        <v>7469</v>
      </c>
      <c r="C1532" s="1" t="s">
        <v>5196</v>
      </c>
      <c r="D1532" s="2" t="n">
        <v>37107</v>
      </c>
      <c r="E1532" s="1" t="s">
        <v>763</v>
      </c>
      <c r="F1532" s="1" t="s">
        <v>711</v>
      </c>
      <c r="G1532" s="1" t="s">
        <v>722</v>
      </c>
      <c r="H1532" s="1" t="s">
        <v>713</v>
      </c>
      <c r="I1532" s="1" t="s">
        <v>714</v>
      </c>
      <c r="J1532" s="1" t="s">
        <v>5362</v>
      </c>
      <c r="K1532" s="1" t="s">
        <v>7470</v>
      </c>
      <c r="L1532" s="1" t="s">
        <v>5198</v>
      </c>
      <c r="M1532" s="1" t="s">
        <v>718</v>
      </c>
    </row>
    <row r="1533" customFormat="false" ht="15" hidden="false" customHeight="false" outlineLevel="0" collapsed="false">
      <c r="A1533" s="1" t="s">
        <v>7471</v>
      </c>
      <c r="B1533" s="1" t="s">
        <v>7472</v>
      </c>
      <c r="C1533" s="1" t="s">
        <v>7473</v>
      </c>
      <c r="D1533" s="2" t="n">
        <v>37183</v>
      </c>
      <c r="E1533" s="1" t="s">
        <v>763</v>
      </c>
      <c r="F1533" s="1" t="s">
        <v>711</v>
      </c>
      <c r="G1533" s="1" t="s">
        <v>722</v>
      </c>
      <c r="H1533" s="1" t="s">
        <v>713</v>
      </c>
      <c r="I1533" s="1" t="s">
        <v>714</v>
      </c>
      <c r="J1533" s="1" t="s">
        <v>5972</v>
      </c>
      <c r="K1533" s="1" t="s">
        <v>7474</v>
      </c>
      <c r="L1533" s="1" t="s">
        <v>1792</v>
      </c>
      <c r="M1533" s="1" t="s">
        <v>718</v>
      </c>
    </row>
    <row r="1534" customFormat="false" ht="15" hidden="false" customHeight="false" outlineLevel="0" collapsed="false">
      <c r="A1534" s="1" t="s">
        <v>7475</v>
      </c>
      <c r="B1534" s="1" t="s">
        <v>2071</v>
      </c>
      <c r="C1534" s="1" t="s">
        <v>5196</v>
      </c>
      <c r="D1534" s="2" t="n">
        <v>37182</v>
      </c>
      <c r="E1534" s="1" t="s">
        <v>710</v>
      </c>
      <c r="F1534" s="1" t="s">
        <v>711</v>
      </c>
      <c r="G1534" s="1" t="s">
        <v>712</v>
      </c>
      <c r="H1534" s="1" t="s">
        <v>713</v>
      </c>
      <c r="I1534" s="1" t="s">
        <v>714</v>
      </c>
      <c r="J1534" s="1" t="s">
        <v>1398</v>
      </c>
      <c r="K1534" s="1" t="s">
        <v>7476</v>
      </c>
      <c r="L1534" s="1" t="s">
        <v>7477</v>
      </c>
      <c r="M1534" s="1" t="s">
        <v>718</v>
      </c>
    </row>
    <row r="1535" customFormat="false" ht="15" hidden="false" customHeight="false" outlineLevel="0" collapsed="false">
      <c r="A1535" s="1" t="s">
        <v>7478</v>
      </c>
      <c r="B1535" s="1" t="s">
        <v>7479</v>
      </c>
      <c r="C1535" s="1" t="s">
        <v>7480</v>
      </c>
      <c r="D1535" s="2" t="n">
        <v>36962</v>
      </c>
      <c r="E1535" s="1" t="s">
        <v>710</v>
      </c>
      <c r="F1535" s="1" t="s">
        <v>711</v>
      </c>
      <c r="G1535" s="1" t="s">
        <v>722</v>
      </c>
      <c r="H1535" s="1" t="s">
        <v>713</v>
      </c>
      <c r="I1535" s="1" t="s">
        <v>714</v>
      </c>
      <c r="J1535" s="1" t="s">
        <v>2889</v>
      </c>
      <c r="K1535" s="1" t="s">
        <v>7481</v>
      </c>
      <c r="L1535" s="1" t="s">
        <v>5074</v>
      </c>
      <c r="M1535" s="1" t="s">
        <v>718</v>
      </c>
    </row>
    <row r="1536" customFormat="false" ht="15" hidden="false" customHeight="false" outlineLevel="0" collapsed="false">
      <c r="A1536" s="1" t="s">
        <v>7482</v>
      </c>
      <c r="B1536" s="1" t="s">
        <v>7483</v>
      </c>
      <c r="C1536" s="1" t="s">
        <v>7484</v>
      </c>
      <c r="D1536" s="2" t="n">
        <v>37023</v>
      </c>
      <c r="E1536" s="1" t="s">
        <v>763</v>
      </c>
      <c r="F1536" s="1" t="s">
        <v>711</v>
      </c>
      <c r="G1536" s="1" t="s">
        <v>1220</v>
      </c>
      <c r="H1536" s="1" t="s">
        <v>713</v>
      </c>
      <c r="I1536" s="1" t="s">
        <v>714</v>
      </c>
      <c r="J1536" s="1" t="s">
        <v>1244</v>
      </c>
      <c r="K1536" s="1" t="s">
        <v>7485</v>
      </c>
      <c r="L1536" s="1" t="s">
        <v>7486</v>
      </c>
      <c r="M1536" s="1" t="s">
        <v>718</v>
      </c>
    </row>
    <row r="1537" customFormat="false" ht="15" hidden="false" customHeight="false" outlineLevel="0" collapsed="false">
      <c r="A1537" s="1" t="s">
        <v>7487</v>
      </c>
      <c r="B1537" s="1" t="s">
        <v>2606</v>
      </c>
      <c r="C1537" s="1" t="s">
        <v>7488</v>
      </c>
      <c r="D1537" s="2" t="n">
        <v>36592</v>
      </c>
      <c r="E1537" s="1" t="s">
        <v>710</v>
      </c>
      <c r="F1537" s="1" t="s">
        <v>711</v>
      </c>
      <c r="G1537" s="1" t="s">
        <v>712</v>
      </c>
      <c r="H1537" s="1" t="s">
        <v>713</v>
      </c>
      <c r="I1537" s="1" t="s">
        <v>714</v>
      </c>
      <c r="J1537" s="1" t="s">
        <v>7489</v>
      </c>
      <c r="K1537" s="1" t="s">
        <v>7157</v>
      </c>
      <c r="L1537" s="1" t="s">
        <v>7158</v>
      </c>
      <c r="M1537" s="1" t="s">
        <v>718</v>
      </c>
    </row>
    <row r="1538" customFormat="false" ht="15" hidden="false" customHeight="false" outlineLevel="0" collapsed="false">
      <c r="A1538" s="1" t="s">
        <v>7490</v>
      </c>
      <c r="B1538" s="1" t="s">
        <v>6531</v>
      </c>
      <c r="C1538" s="1" t="s">
        <v>7491</v>
      </c>
      <c r="D1538" s="2" t="n">
        <v>37126</v>
      </c>
      <c r="E1538" s="1" t="s">
        <v>763</v>
      </c>
      <c r="F1538" s="1" t="s">
        <v>711</v>
      </c>
      <c r="G1538" s="1" t="s">
        <v>722</v>
      </c>
      <c r="H1538" s="1" t="s">
        <v>713</v>
      </c>
      <c r="I1538" s="1" t="s">
        <v>714</v>
      </c>
      <c r="J1538" s="1" t="s">
        <v>7492</v>
      </c>
      <c r="K1538" s="1" t="s">
        <v>7493</v>
      </c>
      <c r="L1538" s="1" t="s">
        <v>4747</v>
      </c>
      <c r="M1538" s="1" t="s">
        <v>718</v>
      </c>
    </row>
    <row r="1539" customFormat="false" ht="15" hidden="false" customHeight="false" outlineLevel="0" collapsed="false">
      <c r="A1539" s="1" t="s">
        <v>7494</v>
      </c>
      <c r="B1539" s="1" t="s">
        <v>7495</v>
      </c>
      <c r="C1539" s="1" t="s">
        <v>7496</v>
      </c>
      <c r="D1539" s="2" t="n">
        <v>37220</v>
      </c>
      <c r="E1539" s="1" t="s">
        <v>763</v>
      </c>
      <c r="F1539" s="1" t="s">
        <v>711</v>
      </c>
      <c r="G1539" s="1" t="s">
        <v>722</v>
      </c>
      <c r="H1539" s="1" t="s">
        <v>713</v>
      </c>
      <c r="I1539" s="1" t="s">
        <v>714</v>
      </c>
      <c r="J1539" s="1" t="s">
        <v>7497</v>
      </c>
      <c r="K1539" s="1" t="s">
        <v>7498</v>
      </c>
      <c r="L1539" s="1" t="s">
        <v>7499</v>
      </c>
      <c r="M1539" s="1" t="s">
        <v>718</v>
      </c>
    </row>
    <row r="1540" customFormat="false" ht="15" hidden="false" customHeight="false" outlineLevel="0" collapsed="false">
      <c r="A1540" s="1" t="s">
        <v>7500</v>
      </c>
      <c r="B1540" s="1" t="s">
        <v>7501</v>
      </c>
      <c r="C1540" s="1" t="s">
        <v>7502</v>
      </c>
      <c r="D1540" s="2" t="n">
        <v>37145</v>
      </c>
      <c r="E1540" s="1" t="s">
        <v>710</v>
      </c>
      <c r="F1540" s="1" t="s">
        <v>711</v>
      </c>
      <c r="G1540" s="1" t="s">
        <v>722</v>
      </c>
      <c r="H1540" s="1" t="s">
        <v>713</v>
      </c>
      <c r="I1540" s="1" t="s">
        <v>714</v>
      </c>
      <c r="J1540" s="1" t="s">
        <v>886</v>
      </c>
      <c r="K1540" s="1" t="s">
        <v>7503</v>
      </c>
      <c r="L1540" s="1" t="s">
        <v>7504</v>
      </c>
      <c r="M1540" s="1" t="s">
        <v>718</v>
      </c>
    </row>
    <row r="1541" customFormat="false" ht="15" hidden="false" customHeight="false" outlineLevel="0" collapsed="false">
      <c r="A1541" s="1" t="s">
        <v>7505</v>
      </c>
      <c r="B1541" s="1" t="s">
        <v>7506</v>
      </c>
      <c r="C1541" s="1" t="s">
        <v>7507</v>
      </c>
      <c r="D1541" s="2" t="n">
        <v>37307</v>
      </c>
      <c r="E1541" s="1" t="s">
        <v>763</v>
      </c>
      <c r="F1541" s="1" t="s">
        <v>711</v>
      </c>
      <c r="G1541" s="1" t="s">
        <v>5902</v>
      </c>
      <c r="H1541" s="1" t="s">
        <v>5902</v>
      </c>
      <c r="I1541" s="1" t="s">
        <v>5903</v>
      </c>
      <c r="J1541" s="1" t="s">
        <v>1505</v>
      </c>
      <c r="K1541" s="1" t="s">
        <v>7508</v>
      </c>
      <c r="L1541" s="1" t="s">
        <v>7509</v>
      </c>
      <c r="M1541" s="1" t="s">
        <v>718</v>
      </c>
    </row>
    <row r="1542" customFormat="false" ht="15" hidden="false" customHeight="false" outlineLevel="0" collapsed="false">
      <c r="A1542" s="1" t="s">
        <v>7510</v>
      </c>
      <c r="B1542" s="1" t="s">
        <v>7511</v>
      </c>
      <c r="C1542" s="1" t="s">
        <v>958</v>
      </c>
      <c r="D1542" s="2" t="n">
        <v>37214</v>
      </c>
      <c r="E1542" s="1" t="s">
        <v>763</v>
      </c>
      <c r="F1542" s="1" t="s">
        <v>711</v>
      </c>
      <c r="G1542" s="1" t="s">
        <v>722</v>
      </c>
      <c r="H1542" s="1" t="s">
        <v>713</v>
      </c>
      <c r="I1542" s="1" t="s">
        <v>714</v>
      </c>
      <c r="J1542" s="1" t="s">
        <v>959</v>
      </c>
      <c r="K1542" s="1" t="s">
        <v>7512</v>
      </c>
      <c r="L1542" s="1" t="s">
        <v>960</v>
      </c>
      <c r="M1542" s="1" t="s">
        <v>718</v>
      </c>
    </row>
    <row r="1543" customFormat="false" ht="15" hidden="false" customHeight="false" outlineLevel="0" collapsed="false">
      <c r="A1543" s="1" t="s">
        <v>7513</v>
      </c>
      <c r="B1543" s="1" t="s">
        <v>7514</v>
      </c>
      <c r="C1543" s="1" t="s">
        <v>3545</v>
      </c>
      <c r="D1543" s="2" t="n">
        <v>37363</v>
      </c>
      <c r="E1543" s="1" t="s">
        <v>710</v>
      </c>
      <c r="F1543" s="1" t="s">
        <v>711</v>
      </c>
      <c r="G1543" s="1" t="s">
        <v>712</v>
      </c>
      <c r="H1543" s="1" t="s">
        <v>713</v>
      </c>
      <c r="I1543" s="1" t="s">
        <v>714</v>
      </c>
      <c r="J1543" s="1" t="s">
        <v>978</v>
      </c>
      <c r="K1543" s="1" t="s">
        <v>716</v>
      </c>
      <c r="L1543" s="1" t="s">
        <v>7428</v>
      </c>
      <c r="M1543" s="1" t="s">
        <v>718</v>
      </c>
    </row>
    <row r="1544" customFormat="false" ht="15" hidden="false" customHeight="false" outlineLevel="0" collapsed="false">
      <c r="A1544" s="1" t="s">
        <v>7515</v>
      </c>
      <c r="B1544" s="1" t="s">
        <v>7516</v>
      </c>
      <c r="C1544" s="1" t="s">
        <v>5557</v>
      </c>
      <c r="D1544" s="2" t="n">
        <v>37558</v>
      </c>
      <c r="E1544" s="1" t="s">
        <v>710</v>
      </c>
      <c r="F1544" s="1" t="s">
        <v>711</v>
      </c>
      <c r="G1544" s="1" t="s">
        <v>712</v>
      </c>
      <c r="H1544" s="1" t="s">
        <v>713</v>
      </c>
      <c r="I1544" s="1" t="s">
        <v>714</v>
      </c>
      <c r="J1544" s="1" t="s">
        <v>7517</v>
      </c>
      <c r="K1544" s="1" t="s">
        <v>7518</v>
      </c>
      <c r="L1544" s="1" t="s">
        <v>5560</v>
      </c>
      <c r="M1544" s="1" t="s">
        <v>718</v>
      </c>
    </row>
    <row r="1545" customFormat="false" ht="15" hidden="false" customHeight="false" outlineLevel="0" collapsed="false">
      <c r="A1545" s="1" t="s">
        <v>7519</v>
      </c>
      <c r="B1545" s="1" t="s">
        <v>7520</v>
      </c>
      <c r="C1545" s="1" t="s">
        <v>7521</v>
      </c>
      <c r="D1545" s="2" t="n">
        <v>36768</v>
      </c>
      <c r="E1545" s="1" t="s">
        <v>763</v>
      </c>
      <c r="F1545" s="1" t="s">
        <v>711</v>
      </c>
      <c r="G1545" s="1" t="s">
        <v>722</v>
      </c>
      <c r="H1545" s="1" t="s">
        <v>713</v>
      </c>
      <c r="I1545" s="1" t="s">
        <v>714</v>
      </c>
      <c r="J1545" s="1" t="s">
        <v>928</v>
      </c>
      <c r="K1545" s="1" t="s">
        <v>7522</v>
      </c>
      <c r="L1545" s="1" t="s">
        <v>7523</v>
      </c>
      <c r="M1545" s="1" t="s">
        <v>718</v>
      </c>
    </row>
    <row r="1546" customFormat="false" ht="15" hidden="false" customHeight="false" outlineLevel="0" collapsed="false">
      <c r="A1546" s="1" t="s">
        <v>7524</v>
      </c>
      <c r="B1546" s="1" t="s">
        <v>7525</v>
      </c>
      <c r="C1546" s="1" t="s">
        <v>6742</v>
      </c>
      <c r="D1546" s="2" t="n">
        <v>36953</v>
      </c>
      <c r="E1546" s="1" t="s">
        <v>763</v>
      </c>
      <c r="F1546" s="1" t="s">
        <v>711</v>
      </c>
      <c r="G1546" s="1" t="s">
        <v>712</v>
      </c>
      <c r="H1546" s="1" t="s">
        <v>713</v>
      </c>
      <c r="I1546" s="1" t="s">
        <v>714</v>
      </c>
      <c r="J1546" s="1" t="s">
        <v>880</v>
      </c>
      <c r="K1546" s="1" t="s">
        <v>7526</v>
      </c>
      <c r="L1546" s="1" t="s">
        <v>7527</v>
      </c>
      <c r="M1546" s="1" t="s">
        <v>718</v>
      </c>
    </row>
    <row r="1547" customFormat="false" ht="15" hidden="false" customHeight="false" outlineLevel="0" collapsed="false">
      <c r="A1547" s="1" t="s">
        <v>7528</v>
      </c>
      <c r="B1547" s="1" t="s">
        <v>7529</v>
      </c>
      <c r="C1547" s="1" t="s">
        <v>7530</v>
      </c>
      <c r="D1547" s="2" t="n">
        <v>37525</v>
      </c>
      <c r="E1547" s="1" t="s">
        <v>763</v>
      </c>
      <c r="F1547" s="1" t="s">
        <v>711</v>
      </c>
      <c r="G1547" s="1" t="s">
        <v>7531</v>
      </c>
      <c r="H1547" s="1" t="s">
        <v>713</v>
      </c>
      <c r="I1547" s="1" t="s">
        <v>714</v>
      </c>
      <c r="J1547" s="1" t="s">
        <v>3171</v>
      </c>
      <c r="K1547" s="1" t="s">
        <v>7532</v>
      </c>
      <c r="L1547" s="1" t="s">
        <v>7533</v>
      </c>
      <c r="M1547" s="1" t="s">
        <v>718</v>
      </c>
    </row>
    <row r="1548" customFormat="false" ht="15" hidden="false" customHeight="false" outlineLevel="0" collapsed="false">
      <c r="A1548" s="1" t="s">
        <v>7534</v>
      </c>
      <c r="B1548" s="1" t="s">
        <v>7535</v>
      </c>
      <c r="C1548" s="1" t="s">
        <v>2708</v>
      </c>
      <c r="D1548" s="2" t="n">
        <v>37000</v>
      </c>
      <c r="E1548" s="1" t="s">
        <v>763</v>
      </c>
      <c r="F1548" s="1" t="s">
        <v>711</v>
      </c>
      <c r="G1548" s="1" t="s">
        <v>712</v>
      </c>
      <c r="H1548" s="1" t="s">
        <v>713</v>
      </c>
      <c r="I1548" s="1" t="s">
        <v>714</v>
      </c>
      <c r="J1548" s="1" t="s">
        <v>805</v>
      </c>
      <c r="K1548" s="1" t="s">
        <v>7536</v>
      </c>
      <c r="L1548" s="1" t="s">
        <v>2710</v>
      </c>
      <c r="M1548" s="1" t="s">
        <v>718</v>
      </c>
    </row>
    <row r="1549" customFormat="false" ht="15" hidden="false" customHeight="false" outlineLevel="0" collapsed="false">
      <c r="A1549" s="1" t="s">
        <v>7537</v>
      </c>
      <c r="B1549" s="1" t="s">
        <v>2451</v>
      </c>
      <c r="C1549" s="1" t="s">
        <v>762</v>
      </c>
      <c r="D1549" s="2" t="n">
        <v>37203</v>
      </c>
      <c r="E1549" s="1" t="s">
        <v>710</v>
      </c>
      <c r="F1549" s="1" t="s">
        <v>711</v>
      </c>
      <c r="G1549" s="1" t="s">
        <v>722</v>
      </c>
      <c r="H1549" s="1" t="s">
        <v>713</v>
      </c>
      <c r="I1549" s="1" t="s">
        <v>714</v>
      </c>
      <c r="J1549" s="1" t="s">
        <v>7538</v>
      </c>
      <c r="K1549" s="1" t="s">
        <v>7539</v>
      </c>
      <c r="L1549" s="1" t="s">
        <v>7540</v>
      </c>
      <c r="M1549" s="1" t="s">
        <v>718</v>
      </c>
    </row>
    <row r="1550" customFormat="false" ht="15" hidden="false" customHeight="false" outlineLevel="0" collapsed="false">
      <c r="A1550" s="1" t="s">
        <v>7541</v>
      </c>
      <c r="B1550" s="1" t="s">
        <v>7542</v>
      </c>
      <c r="C1550" s="1" t="s">
        <v>1606</v>
      </c>
      <c r="D1550" s="2" t="n">
        <v>37104</v>
      </c>
      <c r="E1550" s="1" t="s">
        <v>763</v>
      </c>
      <c r="F1550" s="1" t="s">
        <v>711</v>
      </c>
      <c r="G1550" s="1" t="s">
        <v>722</v>
      </c>
      <c r="H1550" s="1" t="s">
        <v>713</v>
      </c>
      <c r="I1550" s="1" t="s">
        <v>714</v>
      </c>
      <c r="J1550" s="1" t="s">
        <v>7543</v>
      </c>
      <c r="K1550" s="1" t="s">
        <v>7544</v>
      </c>
      <c r="L1550" s="1" t="s">
        <v>1607</v>
      </c>
      <c r="M1550" s="1" t="s">
        <v>718</v>
      </c>
    </row>
    <row r="1551" customFormat="false" ht="15" hidden="false" customHeight="false" outlineLevel="0" collapsed="false">
      <c r="A1551" s="1" t="s">
        <v>7545</v>
      </c>
      <c r="B1551" s="1" t="s">
        <v>7546</v>
      </c>
      <c r="C1551" s="1" t="s">
        <v>7547</v>
      </c>
      <c r="D1551" s="2" t="n">
        <v>36580</v>
      </c>
      <c r="E1551" s="1" t="s">
        <v>763</v>
      </c>
      <c r="F1551" s="1" t="s">
        <v>711</v>
      </c>
      <c r="G1551" s="1" t="s">
        <v>712</v>
      </c>
      <c r="H1551" s="1" t="s">
        <v>713</v>
      </c>
      <c r="I1551" s="1" t="s">
        <v>714</v>
      </c>
      <c r="J1551" s="1" t="s">
        <v>7548</v>
      </c>
      <c r="K1551" s="1" t="s">
        <v>7549</v>
      </c>
      <c r="L1551" s="1" t="s">
        <v>4762</v>
      </c>
      <c r="M1551" s="1" t="s">
        <v>718</v>
      </c>
    </row>
    <row r="1552" customFormat="false" ht="15" hidden="false" customHeight="false" outlineLevel="0" collapsed="false">
      <c r="A1552" s="1" t="s">
        <v>7550</v>
      </c>
      <c r="B1552" s="1" t="s">
        <v>7551</v>
      </c>
      <c r="C1552" s="1" t="s">
        <v>2578</v>
      </c>
      <c r="D1552" s="2" t="n">
        <v>36943</v>
      </c>
      <c r="E1552" s="1" t="s">
        <v>763</v>
      </c>
      <c r="F1552" s="1" t="s">
        <v>711</v>
      </c>
      <c r="G1552" s="1" t="s">
        <v>722</v>
      </c>
      <c r="H1552" s="1" t="s">
        <v>713</v>
      </c>
      <c r="I1552" s="1" t="s">
        <v>714</v>
      </c>
      <c r="J1552" s="1" t="s">
        <v>6801</v>
      </c>
      <c r="K1552" s="1" t="s">
        <v>6276</v>
      </c>
      <c r="L1552" s="1" t="s">
        <v>2580</v>
      </c>
      <c r="M1552" s="1" t="s">
        <v>718</v>
      </c>
    </row>
    <row r="1553" customFormat="false" ht="15" hidden="false" customHeight="false" outlineLevel="0" collapsed="false">
      <c r="A1553" s="1" t="s">
        <v>7552</v>
      </c>
      <c r="B1553" s="1" t="s">
        <v>7553</v>
      </c>
      <c r="C1553" s="1" t="s">
        <v>3154</v>
      </c>
      <c r="D1553" s="2" t="n">
        <v>36631</v>
      </c>
      <c r="E1553" s="1" t="s">
        <v>763</v>
      </c>
      <c r="F1553" s="1" t="s">
        <v>711</v>
      </c>
      <c r="G1553" s="1" t="s">
        <v>7554</v>
      </c>
      <c r="H1553" s="1" t="s">
        <v>713</v>
      </c>
      <c r="I1553" s="1" t="s">
        <v>714</v>
      </c>
      <c r="J1553" s="1" t="s">
        <v>7555</v>
      </c>
      <c r="K1553" s="1" t="s">
        <v>7556</v>
      </c>
      <c r="L1553" s="1" t="s">
        <v>3155</v>
      </c>
      <c r="M1553" s="1" t="s">
        <v>718</v>
      </c>
    </row>
    <row r="1554" customFormat="false" ht="15" hidden="false" customHeight="false" outlineLevel="0" collapsed="false">
      <c r="A1554" s="1" t="s">
        <v>7557</v>
      </c>
      <c r="B1554" s="1" t="s">
        <v>7558</v>
      </c>
      <c r="C1554" s="1" t="s">
        <v>7559</v>
      </c>
      <c r="D1554" s="2" t="n">
        <v>36229</v>
      </c>
      <c r="E1554" s="1" t="s">
        <v>710</v>
      </c>
      <c r="F1554" s="1" t="s">
        <v>711</v>
      </c>
      <c r="G1554" s="1" t="s">
        <v>722</v>
      </c>
      <c r="H1554" s="1" t="s">
        <v>713</v>
      </c>
      <c r="I1554" s="1" t="s">
        <v>714</v>
      </c>
      <c r="J1554" s="1" t="s">
        <v>1530</v>
      </c>
      <c r="K1554" s="1" t="s">
        <v>7560</v>
      </c>
      <c r="L1554" s="1" t="s">
        <v>7561</v>
      </c>
      <c r="M1554" s="1" t="s">
        <v>718</v>
      </c>
    </row>
    <row r="1555" customFormat="false" ht="15" hidden="false" customHeight="false" outlineLevel="0" collapsed="false">
      <c r="A1555" s="1" t="s">
        <v>7562</v>
      </c>
      <c r="B1555" s="1" t="s">
        <v>7563</v>
      </c>
      <c r="C1555" s="1" t="s">
        <v>7564</v>
      </c>
      <c r="D1555" s="2" t="n">
        <v>37104</v>
      </c>
      <c r="E1555" s="1" t="s">
        <v>763</v>
      </c>
      <c r="F1555" s="1" t="s">
        <v>711</v>
      </c>
      <c r="G1555" s="1" t="s">
        <v>722</v>
      </c>
      <c r="H1555" s="1" t="s">
        <v>713</v>
      </c>
      <c r="I1555" s="1" t="s">
        <v>714</v>
      </c>
      <c r="J1555" s="1" t="s">
        <v>7565</v>
      </c>
      <c r="K1555" s="1" t="s">
        <v>7566</v>
      </c>
      <c r="L1555" s="1" t="s">
        <v>7567</v>
      </c>
      <c r="M1555" s="1" t="s">
        <v>718</v>
      </c>
    </row>
    <row r="1556" customFormat="false" ht="15" hidden="false" customHeight="false" outlineLevel="0" collapsed="false">
      <c r="A1556" s="1" t="s">
        <v>7568</v>
      </c>
      <c r="B1556" s="1" t="s">
        <v>7569</v>
      </c>
      <c r="C1556" s="1" t="s">
        <v>3897</v>
      </c>
      <c r="D1556" s="2" t="n">
        <v>37456</v>
      </c>
      <c r="E1556" s="1" t="s">
        <v>763</v>
      </c>
      <c r="F1556" s="1" t="s">
        <v>711</v>
      </c>
      <c r="G1556" s="1" t="s">
        <v>722</v>
      </c>
      <c r="H1556" s="1" t="s">
        <v>713</v>
      </c>
      <c r="I1556" s="1" t="s">
        <v>714</v>
      </c>
      <c r="J1556" s="1" t="s">
        <v>821</v>
      </c>
      <c r="K1556" s="1" t="s">
        <v>7570</v>
      </c>
      <c r="L1556" s="1" t="s">
        <v>3899</v>
      </c>
      <c r="M1556" s="1" t="s">
        <v>718</v>
      </c>
    </row>
    <row r="1557" customFormat="false" ht="15" hidden="false" customHeight="false" outlineLevel="0" collapsed="false">
      <c r="A1557" s="1" t="s">
        <v>7571</v>
      </c>
      <c r="B1557" s="1" t="s">
        <v>3219</v>
      </c>
      <c r="C1557" s="1" t="s">
        <v>4005</v>
      </c>
      <c r="D1557" s="2" t="n">
        <v>36689</v>
      </c>
      <c r="E1557" s="1" t="s">
        <v>710</v>
      </c>
      <c r="F1557" s="1" t="s">
        <v>711</v>
      </c>
      <c r="G1557" s="1" t="s">
        <v>712</v>
      </c>
      <c r="H1557" s="1" t="s">
        <v>713</v>
      </c>
      <c r="I1557" s="1" t="s">
        <v>714</v>
      </c>
      <c r="J1557" s="1" t="s">
        <v>1398</v>
      </c>
      <c r="K1557" s="1" t="s">
        <v>7572</v>
      </c>
      <c r="L1557" s="1" t="s">
        <v>7573</v>
      </c>
      <c r="M1557" s="1" t="s">
        <v>718</v>
      </c>
    </row>
    <row r="1558" customFormat="false" ht="15" hidden="false" customHeight="false" outlineLevel="0" collapsed="false">
      <c r="A1558" s="1" t="s">
        <v>7574</v>
      </c>
      <c r="B1558" s="1" t="s">
        <v>7575</v>
      </c>
      <c r="C1558" s="1" t="s">
        <v>2011</v>
      </c>
      <c r="D1558" s="2" t="n">
        <v>37000</v>
      </c>
      <c r="E1558" s="1" t="s">
        <v>710</v>
      </c>
      <c r="F1558" s="1" t="s">
        <v>711</v>
      </c>
      <c r="G1558" s="1" t="s">
        <v>712</v>
      </c>
      <c r="H1558" s="1" t="s">
        <v>713</v>
      </c>
      <c r="I1558" s="1" t="s">
        <v>714</v>
      </c>
      <c r="J1558" s="1" t="s">
        <v>3171</v>
      </c>
      <c r="K1558" s="1" t="s">
        <v>716</v>
      </c>
      <c r="L1558" s="1" t="s">
        <v>2013</v>
      </c>
      <c r="M1558" s="1" t="s">
        <v>718</v>
      </c>
    </row>
    <row r="1559" customFormat="false" ht="15" hidden="false" customHeight="false" outlineLevel="0" collapsed="false">
      <c r="A1559" s="1" t="s">
        <v>7576</v>
      </c>
      <c r="B1559" s="1" t="s">
        <v>7577</v>
      </c>
      <c r="C1559" s="1" t="s">
        <v>7578</v>
      </c>
      <c r="D1559" s="2" t="n">
        <v>37230</v>
      </c>
      <c r="E1559" s="1" t="s">
        <v>710</v>
      </c>
      <c r="F1559" s="1" t="s">
        <v>711</v>
      </c>
      <c r="G1559" s="1" t="s">
        <v>722</v>
      </c>
      <c r="H1559" s="1" t="s">
        <v>713</v>
      </c>
      <c r="I1559" s="1" t="s">
        <v>714</v>
      </c>
      <c r="J1559" s="1" t="s">
        <v>1114</v>
      </c>
      <c r="K1559" s="1" t="s">
        <v>7579</v>
      </c>
      <c r="L1559" s="1" t="s">
        <v>7580</v>
      </c>
      <c r="M1559" s="1" t="s">
        <v>718</v>
      </c>
    </row>
    <row r="1560" customFormat="false" ht="15" hidden="false" customHeight="false" outlineLevel="0" collapsed="false">
      <c r="A1560" s="1" t="s">
        <v>7581</v>
      </c>
      <c r="B1560" s="1" t="s">
        <v>7582</v>
      </c>
      <c r="C1560" s="1" t="s">
        <v>4595</v>
      </c>
      <c r="D1560" s="2" t="n">
        <v>37237</v>
      </c>
      <c r="E1560" s="1" t="s">
        <v>763</v>
      </c>
      <c r="F1560" s="1" t="s">
        <v>711</v>
      </c>
      <c r="G1560" s="1" t="s">
        <v>712</v>
      </c>
      <c r="H1560" s="1" t="s">
        <v>713</v>
      </c>
      <c r="I1560" s="1" t="s">
        <v>714</v>
      </c>
      <c r="J1560" s="1" t="s">
        <v>7583</v>
      </c>
      <c r="K1560" s="1" t="s">
        <v>7584</v>
      </c>
      <c r="L1560" s="1" t="s">
        <v>7585</v>
      </c>
      <c r="M1560" s="1" t="s">
        <v>718</v>
      </c>
    </row>
    <row r="1561" customFormat="false" ht="15" hidden="false" customHeight="false" outlineLevel="0" collapsed="false">
      <c r="A1561" s="1" t="s">
        <v>7586</v>
      </c>
      <c r="B1561" s="1" t="s">
        <v>7587</v>
      </c>
      <c r="C1561" s="1" t="s">
        <v>7588</v>
      </c>
      <c r="D1561" s="2" t="n">
        <v>36880</v>
      </c>
      <c r="E1561" s="1" t="s">
        <v>710</v>
      </c>
      <c r="F1561" s="1" t="s">
        <v>711</v>
      </c>
      <c r="G1561" s="1" t="s">
        <v>722</v>
      </c>
      <c r="H1561" s="1" t="s">
        <v>713</v>
      </c>
      <c r="I1561" s="1" t="s">
        <v>714</v>
      </c>
      <c r="J1561" s="1" t="s">
        <v>7589</v>
      </c>
      <c r="K1561" s="1" t="s">
        <v>7590</v>
      </c>
      <c r="L1561" s="1" t="s">
        <v>4477</v>
      </c>
      <c r="M1561" s="1" t="s">
        <v>718</v>
      </c>
    </row>
    <row r="1562" customFormat="false" ht="15" hidden="false" customHeight="false" outlineLevel="0" collapsed="false">
      <c r="A1562" s="1" t="s">
        <v>7591</v>
      </c>
      <c r="B1562" s="1" t="s">
        <v>7592</v>
      </c>
      <c r="C1562" s="1" t="s">
        <v>7588</v>
      </c>
      <c r="D1562" s="2" t="n">
        <v>36880</v>
      </c>
      <c r="E1562" s="1" t="s">
        <v>710</v>
      </c>
      <c r="F1562" s="1" t="s">
        <v>711</v>
      </c>
      <c r="G1562" s="1" t="s">
        <v>722</v>
      </c>
      <c r="H1562" s="1" t="s">
        <v>713</v>
      </c>
      <c r="I1562" s="1" t="s">
        <v>714</v>
      </c>
      <c r="J1562" s="1" t="s">
        <v>7593</v>
      </c>
      <c r="K1562" s="1" t="s">
        <v>7590</v>
      </c>
      <c r="L1562" s="1" t="s">
        <v>4477</v>
      </c>
      <c r="M1562" s="1" t="s">
        <v>718</v>
      </c>
    </row>
    <row r="1563" customFormat="false" ht="15" hidden="false" customHeight="false" outlineLevel="0" collapsed="false">
      <c r="A1563" s="1" t="s">
        <v>7594</v>
      </c>
      <c r="B1563" s="1" t="s">
        <v>7595</v>
      </c>
      <c r="C1563" s="1" t="s">
        <v>7596</v>
      </c>
      <c r="D1563" s="2" t="n">
        <v>37000</v>
      </c>
      <c r="E1563" s="1" t="s">
        <v>763</v>
      </c>
      <c r="F1563" s="1" t="s">
        <v>711</v>
      </c>
      <c r="G1563" s="1" t="s">
        <v>712</v>
      </c>
      <c r="H1563" s="1" t="s">
        <v>713</v>
      </c>
      <c r="I1563" s="1" t="s">
        <v>714</v>
      </c>
      <c r="J1563" s="1" t="s">
        <v>716</v>
      </c>
      <c r="K1563" s="1" t="s">
        <v>716</v>
      </c>
      <c r="L1563" s="1" t="s">
        <v>7597</v>
      </c>
      <c r="M1563" s="1" t="s">
        <v>718</v>
      </c>
    </row>
    <row r="1564" customFormat="false" ht="15" hidden="false" customHeight="false" outlineLevel="0" collapsed="false">
      <c r="A1564" s="1" t="s">
        <v>7598</v>
      </c>
      <c r="B1564" s="1" t="s">
        <v>7599</v>
      </c>
      <c r="C1564" s="1" t="s">
        <v>7600</v>
      </c>
      <c r="D1564" s="2" t="n">
        <v>35613</v>
      </c>
      <c r="E1564" s="1" t="s">
        <v>763</v>
      </c>
      <c r="F1564" s="1" t="s">
        <v>711</v>
      </c>
      <c r="G1564" s="1" t="s">
        <v>712</v>
      </c>
      <c r="H1564" s="1" t="s">
        <v>713</v>
      </c>
      <c r="I1564" s="1" t="s">
        <v>714</v>
      </c>
      <c r="J1564" s="1" t="s">
        <v>7601</v>
      </c>
      <c r="K1564" s="1" t="s">
        <v>7602</v>
      </c>
      <c r="L1564" s="1" t="s">
        <v>1418</v>
      </c>
      <c r="M1564" s="1" t="s">
        <v>718</v>
      </c>
    </row>
    <row r="1565" customFormat="false" ht="15" hidden="false" customHeight="false" outlineLevel="0" collapsed="false">
      <c r="A1565" s="1" t="s">
        <v>7603</v>
      </c>
      <c r="B1565" s="1" t="s">
        <v>7604</v>
      </c>
      <c r="C1565" s="1" t="s">
        <v>7605</v>
      </c>
      <c r="D1565" s="2" t="n">
        <v>33255</v>
      </c>
      <c r="E1565" s="1" t="s">
        <v>710</v>
      </c>
      <c r="F1565" s="1" t="s">
        <v>711</v>
      </c>
      <c r="G1565" s="1" t="s">
        <v>712</v>
      </c>
      <c r="H1565" s="1" t="s">
        <v>713</v>
      </c>
      <c r="I1565" s="1" t="s">
        <v>714</v>
      </c>
      <c r="J1565" s="1" t="s">
        <v>716</v>
      </c>
      <c r="K1565" s="1" t="s">
        <v>716</v>
      </c>
      <c r="L1565" s="1" t="s">
        <v>834</v>
      </c>
      <c r="M1565" s="1" t="s">
        <v>718</v>
      </c>
    </row>
    <row r="1566" customFormat="false" ht="15" hidden="false" customHeight="false" outlineLevel="0" collapsed="false">
      <c r="A1566" s="1" t="s">
        <v>7606</v>
      </c>
      <c r="B1566" s="1" t="s">
        <v>7607</v>
      </c>
      <c r="C1566" s="1" t="s">
        <v>7608</v>
      </c>
      <c r="D1566" s="2" t="n">
        <v>34870</v>
      </c>
      <c r="E1566" s="1" t="s">
        <v>710</v>
      </c>
      <c r="F1566" s="1" t="s">
        <v>711</v>
      </c>
      <c r="G1566" s="1" t="s">
        <v>712</v>
      </c>
      <c r="H1566" s="1" t="s">
        <v>713</v>
      </c>
      <c r="I1566" s="1" t="s">
        <v>714</v>
      </c>
      <c r="J1566" s="1" t="s">
        <v>716</v>
      </c>
      <c r="K1566" s="1" t="s">
        <v>716</v>
      </c>
      <c r="L1566" s="1" t="s">
        <v>834</v>
      </c>
      <c r="M1566" s="1" t="s">
        <v>718</v>
      </c>
    </row>
    <row r="1567" customFormat="false" ht="15" hidden="false" customHeight="false" outlineLevel="0" collapsed="false">
      <c r="A1567" s="1" t="s">
        <v>7609</v>
      </c>
      <c r="B1567" s="1" t="s">
        <v>7610</v>
      </c>
      <c r="C1567" s="1" t="s">
        <v>7611</v>
      </c>
      <c r="D1567" s="2" t="n">
        <v>34319</v>
      </c>
      <c r="E1567" s="1" t="s">
        <v>710</v>
      </c>
      <c r="F1567" s="1" t="s">
        <v>711</v>
      </c>
      <c r="G1567" s="1" t="s">
        <v>722</v>
      </c>
      <c r="H1567" s="1" t="s">
        <v>713</v>
      </c>
      <c r="I1567" s="1" t="s">
        <v>714</v>
      </c>
      <c r="J1567" s="1" t="s">
        <v>716</v>
      </c>
      <c r="K1567" s="1" t="s">
        <v>716</v>
      </c>
      <c r="L1567" s="1" t="s">
        <v>834</v>
      </c>
      <c r="M1567" s="1" t="s">
        <v>718</v>
      </c>
    </row>
    <row r="1568" customFormat="false" ht="15" hidden="false" customHeight="false" outlineLevel="0" collapsed="false">
      <c r="A1568" s="1" t="s">
        <v>7612</v>
      </c>
      <c r="B1568" s="1" t="s">
        <v>7613</v>
      </c>
      <c r="C1568" s="1" t="s">
        <v>7614</v>
      </c>
      <c r="D1568" s="2" t="n">
        <v>34323</v>
      </c>
      <c r="E1568" s="1" t="s">
        <v>710</v>
      </c>
      <c r="F1568" s="1" t="s">
        <v>711</v>
      </c>
      <c r="G1568" s="1" t="s">
        <v>722</v>
      </c>
      <c r="H1568" s="1" t="s">
        <v>713</v>
      </c>
      <c r="I1568" s="1" t="s">
        <v>714</v>
      </c>
      <c r="J1568" s="1" t="s">
        <v>716</v>
      </c>
      <c r="K1568" s="1" t="s">
        <v>716</v>
      </c>
      <c r="L1568" s="1" t="s">
        <v>834</v>
      </c>
      <c r="M1568" s="1" t="s">
        <v>718</v>
      </c>
    </row>
    <row r="1569" customFormat="false" ht="15" hidden="false" customHeight="false" outlineLevel="0" collapsed="false">
      <c r="A1569" s="1" t="s">
        <v>7615</v>
      </c>
      <c r="B1569" s="1" t="s">
        <v>7616</v>
      </c>
      <c r="C1569" s="1" t="s">
        <v>7617</v>
      </c>
      <c r="D1569" s="2" t="n">
        <v>37302</v>
      </c>
      <c r="E1569" s="1" t="s">
        <v>763</v>
      </c>
      <c r="F1569" s="1" t="s">
        <v>711</v>
      </c>
      <c r="G1569" s="1" t="s">
        <v>7618</v>
      </c>
      <c r="H1569" s="1" t="s">
        <v>713</v>
      </c>
      <c r="I1569" s="1" t="s">
        <v>714</v>
      </c>
      <c r="J1569" s="1" t="s">
        <v>1530</v>
      </c>
      <c r="K1569" s="1" t="s">
        <v>7619</v>
      </c>
      <c r="L1569" s="1" t="s">
        <v>4712</v>
      </c>
      <c r="M1569" s="1" t="s">
        <v>718</v>
      </c>
    </row>
    <row r="1570" customFormat="false" ht="15" hidden="false" customHeight="false" outlineLevel="0" collapsed="false">
      <c r="A1570" s="1" t="s">
        <v>7620</v>
      </c>
      <c r="B1570" s="1" t="s">
        <v>1636</v>
      </c>
      <c r="C1570" s="1" t="s">
        <v>7621</v>
      </c>
      <c r="D1570" s="2" t="n">
        <v>34815</v>
      </c>
      <c r="E1570" s="1" t="s">
        <v>710</v>
      </c>
      <c r="F1570" s="1" t="s">
        <v>711</v>
      </c>
      <c r="G1570" s="1" t="s">
        <v>712</v>
      </c>
      <c r="H1570" s="1" t="s">
        <v>713</v>
      </c>
      <c r="I1570" s="1" t="s">
        <v>714</v>
      </c>
      <c r="J1570" s="1" t="s">
        <v>716</v>
      </c>
      <c r="K1570" s="1" t="s">
        <v>716</v>
      </c>
      <c r="L1570" s="1" t="s">
        <v>834</v>
      </c>
      <c r="M1570" s="1" t="s">
        <v>718</v>
      </c>
    </row>
    <row r="1571" customFormat="false" ht="15" hidden="false" customHeight="false" outlineLevel="0" collapsed="false">
      <c r="A1571" s="1" t="s">
        <v>7622</v>
      </c>
      <c r="B1571" s="1" t="s">
        <v>7623</v>
      </c>
      <c r="C1571" s="1" t="s">
        <v>7344</v>
      </c>
      <c r="D1571" s="2" t="n">
        <v>36799</v>
      </c>
      <c r="E1571" s="1" t="s">
        <v>763</v>
      </c>
      <c r="F1571" s="1" t="s">
        <v>711</v>
      </c>
      <c r="G1571" s="1" t="s">
        <v>722</v>
      </c>
      <c r="H1571" s="1" t="s">
        <v>713</v>
      </c>
      <c r="I1571" s="1" t="s">
        <v>714</v>
      </c>
      <c r="J1571" s="1" t="s">
        <v>7624</v>
      </c>
      <c r="K1571" s="1" t="s">
        <v>3803</v>
      </c>
      <c r="L1571" s="1" t="s">
        <v>3804</v>
      </c>
      <c r="M1571" s="1" t="s">
        <v>718</v>
      </c>
    </row>
    <row r="1572" customFormat="false" ht="15" hidden="false" customHeight="false" outlineLevel="0" collapsed="false">
      <c r="A1572" s="1" t="s">
        <v>7625</v>
      </c>
      <c r="B1572" s="1" t="s">
        <v>7626</v>
      </c>
      <c r="C1572" s="1" t="s">
        <v>7627</v>
      </c>
      <c r="D1572" s="2" t="n">
        <v>35558</v>
      </c>
      <c r="E1572" s="1" t="s">
        <v>710</v>
      </c>
      <c r="F1572" s="1" t="s">
        <v>711</v>
      </c>
      <c r="G1572" s="1" t="s">
        <v>712</v>
      </c>
      <c r="H1572" s="1" t="s">
        <v>713</v>
      </c>
      <c r="I1572" s="1" t="s">
        <v>714</v>
      </c>
      <c r="J1572" s="1" t="s">
        <v>1244</v>
      </c>
      <c r="K1572" s="1" t="s">
        <v>7628</v>
      </c>
      <c r="L1572" s="1" t="s">
        <v>1680</v>
      </c>
      <c r="M1572" s="1" t="s">
        <v>718</v>
      </c>
    </row>
    <row r="1573" customFormat="false" ht="15" hidden="false" customHeight="false" outlineLevel="0" collapsed="false">
      <c r="A1573" s="1" t="s">
        <v>7629</v>
      </c>
      <c r="B1573" s="1" t="s">
        <v>7630</v>
      </c>
      <c r="C1573" s="1" t="s">
        <v>7631</v>
      </c>
      <c r="D1573" s="2" t="n">
        <v>35742</v>
      </c>
      <c r="E1573" s="1" t="s">
        <v>763</v>
      </c>
      <c r="F1573" s="1" t="s">
        <v>711</v>
      </c>
      <c r="G1573" s="1" t="s">
        <v>722</v>
      </c>
      <c r="H1573" s="1" t="s">
        <v>713</v>
      </c>
      <c r="I1573" s="1" t="s">
        <v>714</v>
      </c>
      <c r="J1573" s="1" t="s">
        <v>716</v>
      </c>
      <c r="K1573" s="1" t="s">
        <v>716</v>
      </c>
      <c r="L1573" s="1" t="s">
        <v>834</v>
      </c>
      <c r="M1573" s="1" t="s">
        <v>718</v>
      </c>
    </row>
    <row r="1574" customFormat="false" ht="15" hidden="false" customHeight="false" outlineLevel="0" collapsed="false">
      <c r="A1574" s="1" t="s">
        <v>7632</v>
      </c>
      <c r="B1574" s="1" t="s">
        <v>7633</v>
      </c>
      <c r="C1574" s="1" t="s">
        <v>6579</v>
      </c>
      <c r="D1574" s="2" t="n">
        <v>36841</v>
      </c>
      <c r="E1574" s="1" t="s">
        <v>710</v>
      </c>
      <c r="F1574" s="1" t="s">
        <v>711</v>
      </c>
      <c r="G1574" s="1" t="s">
        <v>712</v>
      </c>
      <c r="H1574" s="1" t="s">
        <v>713</v>
      </c>
      <c r="I1574" s="1" t="s">
        <v>714</v>
      </c>
      <c r="J1574" s="1" t="s">
        <v>7634</v>
      </c>
      <c r="K1574" s="1" t="s">
        <v>7635</v>
      </c>
      <c r="L1574" s="1" t="s">
        <v>4168</v>
      </c>
      <c r="M1574" s="1" t="s">
        <v>718</v>
      </c>
    </row>
    <row r="1575" customFormat="false" ht="15" hidden="false" customHeight="false" outlineLevel="0" collapsed="false">
      <c r="A1575" s="1" t="s">
        <v>7636</v>
      </c>
      <c r="B1575" s="1" t="s">
        <v>7637</v>
      </c>
      <c r="C1575" s="1" t="s">
        <v>7638</v>
      </c>
      <c r="D1575" s="2" t="n">
        <v>34755</v>
      </c>
      <c r="E1575" s="1" t="s">
        <v>763</v>
      </c>
      <c r="F1575" s="1" t="s">
        <v>711</v>
      </c>
      <c r="G1575" s="1" t="s">
        <v>712</v>
      </c>
      <c r="H1575" s="1" t="s">
        <v>713</v>
      </c>
      <c r="I1575" s="1" t="s">
        <v>714</v>
      </c>
      <c r="J1575" s="1" t="s">
        <v>716</v>
      </c>
      <c r="K1575" s="1" t="s">
        <v>716</v>
      </c>
      <c r="L1575" s="1" t="s">
        <v>834</v>
      </c>
      <c r="M1575" s="1" t="s">
        <v>718</v>
      </c>
    </row>
    <row r="1576" customFormat="false" ht="15" hidden="false" customHeight="false" outlineLevel="0" collapsed="false">
      <c r="A1576" s="1" t="s">
        <v>7639</v>
      </c>
      <c r="B1576" s="1" t="s">
        <v>2344</v>
      </c>
      <c r="C1576" s="1" t="s">
        <v>2703</v>
      </c>
      <c r="D1576" s="2" t="n">
        <v>30026</v>
      </c>
      <c r="E1576" s="1" t="s">
        <v>710</v>
      </c>
      <c r="F1576" s="1" t="s">
        <v>711</v>
      </c>
      <c r="G1576" s="1" t="s">
        <v>712</v>
      </c>
      <c r="H1576" s="1" t="s">
        <v>713</v>
      </c>
      <c r="I1576" s="1" t="s">
        <v>714</v>
      </c>
      <c r="J1576" s="1" t="s">
        <v>4239</v>
      </c>
      <c r="K1576" s="1" t="s">
        <v>716</v>
      </c>
      <c r="L1576" s="1" t="s">
        <v>834</v>
      </c>
      <c r="M1576" s="1" t="s">
        <v>718</v>
      </c>
    </row>
    <row r="1577" customFormat="false" ht="15" hidden="false" customHeight="false" outlineLevel="0" collapsed="false">
      <c r="A1577" s="1" t="s">
        <v>7640</v>
      </c>
      <c r="B1577" s="1" t="s">
        <v>7641</v>
      </c>
      <c r="C1577" s="1" t="s">
        <v>7642</v>
      </c>
      <c r="D1577" s="2" t="n">
        <v>34918</v>
      </c>
      <c r="E1577" s="1" t="s">
        <v>710</v>
      </c>
      <c r="F1577" s="1" t="s">
        <v>711</v>
      </c>
      <c r="G1577" s="1" t="s">
        <v>722</v>
      </c>
      <c r="H1577" s="1" t="s">
        <v>713</v>
      </c>
      <c r="I1577" s="1" t="s">
        <v>714</v>
      </c>
      <c r="J1577" s="1" t="s">
        <v>716</v>
      </c>
      <c r="K1577" s="1" t="s">
        <v>716</v>
      </c>
      <c r="L1577" s="1" t="s">
        <v>834</v>
      </c>
      <c r="M1577" s="1" t="s">
        <v>718</v>
      </c>
    </row>
    <row r="1578" customFormat="false" ht="15" hidden="false" customHeight="false" outlineLevel="0" collapsed="false">
      <c r="A1578" s="1" t="s">
        <v>7643</v>
      </c>
      <c r="B1578" s="1" t="s">
        <v>7644</v>
      </c>
      <c r="C1578" s="1" t="s">
        <v>7645</v>
      </c>
      <c r="D1578" s="2" t="n">
        <v>37578</v>
      </c>
      <c r="E1578" s="1" t="s">
        <v>763</v>
      </c>
      <c r="F1578" s="1" t="s">
        <v>711</v>
      </c>
      <c r="G1578" s="1" t="s">
        <v>712</v>
      </c>
      <c r="H1578" s="1" t="s">
        <v>713</v>
      </c>
      <c r="I1578" s="1" t="s">
        <v>714</v>
      </c>
      <c r="J1578" s="1" t="s">
        <v>7646</v>
      </c>
      <c r="K1578" s="1" t="s">
        <v>7647</v>
      </c>
      <c r="L1578" s="1" t="s">
        <v>2096</v>
      </c>
      <c r="M1578" s="1" t="s">
        <v>718</v>
      </c>
    </row>
    <row r="1579" customFormat="false" ht="15" hidden="false" customHeight="false" outlineLevel="0" collapsed="false">
      <c r="A1579" s="1" t="s">
        <v>7648</v>
      </c>
      <c r="B1579" s="1" t="s">
        <v>7649</v>
      </c>
      <c r="C1579" s="1" t="s">
        <v>2632</v>
      </c>
      <c r="D1579" s="2" t="n">
        <v>34465</v>
      </c>
      <c r="E1579" s="1" t="s">
        <v>763</v>
      </c>
      <c r="F1579" s="1" t="s">
        <v>711</v>
      </c>
      <c r="G1579" s="1" t="s">
        <v>722</v>
      </c>
      <c r="H1579" s="1" t="s">
        <v>713</v>
      </c>
      <c r="I1579" s="1" t="s">
        <v>714</v>
      </c>
      <c r="J1579" s="1" t="s">
        <v>716</v>
      </c>
      <c r="K1579" s="1" t="s">
        <v>716</v>
      </c>
      <c r="L1579" s="1" t="s">
        <v>834</v>
      </c>
      <c r="M1579" s="1" t="s">
        <v>718</v>
      </c>
    </row>
    <row r="1580" customFormat="false" ht="15" hidden="false" customHeight="false" outlineLevel="0" collapsed="false">
      <c r="A1580" s="1" t="s">
        <v>7650</v>
      </c>
      <c r="B1580" s="1" t="s">
        <v>7651</v>
      </c>
      <c r="C1580" s="1" t="s">
        <v>7652</v>
      </c>
      <c r="D1580" s="2" t="n">
        <v>33512</v>
      </c>
      <c r="E1580" s="1" t="s">
        <v>710</v>
      </c>
      <c r="F1580" s="1" t="s">
        <v>711</v>
      </c>
      <c r="G1580" s="1" t="s">
        <v>712</v>
      </c>
      <c r="H1580" s="1" t="s">
        <v>713</v>
      </c>
      <c r="I1580" s="1" t="s">
        <v>714</v>
      </c>
      <c r="J1580" s="1" t="s">
        <v>4239</v>
      </c>
      <c r="K1580" s="1" t="s">
        <v>7653</v>
      </c>
      <c r="L1580" s="1" t="s">
        <v>834</v>
      </c>
      <c r="M1580" s="1" t="s">
        <v>718</v>
      </c>
    </row>
    <row r="1581" customFormat="false" ht="15" hidden="false" customHeight="false" outlineLevel="0" collapsed="false">
      <c r="A1581" s="1" t="s">
        <v>7654</v>
      </c>
      <c r="B1581" s="1" t="s">
        <v>7655</v>
      </c>
      <c r="C1581" s="1" t="s">
        <v>7656</v>
      </c>
      <c r="D1581" s="2" t="n">
        <v>32547</v>
      </c>
      <c r="E1581" s="1" t="s">
        <v>763</v>
      </c>
      <c r="F1581" s="1" t="s">
        <v>711</v>
      </c>
      <c r="G1581" s="1" t="s">
        <v>7657</v>
      </c>
      <c r="H1581" s="1" t="s">
        <v>713</v>
      </c>
      <c r="I1581" s="1" t="s">
        <v>714</v>
      </c>
      <c r="J1581" s="1" t="s">
        <v>7653</v>
      </c>
      <c r="K1581" s="1" t="s">
        <v>7653</v>
      </c>
      <c r="L1581" s="1" t="s">
        <v>834</v>
      </c>
      <c r="M1581" s="1" t="s">
        <v>718</v>
      </c>
    </row>
    <row r="1582" customFormat="false" ht="15" hidden="false" customHeight="false" outlineLevel="0" collapsed="false">
      <c r="A1582" s="1" t="s">
        <v>7658</v>
      </c>
      <c r="B1582" s="1" t="s">
        <v>7659</v>
      </c>
      <c r="C1582" s="1" t="s">
        <v>7660</v>
      </c>
      <c r="D1582" s="2" t="n">
        <v>32265</v>
      </c>
      <c r="E1582" s="1" t="s">
        <v>763</v>
      </c>
      <c r="F1582" s="1" t="s">
        <v>711</v>
      </c>
      <c r="G1582" s="1" t="s">
        <v>712</v>
      </c>
      <c r="H1582" s="1" t="s">
        <v>713</v>
      </c>
      <c r="I1582" s="1" t="s">
        <v>714</v>
      </c>
      <c r="J1582" s="1" t="s">
        <v>7653</v>
      </c>
      <c r="K1582" s="1" t="s">
        <v>7653</v>
      </c>
      <c r="L1582" s="1" t="s">
        <v>834</v>
      </c>
      <c r="M1582" s="1" t="s">
        <v>718</v>
      </c>
    </row>
    <row r="1583" customFormat="false" ht="15" hidden="false" customHeight="false" outlineLevel="0" collapsed="false">
      <c r="A1583" s="1" t="s">
        <v>7661</v>
      </c>
      <c r="B1583" s="1" t="s">
        <v>7662</v>
      </c>
      <c r="C1583" s="1" t="s">
        <v>3712</v>
      </c>
      <c r="D1583" s="2" t="n">
        <v>33611</v>
      </c>
      <c r="E1583" s="1" t="s">
        <v>763</v>
      </c>
      <c r="F1583" s="1" t="s">
        <v>711</v>
      </c>
      <c r="G1583" s="1" t="s">
        <v>712</v>
      </c>
      <c r="H1583" s="1" t="s">
        <v>713</v>
      </c>
      <c r="I1583" s="1" t="s">
        <v>714</v>
      </c>
      <c r="J1583" s="1" t="s">
        <v>7653</v>
      </c>
      <c r="K1583" s="1" t="s">
        <v>7653</v>
      </c>
      <c r="L1583" s="1" t="s">
        <v>834</v>
      </c>
      <c r="M1583" s="1" t="s">
        <v>718</v>
      </c>
    </row>
    <row r="1584" customFormat="false" ht="15" hidden="false" customHeight="false" outlineLevel="0" collapsed="false">
      <c r="A1584" s="1" t="s">
        <v>7663</v>
      </c>
      <c r="B1584" s="1" t="s">
        <v>7664</v>
      </c>
      <c r="C1584" s="1" t="s">
        <v>3850</v>
      </c>
      <c r="D1584" s="2" t="n">
        <v>35813</v>
      </c>
      <c r="E1584" s="1" t="s">
        <v>763</v>
      </c>
      <c r="F1584" s="1" t="s">
        <v>711</v>
      </c>
      <c r="G1584" s="1" t="s">
        <v>722</v>
      </c>
      <c r="H1584" s="1" t="s">
        <v>713</v>
      </c>
      <c r="I1584" s="1" t="s">
        <v>714</v>
      </c>
      <c r="J1584" s="1" t="s">
        <v>7665</v>
      </c>
      <c r="K1584" s="1" t="s">
        <v>7666</v>
      </c>
      <c r="L1584" s="1" t="s">
        <v>7667</v>
      </c>
      <c r="M1584" s="1" t="s">
        <v>718</v>
      </c>
    </row>
    <row r="1585" customFormat="false" ht="15" hidden="false" customHeight="false" outlineLevel="0" collapsed="false">
      <c r="A1585" s="1" t="s">
        <v>7668</v>
      </c>
      <c r="B1585" s="1" t="s">
        <v>1294</v>
      </c>
      <c r="C1585" s="1" t="s">
        <v>7669</v>
      </c>
      <c r="D1585" s="2" t="n">
        <v>36516</v>
      </c>
      <c r="E1585" s="1" t="s">
        <v>710</v>
      </c>
      <c r="F1585" s="1" t="s">
        <v>711</v>
      </c>
      <c r="G1585" s="1" t="s">
        <v>712</v>
      </c>
      <c r="H1585" s="1" t="s">
        <v>713</v>
      </c>
      <c r="I1585" s="1" t="s">
        <v>714</v>
      </c>
      <c r="J1585" s="1" t="s">
        <v>838</v>
      </c>
      <c r="K1585" s="1" t="s">
        <v>7670</v>
      </c>
      <c r="L1585" s="1" t="s">
        <v>7671</v>
      </c>
      <c r="M1585" s="1" t="s">
        <v>718</v>
      </c>
    </row>
    <row r="1586" customFormat="false" ht="15" hidden="false" customHeight="false" outlineLevel="0" collapsed="false">
      <c r="A1586" s="1" t="s">
        <v>7672</v>
      </c>
      <c r="B1586" s="1" t="s">
        <v>6521</v>
      </c>
      <c r="C1586" s="1" t="s">
        <v>2335</v>
      </c>
      <c r="D1586" s="2" t="n">
        <v>36673</v>
      </c>
      <c r="E1586" s="1" t="s">
        <v>710</v>
      </c>
      <c r="F1586" s="1" t="s">
        <v>711</v>
      </c>
      <c r="G1586" s="1" t="s">
        <v>1220</v>
      </c>
      <c r="H1586" s="1" t="s">
        <v>713</v>
      </c>
      <c r="I1586" s="1" t="s">
        <v>714</v>
      </c>
      <c r="J1586" s="1" t="s">
        <v>7673</v>
      </c>
      <c r="K1586" s="1" t="s">
        <v>7674</v>
      </c>
      <c r="L1586" s="1" t="s">
        <v>2337</v>
      </c>
      <c r="M1586" s="1" t="s">
        <v>718</v>
      </c>
    </row>
    <row r="1587" customFormat="false" ht="15" hidden="false" customHeight="false" outlineLevel="0" collapsed="false">
      <c r="A1587" s="1" t="s">
        <v>7675</v>
      </c>
      <c r="B1587" s="1" t="s">
        <v>7676</v>
      </c>
      <c r="C1587" s="1" t="s">
        <v>4844</v>
      </c>
      <c r="D1587" s="2" t="n">
        <v>37403</v>
      </c>
      <c r="E1587" s="1" t="s">
        <v>710</v>
      </c>
      <c r="F1587" s="1" t="s">
        <v>711</v>
      </c>
      <c r="G1587" s="1" t="s">
        <v>712</v>
      </c>
      <c r="H1587" s="1" t="s">
        <v>713</v>
      </c>
      <c r="I1587" s="1" t="s">
        <v>714</v>
      </c>
      <c r="J1587" s="1" t="s">
        <v>805</v>
      </c>
      <c r="K1587" s="1" t="s">
        <v>7677</v>
      </c>
      <c r="L1587" s="1" t="s">
        <v>7678</v>
      </c>
      <c r="M1587" s="1" t="s">
        <v>718</v>
      </c>
    </row>
    <row r="1588" customFormat="false" ht="15" hidden="false" customHeight="false" outlineLevel="0" collapsed="false">
      <c r="A1588" s="1" t="s">
        <v>7679</v>
      </c>
      <c r="B1588" s="1" t="s">
        <v>7680</v>
      </c>
      <c r="C1588" s="1" t="s">
        <v>7681</v>
      </c>
      <c r="D1588" s="2" t="n">
        <v>37368</v>
      </c>
      <c r="E1588" s="1" t="s">
        <v>763</v>
      </c>
      <c r="F1588" s="1" t="s">
        <v>711</v>
      </c>
      <c r="G1588" s="1" t="s">
        <v>712</v>
      </c>
      <c r="H1588" s="1" t="s">
        <v>713</v>
      </c>
      <c r="I1588" s="1" t="s">
        <v>714</v>
      </c>
      <c r="J1588" s="1" t="s">
        <v>7682</v>
      </c>
      <c r="K1588" s="1" t="s">
        <v>7683</v>
      </c>
      <c r="L1588" s="1" t="s">
        <v>3235</v>
      </c>
      <c r="M1588" s="1" t="s">
        <v>718</v>
      </c>
    </row>
    <row r="1589" customFormat="false" ht="15" hidden="false" customHeight="false" outlineLevel="0" collapsed="false">
      <c r="A1589" s="1" t="s">
        <v>7684</v>
      </c>
      <c r="B1589" s="1" t="s">
        <v>7685</v>
      </c>
      <c r="C1589" s="1" t="s">
        <v>7686</v>
      </c>
      <c r="D1589" s="2" t="n">
        <v>37418</v>
      </c>
      <c r="E1589" s="1" t="s">
        <v>710</v>
      </c>
      <c r="F1589" s="1" t="s">
        <v>711</v>
      </c>
      <c r="G1589" s="1" t="s">
        <v>722</v>
      </c>
      <c r="H1589" s="1" t="s">
        <v>713</v>
      </c>
      <c r="I1589" s="1" t="s">
        <v>714</v>
      </c>
      <c r="J1589" s="1" t="s">
        <v>7687</v>
      </c>
      <c r="K1589" s="1" t="s">
        <v>7688</v>
      </c>
      <c r="L1589" s="1" t="s">
        <v>7689</v>
      </c>
      <c r="M1589" s="1" t="s">
        <v>718</v>
      </c>
    </row>
    <row r="1590" customFormat="false" ht="15" hidden="false" customHeight="false" outlineLevel="0" collapsed="false">
      <c r="A1590" s="1" t="s">
        <v>7690</v>
      </c>
      <c r="B1590" s="1" t="s">
        <v>7691</v>
      </c>
      <c r="C1590" s="1" t="s">
        <v>6623</v>
      </c>
      <c r="D1590" s="2" t="n">
        <v>37552</v>
      </c>
      <c r="E1590" s="1" t="s">
        <v>763</v>
      </c>
      <c r="F1590" s="1" t="s">
        <v>711</v>
      </c>
      <c r="G1590" s="1" t="s">
        <v>712</v>
      </c>
      <c r="H1590" s="1" t="s">
        <v>713</v>
      </c>
      <c r="I1590" s="1" t="s">
        <v>714</v>
      </c>
      <c r="J1590" s="1" t="s">
        <v>6508</v>
      </c>
      <c r="K1590" s="1" t="s">
        <v>716</v>
      </c>
      <c r="L1590" s="1" t="s">
        <v>6625</v>
      </c>
      <c r="M1590" s="1" t="s">
        <v>718</v>
      </c>
    </row>
    <row r="1591" customFormat="false" ht="15" hidden="false" customHeight="false" outlineLevel="0" collapsed="false">
      <c r="A1591" s="1" t="s">
        <v>7692</v>
      </c>
      <c r="B1591" s="1" t="s">
        <v>7693</v>
      </c>
      <c r="C1591" s="1" t="s">
        <v>7694</v>
      </c>
      <c r="D1591" s="2" t="n">
        <v>37478</v>
      </c>
      <c r="E1591" s="1" t="s">
        <v>710</v>
      </c>
      <c r="F1591" s="1" t="s">
        <v>711</v>
      </c>
      <c r="G1591" s="1" t="s">
        <v>7695</v>
      </c>
      <c r="H1591" s="1" t="s">
        <v>713</v>
      </c>
      <c r="I1591" s="1" t="s">
        <v>714</v>
      </c>
      <c r="J1591" s="1" t="s">
        <v>7696</v>
      </c>
      <c r="K1591" s="1" t="s">
        <v>7697</v>
      </c>
      <c r="L1591" s="1" t="s">
        <v>7698</v>
      </c>
      <c r="M1591" s="1" t="s">
        <v>718</v>
      </c>
    </row>
    <row r="1592" customFormat="false" ht="15" hidden="false" customHeight="false" outlineLevel="0" collapsed="false">
      <c r="A1592" s="1" t="s">
        <v>7699</v>
      </c>
      <c r="B1592" s="1" t="s">
        <v>7700</v>
      </c>
      <c r="C1592" s="1" t="s">
        <v>7701</v>
      </c>
      <c r="D1592" s="2" t="n">
        <v>37285</v>
      </c>
      <c r="E1592" s="1" t="s">
        <v>763</v>
      </c>
      <c r="F1592" s="1" t="s">
        <v>711</v>
      </c>
      <c r="G1592" s="1" t="s">
        <v>712</v>
      </c>
      <c r="H1592" s="1" t="s">
        <v>713</v>
      </c>
      <c r="I1592" s="1" t="s">
        <v>714</v>
      </c>
      <c r="J1592" s="1" t="s">
        <v>7702</v>
      </c>
      <c r="K1592" s="1" t="s">
        <v>7703</v>
      </c>
      <c r="L1592" s="1" t="s">
        <v>5330</v>
      </c>
      <c r="M1592" s="1" t="s">
        <v>718</v>
      </c>
    </row>
    <row r="1593" customFormat="false" ht="15" hidden="false" customHeight="false" outlineLevel="0" collapsed="false">
      <c r="A1593" s="1" t="s">
        <v>7704</v>
      </c>
      <c r="B1593" s="1" t="s">
        <v>7705</v>
      </c>
      <c r="C1593" s="1" t="s">
        <v>7706</v>
      </c>
      <c r="D1593" s="2" t="n">
        <v>37370</v>
      </c>
      <c r="E1593" s="1" t="s">
        <v>710</v>
      </c>
      <c r="F1593" s="1" t="s">
        <v>711</v>
      </c>
      <c r="G1593" s="1" t="s">
        <v>712</v>
      </c>
      <c r="H1593" s="1" t="s">
        <v>713</v>
      </c>
      <c r="I1593" s="1" t="s">
        <v>714</v>
      </c>
      <c r="J1593" s="1" t="s">
        <v>7707</v>
      </c>
      <c r="K1593" s="1" t="s">
        <v>7708</v>
      </c>
      <c r="L1593" s="1" t="s">
        <v>7709</v>
      </c>
      <c r="M1593" s="1" t="s">
        <v>718</v>
      </c>
    </row>
    <row r="1594" customFormat="false" ht="15" hidden="false" customHeight="false" outlineLevel="0" collapsed="false">
      <c r="A1594" s="1" t="s">
        <v>7710</v>
      </c>
      <c r="B1594" s="1" t="s">
        <v>7711</v>
      </c>
      <c r="C1594" s="1" t="s">
        <v>3695</v>
      </c>
      <c r="D1594" s="2" t="n">
        <v>37419</v>
      </c>
      <c r="E1594" s="1" t="s">
        <v>710</v>
      </c>
      <c r="F1594" s="1" t="s">
        <v>711</v>
      </c>
      <c r="G1594" s="1" t="s">
        <v>712</v>
      </c>
      <c r="H1594" s="1" t="s">
        <v>713</v>
      </c>
      <c r="I1594" s="1" t="s">
        <v>714</v>
      </c>
      <c r="J1594" s="1" t="s">
        <v>7712</v>
      </c>
      <c r="K1594" s="1" t="s">
        <v>7713</v>
      </c>
      <c r="L1594" s="1" t="s">
        <v>3697</v>
      </c>
      <c r="M1594" s="1" t="s">
        <v>718</v>
      </c>
    </row>
    <row r="1595" customFormat="false" ht="15" hidden="false" customHeight="false" outlineLevel="0" collapsed="false">
      <c r="A1595" s="1" t="s">
        <v>7714</v>
      </c>
      <c r="B1595" s="1" t="s">
        <v>7715</v>
      </c>
      <c r="C1595" s="1" t="s">
        <v>7716</v>
      </c>
      <c r="D1595" s="2" t="n">
        <v>37274</v>
      </c>
      <c r="E1595" s="1" t="s">
        <v>710</v>
      </c>
      <c r="F1595" s="1" t="s">
        <v>711</v>
      </c>
      <c r="G1595" s="1" t="s">
        <v>712</v>
      </c>
      <c r="H1595" s="1" t="s">
        <v>713</v>
      </c>
      <c r="I1595" s="1" t="s">
        <v>714</v>
      </c>
      <c r="J1595" s="1" t="s">
        <v>7717</v>
      </c>
      <c r="K1595" s="1" t="s">
        <v>7718</v>
      </c>
      <c r="L1595" s="1" t="s">
        <v>7719</v>
      </c>
      <c r="M1595" s="1" t="s">
        <v>718</v>
      </c>
    </row>
    <row r="1596" customFormat="false" ht="15" hidden="false" customHeight="false" outlineLevel="0" collapsed="false">
      <c r="A1596" s="1" t="s">
        <v>7720</v>
      </c>
      <c r="B1596" s="1" t="s">
        <v>2066</v>
      </c>
      <c r="C1596" s="1" t="s">
        <v>1641</v>
      </c>
      <c r="D1596" s="2" t="n">
        <v>37444</v>
      </c>
      <c r="E1596" s="1" t="s">
        <v>763</v>
      </c>
      <c r="F1596" s="1" t="s">
        <v>711</v>
      </c>
      <c r="G1596" s="1" t="s">
        <v>722</v>
      </c>
      <c r="H1596" s="1" t="s">
        <v>713</v>
      </c>
      <c r="I1596" s="1" t="s">
        <v>714</v>
      </c>
      <c r="J1596" s="1" t="s">
        <v>7721</v>
      </c>
      <c r="K1596" s="1" t="s">
        <v>7722</v>
      </c>
      <c r="L1596" s="1" t="s">
        <v>1642</v>
      </c>
      <c r="M1596" s="1" t="s">
        <v>718</v>
      </c>
    </row>
    <row r="1597" customFormat="false" ht="15" hidden="false" customHeight="false" outlineLevel="0" collapsed="false">
      <c r="A1597" s="1" t="s">
        <v>7723</v>
      </c>
      <c r="B1597" s="1" t="s">
        <v>7724</v>
      </c>
      <c r="C1597" s="1" t="s">
        <v>7725</v>
      </c>
      <c r="D1597" s="2" t="n">
        <v>36304</v>
      </c>
      <c r="E1597" s="1" t="s">
        <v>710</v>
      </c>
      <c r="F1597" s="1" t="s">
        <v>711</v>
      </c>
      <c r="G1597" s="1" t="s">
        <v>775</v>
      </c>
      <c r="H1597" s="1" t="s">
        <v>713</v>
      </c>
      <c r="I1597" s="1" t="s">
        <v>714</v>
      </c>
      <c r="J1597" s="1" t="s">
        <v>7726</v>
      </c>
      <c r="K1597" s="1" t="s">
        <v>7727</v>
      </c>
      <c r="L1597" s="1" t="s">
        <v>7728</v>
      </c>
      <c r="M1597" s="1" t="s">
        <v>718</v>
      </c>
    </row>
    <row r="1598" customFormat="false" ht="15" hidden="false" customHeight="false" outlineLevel="0" collapsed="false">
      <c r="A1598" s="1" t="s">
        <v>7729</v>
      </c>
      <c r="B1598" s="1" t="s">
        <v>7730</v>
      </c>
      <c r="C1598" s="1" t="s">
        <v>4207</v>
      </c>
      <c r="D1598" s="2" t="n">
        <v>37461</v>
      </c>
      <c r="E1598" s="1" t="s">
        <v>763</v>
      </c>
      <c r="F1598" s="1" t="s">
        <v>711</v>
      </c>
      <c r="G1598" s="1" t="s">
        <v>712</v>
      </c>
      <c r="H1598" s="1" t="s">
        <v>713</v>
      </c>
      <c r="I1598" s="1" t="s">
        <v>714</v>
      </c>
      <c r="J1598" s="1" t="s">
        <v>7731</v>
      </c>
      <c r="K1598" s="1" t="s">
        <v>7732</v>
      </c>
      <c r="L1598" s="1" t="s">
        <v>4209</v>
      </c>
      <c r="M1598" s="1" t="s">
        <v>718</v>
      </c>
    </row>
    <row r="1599" customFormat="false" ht="15" hidden="false" customHeight="false" outlineLevel="0" collapsed="false">
      <c r="A1599" s="1" t="s">
        <v>7733</v>
      </c>
      <c r="B1599" s="1" t="s">
        <v>1636</v>
      </c>
      <c r="C1599" s="1" t="s">
        <v>7734</v>
      </c>
      <c r="D1599" s="2" t="n">
        <v>37401</v>
      </c>
      <c r="E1599" s="1" t="s">
        <v>710</v>
      </c>
      <c r="F1599" s="1" t="s">
        <v>711</v>
      </c>
      <c r="G1599" s="1" t="s">
        <v>712</v>
      </c>
      <c r="H1599" s="1" t="s">
        <v>713</v>
      </c>
      <c r="I1599" s="1" t="s">
        <v>714</v>
      </c>
      <c r="J1599" s="1" t="s">
        <v>7735</v>
      </c>
      <c r="K1599" s="1" t="s">
        <v>7736</v>
      </c>
      <c r="L1599" s="1" t="s">
        <v>7737</v>
      </c>
      <c r="M1599" s="1" t="s">
        <v>718</v>
      </c>
    </row>
    <row r="1600" customFormat="false" ht="15" hidden="false" customHeight="false" outlineLevel="0" collapsed="false">
      <c r="A1600" s="1" t="s">
        <v>7738</v>
      </c>
      <c r="B1600" s="1" t="s">
        <v>7739</v>
      </c>
      <c r="C1600" s="1" t="s">
        <v>7740</v>
      </c>
      <c r="D1600" s="2" t="n">
        <v>37115</v>
      </c>
      <c r="E1600" s="1" t="s">
        <v>763</v>
      </c>
      <c r="F1600" s="1" t="s">
        <v>711</v>
      </c>
      <c r="G1600" s="1" t="s">
        <v>712</v>
      </c>
      <c r="H1600" s="1" t="s">
        <v>713</v>
      </c>
      <c r="I1600" s="1" t="s">
        <v>714</v>
      </c>
      <c r="J1600" s="1" t="s">
        <v>7741</v>
      </c>
      <c r="K1600" s="1" t="s">
        <v>7742</v>
      </c>
      <c r="L1600" s="1" t="s">
        <v>7743</v>
      </c>
      <c r="M1600" s="1" t="s">
        <v>718</v>
      </c>
    </row>
    <row r="1601" customFormat="false" ht="15" hidden="false" customHeight="false" outlineLevel="0" collapsed="false">
      <c r="A1601" s="1" t="s">
        <v>7744</v>
      </c>
      <c r="B1601" s="1" t="s">
        <v>7745</v>
      </c>
      <c r="C1601" s="1" t="s">
        <v>7746</v>
      </c>
      <c r="D1601" s="2" t="n">
        <v>37054</v>
      </c>
      <c r="E1601" s="1" t="s">
        <v>710</v>
      </c>
      <c r="F1601" s="1" t="s">
        <v>711</v>
      </c>
      <c r="G1601" s="1" t="s">
        <v>722</v>
      </c>
      <c r="H1601" s="1" t="s">
        <v>713</v>
      </c>
      <c r="I1601" s="1" t="s">
        <v>714</v>
      </c>
      <c r="J1601" s="1" t="s">
        <v>7747</v>
      </c>
      <c r="K1601" s="1" t="s">
        <v>7748</v>
      </c>
      <c r="L1601" s="1" t="s">
        <v>7749</v>
      </c>
      <c r="M1601" s="1" t="s">
        <v>718</v>
      </c>
    </row>
    <row r="1602" customFormat="false" ht="15" hidden="false" customHeight="false" outlineLevel="0" collapsed="false">
      <c r="A1602" s="1" t="s">
        <v>7750</v>
      </c>
      <c r="B1602" s="1" t="s">
        <v>7751</v>
      </c>
      <c r="C1602" s="1" t="s">
        <v>1713</v>
      </c>
      <c r="D1602" s="2" t="n">
        <v>37597</v>
      </c>
      <c r="E1602" s="1" t="s">
        <v>763</v>
      </c>
      <c r="F1602" s="1" t="s">
        <v>711</v>
      </c>
      <c r="G1602" s="1" t="s">
        <v>712</v>
      </c>
      <c r="H1602" s="1" t="s">
        <v>713</v>
      </c>
      <c r="I1602" s="1" t="s">
        <v>714</v>
      </c>
      <c r="J1602" s="1" t="s">
        <v>7752</v>
      </c>
      <c r="K1602" s="1" t="s">
        <v>6910</v>
      </c>
      <c r="L1602" s="1" t="s">
        <v>1714</v>
      </c>
      <c r="M1602" s="1" t="s">
        <v>718</v>
      </c>
    </row>
    <row r="1603" customFormat="false" ht="15" hidden="false" customHeight="false" outlineLevel="0" collapsed="false">
      <c r="A1603" s="1" t="s">
        <v>7753</v>
      </c>
      <c r="B1603" s="1" t="s">
        <v>7754</v>
      </c>
      <c r="C1603" s="1" t="s">
        <v>1408</v>
      </c>
      <c r="D1603" s="2" t="n">
        <v>37490</v>
      </c>
      <c r="E1603" s="1" t="s">
        <v>710</v>
      </c>
      <c r="F1603" s="1" t="s">
        <v>711</v>
      </c>
      <c r="G1603" s="1" t="s">
        <v>722</v>
      </c>
      <c r="H1603" s="1" t="s">
        <v>713</v>
      </c>
      <c r="I1603" s="1" t="s">
        <v>714</v>
      </c>
      <c r="J1603" s="1" t="s">
        <v>1530</v>
      </c>
      <c r="K1603" s="1" t="s">
        <v>7755</v>
      </c>
      <c r="L1603" s="1" t="s">
        <v>1409</v>
      </c>
      <c r="M1603" s="1" t="s">
        <v>718</v>
      </c>
    </row>
    <row r="1604" customFormat="false" ht="15" hidden="false" customHeight="false" outlineLevel="0" collapsed="false">
      <c r="A1604" s="1" t="s">
        <v>7756</v>
      </c>
      <c r="B1604" s="1" t="s">
        <v>7757</v>
      </c>
      <c r="C1604" s="1" t="s">
        <v>2260</v>
      </c>
      <c r="D1604" s="2" t="n">
        <v>37221</v>
      </c>
      <c r="E1604" s="1" t="s">
        <v>763</v>
      </c>
      <c r="F1604" s="1" t="s">
        <v>711</v>
      </c>
      <c r="G1604" s="1" t="s">
        <v>712</v>
      </c>
      <c r="H1604" s="1" t="s">
        <v>713</v>
      </c>
      <c r="I1604" s="1" t="s">
        <v>714</v>
      </c>
      <c r="J1604" s="1" t="s">
        <v>7758</v>
      </c>
      <c r="K1604" s="1" t="s">
        <v>7759</v>
      </c>
      <c r="L1604" s="1" t="s">
        <v>7760</v>
      </c>
      <c r="M1604" s="1" t="s">
        <v>718</v>
      </c>
    </row>
    <row r="1605" customFormat="false" ht="15" hidden="false" customHeight="false" outlineLevel="0" collapsed="false">
      <c r="A1605" s="1" t="s">
        <v>7761</v>
      </c>
      <c r="B1605" s="1" t="s">
        <v>1668</v>
      </c>
      <c r="C1605" s="1" t="s">
        <v>7762</v>
      </c>
      <c r="D1605" s="2" t="n">
        <v>37315</v>
      </c>
      <c r="E1605" s="1" t="s">
        <v>710</v>
      </c>
      <c r="F1605" s="1" t="s">
        <v>711</v>
      </c>
      <c r="G1605" s="1" t="s">
        <v>722</v>
      </c>
      <c r="H1605" s="1" t="s">
        <v>713</v>
      </c>
      <c r="I1605" s="1" t="s">
        <v>714</v>
      </c>
      <c r="J1605" s="1" t="s">
        <v>7763</v>
      </c>
      <c r="K1605" s="1" t="s">
        <v>716</v>
      </c>
      <c r="L1605" s="1" t="s">
        <v>4302</v>
      </c>
      <c r="M1605" s="1" t="s">
        <v>718</v>
      </c>
    </row>
    <row r="1606" customFormat="false" ht="15" hidden="false" customHeight="false" outlineLevel="0" collapsed="false">
      <c r="A1606" s="1" t="s">
        <v>7764</v>
      </c>
      <c r="B1606" s="1" t="s">
        <v>2805</v>
      </c>
      <c r="C1606" s="1" t="s">
        <v>7765</v>
      </c>
      <c r="D1606" s="2" t="n">
        <v>37359</v>
      </c>
      <c r="E1606" s="1" t="s">
        <v>710</v>
      </c>
      <c r="F1606" s="1" t="s">
        <v>711</v>
      </c>
      <c r="G1606" s="1" t="s">
        <v>712</v>
      </c>
      <c r="H1606" s="1" t="s">
        <v>713</v>
      </c>
      <c r="I1606" s="1" t="s">
        <v>714</v>
      </c>
      <c r="J1606" s="1" t="s">
        <v>1244</v>
      </c>
      <c r="K1606" s="1" t="s">
        <v>7766</v>
      </c>
      <c r="L1606" s="1" t="s">
        <v>7767</v>
      </c>
      <c r="M1606" s="1" t="s">
        <v>718</v>
      </c>
    </row>
    <row r="1607" customFormat="false" ht="15" hidden="false" customHeight="false" outlineLevel="0" collapsed="false">
      <c r="A1607" s="1" t="s">
        <v>7768</v>
      </c>
      <c r="B1607" s="1" t="s">
        <v>6559</v>
      </c>
      <c r="C1607" s="1" t="s">
        <v>7769</v>
      </c>
      <c r="D1607" s="2" t="n">
        <v>37469</v>
      </c>
      <c r="E1607" s="1" t="s">
        <v>710</v>
      </c>
      <c r="F1607" s="1" t="s">
        <v>711</v>
      </c>
      <c r="G1607" s="1" t="s">
        <v>722</v>
      </c>
      <c r="H1607" s="1" t="s">
        <v>713</v>
      </c>
      <c r="I1607" s="1" t="s">
        <v>714</v>
      </c>
      <c r="J1607" s="1" t="s">
        <v>1505</v>
      </c>
      <c r="K1607" s="1" t="s">
        <v>7770</v>
      </c>
      <c r="L1607" s="1" t="s">
        <v>7771</v>
      </c>
      <c r="M1607" s="1" t="s">
        <v>718</v>
      </c>
    </row>
    <row r="1608" customFormat="false" ht="15" hidden="false" customHeight="false" outlineLevel="0" collapsed="false">
      <c r="A1608" s="1" t="s">
        <v>7772</v>
      </c>
      <c r="B1608" s="1" t="s">
        <v>7773</v>
      </c>
      <c r="C1608" s="1" t="s">
        <v>7774</v>
      </c>
      <c r="D1608" s="2" t="n">
        <v>37519</v>
      </c>
      <c r="E1608" s="1" t="s">
        <v>710</v>
      </c>
      <c r="F1608" s="1" t="s">
        <v>711</v>
      </c>
      <c r="G1608" s="1" t="s">
        <v>712</v>
      </c>
      <c r="H1608" s="1" t="s">
        <v>713</v>
      </c>
      <c r="I1608" s="1" t="s">
        <v>714</v>
      </c>
      <c r="J1608" s="1" t="s">
        <v>7775</v>
      </c>
      <c r="K1608" s="1" t="s">
        <v>7776</v>
      </c>
      <c r="L1608" s="1" t="s">
        <v>2623</v>
      </c>
      <c r="M1608" s="1" t="s">
        <v>718</v>
      </c>
    </row>
    <row r="1609" customFormat="false" ht="15" hidden="false" customHeight="false" outlineLevel="0" collapsed="false">
      <c r="A1609" s="1" t="s">
        <v>7777</v>
      </c>
      <c r="B1609" s="1" t="s">
        <v>7778</v>
      </c>
      <c r="C1609" s="1" t="s">
        <v>7779</v>
      </c>
      <c r="D1609" s="2" t="n">
        <v>37570</v>
      </c>
      <c r="E1609" s="1" t="s">
        <v>763</v>
      </c>
      <c r="F1609" s="1" t="s">
        <v>711</v>
      </c>
      <c r="G1609" s="1" t="s">
        <v>722</v>
      </c>
      <c r="H1609" s="1" t="s">
        <v>713</v>
      </c>
      <c r="I1609" s="1" t="s">
        <v>714</v>
      </c>
      <c r="J1609" s="1" t="s">
        <v>3517</v>
      </c>
      <c r="K1609" s="1" t="s">
        <v>7780</v>
      </c>
      <c r="L1609" s="1" t="s">
        <v>7781</v>
      </c>
      <c r="M1609" s="1" t="s">
        <v>718</v>
      </c>
    </row>
    <row r="1610" customFormat="false" ht="15" hidden="false" customHeight="false" outlineLevel="0" collapsed="false">
      <c r="A1610" s="1" t="s">
        <v>7782</v>
      </c>
      <c r="B1610" s="1" t="s">
        <v>7783</v>
      </c>
      <c r="C1610" s="1" t="s">
        <v>1337</v>
      </c>
      <c r="D1610" s="2" t="n">
        <v>37509</v>
      </c>
      <c r="E1610" s="1" t="s">
        <v>763</v>
      </c>
      <c r="F1610" s="1" t="s">
        <v>711</v>
      </c>
      <c r="G1610" s="1" t="s">
        <v>712</v>
      </c>
      <c r="H1610" s="1" t="s">
        <v>713</v>
      </c>
      <c r="I1610" s="1" t="s">
        <v>714</v>
      </c>
      <c r="J1610" s="1" t="s">
        <v>7784</v>
      </c>
      <c r="K1610" s="1" t="s">
        <v>7785</v>
      </c>
      <c r="L1610" s="1" t="s">
        <v>1338</v>
      </c>
      <c r="M1610" s="1" t="s">
        <v>718</v>
      </c>
    </row>
    <row r="1611" customFormat="false" ht="15" hidden="false" customHeight="false" outlineLevel="0" collapsed="false">
      <c r="A1611" s="1" t="s">
        <v>7786</v>
      </c>
      <c r="B1611" s="1" t="s">
        <v>7787</v>
      </c>
      <c r="C1611" s="1" t="s">
        <v>1337</v>
      </c>
      <c r="D1611" s="2" t="n">
        <v>37509</v>
      </c>
      <c r="E1611" s="1" t="s">
        <v>763</v>
      </c>
      <c r="F1611" s="1" t="s">
        <v>711</v>
      </c>
      <c r="G1611" s="1" t="s">
        <v>712</v>
      </c>
      <c r="H1611" s="1" t="s">
        <v>713</v>
      </c>
      <c r="I1611" s="1" t="s">
        <v>714</v>
      </c>
      <c r="J1611" s="1" t="s">
        <v>7788</v>
      </c>
      <c r="K1611" s="1" t="s">
        <v>7785</v>
      </c>
      <c r="L1611" s="1" t="s">
        <v>1338</v>
      </c>
      <c r="M1611" s="1" t="s">
        <v>718</v>
      </c>
    </row>
    <row r="1612" customFormat="false" ht="15" hidden="false" customHeight="false" outlineLevel="0" collapsed="false">
      <c r="A1612" s="1" t="s">
        <v>7789</v>
      </c>
      <c r="B1612" s="1" t="s">
        <v>7790</v>
      </c>
      <c r="C1612" s="1" t="s">
        <v>6972</v>
      </c>
      <c r="D1612" s="2" t="n">
        <v>37444</v>
      </c>
      <c r="E1612" s="1" t="s">
        <v>763</v>
      </c>
      <c r="F1612" s="1" t="s">
        <v>711</v>
      </c>
      <c r="G1612" s="1" t="s">
        <v>712</v>
      </c>
      <c r="H1612" s="1" t="s">
        <v>713</v>
      </c>
      <c r="I1612" s="1" t="s">
        <v>714</v>
      </c>
      <c r="J1612" s="1" t="s">
        <v>716</v>
      </c>
      <c r="K1612" s="1" t="s">
        <v>7791</v>
      </c>
      <c r="L1612" s="1" t="s">
        <v>6974</v>
      </c>
      <c r="M1612" s="1" t="s">
        <v>718</v>
      </c>
    </row>
    <row r="1613" customFormat="false" ht="15" hidden="false" customHeight="false" outlineLevel="0" collapsed="false">
      <c r="A1613" s="1" t="s">
        <v>7792</v>
      </c>
      <c r="B1613" s="1" t="s">
        <v>7793</v>
      </c>
      <c r="C1613" s="1" t="s">
        <v>7794</v>
      </c>
      <c r="D1613" s="2" t="n">
        <v>37390</v>
      </c>
      <c r="E1613" s="1" t="s">
        <v>763</v>
      </c>
      <c r="F1613" s="1" t="s">
        <v>711</v>
      </c>
      <c r="G1613" s="1" t="s">
        <v>722</v>
      </c>
      <c r="H1613" s="1" t="s">
        <v>713</v>
      </c>
      <c r="I1613" s="1" t="s">
        <v>714</v>
      </c>
      <c r="J1613" s="1" t="s">
        <v>7795</v>
      </c>
      <c r="K1613" s="1" t="s">
        <v>7796</v>
      </c>
      <c r="L1613" s="1" t="s">
        <v>5477</v>
      </c>
      <c r="M1613" s="1" t="s">
        <v>718</v>
      </c>
    </row>
    <row r="1614" customFormat="false" ht="15" hidden="false" customHeight="false" outlineLevel="0" collapsed="false">
      <c r="A1614" s="1" t="s">
        <v>7797</v>
      </c>
      <c r="B1614" s="1" t="s">
        <v>7798</v>
      </c>
      <c r="C1614" s="1" t="s">
        <v>7799</v>
      </c>
      <c r="D1614" s="2" t="n">
        <v>27553</v>
      </c>
      <c r="E1614" s="1" t="s">
        <v>763</v>
      </c>
      <c r="F1614" s="1" t="s">
        <v>711</v>
      </c>
      <c r="G1614" s="1" t="s">
        <v>722</v>
      </c>
      <c r="H1614" s="1" t="s">
        <v>713</v>
      </c>
      <c r="I1614" s="1" t="s">
        <v>714</v>
      </c>
      <c r="J1614" s="1" t="s">
        <v>716</v>
      </c>
      <c r="K1614" s="1" t="s">
        <v>716</v>
      </c>
      <c r="L1614" s="1" t="s">
        <v>834</v>
      </c>
      <c r="M1614" s="1" t="s">
        <v>718</v>
      </c>
    </row>
    <row r="1615" customFormat="false" ht="15" hidden="false" customHeight="false" outlineLevel="0" collapsed="false">
      <c r="A1615" s="1" t="s">
        <v>7800</v>
      </c>
      <c r="B1615" s="1" t="s">
        <v>7801</v>
      </c>
      <c r="C1615" s="1" t="s">
        <v>739</v>
      </c>
      <c r="D1615" s="2" t="n">
        <v>37261</v>
      </c>
      <c r="E1615" s="1" t="s">
        <v>763</v>
      </c>
      <c r="F1615" s="1" t="s">
        <v>711</v>
      </c>
      <c r="G1615" s="1" t="s">
        <v>722</v>
      </c>
      <c r="H1615" s="1" t="s">
        <v>713</v>
      </c>
      <c r="I1615" s="1" t="s">
        <v>714</v>
      </c>
      <c r="J1615" s="1" t="s">
        <v>7802</v>
      </c>
      <c r="K1615" s="1" t="s">
        <v>7803</v>
      </c>
      <c r="L1615" s="1" t="s">
        <v>7804</v>
      </c>
      <c r="M1615" s="1" t="s">
        <v>718</v>
      </c>
    </row>
    <row r="1616" customFormat="false" ht="15" hidden="false" customHeight="false" outlineLevel="0" collapsed="false">
      <c r="A1616" s="1" t="s">
        <v>7805</v>
      </c>
      <c r="B1616" s="1" t="s">
        <v>7806</v>
      </c>
      <c r="C1616" s="1" t="s">
        <v>7807</v>
      </c>
      <c r="D1616" s="2" t="n">
        <v>37561</v>
      </c>
      <c r="E1616" s="1" t="s">
        <v>763</v>
      </c>
      <c r="F1616" s="1" t="s">
        <v>711</v>
      </c>
      <c r="G1616" s="1" t="s">
        <v>722</v>
      </c>
      <c r="H1616" s="1" t="s">
        <v>713</v>
      </c>
      <c r="I1616" s="1" t="s">
        <v>714</v>
      </c>
      <c r="J1616" s="1" t="s">
        <v>1244</v>
      </c>
      <c r="K1616" s="1" t="s">
        <v>7808</v>
      </c>
      <c r="L1616" s="1" t="s">
        <v>7809</v>
      </c>
      <c r="M1616" s="1" t="s">
        <v>718</v>
      </c>
    </row>
    <row r="1617" customFormat="false" ht="15" hidden="false" customHeight="false" outlineLevel="0" collapsed="false">
      <c r="A1617" s="1" t="s">
        <v>7810</v>
      </c>
      <c r="B1617" s="1" t="s">
        <v>7811</v>
      </c>
      <c r="C1617" s="1" t="s">
        <v>7812</v>
      </c>
      <c r="D1617" s="2" t="n">
        <v>37477</v>
      </c>
      <c r="E1617" s="1" t="s">
        <v>710</v>
      </c>
      <c r="F1617" s="1" t="s">
        <v>711</v>
      </c>
      <c r="G1617" s="1" t="s">
        <v>712</v>
      </c>
      <c r="H1617" s="1" t="s">
        <v>713</v>
      </c>
      <c r="I1617" s="1" t="s">
        <v>714</v>
      </c>
      <c r="J1617" s="1" t="s">
        <v>7813</v>
      </c>
      <c r="K1617" s="1" t="s">
        <v>7814</v>
      </c>
      <c r="L1617" s="1" t="s">
        <v>7815</v>
      </c>
      <c r="M1617" s="1" t="s">
        <v>718</v>
      </c>
    </row>
    <row r="1618" customFormat="false" ht="15" hidden="false" customHeight="false" outlineLevel="0" collapsed="false">
      <c r="A1618" s="1" t="s">
        <v>7816</v>
      </c>
      <c r="B1618" s="1" t="s">
        <v>7817</v>
      </c>
      <c r="C1618" s="1" t="s">
        <v>750</v>
      </c>
      <c r="D1618" s="2" t="n">
        <v>37478</v>
      </c>
      <c r="E1618" s="1" t="s">
        <v>710</v>
      </c>
      <c r="F1618" s="1" t="s">
        <v>711</v>
      </c>
      <c r="G1618" s="1" t="s">
        <v>712</v>
      </c>
      <c r="H1618" s="1" t="s">
        <v>713</v>
      </c>
      <c r="I1618" s="1" t="s">
        <v>714</v>
      </c>
      <c r="J1618" s="1" t="s">
        <v>1244</v>
      </c>
      <c r="K1618" s="1" t="s">
        <v>7818</v>
      </c>
      <c r="L1618" s="1" t="s">
        <v>7819</v>
      </c>
      <c r="M1618" s="1" t="s">
        <v>718</v>
      </c>
    </row>
    <row r="1619" customFormat="false" ht="15" hidden="false" customHeight="false" outlineLevel="0" collapsed="false">
      <c r="A1619" s="1" t="s">
        <v>7820</v>
      </c>
      <c r="B1619" s="1" t="s">
        <v>7821</v>
      </c>
      <c r="C1619" s="1" t="s">
        <v>7822</v>
      </c>
      <c r="D1619" s="2" t="n">
        <v>37359</v>
      </c>
      <c r="E1619" s="1" t="s">
        <v>710</v>
      </c>
      <c r="F1619" s="1" t="s">
        <v>711</v>
      </c>
      <c r="G1619" s="1" t="s">
        <v>712</v>
      </c>
      <c r="H1619" s="1" t="s">
        <v>713</v>
      </c>
      <c r="I1619" s="1" t="s">
        <v>714</v>
      </c>
      <c r="J1619" s="1" t="s">
        <v>1244</v>
      </c>
      <c r="K1619" s="1" t="s">
        <v>7823</v>
      </c>
      <c r="L1619" s="1" t="s">
        <v>7824</v>
      </c>
      <c r="M1619" s="1" t="s">
        <v>718</v>
      </c>
    </row>
    <row r="1620" customFormat="false" ht="15" hidden="false" customHeight="false" outlineLevel="0" collapsed="false">
      <c r="A1620" s="1" t="s">
        <v>7825</v>
      </c>
      <c r="B1620" s="1" t="s">
        <v>7826</v>
      </c>
      <c r="C1620" s="1" t="s">
        <v>7827</v>
      </c>
      <c r="D1620" s="2" t="n">
        <v>36112</v>
      </c>
      <c r="E1620" s="1" t="s">
        <v>710</v>
      </c>
      <c r="F1620" s="1" t="s">
        <v>711</v>
      </c>
      <c r="G1620" s="1" t="s">
        <v>722</v>
      </c>
      <c r="H1620" s="1" t="s">
        <v>713</v>
      </c>
      <c r="I1620" s="1" t="s">
        <v>714</v>
      </c>
      <c r="J1620" s="1" t="s">
        <v>1762</v>
      </c>
      <c r="K1620" s="1" t="s">
        <v>7828</v>
      </c>
      <c r="L1620" s="1" t="s">
        <v>7829</v>
      </c>
      <c r="M1620" s="1" t="s">
        <v>718</v>
      </c>
    </row>
    <row r="1621" customFormat="false" ht="15" hidden="false" customHeight="false" outlineLevel="0" collapsed="false">
      <c r="A1621" s="1" t="s">
        <v>7830</v>
      </c>
      <c r="B1621" s="1" t="s">
        <v>7831</v>
      </c>
      <c r="C1621" s="1" t="s">
        <v>3407</v>
      </c>
      <c r="D1621" s="2" t="n">
        <v>37480</v>
      </c>
      <c r="E1621" s="1" t="s">
        <v>763</v>
      </c>
      <c r="F1621" s="1" t="s">
        <v>711</v>
      </c>
      <c r="G1621" s="1" t="s">
        <v>722</v>
      </c>
      <c r="H1621" s="1" t="s">
        <v>713</v>
      </c>
      <c r="I1621" s="1" t="s">
        <v>714</v>
      </c>
      <c r="J1621" s="1" t="s">
        <v>7832</v>
      </c>
      <c r="K1621" s="1" t="s">
        <v>6572</v>
      </c>
      <c r="L1621" s="1" t="s">
        <v>3410</v>
      </c>
      <c r="M1621" s="1" t="s">
        <v>718</v>
      </c>
    </row>
    <row r="1622" customFormat="false" ht="15" hidden="false" customHeight="false" outlineLevel="0" collapsed="false">
      <c r="A1622" s="1" t="s">
        <v>7833</v>
      </c>
      <c r="B1622" s="1" t="s">
        <v>7834</v>
      </c>
      <c r="C1622" s="1" t="s">
        <v>4839</v>
      </c>
      <c r="D1622" s="2" t="n">
        <v>36983</v>
      </c>
      <c r="E1622" s="1" t="s">
        <v>710</v>
      </c>
      <c r="F1622" s="1" t="s">
        <v>711</v>
      </c>
      <c r="G1622" s="1" t="s">
        <v>712</v>
      </c>
      <c r="H1622" s="1" t="s">
        <v>713</v>
      </c>
      <c r="I1622" s="1" t="s">
        <v>714</v>
      </c>
      <c r="J1622" s="1" t="s">
        <v>7835</v>
      </c>
      <c r="K1622" s="1" t="s">
        <v>7836</v>
      </c>
      <c r="L1622" s="1" t="s">
        <v>7837</v>
      </c>
      <c r="M1622" s="1" t="s">
        <v>718</v>
      </c>
    </row>
    <row r="1623" customFormat="false" ht="15" hidden="false" customHeight="false" outlineLevel="0" collapsed="false">
      <c r="A1623" s="1" t="s">
        <v>7838</v>
      </c>
      <c r="B1623" s="1" t="s">
        <v>1538</v>
      </c>
      <c r="C1623" s="1" t="s">
        <v>7605</v>
      </c>
      <c r="D1623" s="2" t="n">
        <v>37844</v>
      </c>
      <c r="E1623" s="1" t="s">
        <v>763</v>
      </c>
      <c r="F1623" s="1" t="s">
        <v>711</v>
      </c>
      <c r="G1623" s="1" t="s">
        <v>722</v>
      </c>
      <c r="H1623" s="1" t="s">
        <v>713</v>
      </c>
      <c r="I1623" s="1" t="s">
        <v>714</v>
      </c>
      <c r="J1623" s="1" t="s">
        <v>716</v>
      </c>
      <c r="K1623" s="1" t="s">
        <v>7839</v>
      </c>
      <c r="L1623" s="1" t="s">
        <v>3853</v>
      </c>
      <c r="M1623" s="1" t="s">
        <v>718</v>
      </c>
    </row>
    <row r="1624" customFormat="false" ht="15" hidden="false" customHeight="false" outlineLevel="0" collapsed="false">
      <c r="A1624" s="1" t="s">
        <v>7840</v>
      </c>
      <c r="B1624" s="1" t="s">
        <v>7841</v>
      </c>
      <c r="C1624" s="1" t="s">
        <v>1357</v>
      </c>
      <c r="D1624" s="2" t="n">
        <v>37281</v>
      </c>
      <c r="E1624" s="1" t="s">
        <v>763</v>
      </c>
      <c r="F1624" s="1" t="s">
        <v>711</v>
      </c>
      <c r="G1624" s="1" t="s">
        <v>722</v>
      </c>
      <c r="H1624" s="1" t="s">
        <v>713</v>
      </c>
      <c r="I1624" s="1" t="s">
        <v>714</v>
      </c>
      <c r="J1624" s="1" t="s">
        <v>7842</v>
      </c>
      <c r="K1624" s="1" t="s">
        <v>7843</v>
      </c>
      <c r="L1624" s="1" t="s">
        <v>1359</v>
      </c>
      <c r="M1624" s="1" t="s">
        <v>718</v>
      </c>
    </row>
    <row r="1625" customFormat="false" ht="15" hidden="false" customHeight="false" outlineLevel="0" collapsed="false">
      <c r="A1625" s="1" t="s">
        <v>7844</v>
      </c>
      <c r="B1625" s="1" t="s">
        <v>7845</v>
      </c>
      <c r="C1625" s="1" t="s">
        <v>7846</v>
      </c>
      <c r="D1625" s="2" t="n">
        <v>37329</v>
      </c>
      <c r="E1625" s="1" t="s">
        <v>763</v>
      </c>
      <c r="F1625" s="1" t="s">
        <v>711</v>
      </c>
      <c r="G1625" s="1" t="s">
        <v>712</v>
      </c>
      <c r="H1625" s="1" t="s">
        <v>713</v>
      </c>
      <c r="I1625" s="1" t="s">
        <v>714</v>
      </c>
      <c r="J1625" s="1" t="s">
        <v>7847</v>
      </c>
      <c r="K1625" s="1" t="s">
        <v>7848</v>
      </c>
      <c r="L1625" s="1" t="s">
        <v>7849</v>
      </c>
      <c r="M1625" s="1" t="s">
        <v>718</v>
      </c>
    </row>
    <row r="1626" customFormat="false" ht="15" hidden="false" customHeight="false" outlineLevel="0" collapsed="false">
      <c r="A1626" s="1" t="s">
        <v>7850</v>
      </c>
      <c r="B1626" s="1" t="s">
        <v>7851</v>
      </c>
      <c r="C1626" s="1" t="s">
        <v>1139</v>
      </c>
      <c r="D1626" s="2" t="n">
        <v>37547</v>
      </c>
      <c r="E1626" s="1" t="s">
        <v>763</v>
      </c>
      <c r="F1626" s="1" t="s">
        <v>711</v>
      </c>
      <c r="G1626" s="1" t="s">
        <v>712</v>
      </c>
      <c r="H1626" s="1" t="s">
        <v>713</v>
      </c>
      <c r="I1626" s="1" t="s">
        <v>714</v>
      </c>
      <c r="J1626" s="1" t="s">
        <v>7852</v>
      </c>
      <c r="K1626" s="1" t="s">
        <v>7853</v>
      </c>
      <c r="L1626" s="1" t="s">
        <v>7854</v>
      </c>
      <c r="M1626" s="1" t="s">
        <v>718</v>
      </c>
    </row>
    <row r="1627" customFormat="false" ht="15" hidden="false" customHeight="false" outlineLevel="0" collapsed="false">
      <c r="A1627" s="1" t="s">
        <v>7855</v>
      </c>
      <c r="B1627" s="1" t="s">
        <v>7856</v>
      </c>
      <c r="C1627" s="1" t="s">
        <v>3265</v>
      </c>
      <c r="D1627" s="2" t="n">
        <v>37307</v>
      </c>
      <c r="E1627" s="1" t="s">
        <v>710</v>
      </c>
      <c r="F1627" s="1" t="s">
        <v>711</v>
      </c>
      <c r="G1627" s="1" t="s">
        <v>712</v>
      </c>
      <c r="H1627" s="1" t="s">
        <v>713</v>
      </c>
      <c r="I1627" s="1" t="s">
        <v>714</v>
      </c>
      <c r="J1627" s="1" t="s">
        <v>7857</v>
      </c>
      <c r="K1627" s="1" t="s">
        <v>7858</v>
      </c>
      <c r="L1627" s="1" t="s">
        <v>3268</v>
      </c>
      <c r="M1627" s="1" t="s">
        <v>718</v>
      </c>
    </row>
    <row r="1628" customFormat="false" ht="15" hidden="false" customHeight="false" outlineLevel="0" collapsed="false">
      <c r="A1628" s="1" t="s">
        <v>7859</v>
      </c>
      <c r="B1628" s="1" t="s">
        <v>7860</v>
      </c>
      <c r="C1628" s="1" t="s">
        <v>7861</v>
      </c>
      <c r="D1628" s="2" t="n">
        <v>37188</v>
      </c>
      <c r="E1628" s="1" t="s">
        <v>763</v>
      </c>
      <c r="F1628" s="1" t="s">
        <v>711</v>
      </c>
      <c r="G1628" s="1" t="s">
        <v>722</v>
      </c>
      <c r="H1628" s="1" t="s">
        <v>713</v>
      </c>
      <c r="I1628" s="1" t="s">
        <v>714</v>
      </c>
      <c r="J1628" s="1" t="s">
        <v>5972</v>
      </c>
      <c r="K1628" s="1" t="s">
        <v>7862</v>
      </c>
      <c r="L1628" s="1" t="s">
        <v>7863</v>
      </c>
      <c r="M1628" s="1" t="s">
        <v>718</v>
      </c>
    </row>
    <row r="1629" customFormat="false" ht="15" hidden="false" customHeight="false" outlineLevel="0" collapsed="false">
      <c r="A1629" s="1" t="s">
        <v>7864</v>
      </c>
      <c r="B1629" s="1" t="s">
        <v>1902</v>
      </c>
      <c r="C1629" s="1" t="s">
        <v>1973</v>
      </c>
      <c r="D1629" s="2" t="n">
        <v>37234</v>
      </c>
      <c r="E1629" s="1" t="s">
        <v>763</v>
      </c>
      <c r="F1629" s="1" t="s">
        <v>711</v>
      </c>
      <c r="G1629" s="1" t="s">
        <v>7865</v>
      </c>
      <c r="H1629" s="1" t="s">
        <v>713</v>
      </c>
      <c r="I1629" s="1" t="s">
        <v>714</v>
      </c>
      <c r="J1629" s="1" t="s">
        <v>1244</v>
      </c>
      <c r="K1629" s="1" t="s">
        <v>7866</v>
      </c>
      <c r="L1629" s="1" t="s">
        <v>5719</v>
      </c>
      <c r="M1629" s="1" t="s">
        <v>718</v>
      </c>
    </row>
    <row r="1630" customFormat="false" ht="15" hidden="false" customHeight="false" outlineLevel="0" collapsed="false">
      <c r="A1630" s="1" t="s">
        <v>7867</v>
      </c>
      <c r="B1630" s="1" t="s">
        <v>7868</v>
      </c>
      <c r="C1630" s="1" t="s">
        <v>7869</v>
      </c>
      <c r="D1630" s="2" t="n">
        <v>36951</v>
      </c>
      <c r="E1630" s="1" t="s">
        <v>710</v>
      </c>
      <c r="F1630" s="1" t="s">
        <v>711</v>
      </c>
      <c r="G1630" s="1" t="s">
        <v>7870</v>
      </c>
      <c r="H1630" s="1" t="s">
        <v>713</v>
      </c>
      <c r="I1630" s="1" t="s">
        <v>714</v>
      </c>
      <c r="J1630" s="1" t="s">
        <v>7871</v>
      </c>
      <c r="K1630" s="1" t="s">
        <v>7872</v>
      </c>
      <c r="L1630" s="1" t="s">
        <v>7873</v>
      </c>
      <c r="M1630" s="1" t="s">
        <v>718</v>
      </c>
    </row>
    <row r="1631" customFormat="false" ht="15" hidden="false" customHeight="false" outlineLevel="0" collapsed="false">
      <c r="A1631" s="1" t="s">
        <v>7874</v>
      </c>
      <c r="B1631" s="1" t="s">
        <v>7875</v>
      </c>
      <c r="C1631" s="1" t="s">
        <v>7876</v>
      </c>
      <c r="D1631" s="2" t="n">
        <v>37592</v>
      </c>
      <c r="E1631" s="1" t="s">
        <v>710</v>
      </c>
      <c r="F1631" s="1" t="s">
        <v>711</v>
      </c>
      <c r="G1631" s="1" t="s">
        <v>712</v>
      </c>
      <c r="H1631" s="1" t="s">
        <v>713</v>
      </c>
      <c r="I1631" s="1" t="s">
        <v>714</v>
      </c>
      <c r="J1631" s="1" t="s">
        <v>1244</v>
      </c>
      <c r="K1631" s="1" t="s">
        <v>7877</v>
      </c>
      <c r="L1631" s="1" t="s">
        <v>7878</v>
      </c>
      <c r="M1631" s="1" t="s">
        <v>718</v>
      </c>
    </row>
    <row r="1632" customFormat="false" ht="15" hidden="false" customHeight="false" outlineLevel="0" collapsed="false">
      <c r="A1632" s="1" t="s">
        <v>7879</v>
      </c>
      <c r="B1632" s="1" t="s">
        <v>7880</v>
      </c>
      <c r="C1632" s="1" t="s">
        <v>7881</v>
      </c>
      <c r="D1632" s="2" t="n">
        <v>37574</v>
      </c>
      <c r="E1632" s="1" t="s">
        <v>710</v>
      </c>
      <c r="F1632" s="1" t="s">
        <v>711</v>
      </c>
      <c r="G1632" s="1" t="s">
        <v>722</v>
      </c>
      <c r="H1632" s="1" t="s">
        <v>713</v>
      </c>
      <c r="I1632" s="1" t="s">
        <v>714</v>
      </c>
      <c r="J1632" s="1" t="s">
        <v>1530</v>
      </c>
      <c r="K1632" s="1" t="s">
        <v>716</v>
      </c>
      <c r="L1632" s="1" t="s">
        <v>7882</v>
      </c>
      <c r="M1632" s="1" t="s">
        <v>718</v>
      </c>
    </row>
    <row r="1633" customFormat="false" ht="15" hidden="false" customHeight="false" outlineLevel="0" collapsed="false">
      <c r="A1633" s="1" t="s">
        <v>7883</v>
      </c>
      <c r="B1633" s="1" t="s">
        <v>7884</v>
      </c>
      <c r="C1633" s="1" t="s">
        <v>7885</v>
      </c>
      <c r="D1633" s="2" t="n">
        <v>37326</v>
      </c>
      <c r="E1633" s="1" t="s">
        <v>763</v>
      </c>
      <c r="F1633" s="1" t="s">
        <v>711</v>
      </c>
      <c r="G1633" s="1" t="s">
        <v>712</v>
      </c>
      <c r="H1633" s="1" t="s">
        <v>713</v>
      </c>
      <c r="I1633" s="1" t="s">
        <v>714</v>
      </c>
      <c r="J1633" s="1" t="s">
        <v>7886</v>
      </c>
      <c r="K1633" s="1" t="s">
        <v>7887</v>
      </c>
      <c r="L1633" s="1" t="s">
        <v>7888</v>
      </c>
      <c r="M1633" s="1" t="s">
        <v>718</v>
      </c>
    </row>
    <row r="1634" customFormat="false" ht="15" hidden="false" customHeight="false" outlineLevel="0" collapsed="false">
      <c r="A1634" s="1" t="s">
        <v>7889</v>
      </c>
      <c r="B1634" s="1" t="s">
        <v>7890</v>
      </c>
      <c r="C1634" s="1" t="s">
        <v>7891</v>
      </c>
      <c r="D1634" s="2" t="n">
        <v>37315</v>
      </c>
      <c r="E1634" s="1" t="s">
        <v>710</v>
      </c>
      <c r="F1634" s="1" t="s">
        <v>711</v>
      </c>
      <c r="G1634" s="1" t="s">
        <v>712</v>
      </c>
      <c r="H1634" s="1" t="s">
        <v>713</v>
      </c>
      <c r="I1634" s="1" t="s">
        <v>714</v>
      </c>
      <c r="J1634" s="1" t="s">
        <v>5799</v>
      </c>
      <c r="K1634" s="1" t="s">
        <v>7892</v>
      </c>
      <c r="L1634" s="1" t="s">
        <v>7893</v>
      </c>
      <c r="M1634" s="1" t="s">
        <v>718</v>
      </c>
    </row>
    <row r="1635" customFormat="false" ht="15" hidden="false" customHeight="false" outlineLevel="0" collapsed="false">
      <c r="A1635" s="1" t="s">
        <v>7894</v>
      </c>
      <c r="B1635" s="1" t="s">
        <v>7895</v>
      </c>
      <c r="C1635" s="1" t="s">
        <v>1637</v>
      </c>
      <c r="D1635" s="2" t="n">
        <v>37533</v>
      </c>
      <c r="E1635" s="1" t="s">
        <v>710</v>
      </c>
      <c r="F1635" s="1" t="s">
        <v>711</v>
      </c>
      <c r="G1635" s="1" t="s">
        <v>712</v>
      </c>
      <c r="H1635" s="1" t="s">
        <v>713</v>
      </c>
      <c r="I1635" s="1" t="s">
        <v>714</v>
      </c>
      <c r="J1635" s="1" t="s">
        <v>7896</v>
      </c>
      <c r="K1635" s="1" t="s">
        <v>7897</v>
      </c>
      <c r="L1635" s="1" t="s">
        <v>3920</v>
      </c>
      <c r="M1635" s="1" t="s">
        <v>718</v>
      </c>
    </row>
    <row r="1636" customFormat="false" ht="15" hidden="false" customHeight="false" outlineLevel="0" collapsed="false">
      <c r="A1636" s="1" t="s">
        <v>7898</v>
      </c>
      <c r="B1636" s="1" t="s">
        <v>7899</v>
      </c>
      <c r="C1636" s="1" t="s">
        <v>7900</v>
      </c>
      <c r="D1636" s="2" t="n">
        <v>37574</v>
      </c>
      <c r="E1636" s="1" t="s">
        <v>710</v>
      </c>
      <c r="F1636" s="1" t="s">
        <v>711</v>
      </c>
      <c r="G1636" s="1" t="s">
        <v>722</v>
      </c>
      <c r="H1636" s="1" t="s">
        <v>713</v>
      </c>
      <c r="I1636" s="1" t="s">
        <v>714</v>
      </c>
      <c r="J1636" s="1" t="s">
        <v>7901</v>
      </c>
      <c r="K1636" s="1" t="s">
        <v>716</v>
      </c>
      <c r="L1636" s="1" t="s">
        <v>7882</v>
      </c>
      <c r="M1636" s="1" t="s">
        <v>718</v>
      </c>
    </row>
    <row r="1637" customFormat="false" ht="15" hidden="false" customHeight="false" outlineLevel="0" collapsed="false">
      <c r="A1637" s="1" t="s">
        <v>7902</v>
      </c>
      <c r="B1637" s="1" t="s">
        <v>7903</v>
      </c>
      <c r="C1637" s="1" t="s">
        <v>3817</v>
      </c>
      <c r="D1637" s="2" t="n">
        <v>37291</v>
      </c>
      <c r="E1637" s="1" t="s">
        <v>763</v>
      </c>
      <c r="F1637" s="1" t="s">
        <v>711</v>
      </c>
      <c r="G1637" s="1" t="s">
        <v>722</v>
      </c>
      <c r="H1637" s="1" t="s">
        <v>713</v>
      </c>
      <c r="I1637" s="1" t="s">
        <v>714</v>
      </c>
      <c r="J1637" s="1" t="s">
        <v>7904</v>
      </c>
      <c r="K1637" s="1" t="s">
        <v>7905</v>
      </c>
      <c r="L1637" s="1" t="s">
        <v>7906</v>
      </c>
      <c r="M1637" s="1" t="s">
        <v>718</v>
      </c>
    </row>
    <row r="1638" customFormat="false" ht="15" hidden="false" customHeight="false" outlineLevel="0" collapsed="false">
      <c r="A1638" s="1" t="s">
        <v>7907</v>
      </c>
      <c r="B1638" s="1" t="s">
        <v>7908</v>
      </c>
      <c r="C1638" s="1" t="s">
        <v>4446</v>
      </c>
      <c r="D1638" s="2" t="n">
        <v>37295</v>
      </c>
      <c r="E1638" s="1" t="s">
        <v>710</v>
      </c>
      <c r="F1638" s="1" t="s">
        <v>711</v>
      </c>
      <c r="G1638" s="1" t="s">
        <v>712</v>
      </c>
      <c r="H1638" s="1" t="s">
        <v>713</v>
      </c>
      <c r="I1638" s="1" t="s">
        <v>714</v>
      </c>
      <c r="J1638" s="1" t="s">
        <v>7909</v>
      </c>
      <c r="K1638" s="1" t="s">
        <v>7910</v>
      </c>
      <c r="L1638" s="1" t="s">
        <v>4448</v>
      </c>
      <c r="M1638" s="1" t="s">
        <v>718</v>
      </c>
    </row>
    <row r="1639" customFormat="false" ht="15" hidden="false" customHeight="false" outlineLevel="0" collapsed="false">
      <c r="A1639" s="1" t="s">
        <v>7911</v>
      </c>
      <c r="B1639" s="1" t="s">
        <v>7912</v>
      </c>
      <c r="C1639" s="1" t="s">
        <v>7913</v>
      </c>
      <c r="D1639" s="2" t="n">
        <v>37448</v>
      </c>
      <c r="E1639" s="1" t="s">
        <v>710</v>
      </c>
      <c r="F1639" s="1" t="s">
        <v>711</v>
      </c>
      <c r="G1639" s="1" t="s">
        <v>722</v>
      </c>
      <c r="H1639" s="1" t="s">
        <v>713</v>
      </c>
      <c r="I1639" s="1" t="s">
        <v>714</v>
      </c>
      <c r="J1639" s="1" t="s">
        <v>7914</v>
      </c>
      <c r="K1639" s="1" t="s">
        <v>7915</v>
      </c>
      <c r="L1639" s="1" t="s">
        <v>7873</v>
      </c>
      <c r="M1639" s="1" t="s">
        <v>718</v>
      </c>
    </row>
    <row r="1640" customFormat="false" ht="15" hidden="false" customHeight="false" outlineLevel="0" collapsed="false">
      <c r="A1640" s="1" t="s">
        <v>7916</v>
      </c>
      <c r="B1640" s="1" t="s">
        <v>7917</v>
      </c>
      <c r="C1640" s="1" t="s">
        <v>1412</v>
      </c>
      <c r="D1640" s="2" t="n">
        <v>37526</v>
      </c>
      <c r="E1640" s="1" t="s">
        <v>710</v>
      </c>
      <c r="F1640" s="1" t="s">
        <v>711</v>
      </c>
      <c r="G1640" s="1" t="s">
        <v>722</v>
      </c>
      <c r="H1640" s="1" t="s">
        <v>713</v>
      </c>
      <c r="I1640" s="1" t="s">
        <v>714</v>
      </c>
      <c r="J1640" s="1" t="s">
        <v>7918</v>
      </c>
      <c r="K1640" s="1" t="s">
        <v>7919</v>
      </c>
      <c r="L1640" s="1" t="s">
        <v>1414</v>
      </c>
      <c r="M1640" s="1" t="s">
        <v>718</v>
      </c>
    </row>
    <row r="1641" customFormat="false" ht="15" hidden="false" customHeight="false" outlineLevel="0" collapsed="false">
      <c r="A1641" s="1" t="s">
        <v>7920</v>
      </c>
      <c r="B1641" s="1" t="s">
        <v>921</v>
      </c>
      <c r="C1641" s="1" t="s">
        <v>6813</v>
      </c>
      <c r="D1641" s="2" t="n">
        <v>37412</v>
      </c>
      <c r="E1641" s="1" t="s">
        <v>763</v>
      </c>
      <c r="F1641" s="1" t="s">
        <v>711</v>
      </c>
      <c r="G1641" s="1" t="s">
        <v>712</v>
      </c>
      <c r="H1641" s="1" t="s">
        <v>713</v>
      </c>
      <c r="I1641" s="1" t="s">
        <v>714</v>
      </c>
      <c r="J1641" s="1" t="s">
        <v>7921</v>
      </c>
      <c r="K1641" s="1" t="s">
        <v>7922</v>
      </c>
      <c r="L1641" s="1" t="s">
        <v>7923</v>
      </c>
      <c r="M1641" s="1" t="s">
        <v>718</v>
      </c>
    </row>
    <row r="1642" customFormat="false" ht="15" hidden="false" customHeight="false" outlineLevel="0" collapsed="false">
      <c r="A1642" s="1" t="s">
        <v>7924</v>
      </c>
      <c r="B1642" s="1" t="s">
        <v>7925</v>
      </c>
      <c r="C1642" s="1" t="s">
        <v>7926</v>
      </c>
      <c r="D1642" s="2" t="n">
        <v>37410</v>
      </c>
      <c r="E1642" s="1" t="s">
        <v>763</v>
      </c>
      <c r="F1642" s="1" t="s">
        <v>711</v>
      </c>
      <c r="G1642" s="1" t="s">
        <v>712</v>
      </c>
      <c r="H1642" s="1" t="s">
        <v>713</v>
      </c>
      <c r="I1642" s="1" t="s">
        <v>714</v>
      </c>
      <c r="J1642" s="1" t="s">
        <v>7927</v>
      </c>
      <c r="K1642" s="1" t="s">
        <v>7928</v>
      </c>
      <c r="L1642" s="1" t="s">
        <v>7929</v>
      </c>
      <c r="M1642" s="1" t="s">
        <v>718</v>
      </c>
    </row>
    <row r="1643" customFormat="false" ht="15" hidden="false" customHeight="false" outlineLevel="0" collapsed="false">
      <c r="A1643" s="1" t="s">
        <v>7930</v>
      </c>
      <c r="B1643" s="1" t="s">
        <v>7931</v>
      </c>
      <c r="C1643" s="1" t="s">
        <v>1588</v>
      </c>
      <c r="D1643" s="2" t="n">
        <v>37471</v>
      </c>
      <c r="E1643" s="1" t="s">
        <v>763</v>
      </c>
      <c r="F1643" s="1" t="s">
        <v>711</v>
      </c>
      <c r="G1643" s="1" t="s">
        <v>722</v>
      </c>
      <c r="H1643" s="1" t="s">
        <v>713</v>
      </c>
      <c r="I1643" s="1" t="s">
        <v>714</v>
      </c>
      <c r="J1643" s="1" t="s">
        <v>2889</v>
      </c>
      <c r="K1643" s="1" t="s">
        <v>7932</v>
      </c>
      <c r="L1643" s="1" t="s">
        <v>1589</v>
      </c>
      <c r="M1643" s="1" t="s">
        <v>718</v>
      </c>
    </row>
    <row r="1644" customFormat="false" ht="15" hidden="false" customHeight="false" outlineLevel="0" collapsed="false">
      <c r="A1644" s="1" t="s">
        <v>7933</v>
      </c>
      <c r="B1644" s="1" t="s">
        <v>7934</v>
      </c>
      <c r="C1644" s="1" t="s">
        <v>7935</v>
      </c>
      <c r="D1644" s="2" t="n">
        <v>37113</v>
      </c>
      <c r="E1644" s="1" t="s">
        <v>710</v>
      </c>
      <c r="F1644" s="1" t="s">
        <v>711</v>
      </c>
      <c r="G1644" s="1" t="s">
        <v>712</v>
      </c>
      <c r="H1644" s="1" t="s">
        <v>713</v>
      </c>
      <c r="I1644" s="1" t="s">
        <v>714</v>
      </c>
      <c r="J1644" s="1" t="s">
        <v>7936</v>
      </c>
      <c r="K1644" s="1" t="s">
        <v>7937</v>
      </c>
      <c r="L1644" s="1" t="s">
        <v>7938</v>
      </c>
      <c r="M1644" s="1" t="s">
        <v>718</v>
      </c>
    </row>
    <row r="1645" customFormat="false" ht="15" hidden="false" customHeight="false" outlineLevel="0" collapsed="false">
      <c r="A1645" s="1" t="s">
        <v>7939</v>
      </c>
      <c r="B1645" s="1" t="s">
        <v>7940</v>
      </c>
      <c r="C1645" s="1" t="s">
        <v>7941</v>
      </c>
      <c r="D1645" s="2" t="n">
        <v>37570</v>
      </c>
      <c r="E1645" s="1" t="s">
        <v>763</v>
      </c>
      <c r="F1645" s="1" t="s">
        <v>711</v>
      </c>
      <c r="G1645" s="1" t="s">
        <v>712</v>
      </c>
      <c r="H1645" s="1" t="s">
        <v>713</v>
      </c>
      <c r="I1645" s="1" t="s">
        <v>714</v>
      </c>
      <c r="J1645" s="1" t="s">
        <v>7942</v>
      </c>
      <c r="K1645" s="1" t="s">
        <v>7943</v>
      </c>
      <c r="L1645" s="1" t="s">
        <v>7944</v>
      </c>
      <c r="M1645" s="1" t="s">
        <v>718</v>
      </c>
    </row>
    <row r="1646" customFormat="false" ht="15" hidden="false" customHeight="false" outlineLevel="0" collapsed="false">
      <c r="A1646" s="1" t="s">
        <v>7945</v>
      </c>
      <c r="B1646" s="1" t="s">
        <v>3082</v>
      </c>
      <c r="C1646" s="1" t="s">
        <v>1059</v>
      </c>
      <c r="D1646" s="2" t="n">
        <v>37429</v>
      </c>
      <c r="E1646" s="1" t="s">
        <v>763</v>
      </c>
      <c r="F1646" s="1" t="s">
        <v>711</v>
      </c>
      <c r="G1646" s="1" t="s">
        <v>712</v>
      </c>
      <c r="H1646" s="1" t="s">
        <v>713</v>
      </c>
      <c r="I1646" s="1" t="s">
        <v>714</v>
      </c>
      <c r="J1646" s="1" t="s">
        <v>7946</v>
      </c>
      <c r="K1646" s="1" t="s">
        <v>7947</v>
      </c>
      <c r="L1646" s="1" t="s">
        <v>4880</v>
      </c>
      <c r="M1646" s="1" t="s">
        <v>718</v>
      </c>
    </row>
    <row r="1647" customFormat="false" ht="15" hidden="false" customHeight="false" outlineLevel="0" collapsed="false">
      <c r="A1647" s="1" t="s">
        <v>7948</v>
      </c>
      <c r="B1647" s="1" t="s">
        <v>7949</v>
      </c>
      <c r="C1647" s="1" t="s">
        <v>2121</v>
      </c>
      <c r="D1647" s="2" t="n">
        <v>37463</v>
      </c>
      <c r="E1647" s="1" t="s">
        <v>763</v>
      </c>
      <c r="F1647" s="1" t="s">
        <v>711</v>
      </c>
      <c r="G1647" s="1" t="s">
        <v>712</v>
      </c>
      <c r="H1647" s="1" t="s">
        <v>713</v>
      </c>
      <c r="I1647" s="1" t="s">
        <v>714</v>
      </c>
      <c r="J1647" s="1" t="s">
        <v>7950</v>
      </c>
      <c r="K1647" s="1" t="s">
        <v>7951</v>
      </c>
      <c r="L1647" s="1" t="s">
        <v>7952</v>
      </c>
      <c r="M1647" s="1" t="s">
        <v>718</v>
      </c>
    </row>
    <row r="1648" customFormat="false" ht="15" hidden="false" customHeight="false" outlineLevel="0" collapsed="false">
      <c r="A1648" s="1" t="s">
        <v>7953</v>
      </c>
      <c r="B1648" s="1" t="s">
        <v>7954</v>
      </c>
      <c r="C1648" s="1" t="s">
        <v>750</v>
      </c>
      <c r="D1648" s="2" t="n">
        <v>37390</v>
      </c>
      <c r="E1648" s="1" t="s">
        <v>763</v>
      </c>
      <c r="F1648" s="1" t="s">
        <v>711</v>
      </c>
      <c r="G1648" s="1" t="s">
        <v>722</v>
      </c>
      <c r="H1648" s="1" t="s">
        <v>713</v>
      </c>
      <c r="I1648" s="1" t="s">
        <v>714</v>
      </c>
      <c r="J1648" s="1" t="s">
        <v>7955</v>
      </c>
      <c r="K1648" s="1" t="s">
        <v>7956</v>
      </c>
      <c r="L1648" s="1" t="s">
        <v>7957</v>
      </c>
      <c r="M1648" s="1" t="s">
        <v>718</v>
      </c>
    </row>
    <row r="1649" customFormat="false" ht="15" hidden="false" customHeight="false" outlineLevel="0" collapsed="false">
      <c r="A1649" s="1" t="s">
        <v>7958</v>
      </c>
      <c r="B1649" s="1" t="s">
        <v>7959</v>
      </c>
      <c r="C1649" s="1" t="s">
        <v>7960</v>
      </c>
      <c r="D1649" s="2" t="n">
        <v>37264</v>
      </c>
      <c r="E1649" s="1" t="s">
        <v>763</v>
      </c>
      <c r="F1649" s="1" t="s">
        <v>711</v>
      </c>
      <c r="G1649" s="1" t="s">
        <v>722</v>
      </c>
      <c r="H1649" s="1" t="s">
        <v>713</v>
      </c>
      <c r="I1649" s="1" t="s">
        <v>714</v>
      </c>
      <c r="J1649" s="1" t="s">
        <v>7961</v>
      </c>
      <c r="K1649" s="1" t="s">
        <v>7962</v>
      </c>
      <c r="L1649" s="1" t="s">
        <v>7963</v>
      </c>
      <c r="M1649" s="1" t="s">
        <v>718</v>
      </c>
    </row>
    <row r="1650" customFormat="false" ht="15" hidden="false" customHeight="false" outlineLevel="0" collapsed="false">
      <c r="A1650" s="1" t="s">
        <v>7964</v>
      </c>
      <c r="B1650" s="1" t="s">
        <v>7965</v>
      </c>
      <c r="C1650" s="1" t="s">
        <v>7387</v>
      </c>
      <c r="D1650" s="2" t="n">
        <v>37537</v>
      </c>
      <c r="E1650" s="1" t="s">
        <v>710</v>
      </c>
      <c r="F1650" s="1" t="s">
        <v>711</v>
      </c>
      <c r="G1650" s="1" t="s">
        <v>722</v>
      </c>
      <c r="H1650" s="1" t="s">
        <v>713</v>
      </c>
      <c r="I1650" s="1" t="s">
        <v>714</v>
      </c>
      <c r="J1650" s="1" t="s">
        <v>7966</v>
      </c>
      <c r="K1650" s="1" t="s">
        <v>7967</v>
      </c>
      <c r="L1650" s="1" t="s">
        <v>7389</v>
      </c>
      <c r="M1650" s="1" t="s">
        <v>718</v>
      </c>
    </row>
    <row r="1651" customFormat="false" ht="15" hidden="false" customHeight="false" outlineLevel="0" collapsed="false">
      <c r="A1651" s="1" t="s">
        <v>7968</v>
      </c>
      <c r="B1651" s="1" t="s">
        <v>7969</v>
      </c>
      <c r="C1651" s="1" t="s">
        <v>7970</v>
      </c>
      <c r="D1651" s="2" t="n">
        <v>37454</v>
      </c>
      <c r="E1651" s="1" t="s">
        <v>710</v>
      </c>
      <c r="F1651" s="1" t="s">
        <v>711</v>
      </c>
      <c r="G1651" s="1" t="s">
        <v>722</v>
      </c>
      <c r="H1651" s="1" t="s">
        <v>713</v>
      </c>
      <c r="I1651" s="1" t="s">
        <v>714</v>
      </c>
      <c r="J1651" s="1" t="s">
        <v>2117</v>
      </c>
      <c r="K1651" s="1" t="s">
        <v>7971</v>
      </c>
      <c r="L1651" s="1" t="s">
        <v>7972</v>
      </c>
      <c r="M1651" s="1" t="s">
        <v>718</v>
      </c>
    </row>
    <row r="1652" customFormat="false" ht="15" hidden="false" customHeight="false" outlineLevel="0" collapsed="false">
      <c r="A1652" s="1" t="s">
        <v>7973</v>
      </c>
      <c r="B1652" s="1" t="s">
        <v>1397</v>
      </c>
      <c r="C1652" s="1" t="s">
        <v>6630</v>
      </c>
      <c r="D1652" s="2" t="n">
        <v>37559</v>
      </c>
      <c r="E1652" s="1" t="s">
        <v>710</v>
      </c>
      <c r="F1652" s="1" t="s">
        <v>711</v>
      </c>
      <c r="G1652" s="1" t="s">
        <v>712</v>
      </c>
      <c r="H1652" s="1" t="s">
        <v>713</v>
      </c>
      <c r="I1652" s="1" t="s">
        <v>714</v>
      </c>
      <c r="J1652" s="1" t="s">
        <v>7974</v>
      </c>
      <c r="K1652" s="1" t="s">
        <v>7975</v>
      </c>
      <c r="L1652" s="1" t="s">
        <v>6632</v>
      </c>
      <c r="M1652" s="1" t="s">
        <v>718</v>
      </c>
    </row>
    <row r="1653" customFormat="false" ht="15" hidden="false" customHeight="false" outlineLevel="0" collapsed="false">
      <c r="A1653" s="1" t="s">
        <v>7976</v>
      </c>
      <c r="B1653" s="1" t="s">
        <v>7977</v>
      </c>
      <c r="C1653" s="1" t="s">
        <v>6958</v>
      </c>
      <c r="D1653" s="2" t="n">
        <v>36423</v>
      </c>
      <c r="E1653" s="1" t="s">
        <v>710</v>
      </c>
      <c r="F1653" s="1" t="s">
        <v>711</v>
      </c>
      <c r="G1653" s="1" t="s">
        <v>722</v>
      </c>
      <c r="H1653" s="1" t="s">
        <v>713</v>
      </c>
      <c r="I1653" s="1" t="s">
        <v>714</v>
      </c>
      <c r="J1653" s="1" t="s">
        <v>7978</v>
      </c>
      <c r="K1653" s="1" t="s">
        <v>6960</v>
      </c>
      <c r="L1653" s="1" t="s">
        <v>5511</v>
      </c>
      <c r="M1653" s="1" t="s">
        <v>718</v>
      </c>
    </row>
    <row r="1654" customFormat="false" ht="15" hidden="false" customHeight="false" outlineLevel="0" collapsed="false">
      <c r="A1654" s="1" t="s">
        <v>7979</v>
      </c>
      <c r="B1654" s="1" t="s">
        <v>2374</v>
      </c>
      <c r="C1654" s="1" t="s">
        <v>7980</v>
      </c>
      <c r="D1654" s="2" t="n">
        <v>37487</v>
      </c>
      <c r="E1654" s="1" t="s">
        <v>710</v>
      </c>
      <c r="F1654" s="1" t="s">
        <v>711</v>
      </c>
      <c r="G1654" s="1" t="s">
        <v>722</v>
      </c>
      <c r="H1654" s="1" t="s">
        <v>713</v>
      </c>
      <c r="I1654" s="1" t="s">
        <v>714</v>
      </c>
      <c r="J1654" s="1" t="s">
        <v>7981</v>
      </c>
      <c r="K1654" s="1" t="s">
        <v>7982</v>
      </c>
      <c r="L1654" s="1" t="s">
        <v>834</v>
      </c>
      <c r="M1654" s="1" t="s">
        <v>718</v>
      </c>
    </row>
    <row r="1655" customFormat="false" ht="15" hidden="false" customHeight="false" outlineLevel="0" collapsed="false">
      <c r="A1655" s="1" t="s">
        <v>7983</v>
      </c>
      <c r="B1655" s="1" t="s">
        <v>7984</v>
      </c>
      <c r="C1655" s="1" t="s">
        <v>1353</v>
      </c>
      <c r="D1655" s="2" t="n">
        <v>37450</v>
      </c>
      <c r="E1655" s="1" t="s">
        <v>763</v>
      </c>
      <c r="F1655" s="1" t="s">
        <v>711</v>
      </c>
      <c r="G1655" s="1" t="s">
        <v>712</v>
      </c>
      <c r="H1655" s="1" t="s">
        <v>713</v>
      </c>
      <c r="I1655" s="1" t="s">
        <v>714</v>
      </c>
      <c r="J1655" s="1" t="s">
        <v>7985</v>
      </c>
      <c r="K1655" s="1" t="s">
        <v>7986</v>
      </c>
      <c r="L1655" s="1" t="s">
        <v>1354</v>
      </c>
      <c r="M1655" s="1" t="s">
        <v>718</v>
      </c>
    </row>
    <row r="1656" customFormat="false" ht="15" hidden="false" customHeight="false" outlineLevel="0" collapsed="false">
      <c r="A1656" s="1" t="s">
        <v>7987</v>
      </c>
      <c r="B1656" s="1" t="s">
        <v>7988</v>
      </c>
      <c r="C1656" s="1" t="s">
        <v>7989</v>
      </c>
      <c r="D1656" s="2" t="n">
        <v>37564</v>
      </c>
      <c r="E1656" s="1" t="s">
        <v>763</v>
      </c>
      <c r="F1656" s="1" t="s">
        <v>711</v>
      </c>
      <c r="G1656" s="1" t="s">
        <v>712</v>
      </c>
      <c r="H1656" s="1" t="s">
        <v>713</v>
      </c>
      <c r="I1656" s="1" t="s">
        <v>714</v>
      </c>
      <c r="J1656" s="1" t="s">
        <v>7990</v>
      </c>
      <c r="K1656" s="1" t="s">
        <v>716</v>
      </c>
      <c r="L1656" s="1" t="s">
        <v>7991</v>
      </c>
      <c r="M1656" s="1" t="s">
        <v>718</v>
      </c>
    </row>
    <row r="1657" customFormat="false" ht="15" hidden="false" customHeight="false" outlineLevel="0" collapsed="false">
      <c r="A1657" s="1" t="s">
        <v>7992</v>
      </c>
      <c r="B1657" s="1" t="s">
        <v>7993</v>
      </c>
      <c r="C1657" s="1" t="s">
        <v>7994</v>
      </c>
      <c r="D1657" s="2" t="n">
        <v>37347</v>
      </c>
      <c r="E1657" s="1" t="s">
        <v>763</v>
      </c>
      <c r="F1657" s="1" t="s">
        <v>711</v>
      </c>
      <c r="G1657" s="1" t="s">
        <v>722</v>
      </c>
      <c r="H1657" s="1" t="s">
        <v>713</v>
      </c>
      <c r="I1657" s="1" t="s">
        <v>714</v>
      </c>
      <c r="J1657" s="1" t="s">
        <v>7995</v>
      </c>
      <c r="K1657" s="1" t="s">
        <v>716</v>
      </c>
      <c r="L1657" s="1" t="s">
        <v>7996</v>
      </c>
      <c r="M1657" s="1" t="s">
        <v>718</v>
      </c>
    </row>
    <row r="1658" customFormat="false" ht="15" hidden="false" customHeight="false" outlineLevel="0" collapsed="false">
      <c r="A1658" s="1" t="s">
        <v>7997</v>
      </c>
      <c r="B1658" s="1" t="s">
        <v>7998</v>
      </c>
      <c r="C1658" s="1" t="s">
        <v>7999</v>
      </c>
      <c r="D1658" s="2" t="n">
        <v>36477</v>
      </c>
      <c r="E1658" s="1" t="s">
        <v>710</v>
      </c>
      <c r="F1658" s="1" t="s">
        <v>711</v>
      </c>
      <c r="G1658" s="1" t="s">
        <v>722</v>
      </c>
      <c r="H1658" s="1" t="s">
        <v>713</v>
      </c>
      <c r="I1658" s="1" t="s">
        <v>714</v>
      </c>
      <c r="J1658" s="1" t="s">
        <v>8000</v>
      </c>
      <c r="K1658" s="1" t="s">
        <v>6243</v>
      </c>
      <c r="L1658" s="1" t="s">
        <v>6244</v>
      </c>
      <c r="M1658" s="1" t="s">
        <v>718</v>
      </c>
    </row>
    <row r="1659" customFormat="false" ht="15" hidden="false" customHeight="false" outlineLevel="0" collapsed="false">
      <c r="A1659" s="1" t="s">
        <v>8001</v>
      </c>
      <c r="B1659" s="1" t="s">
        <v>8002</v>
      </c>
      <c r="C1659" s="1" t="s">
        <v>1709</v>
      </c>
      <c r="D1659" s="2" t="n">
        <v>37803</v>
      </c>
      <c r="E1659" s="1" t="s">
        <v>763</v>
      </c>
      <c r="F1659" s="1" t="s">
        <v>711</v>
      </c>
      <c r="G1659" s="1" t="s">
        <v>712</v>
      </c>
      <c r="H1659" s="1" t="s">
        <v>713</v>
      </c>
      <c r="I1659" s="1" t="s">
        <v>714</v>
      </c>
      <c r="J1659" s="1" t="s">
        <v>8003</v>
      </c>
      <c r="K1659" s="1" t="s">
        <v>8004</v>
      </c>
      <c r="L1659" s="1" t="s">
        <v>1710</v>
      </c>
      <c r="M1659" s="1" t="s">
        <v>718</v>
      </c>
    </row>
    <row r="1660" customFormat="false" ht="15" hidden="false" customHeight="false" outlineLevel="0" collapsed="false">
      <c r="A1660" s="1" t="s">
        <v>8005</v>
      </c>
      <c r="B1660" s="1" t="s">
        <v>8006</v>
      </c>
      <c r="C1660" s="1" t="s">
        <v>8007</v>
      </c>
      <c r="D1660" s="2" t="n">
        <v>37636</v>
      </c>
      <c r="E1660" s="1" t="s">
        <v>710</v>
      </c>
      <c r="F1660" s="1" t="s">
        <v>711</v>
      </c>
      <c r="G1660" s="1" t="s">
        <v>712</v>
      </c>
      <c r="H1660" s="1" t="s">
        <v>713</v>
      </c>
      <c r="I1660" s="1" t="s">
        <v>714</v>
      </c>
      <c r="J1660" s="1" t="s">
        <v>8008</v>
      </c>
      <c r="K1660" s="1" t="s">
        <v>8009</v>
      </c>
      <c r="L1660" s="1" t="s">
        <v>8010</v>
      </c>
      <c r="M1660" s="1" t="s">
        <v>718</v>
      </c>
    </row>
    <row r="1661" customFormat="false" ht="15" hidden="false" customHeight="false" outlineLevel="0" collapsed="false">
      <c r="A1661" s="1" t="s">
        <v>8011</v>
      </c>
      <c r="B1661" s="1" t="s">
        <v>8012</v>
      </c>
      <c r="C1661" s="1" t="s">
        <v>8013</v>
      </c>
      <c r="D1661" s="2" t="n">
        <v>37309</v>
      </c>
      <c r="E1661" s="1" t="s">
        <v>710</v>
      </c>
      <c r="F1661" s="1" t="s">
        <v>711</v>
      </c>
      <c r="G1661" s="1" t="s">
        <v>712</v>
      </c>
      <c r="H1661" s="1" t="s">
        <v>713</v>
      </c>
      <c r="I1661" s="1" t="s">
        <v>714</v>
      </c>
      <c r="J1661" s="1" t="s">
        <v>5211</v>
      </c>
      <c r="K1661" s="1" t="s">
        <v>716</v>
      </c>
      <c r="L1661" s="1" t="s">
        <v>8014</v>
      </c>
      <c r="M1661" s="1" t="s">
        <v>718</v>
      </c>
    </row>
    <row r="1662" customFormat="false" ht="15" hidden="false" customHeight="false" outlineLevel="0" collapsed="false">
      <c r="A1662" s="1" t="s">
        <v>8015</v>
      </c>
      <c r="B1662" s="1" t="s">
        <v>8016</v>
      </c>
      <c r="C1662" s="1" t="s">
        <v>8017</v>
      </c>
      <c r="D1662" s="2" t="n">
        <v>37475</v>
      </c>
      <c r="E1662" s="1" t="s">
        <v>763</v>
      </c>
      <c r="F1662" s="1" t="s">
        <v>711</v>
      </c>
      <c r="G1662" s="1" t="s">
        <v>712</v>
      </c>
      <c r="H1662" s="1" t="s">
        <v>713</v>
      </c>
      <c r="I1662" s="1" t="s">
        <v>714</v>
      </c>
      <c r="J1662" s="1" t="s">
        <v>8018</v>
      </c>
      <c r="K1662" s="1" t="s">
        <v>8019</v>
      </c>
      <c r="L1662" s="1" t="s">
        <v>8020</v>
      </c>
      <c r="M1662" s="1" t="s">
        <v>718</v>
      </c>
    </row>
    <row r="1663" customFormat="false" ht="15" hidden="false" customHeight="false" outlineLevel="0" collapsed="false">
      <c r="A1663" s="1" t="s">
        <v>8021</v>
      </c>
      <c r="B1663" s="1" t="s">
        <v>8022</v>
      </c>
      <c r="C1663" s="1" t="s">
        <v>8023</v>
      </c>
      <c r="D1663" s="2" t="n">
        <v>37525</v>
      </c>
      <c r="E1663" s="1" t="s">
        <v>710</v>
      </c>
      <c r="F1663" s="1" t="s">
        <v>711</v>
      </c>
      <c r="G1663" s="1" t="s">
        <v>712</v>
      </c>
      <c r="H1663" s="1" t="s">
        <v>713</v>
      </c>
      <c r="I1663" s="1" t="s">
        <v>714</v>
      </c>
      <c r="J1663" s="1" t="s">
        <v>1723</v>
      </c>
      <c r="K1663" s="1" t="s">
        <v>8024</v>
      </c>
      <c r="L1663" s="1" t="s">
        <v>4982</v>
      </c>
      <c r="M1663" s="1" t="s">
        <v>718</v>
      </c>
    </row>
    <row r="1664" customFormat="false" ht="15" hidden="false" customHeight="false" outlineLevel="0" collapsed="false">
      <c r="A1664" s="1" t="s">
        <v>8025</v>
      </c>
      <c r="B1664" s="1" t="s">
        <v>8026</v>
      </c>
      <c r="C1664" s="1" t="s">
        <v>8027</v>
      </c>
      <c r="D1664" s="2" t="n">
        <v>37503</v>
      </c>
      <c r="E1664" s="1" t="s">
        <v>710</v>
      </c>
      <c r="F1664" s="1" t="s">
        <v>711</v>
      </c>
      <c r="G1664" s="1" t="s">
        <v>712</v>
      </c>
      <c r="H1664" s="1" t="s">
        <v>713</v>
      </c>
      <c r="I1664" s="1" t="s">
        <v>714</v>
      </c>
      <c r="J1664" s="1" t="s">
        <v>8028</v>
      </c>
      <c r="K1664" s="1" t="s">
        <v>8029</v>
      </c>
      <c r="L1664" s="1" t="s">
        <v>8030</v>
      </c>
      <c r="M1664" s="1" t="s">
        <v>718</v>
      </c>
    </row>
    <row r="1665" customFormat="false" ht="15" hidden="false" customHeight="false" outlineLevel="0" collapsed="false">
      <c r="A1665" s="1" t="s">
        <v>8031</v>
      </c>
      <c r="B1665" s="1" t="s">
        <v>8032</v>
      </c>
      <c r="C1665" s="1" t="s">
        <v>8033</v>
      </c>
      <c r="D1665" s="2" t="n">
        <v>37647</v>
      </c>
      <c r="E1665" s="1" t="s">
        <v>763</v>
      </c>
      <c r="F1665" s="1" t="s">
        <v>711</v>
      </c>
      <c r="G1665" s="1" t="s">
        <v>722</v>
      </c>
      <c r="H1665" s="1" t="s">
        <v>713</v>
      </c>
      <c r="I1665" s="1" t="s">
        <v>714</v>
      </c>
      <c r="J1665" s="1" t="s">
        <v>2117</v>
      </c>
      <c r="K1665" s="1" t="s">
        <v>8034</v>
      </c>
      <c r="L1665" s="1" t="s">
        <v>5528</v>
      </c>
      <c r="M1665" s="1" t="s">
        <v>718</v>
      </c>
    </row>
    <row r="1666" customFormat="false" ht="15" hidden="false" customHeight="false" outlineLevel="0" collapsed="false">
      <c r="A1666" s="1" t="s">
        <v>8035</v>
      </c>
      <c r="B1666" s="1" t="s">
        <v>8036</v>
      </c>
      <c r="C1666" s="1" t="s">
        <v>8037</v>
      </c>
      <c r="D1666" s="2" t="n">
        <v>37280</v>
      </c>
      <c r="E1666" s="1" t="s">
        <v>710</v>
      </c>
      <c r="F1666" s="1" t="s">
        <v>711</v>
      </c>
      <c r="G1666" s="1" t="s">
        <v>712</v>
      </c>
      <c r="H1666" s="1" t="s">
        <v>713</v>
      </c>
      <c r="I1666" s="1" t="s">
        <v>714</v>
      </c>
      <c r="J1666" s="1" t="s">
        <v>8038</v>
      </c>
      <c r="K1666" s="1" t="s">
        <v>716</v>
      </c>
      <c r="L1666" s="1" t="s">
        <v>8039</v>
      </c>
      <c r="M1666" s="1" t="s">
        <v>718</v>
      </c>
    </row>
    <row r="1667" customFormat="false" ht="15" hidden="false" customHeight="false" outlineLevel="0" collapsed="false">
      <c r="A1667" s="1" t="s">
        <v>8040</v>
      </c>
      <c r="B1667" s="1" t="s">
        <v>8041</v>
      </c>
      <c r="C1667" s="1" t="s">
        <v>1122</v>
      </c>
      <c r="D1667" s="2" t="n">
        <v>37301</v>
      </c>
      <c r="E1667" s="1" t="s">
        <v>710</v>
      </c>
      <c r="F1667" s="1" t="s">
        <v>711</v>
      </c>
      <c r="G1667" s="1" t="s">
        <v>712</v>
      </c>
      <c r="H1667" s="1" t="s">
        <v>713</v>
      </c>
      <c r="I1667" s="1" t="s">
        <v>714</v>
      </c>
      <c r="J1667" s="1" t="s">
        <v>8042</v>
      </c>
      <c r="K1667" s="1" t="s">
        <v>8043</v>
      </c>
      <c r="L1667" s="1" t="s">
        <v>1987</v>
      </c>
      <c r="M1667" s="1" t="s">
        <v>718</v>
      </c>
    </row>
    <row r="1668" customFormat="false" ht="15" hidden="false" customHeight="false" outlineLevel="0" collapsed="false">
      <c r="A1668" s="1" t="s">
        <v>8044</v>
      </c>
      <c r="B1668" s="1" t="s">
        <v>8045</v>
      </c>
      <c r="C1668" s="1" t="s">
        <v>5373</v>
      </c>
      <c r="D1668" s="2" t="n">
        <v>37636</v>
      </c>
      <c r="E1668" s="1" t="s">
        <v>763</v>
      </c>
      <c r="F1668" s="1" t="s">
        <v>711</v>
      </c>
      <c r="G1668" s="1" t="s">
        <v>722</v>
      </c>
      <c r="H1668" s="1" t="s">
        <v>713</v>
      </c>
      <c r="I1668" s="1" t="s">
        <v>714</v>
      </c>
      <c r="J1668" s="1" t="s">
        <v>8046</v>
      </c>
      <c r="K1668" s="1" t="s">
        <v>8047</v>
      </c>
      <c r="L1668" s="1" t="s">
        <v>5375</v>
      </c>
      <c r="M1668" s="1" t="s">
        <v>718</v>
      </c>
    </row>
    <row r="1669" customFormat="false" ht="15" hidden="false" customHeight="false" outlineLevel="0" collapsed="false">
      <c r="A1669" s="1" t="s">
        <v>8048</v>
      </c>
      <c r="B1669" s="1" t="s">
        <v>1636</v>
      </c>
      <c r="C1669" s="1" t="s">
        <v>8049</v>
      </c>
      <c r="D1669" s="2" t="n">
        <v>37783</v>
      </c>
      <c r="E1669" s="1" t="s">
        <v>710</v>
      </c>
      <c r="F1669" s="1" t="s">
        <v>711</v>
      </c>
      <c r="G1669" s="1" t="s">
        <v>712</v>
      </c>
      <c r="H1669" s="1" t="s">
        <v>713</v>
      </c>
      <c r="I1669" s="1" t="s">
        <v>714</v>
      </c>
      <c r="J1669" s="1" t="s">
        <v>6220</v>
      </c>
      <c r="K1669" s="1" t="s">
        <v>8050</v>
      </c>
      <c r="L1669" s="1" t="s">
        <v>8051</v>
      </c>
      <c r="M1669" s="1" t="s">
        <v>718</v>
      </c>
    </row>
    <row r="1670" customFormat="false" ht="15" hidden="false" customHeight="false" outlineLevel="0" collapsed="false">
      <c r="A1670" s="1" t="s">
        <v>8052</v>
      </c>
      <c r="B1670" s="1" t="s">
        <v>1129</v>
      </c>
      <c r="C1670" s="1" t="s">
        <v>8053</v>
      </c>
      <c r="D1670" s="2" t="n">
        <v>37354</v>
      </c>
      <c r="E1670" s="1" t="s">
        <v>710</v>
      </c>
      <c r="F1670" s="1" t="s">
        <v>711</v>
      </c>
      <c r="G1670" s="1" t="s">
        <v>722</v>
      </c>
      <c r="H1670" s="1" t="s">
        <v>713</v>
      </c>
      <c r="I1670" s="1" t="s">
        <v>714</v>
      </c>
      <c r="J1670" s="1" t="s">
        <v>8054</v>
      </c>
      <c r="K1670" s="1" t="s">
        <v>8055</v>
      </c>
      <c r="L1670" s="1" t="s">
        <v>8056</v>
      </c>
      <c r="M1670" s="1" t="s">
        <v>718</v>
      </c>
    </row>
    <row r="1671" customFormat="false" ht="15" hidden="false" customHeight="false" outlineLevel="0" collapsed="false">
      <c r="A1671" s="1" t="s">
        <v>8057</v>
      </c>
      <c r="B1671" s="1" t="s">
        <v>8058</v>
      </c>
      <c r="C1671" s="1" t="s">
        <v>6511</v>
      </c>
      <c r="D1671" s="2" t="n">
        <v>37239</v>
      </c>
      <c r="E1671" s="1" t="s">
        <v>710</v>
      </c>
      <c r="F1671" s="1" t="s">
        <v>711</v>
      </c>
      <c r="G1671" s="1" t="s">
        <v>722</v>
      </c>
      <c r="H1671" s="1" t="s">
        <v>713</v>
      </c>
      <c r="I1671" s="1" t="s">
        <v>714</v>
      </c>
      <c r="J1671" s="1" t="s">
        <v>8059</v>
      </c>
      <c r="K1671" s="1" t="s">
        <v>8060</v>
      </c>
      <c r="L1671" s="1" t="s">
        <v>6513</v>
      </c>
      <c r="M1671" s="1" t="s">
        <v>718</v>
      </c>
    </row>
    <row r="1672" customFormat="false" ht="15" hidden="false" customHeight="false" outlineLevel="0" collapsed="false">
      <c r="A1672" s="1" t="s">
        <v>8061</v>
      </c>
      <c r="B1672" s="1" t="s">
        <v>8062</v>
      </c>
      <c r="C1672" s="1" t="s">
        <v>8063</v>
      </c>
      <c r="D1672" s="2" t="n">
        <v>37023</v>
      </c>
      <c r="E1672" s="1" t="s">
        <v>763</v>
      </c>
      <c r="F1672" s="1" t="s">
        <v>711</v>
      </c>
      <c r="G1672" s="1" t="s">
        <v>712</v>
      </c>
      <c r="H1672" s="1" t="s">
        <v>713</v>
      </c>
      <c r="I1672" s="1" t="s">
        <v>714</v>
      </c>
      <c r="J1672" s="1" t="s">
        <v>8064</v>
      </c>
      <c r="K1672" s="1" t="s">
        <v>8065</v>
      </c>
      <c r="L1672" s="1" t="s">
        <v>8066</v>
      </c>
      <c r="M1672" s="1" t="s">
        <v>718</v>
      </c>
    </row>
    <row r="1673" customFormat="false" ht="15" hidden="false" customHeight="false" outlineLevel="0" collapsed="false">
      <c r="A1673" s="1" t="s">
        <v>8067</v>
      </c>
      <c r="B1673" s="1" t="s">
        <v>8068</v>
      </c>
      <c r="C1673" s="1" t="s">
        <v>3556</v>
      </c>
      <c r="D1673" s="2" t="n">
        <v>37297</v>
      </c>
      <c r="E1673" s="1" t="s">
        <v>710</v>
      </c>
      <c r="F1673" s="1" t="s">
        <v>711</v>
      </c>
      <c r="G1673" s="1" t="s">
        <v>722</v>
      </c>
      <c r="H1673" s="1" t="s">
        <v>713</v>
      </c>
      <c r="I1673" s="1" t="s">
        <v>714</v>
      </c>
      <c r="J1673" s="1" t="s">
        <v>8069</v>
      </c>
      <c r="K1673" s="1" t="s">
        <v>8070</v>
      </c>
      <c r="L1673" s="1" t="s">
        <v>8071</v>
      </c>
      <c r="M1673" s="1" t="s">
        <v>718</v>
      </c>
    </row>
    <row r="1674" customFormat="false" ht="15" hidden="false" customHeight="false" outlineLevel="0" collapsed="false">
      <c r="A1674" s="1" t="s">
        <v>8072</v>
      </c>
      <c r="B1674" s="1" t="s">
        <v>8073</v>
      </c>
      <c r="C1674" s="1" t="s">
        <v>8074</v>
      </c>
      <c r="D1674" s="2" t="n">
        <v>36308</v>
      </c>
      <c r="E1674" s="1" t="s">
        <v>763</v>
      </c>
      <c r="F1674" s="1" t="s">
        <v>711</v>
      </c>
      <c r="G1674" s="1" t="s">
        <v>722</v>
      </c>
      <c r="H1674" s="1" t="s">
        <v>713</v>
      </c>
      <c r="I1674" s="1" t="s">
        <v>714</v>
      </c>
      <c r="J1674" s="1" t="s">
        <v>8075</v>
      </c>
      <c r="K1674" s="1" t="s">
        <v>716</v>
      </c>
      <c r="L1674" s="1" t="s">
        <v>8076</v>
      </c>
      <c r="M1674" s="1" t="s">
        <v>718</v>
      </c>
    </row>
    <row r="1675" customFormat="false" ht="15" hidden="false" customHeight="false" outlineLevel="0" collapsed="false">
      <c r="A1675" s="1" t="s">
        <v>8077</v>
      </c>
      <c r="B1675" s="1" t="s">
        <v>8078</v>
      </c>
      <c r="C1675" s="1" t="s">
        <v>8074</v>
      </c>
      <c r="D1675" s="2" t="n">
        <v>37587</v>
      </c>
      <c r="E1675" s="1" t="s">
        <v>763</v>
      </c>
      <c r="F1675" s="1" t="s">
        <v>711</v>
      </c>
      <c r="G1675" s="1" t="s">
        <v>2094</v>
      </c>
      <c r="H1675" s="1" t="s">
        <v>713</v>
      </c>
      <c r="I1675" s="1" t="s">
        <v>714</v>
      </c>
      <c r="J1675" s="1" t="s">
        <v>8075</v>
      </c>
      <c r="K1675" s="1" t="s">
        <v>716</v>
      </c>
      <c r="L1675" s="1" t="s">
        <v>8076</v>
      </c>
      <c r="M1675" s="1" t="s">
        <v>718</v>
      </c>
    </row>
    <row r="1676" customFormat="false" ht="15" hidden="false" customHeight="false" outlineLevel="0" collapsed="false">
      <c r="A1676" s="1" t="s">
        <v>8079</v>
      </c>
      <c r="B1676" s="1" t="s">
        <v>8080</v>
      </c>
      <c r="C1676" s="1" t="s">
        <v>8081</v>
      </c>
      <c r="D1676" s="2" t="n">
        <v>37541</v>
      </c>
      <c r="E1676" s="1" t="s">
        <v>710</v>
      </c>
      <c r="F1676" s="1" t="s">
        <v>711</v>
      </c>
      <c r="G1676" s="1" t="s">
        <v>722</v>
      </c>
      <c r="H1676" s="1" t="s">
        <v>713</v>
      </c>
      <c r="I1676" s="1" t="s">
        <v>714</v>
      </c>
      <c r="J1676" s="1" t="s">
        <v>8082</v>
      </c>
      <c r="K1676" s="1" t="s">
        <v>8083</v>
      </c>
      <c r="L1676" s="1" t="s">
        <v>8084</v>
      </c>
      <c r="M1676" s="1" t="s">
        <v>718</v>
      </c>
    </row>
    <row r="1677" customFormat="false" ht="15" hidden="false" customHeight="false" outlineLevel="0" collapsed="false">
      <c r="A1677" s="1" t="s">
        <v>8085</v>
      </c>
      <c r="B1677" s="1" t="s">
        <v>8086</v>
      </c>
      <c r="C1677" s="1" t="s">
        <v>3107</v>
      </c>
      <c r="D1677" s="2" t="n">
        <v>37116</v>
      </c>
      <c r="E1677" s="1" t="s">
        <v>763</v>
      </c>
      <c r="F1677" s="1" t="s">
        <v>711</v>
      </c>
      <c r="G1677" s="1" t="s">
        <v>712</v>
      </c>
      <c r="H1677" s="1" t="s">
        <v>713</v>
      </c>
      <c r="I1677" s="1" t="s">
        <v>714</v>
      </c>
      <c r="J1677" s="1" t="s">
        <v>8087</v>
      </c>
      <c r="K1677" s="1" t="s">
        <v>8088</v>
      </c>
      <c r="L1677" s="1" t="s">
        <v>3109</v>
      </c>
      <c r="M1677" s="1" t="s">
        <v>718</v>
      </c>
    </row>
    <row r="1678" customFormat="false" ht="15" hidden="false" customHeight="false" outlineLevel="0" collapsed="false">
      <c r="A1678" s="1" t="s">
        <v>8089</v>
      </c>
      <c r="B1678" s="1" t="s">
        <v>8090</v>
      </c>
      <c r="C1678" s="1" t="s">
        <v>8091</v>
      </c>
      <c r="D1678" s="2" t="n">
        <v>37391</v>
      </c>
      <c r="E1678" s="1" t="s">
        <v>763</v>
      </c>
      <c r="F1678" s="1" t="s">
        <v>711</v>
      </c>
      <c r="G1678" s="1" t="s">
        <v>712</v>
      </c>
      <c r="H1678" s="1" t="s">
        <v>713</v>
      </c>
      <c r="I1678" s="1" t="s">
        <v>714</v>
      </c>
      <c r="J1678" s="1" t="s">
        <v>8092</v>
      </c>
      <c r="K1678" s="1" t="s">
        <v>8093</v>
      </c>
      <c r="L1678" s="1" t="s">
        <v>4936</v>
      </c>
      <c r="M1678" s="1" t="s">
        <v>718</v>
      </c>
    </row>
    <row r="1679" customFormat="false" ht="15" hidden="false" customHeight="false" outlineLevel="0" collapsed="false">
      <c r="A1679" s="1" t="s">
        <v>8094</v>
      </c>
      <c r="B1679" s="1" t="s">
        <v>8095</v>
      </c>
      <c r="C1679" s="1" t="s">
        <v>8096</v>
      </c>
      <c r="D1679" s="2" t="n">
        <v>37512</v>
      </c>
      <c r="E1679" s="1" t="s">
        <v>763</v>
      </c>
      <c r="F1679" s="1" t="s">
        <v>711</v>
      </c>
      <c r="G1679" s="1" t="s">
        <v>722</v>
      </c>
      <c r="H1679" s="1" t="s">
        <v>713</v>
      </c>
      <c r="I1679" s="1" t="s">
        <v>714</v>
      </c>
      <c r="J1679" s="1" t="s">
        <v>8097</v>
      </c>
      <c r="K1679" s="1" t="s">
        <v>8098</v>
      </c>
      <c r="L1679" s="1" t="s">
        <v>8099</v>
      </c>
      <c r="M1679" s="1" t="s">
        <v>718</v>
      </c>
    </row>
    <row r="1680" customFormat="false" ht="15" hidden="false" customHeight="false" outlineLevel="0" collapsed="false">
      <c r="A1680" s="1" t="s">
        <v>8100</v>
      </c>
      <c r="B1680" s="1" t="s">
        <v>8101</v>
      </c>
      <c r="C1680" s="1" t="s">
        <v>3017</v>
      </c>
      <c r="D1680" s="2" t="n">
        <v>37342</v>
      </c>
      <c r="E1680" s="1" t="s">
        <v>763</v>
      </c>
      <c r="F1680" s="1" t="s">
        <v>711</v>
      </c>
      <c r="G1680" s="1" t="s">
        <v>712</v>
      </c>
      <c r="H1680" s="1" t="s">
        <v>713</v>
      </c>
      <c r="I1680" s="1" t="s">
        <v>714</v>
      </c>
      <c r="J1680" s="1" t="s">
        <v>8102</v>
      </c>
      <c r="K1680" s="1" t="s">
        <v>8103</v>
      </c>
      <c r="L1680" s="1" t="s">
        <v>3019</v>
      </c>
      <c r="M1680" s="1" t="s">
        <v>718</v>
      </c>
    </row>
    <row r="1681" customFormat="false" ht="15" hidden="false" customHeight="false" outlineLevel="0" collapsed="false">
      <c r="A1681" s="1" t="s">
        <v>8104</v>
      </c>
      <c r="B1681" s="1" t="s">
        <v>8105</v>
      </c>
      <c r="C1681" s="1" t="s">
        <v>8106</v>
      </c>
      <c r="D1681" s="2" t="n">
        <v>37416</v>
      </c>
      <c r="E1681" s="1" t="s">
        <v>763</v>
      </c>
      <c r="F1681" s="1" t="s">
        <v>711</v>
      </c>
      <c r="G1681" s="1" t="s">
        <v>712</v>
      </c>
      <c r="H1681" s="1" t="s">
        <v>713</v>
      </c>
      <c r="I1681" s="1" t="s">
        <v>714</v>
      </c>
      <c r="J1681" s="1" t="s">
        <v>8107</v>
      </c>
      <c r="K1681" s="1" t="s">
        <v>8108</v>
      </c>
      <c r="L1681" s="1" t="s">
        <v>8109</v>
      </c>
      <c r="M1681" s="1" t="s">
        <v>718</v>
      </c>
    </row>
    <row r="1682" customFormat="false" ht="15" hidden="false" customHeight="false" outlineLevel="0" collapsed="false">
      <c r="A1682" s="1" t="s">
        <v>8110</v>
      </c>
      <c r="B1682" s="1" t="s">
        <v>1093</v>
      </c>
      <c r="C1682" s="1" t="s">
        <v>8111</v>
      </c>
      <c r="D1682" s="2" t="n">
        <v>37469</v>
      </c>
      <c r="E1682" s="1" t="s">
        <v>710</v>
      </c>
      <c r="F1682" s="1" t="s">
        <v>711</v>
      </c>
      <c r="G1682" s="1" t="s">
        <v>712</v>
      </c>
      <c r="H1682" s="1" t="s">
        <v>713</v>
      </c>
      <c r="I1682" s="1" t="s">
        <v>714</v>
      </c>
      <c r="J1682" s="1" t="s">
        <v>8112</v>
      </c>
      <c r="K1682" s="1" t="s">
        <v>8113</v>
      </c>
      <c r="L1682" s="1" t="s">
        <v>8114</v>
      </c>
      <c r="M1682" s="1" t="s">
        <v>718</v>
      </c>
    </row>
    <row r="1683" customFormat="false" ht="15" hidden="false" customHeight="false" outlineLevel="0" collapsed="false">
      <c r="A1683" s="1" t="s">
        <v>8115</v>
      </c>
      <c r="B1683" s="1" t="s">
        <v>8116</v>
      </c>
      <c r="C1683" s="1" t="s">
        <v>2504</v>
      </c>
      <c r="D1683" s="2" t="n">
        <v>37593</v>
      </c>
      <c r="E1683" s="1" t="s">
        <v>763</v>
      </c>
      <c r="F1683" s="1" t="s">
        <v>711</v>
      </c>
      <c r="G1683" s="1" t="s">
        <v>712</v>
      </c>
      <c r="H1683" s="1" t="s">
        <v>713</v>
      </c>
      <c r="I1683" s="1" t="s">
        <v>714</v>
      </c>
      <c r="J1683" s="1" t="s">
        <v>8117</v>
      </c>
      <c r="K1683" s="1" t="s">
        <v>716</v>
      </c>
      <c r="L1683" s="1" t="s">
        <v>8118</v>
      </c>
      <c r="M1683" s="1" t="s">
        <v>718</v>
      </c>
    </row>
    <row r="1684" customFormat="false" ht="15" hidden="false" customHeight="false" outlineLevel="0" collapsed="false">
      <c r="A1684" s="1" t="s">
        <v>8119</v>
      </c>
      <c r="B1684" s="1" t="s">
        <v>5848</v>
      </c>
      <c r="C1684" s="1" t="s">
        <v>3017</v>
      </c>
      <c r="D1684" s="2" t="n">
        <v>36453</v>
      </c>
      <c r="E1684" s="1" t="s">
        <v>710</v>
      </c>
      <c r="F1684" s="1" t="s">
        <v>711</v>
      </c>
      <c r="G1684" s="1" t="s">
        <v>722</v>
      </c>
      <c r="H1684" s="1" t="s">
        <v>713</v>
      </c>
      <c r="I1684" s="1" t="s">
        <v>714</v>
      </c>
      <c r="J1684" s="1" t="s">
        <v>2001</v>
      </c>
      <c r="K1684" s="1" t="s">
        <v>8120</v>
      </c>
      <c r="L1684" s="1" t="s">
        <v>3927</v>
      </c>
      <c r="M1684" s="1" t="s">
        <v>718</v>
      </c>
    </row>
    <row r="1685" customFormat="false" ht="15" hidden="false" customHeight="false" outlineLevel="0" collapsed="false">
      <c r="A1685" s="1" t="s">
        <v>8121</v>
      </c>
      <c r="B1685" s="1" t="s">
        <v>8122</v>
      </c>
      <c r="C1685" s="1" t="s">
        <v>2396</v>
      </c>
      <c r="D1685" s="2" t="n">
        <v>37536</v>
      </c>
      <c r="E1685" s="1" t="s">
        <v>763</v>
      </c>
      <c r="F1685" s="1" t="s">
        <v>711</v>
      </c>
      <c r="G1685" s="1" t="s">
        <v>722</v>
      </c>
      <c r="H1685" s="1" t="s">
        <v>713</v>
      </c>
      <c r="I1685" s="1" t="s">
        <v>714</v>
      </c>
      <c r="J1685" s="1" t="s">
        <v>8123</v>
      </c>
      <c r="K1685" s="1" t="s">
        <v>8124</v>
      </c>
      <c r="L1685" s="1" t="s">
        <v>2398</v>
      </c>
      <c r="M1685" s="1" t="s">
        <v>718</v>
      </c>
    </row>
    <row r="1686" customFormat="false" ht="15" hidden="false" customHeight="false" outlineLevel="0" collapsed="false">
      <c r="A1686" s="1" t="s">
        <v>8125</v>
      </c>
      <c r="B1686" s="1" t="s">
        <v>2451</v>
      </c>
      <c r="C1686" s="1" t="s">
        <v>6407</v>
      </c>
      <c r="D1686" s="2" t="n">
        <v>37326</v>
      </c>
      <c r="E1686" s="1" t="s">
        <v>710</v>
      </c>
      <c r="F1686" s="1" t="s">
        <v>711</v>
      </c>
      <c r="G1686" s="1" t="s">
        <v>712</v>
      </c>
      <c r="H1686" s="1" t="s">
        <v>713</v>
      </c>
      <c r="I1686" s="1" t="s">
        <v>714</v>
      </c>
      <c r="J1686" s="1" t="s">
        <v>8126</v>
      </c>
      <c r="K1686" s="1" t="s">
        <v>8127</v>
      </c>
      <c r="L1686" s="1" t="s">
        <v>5968</v>
      </c>
      <c r="M1686" s="1" t="s">
        <v>718</v>
      </c>
    </row>
    <row r="1687" customFormat="false" ht="15" hidden="false" customHeight="false" outlineLevel="0" collapsed="false">
      <c r="A1687" s="1" t="s">
        <v>8128</v>
      </c>
      <c r="B1687" s="1" t="s">
        <v>8129</v>
      </c>
      <c r="C1687" s="1" t="s">
        <v>5172</v>
      </c>
      <c r="D1687" s="2" t="n">
        <v>37311</v>
      </c>
      <c r="E1687" s="1" t="s">
        <v>763</v>
      </c>
      <c r="F1687" s="1" t="s">
        <v>711</v>
      </c>
      <c r="G1687" s="1" t="s">
        <v>722</v>
      </c>
      <c r="H1687" s="1" t="s">
        <v>713</v>
      </c>
      <c r="I1687" s="1" t="s">
        <v>714</v>
      </c>
      <c r="J1687" s="1" t="s">
        <v>8130</v>
      </c>
      <c r="K1687" s="1" t="s">
        <v>8131</v>
      </c>
      <c r="L1687" s="1" t="s">
        <v>5174</v>
      </c>
      <c r="M1687" s="1" t="s">
        <v>718</v>
      </c>
    </row>
    <row r="1688" customFormat="false" ht="15" hidden="false" customHeight="false" outlineLevel="0" collapsed="false">
      <c r="A1688" s="1" t="s">
        <v>8132</v>
      </c>
      <c r="B1688" s="1" t="s">
        <v>8133</v>
      </c>
      <c r="C1688" s="1" t="s">
        <v>8134</v>
      </c>
      <c r="D1688" s="2" t="n">
        <v>37616</v>
      </c>
      <c r="E1688" s="1" t="s">
        <v>763</v>
      </c>
      <c r="F1688" s="1" t="s">
        <v>711</v>
      </c>
      <c r="G1688" s="1" t="s">
        <v>722</v>
      </c>
      <c r="H1688" s="1" t="s">
        <v>713</v>
      </c>
      <c r="I1688" s="1" t="s">
        <v>714</v>
      </c>
      <c r="J1688" s="1" t="s">
        <v>1114</v>
      </c>
      <c r="K1688" s="1" t="s">
        <v>716</v>
      </c>
      <c r="L1688" s="1" t="s">
        <v>8135</v>
      </c>
      <c r="M1688" s="1" t="s">
        <v>718</v>
      </c>
    </row>
    <row r="1689" customFormat="false" ht="15" hidden="false" customHeight="false" outlineLevel="0" collapsed="false">
      <c r="A1689" s="1" t="s">
        <v>8136</v>
      </c>
      <c r="B1689" s="1" t="s">
        <v>8137</v>
      </c>
      <c r="C1689" s="1" t="s">
        <v>998</v>
      </c>
      <c r="D1689" s="2" t="n">
        <v>37515</v>
      </c>
      <c r="E1689" s="1" t="s">
        <v>710</v>
      </c>
      <c r="F1689" s="1" t="s">
        <v>711</v>
      </c>
      <c r="G1689" s="1" t="s">
        <v>712</v>
      </c>
      <c r="H1689" s="1" t="s">
        <v>713</v>
      </c>
      <c r="I1689" s="1" t="s">
        <v>714</v>
      </c>
      <c r="J1689" s="1" t="s">
        <v>1530</v>
      </c>
      <c r="K1689" s="1" t="s">
        <v>8138</v>
      </c>
      <c r="L1689" s="1" t="s">
        <v>1000</v>
      </c>
      <c r="M1689" s="1" t="s">
        <v>718</v>
      </c>
    </row>
    <row r="1690" customFormat="false" ht="15" hidden="false" customHeight="false" outlineLevel="0" collapsed="false">
      <c r="A1690" s="1" t="s">
        <v>8139</v>
      </c>
      <c r="B1690" s="1" t="s">
        <v>8140</v>
      </c>
      <c r="C1690" s="1" t="s">
        <v>2864</v>
      </c>
      <c r="D1690" s="2" t="n">
        <v>37476</v>
      </c>
      <c r="E1690" s="1" t="s">
        <v>710</v>
      </c>
      <c r="F1690" s="1" t="s">
        <v>711</v>
      </c>
      <c r="G1690" s="1" t="s">
        <v>712</v>
      </c>
      <c r="H1690" s="1" t="s">
        <v>713</v>
      </c>
      <c r="I1690" s="1" t="s">
        <v>714</v>
      </c>
      <c r="J1690" s="1" t="s">
        <v>8141</v>
      </c>
      <c r="K1690" s="1" t="s">
        <v>8142</v>
      </c>
      <c r="L1690" s="1" t="s">
        <v>2866</v>
      </c>
      <c r="M1690" s="1" t="s">
        <v>718</v>
      </c>
    </row>
    <row r="1691" customFormat="false" ht="15" hidden="false" customHeight="false" outlineLevel="0" collapsed="false">
      <c r="A1691" s="1" t="s">
        <v>8143</v>
      </c>
      <c r="B1691" s="1" t="s">
        <v>8144</v>
      </c>
      <c r="C1691" s="1" t="s">
        <v>8145</v>
      </c>
      <c r="D1691" s="2" t="n">
        <v>37720</v>
      </c>
      <c r="E1691" s="1" t="s">
        <v>763</v>
      </c>
      <c r="F1691" s="1" t="s">
        <v>711</v>
      </c>
      <c r="G1691" s="1" t="s">
        <v>712</v>
      </c>
      <c r="H1691" s="1" t="s">
        <v>713</v>
      </c>
      <c r="I1691" s="1" t="s">
        <v>714</v>
      </c>
      <c r="J1691" s="1" t="s">
        <v>8146</v>
      </c>
      <c r="K1691" s="1" t="s">
        <v>716</v>
      </c>
      <c r="L1691" s="1" t="s">
        <v>8147</v>
      </c>
      <c r="M1691" s="1" t="s">
        <v>718</v>
      </c>
    </row>
    <row r="1692" customFormat="false" ht="15" hidden="false" customHeight="false" outlineLevel="0" collapsed="false">
      <c r="A1692" s="1" t="s">
        <v>8148</v>
      </c>
      <c r="B1692" s="1" t="s">
        <v>8149</v>
      </c>
      <c r="C1692" s="1" t="s">
        <v>1734</v>
      </c>
      <c r="D1692" s="2" t="n">
        <v>37358</v>
      </c>
      <c r="E1692" s="1" t="s">
        <v>710</v>
      </c>
      <c r="F1692" s="1" t="s">
        <v>711</v>
      </c>
      <c r="G1692" s="1" t="s">
        <v>722</v>
      </c>
      <c r="H1692" s="1" t="s">
        <v>713</v>
      </c>
      <c r="I1692" s="1" t="s">
        <v>714</v>
      </c>
      <c r="J1692" s="1" t="s">
        <v>8150</v>
      </c>
      <c r="K1692" s="1" t="s">
        <v>8151</v>
      </c>
      <c r="L1692" s="1" t="s">
        <v>1735</v>
      </c>
      <c r="M1692" s="1" t="s">
        <v>718</v>
      </c>
    </row>
    <row r="1693" customFormat="false" ht="15" hidden="false" customHeight="false" outlineLevel="0" collapsed="false">
      <c r="A1693" s="1" t="s">
        <v>8152</v>
      </c>
      <c r="B1693" s="1" t="s">
        <v>8153</v>
      </c>
      <c r="C1693" s="1" t="s">
        <v>2663</v>
      </c>
      <c r="D1693" s="2" t="n">
        <v>37527</v>
      </c>
      <c r="E1693" s="1" t="s">
        <v>763</v>
      </c>
      <c r="F1693" s="1" t="s">
        <v>711</v>
      </c>
      <c r="G1693" s="1" t="s">
        <v>712</v>
      </c>
      <c r="H1693" s="1" t="s">
        <v>713</v>
      </c>
      <c r="I1693" s="1" t="s">
        <v>714</v>
      </c>
      <c r="J1693" s="1" t="s">
        <v>8154</v>
      </c>
      <c r="K1693" s="1" t="s">
        <v>8155</v>
      </c>
      <c r="L1693" s="1" t="s">
        <v>2666</v>
      </c>
      <c r="M1693" s="1" t="s">
        <v>718</v>
      </c>
    </row>
    <row r="1694" customFormat="false" ht="15" hidden="false" customHeight="false" outlineLevel="0" collapsed="false">
      <c r="A1694" s="1" t="s">
        <v>8156</v>
      </c>
      <c r="B1694" s="1" t="s">
        <v>8157</v>
      </c>
      <c r="C1694" s="1" t="s">
        <v>3061</v>
      </c>
      <c r="D1694" s="2" t="n">
        <v>37628</v>
      </c>
      <c r="E1694" s="1" t="s">
        <v>763</v>
      </c>
      <c r="F1694" s="1" t="s">
        <v>711</v>
      </c>
      <c r="G1694" s="1" t="s">
        <v>722</v>
      </c>
      <c r="H1694" s="1" t="s">
        <v>713</v>
      </c>
      <c r="I1694" s="1" t="s">
        <v>714</v>
      </c>
      <c r="J1694" s="1" t="s">
        <v>8158</v>
      </c>
      <c r="K1694" s="1" t="s">
        <v>8159</v>
      </c>
      <c r="L1694" s="1" t="s">
        <v>3064</v>
      </c>
      <c r="M1694" s="1" t="s">
        <v>718</v>
      </c>
    </row>
    <row r="1695" customFormat="false" ht="15" hidden="false" customHeight="false" outlineLevel="0" collapsed="false">
      <c r="A1695" s="1" t="s">
        <v>8160</v>
      </c>
      <c r="B1695" s="1" t="s">
        <v>8161</v>
      </c>
      <c r="C1695" s="1" t="s">
        <v>8162</v>
      </c>
      <c r="D1695" s="2" t="n">
        <v>37526</v>
      </c>
      <c r="E1695" s="1" t="s">
        <v>710</v>
      </c>
      <c r="F1695" s="1" t="s">
        <v>711</v>
      </c>
      <c r="G1695" s="1" t="s">
        <v>712</v>
      </c>
      <c r="H1695" s="1" t="s">
        <v>713</v>
      </c>
      <c r="I1695" s="1" t="s">
        <v>714</v>
      </c>
      <c r="J1695" s="1" t="s">
        <v>6196</v>
      </c>
      <c r="K1695" s="1" t="s">
        <v>8163</v>
      </c>
      <c r="L1695" s="1" t="s">
        <v>7350</v>
      </c>
      <c r="M1695" s="1" t="s">
        <v>718</v>
      </c>
    </row>
    <row r="1696" customFormat="false" ht="15" hidden="false" customHeight="false" outlineLevel="0" collapsed="false">
      <c r="A1696" s="1" t="s">
        <v>8164</v>
      </c>
      <c r="B1696" s="1" t="s">
        <v>8165</v>
      </c>
      <c r="C1696" s="1" t="s">
        <v>1234</v>
      </c>
      <c r="D1696" s="2" t="n">
        <v>37567</v>
      </c>
      <c r="E1696" s="1" t="s">
        <v>710</v>
      </c>
      <c r="F1696" s="1" t="s">
        <v>711</v>
      </c>
      <c r="G1696" s="1" t="s">
        <v>722</v>
      </c>
      <c r="H1696" s="1" t="s">
        <v>713</v>
      </c>
      <c r="I1696" s="1" t="s">
        <v>714</v>
      </c>
      <c r="J1696" s="1" t="s">
        <v>8166</v>
      </c>
      <c r="K1696" s="1" t="s">
        <v>8167</v>
      </c>
      <c r="L1696" s="1" t="s">
        <v>1236</v>
      </c>
      <c r="M1696" s="1" t="s">
        <v>718</v>
      </c>
    </row>
    <row r="1697" customFormat="false" ht="15" hidden="false" customHeight="false" outlineLevel="0" collapsed="false">
      <c r="A1697" s="1" t="s">
        <v>8168</v>
      </c>
      <c r="B1697" s="1" t="s">
        <v>8169</v>
      </c>
      <c r="C1697" s="1" t="s">
        <v>8170</v>
      </c>
      <c r="D1697" s="2" t="n">
        <v>37218</v>
      </c>
      <c r="E1697" s="1" t="s">
        <v>710</v>
      </c>
      <c r="F1697" s="1" t="s">
        <v>711</v>
      </c>
      <c r="G1697" s="1" t="s">
        <v>712</v>
      </c>
      <c r="H1697" s="1" t="s">
        <v>713</v>
      </c>
      <c r="I1697" s="1" t="s">
        <v>714</v>
      </c>
      <c r="J1697" s="1" t="s">
        <v>8171</v>
      </c>
      <c r="K1697" s="1" t="s">
        <v>8172</v>
      </c>
      <c r="L1697" s="1" t="s">
        <v>1065</v>
      </c>
      <c r="M1697" s="1" t="s">
        <v>718</v>
      </c>
    </row>
    <row r="1698" customFormat="false" ht="15" hidden="false" customHeight="false" outlineLevel="0" collapsed="false">
      <c r="A1698" s="1" t="s">
        <v>8173</v>
      </c>
      <c r="B1698" s="1" t="s">
        <v>8174</v>
      </c>
      <c r="C1698" s="1" t="s">
        <v>3656</v>
      </c>
      <c r="D1698" s="2" t="n">
        <v>37588</v>
      </c>
      <c r="E1698" s="1" t="s">
        <v>763</v>
      </c>
      <c r="F1698" s="1" t="s">
        <v>711</v>
      </c>
      <c r="G1698" s="1" t="s">
        <v>712</v>
      </c>
      <c r="H1698" s="1" t="s">
        <v>713</v>
      </c>
      <c r="I1698" s="1" t="s">
        <v>714</v>
      </c>
      <c r="J1698" s="1" t="s">
        <v>8175</v>
      </c>
      <c r="K1698" s="1" t="s">
        <v>716</v>
      </c>
      <c r="L1698" s="1" t="s">
        <v>8176</v>
      </c>
      <c r="M1698" s="1" t="s">
        <v>718</v>
      </c>
    </row>
    <row r="1699" customFormat="false" ht="15" hidden="false" customHeight="false" outlineLevel="0" collapsed="false">
      <c r="A1699" s="1" t="s">
        <v>8177</v>
      </c>
      <c r="B1699" s="1" t="s">
        <v>8178</v>
      </c>
      <c r="C1699" s="1" t="s">
        <v>8179</v>
      </c>
      <c r="D1699" s="2" t="n">
        <v>37573</v>
      </c>
      <c r="E1699" s="1" t="s">
        <v>710</v>
      </c>
      <c r="F1699" s="1" t="s">
        <v>711</v>
      </c>
      <c r="G1699" s="1" t="s">
        <v>712</v>
      </c>
      <c r="H1699" s="1" t="s">
        <v>713</v>
      </c>
      <c r="I1699" s="1" t="s">
        <v>714</v>
      </c>
      <c r="J1699" s="1" t="s">
        <v>8180</v>
      </c>
      <c r="K1699" s="1" t="s">
        <v>8181</v>
      </c>
      <c r="L1699" s="1" t="s">
        <v>8182</v>
      </c>
      <c r="M1699" s="1" t="s">
        <v>718</v>
      </c>
    </row>
    <row r="1700" customFormat="false" ht="15" hidden="false" customHeight="false" outlineLevel="0" collapsed="false">
      <c r="A1700" s="1" t="s">
        <v>8183</v>
      </c>
      <c r="B1700" s="1" t="s">
        <v>8184</v>
      </c>
      <c r="C1700" s="1" t="s">
        <v>8185</v>
      </c>
      <c r="D1700" s="2" t="n">
        <v>37453</v>
      </c>
      <c r="E1700" s="1" t="s">
        <v>763</v>
      </c>
      <c r="F1700" s="1" t="s">
        <v>711</v>
      </c>
      <c r="G1700" s="1" t="s">
        <v>712</v>
      </c>
      <c r="H1700" s="1" t="s">
        <v>713</v>
      </c>
      <c r="I1700" s="1" t="s">
        <v>714</v>
      </c>
      <c r="J1700" s="1" t="s">
        <v>8186</v>
      </c>
      <c r="K1700" s="1" t="s">
        <v>6713</v>
      </c>
      <c r="L1700" s="1" t="s">
        <v>8187</v>
      </c>
      <c r="M1700" s="1" t="s">
        <v>718</v>
      </c>
    </row>
    <row r="1701" customFormat="false" ht="15" hidden="false" customHeight="false" outlineLevel="0" collapsed="false">
      <c r="A1701" s="1" t="s">
        <v>8188</v>
      </c>
      <c r="B1701" s="1" t="s">
        <v>1175</v>
      </c>
      <c r="C1701" s="1" t="s">
        <v>8189</v>
      </c>
      <c r="D1701" s="2" t="n">
        <v>35754</v>
      </c>
      <c r="E1701" s="1" t="s">
        <v>710</v>
      </c>
      <c r="F1701" s="1" t="s">
        <v>711</v>
      </c>
      <c r="G1701" s="1" t="s">
        <v>722</v>
      </c>
      <c r="H1701" s="1" t="s">
        <v>713</v>
      </c>
      <c r="I1701" s="1" t="s">
        <v>714</v>
      </c>
      <c r="J1701" s="1" t="s">
        <v>8190</v>
      </c>
      <c r="K1701" s="1" t="s">
        <v>8191</v>
      </c>
      <c r="L1701" s="1" t="s">
        <v>6974</v>
      </c>
      <c r="M1701" s="1" t="s">
        <v>718</v>
      </c>
    </row>
    <row r="1702" customFormat="false" ht="15" hidden="false" customHeight="false" outlineLevel="0" collapsed="false">
      <c r="A1702" s="1" t="s">
        <v>8192</v>
      </c>
      <c r="B1702" s="1" t="s">
        <v>8193</v>
      </c>
      <c r="C1702" s="1" t="s">
        <v>8194</v>
      </c>
      <c r="D1702" s="2" t="n">
        <v>37374</v>
      </c>
      <c r="E1702" s="1" t="s">
        <v>763</v>
      </c>
      <c r="F1702" s="1" t="s">
        <v>711</v>
      </c>
      <c r="G1702" s="1" t="s">
        <v>712</v>
      </c>
      <c r="H1702" s="1" t="s">
        <v>713</v>
      </c>
      <c r="I1702" s="1" t="s">
        <v>714</v>
      </c>
      <c r="J1702" s="1" t="s">
        <v>8195</v>
      </c>
      <c r="K1702" s="1" t="s">
        <v>8196</v>
      </c>
      <c r="L1702" s="1" t="s">
        <v>8197</v>
      </c>
      <c r="M1702" s="1" t="s">
        <v>718</v>
      </c>
    </row>
    <row r="1703" customFormat="false" ht="15" hidden="false" customHeight="false" outlineLevel="0" collapsed="false">
      <c r="A1703" s="1" t="s">
        <v>8198</v>
      </c>
      <c r="B1703" s="1" t="s">
        <v>890</v>
      </c>
      <c r="C1703" s="1" t="s">
        <v>8199</v>
      </c>
      <c r="D1703" s="2" t="n">
        <v>37911</v>
      </c>
      <c r="E1703" s="1" t="s">
        <v>763</v>
      </c>
      <c r="F1703" s="1" t="s">
        <v>711</v>
      </c>
      <c r="G1703" s="1" t="s">
        <v>722</v>
      </c>
      <c r="H1703" s="1" t="s">
        <v>713</v>
      </c>
      <c r="I1703" s="1" t="s">
        <v>714</v>
      </c>
      <c r="J1703" s="1" t="s">
        <v>1390</v>
      </c>
      <c r="K1703" s="1" t="s">
        <v>8200</v>
      </c>
      <c r="L1703" s="1" t="s">
        <v>8201</v>
      </c>
      <c r="M1703" s="1" t="s">
        <v>718</v>
      </c>
    </row>
    <row r="1704" customFormat="false" ht="15" hidden="false" customHeight="false" outlineLevel="0" collapsed="false">
      <c r="A1704" s="1" t="s">
        <v>8202</v>
      </c>
      <c r="B1704" s="1" t="s">
        <v>8203</v>
      </c>
      <c r="C1704" s="1" t="s">
        <v>8204</v>
      </c>
      <c r="D1704" s="2" t="n">
        <v>37773</v>
      </c>
      <c r="E1704" s="1" t="s">
        <v>763</v>
      </c>
      <c r="F1704" s="1" t="s">
        <v>711</v>
      </c>
      <c r="G1704" s="1" t="s">
        <v>712</v>
      </c>
      <c r="H1704" s="1" t="s">
        <v>713</v>
      </c>
      <c r="I1704" s="1" t="s">
        <v>714</v>
      </c>
      <c r="J1704" s="1" t="s">
        <v>8205</v>
      </c>
      <c r="K1704" s="1" t="s">
        <v>716</v>
      </c>
      <c r="L1704" s="1" t="s">
        <v>8206</v>
      </c>
      <c r="M1704" s="1" t="s">
        <v>718</v>
      </c>
    </row>
    <row r="1705" customFormat="false" ht="15" hidden="false" customHeight="false" outlineLevel="0" collapsed="false">
      <c r="A1705" s="1" t="s">
        <v>8207</v>
      </c>
      <c r="B1705" s="1" t="s">
        <v>8208</v>
      </c>
      <c r="C1705" s="1" t="s">
        <v>8209</v>
      </c>
      <c r="D1705" s="2" t="n">
        <v>37347</v>
      </c>
      <c r="E1705" s="1" t="s">
        <v>710</v>
      </c>
      <c r="F1705" s="1" t="s">
        <v>711</v>
      </c>
      <c r="G1705" s="1" t="s">
        <v>722</v>
      </c>
      <c r="H1705" s="1" t="s">
        <v>713</v>
      </c>
      <c r="I1705" s="1" t="s">
        <v>714</v>
      </c>
      <c r="J1705" s="1" t="s">
        <v>8210</v>
      </c>
      <c r="K1705" s="1" t="s">
        <v>8211</v>
      </c>
      <c r="L1705" s="1" t="s">
        <v>8212</v>
      </c>
      <c r="M1705" s="1" t="s">
        <v>718</v>
      </c>
    </row>
    <row r="1706" customFormat="false" ht="15" hidden="false" customHeight="false" outlineLevel="0" collapsed="false">
      <c r="A1706" s="1" t="s">
        <v>8213</v>
      </c>
      <c r="B1706" s="1" t="s">
        <v>8214</v>
      </c>
      <c r="C1706" s="1" t="s">
        <v>3656</v>
      </c>
      <c r="D1706" s="2" t="n">
        <v>37045</v>
      </c>
      <c r="E1706" s="1" t="s">
        <v>763</v>
      </c>
      <c r="F1706" s="1" t="s">
        <v>711</v>
      </c>
      <c r="G1706" s="1" t="s">
        <v>712</v>
      </c>
      <c r="H1706" s="1" t="s">
        <v>713</v>
      </c>
      <c r="I1706" s="1" t="s">
        <v>714</v>
      </c>
      <c r="J1706" s="1" t="s">
        <v>8215</v>
      </c>
      <c r="K1706" s="1" t="s">
        <v>8216</v>
      </c>
      <c r="L1706" s="1" t="s">
        <v>8217</v>
      </c>
      <c r="M1706" s="1" t="s">
        <v>718</v>
      </c>
    </row>
    <row r="1707" customFormat="false" ht="15" hidden="false" customHeight="false" outlineLevel="0" collapsed="false">
      <c r="A1707" s="1" t="s">
        <v>8218</v>
      </c>
      <c r="B1707" s="1" t="s">
        <v>1285</v>
      </c>
      <c r="C1707" s="1" t="s">
        <v>8219</v>
      </c>
      <c r="D1707" s="2" t="n">
        <v>36959</v>
      </c>
      <c r="E1707" s="1" t="s">
        <v>710</v>
      </c>
      <c r="F1707" s="1" t="s">
        <v>711</v>
      </c>
      <c r="G1707" s="1" t="s">
        <v>712</v>
      </c>
      <c r="H1707" s="1" t="s">
        <v>713</v>
      </c>
      <c r="I1707" s="1" t="s">
        <v>714</v>
      </c>
      <c r="J1707" s="1" t="s">
        <v>8220</v>
      </c>
      <c r="K1707" s="1" t="s">
        <v>716</v>
      </c>
      <c r="L1707" s="1" t="s">
        <v>8221</v>
      </c>
      <c r="M1707" s="1" t="s">
        <v>718</v>
      </c>
    </row>
    <row r="1708" customFormat="false" ht="15" hidden="false" customHeight="false" outlineLevel="0" collapsed="false">
      <c r="A1708" s="1" t="s">
        <v>8222</v>
      </c>
      <c r="B1708" s="1" t="s">
        <v>2263</v>
      </c>
      <c r="C1708" s="1" t="s">
        <v>8223</v>
      </c>
      <c r="D1708" s="2" t="n">
        <v>37151</v>
      </c>
      <c r="E1708" s="1" t="s">
        <v>710</v>
      </c>
      <c r="F1708" s="1" t="s">
        <v>711</v>
      </c>
      <c r="G1708" s="1" t="s">
        <v>712</v>
      </c>
      <c r="H1708" s="1" t="s">
        <v>713</v>
      </c>
      <c r="I1708" s="1" t="s">
        <v>714</v>
      </c>
      <c r="J1708" s="1" t="s">
        <v>5272</v>
      </c>
      <c r="K1708" s="1" t="s">
        <v>716</v>
      </c>
      <c r="L1708" s="1" t="s">
        <v>5460</v>
      </c>
      <c r="M1708" s="1" t="s">
        <v>718</v>
      </c>
    </row>
    <row r="1709" customFormat="false" ht="15" hidden="false" customHeight="false" outlineLevel="0" collapsed="false">
      <c r="A1709" s="1" t="s">
        <v>8224</v>
      </c>
      <c r="B1709" s="1" t="s">
        <v>8225</v>
      </c>
      <c r="C1709" s="1" t="s">
        <v>2369</v>
      </c>
      <c r="D1709" s="2" t="n">
        <v>37567</v>
      </c>
      <c r="E1709" s="1" t="s">
        <v>710</v>
      </c>
      <c r="F1709" s="1" t="s">
        <v>711</v>
      </c>
      <c r="G1709" s="1" t="s">
        <v>712</v>
      </c>
      <c r="H1709" s="1" t="s">
        <v>713</v>
      </c>
      <c r="I1709" s="1" t="s">
        <v>714</v>
      </c>
      <c r="J1709" s="1" t="s">
        <v>8226</v>
      </c>
      <c r="K1709" s="1" t="s">
        <v>716</v>
      </c>
      <c r="L1709" s="1" t="s">
        <v>8227</v>
      </c>
      <c r="M1709" s="1" t="s">
        <v>718</v>
      </c>
    </row>
    <row r="1710" customFormat="false" ht="15" hidden="false" customHeight="false" outlineLevel="0" collapsed="false">
      <c r="A1710" s="1" t="s">
        <v>8228</v>
      </c>
      <c r="B1710" s="1" t="s">
        <v>8229</v>
      </c>
      <c r="C1710" s="1" t="s">
        <v>1776</v>
      </c>
      <c r="D1710" s="2" t="n">
        <v>37390</v>
      </c>
      <c r="E1710" s="1" t="s">
        <v>710</v>
      </c>
      <c r="F1710" s="1" t="s">
        <v>711</v>
      </c>
      <c r="G1710" s="1" t="s">
        <v>722</v>
      </c>
      <c r="H1710" s="1" t="s">
        <v>713</v>
      </c>
      <c r="I1710" s="1" t="s">
        <v>714</v>
      </c>
      <c r="J1710" s="1" t="s">
        <v>3274</v>
      </c>
      <c r="K1710" s="1" t="s">
        <v>8230</v>
      </c>
      <c r="L1710" s="1" t="s">
        <v>1779</v>
      </c>
      <c r="M1710" s="1" t="s">
        <v>718</v>
      </c>
    </row>
    <row r="1711" customFormat="false" ht="15" hidden="false" customHeight="false" outlineLevel="0" collapsed="false">
      <c r="A1711" s="1" t="s">
        <v>8231</v>
      </c>
      <c r="B1711" s="1" t="s">
        <v>8232</v>
      </c>
      <c r="C1711" s="1" t="s">
        <v>8233</v>
      </c>
      <c r="D1711" s="2" t="n">
        <v>37291</v>
      </c>
      <c r="E1711" s="1" t="s">
        <v>710</v>
      </c>
      <c r="F1711" s="1" t="s">
        <v>711</v>
      </c>
      <c r="G1711" s="1" t="s">
        <v>712</v>
      </c>
      <c r="H1711" s="1" t="s">
        <v>713</v>
      </c>
      <c r="I1711" s="1" t="s">
        <v>714</v>
      </c>
      <c r="J1711" s="1" t="s">
        <v>8234</v>
      </c>
      <c r="K1711" s="1" t="s">
        <v>716</v>
      </c>
      <c r="L1711" s="1" t="s">
        <v>8235</v>
      </c>
      <c r="M1711" s="1" t="s">
        <v>718</v>
      </c>
    </row>
    <row r="1712" customFormat="false" ht="15" hidden="false" customHeight="false" outlineLevel="0" collapsed="false">
      <c r="A1712" s="1" t="s">
        <v>8236</v>
      </c>
      <c r="B1712" s="1" t="s">
        <v>2688</v>
      </c>
      <c r="C1712" s="1" t="s">
        <v>8237</v>
      </c>
      <c r="D1712" s="2" t="n">
        <v>37116</v>
      </c>
      <c r="E1712" s="1" t="s">
        <v>710</v>
      </c>
      <c r="F1712" s="1" t="s">
        <v>711</v>
      </c>
      <c r="G1712" s="1" t="s">
        <v>722</v>
      </c>
      <c r="H1712" s="1" t="s">
        <v>713</v>
      </c>
      <c r="I1712" s="1" t="s">
        <v>714</v>
      </c>
      <c r="J1712" s="1" t="s">
        <v>8238</v>
      </c>
      <c r="K1712" s="1" t="s">
        <v>8239</v>
      </c>
      <c r="L1712" s="1" t="s">
        <v>8240</v>
      </c>
      <c r="M1712" s="1" t="s">
        <v>718</v>
      </c>
    </row>
    <row r="1713" customFormat="false" ht="15" hidden="false" customHeight="false" outlineLevel="0" collapsed="false">
      <c r="A1713" s="1" t="s">
        <v>8241</v>
      </c>
      <c r="B1713" s="1" t="s">
        <v>8242</v>
      </c>
      <c r="C1713" s="1" t="s">
        <v>8243</v>
      </c>
      <c r="D1713" s="2" t="n">
        <v>37401</v>
      </c>
      <c r="E1713" s="1" t="s">
        <v>710</v>
      </c>
      <c r="F1713" s="1" t="s">
        <v>711</v>
      </c>
      <c r="G1713" s="1" t="s">
        <v>722</v>
      </c>
      <c r="H1713" s="1" t="s">
        <v>713</v>
      </c>
      <c r="I1713" s="1" t="s">
        <v>714</v>
      </c>
      <c r="J1713" s="1" t="s">
        <v>6876</v>
      </c>
      <c r="K1713" s="1" t="s">
        <v>716</v>
      </c>
      <c r="L1713" s="1" t="s">
        <v>8244</v>
      </c>
      <c r="M1713" s="1" t="s">
        <v>718</v>
      </c>
    </row>
    <row r="1714" customFormat="false" ht="15" hidden="false" customHeight="false" outlineLevel="0" collapsed="false">
      <c r="A1714" s="1" t="s">
        <v>8245</v>
      </c>
      <c r="B1714" s="1" t="s">
        <v>8246</v>
      </c>
      <c r="C1714" s="1" t="s">
        <v>1795</v>
      </c>
      <c r="D1714" s="2" t="n">
        <v>37672</v>
      </c>
      <c r="E1714" s="1" t="s">
        <v>710</v>
      </c>
      <c r="F1714" s="1" t="s">
        <v>711</v>
      </c>
      <c r="G1714" s="1" t="s">
        <v>712</v>
      </c>
      <c r="H1714" s="1" t="s">
        <v>713</v>
      </c>
      <c r="I1714" s="1" t="s">
        <v>714</v>
      </c>
      <c r="J1714" s="1" t="s">
        <v>8247</v>
      </c>
      <c r="K1714" s="1" t="s">
        <v>8248</v>
      </c>
      <c r="L1714" s="1" t="s">
        <v>8249</v>
      </c>
      <c r="M1714" s="1" t="s">
        <v>718</v>
      </c>
    </row>
    <row r="1715" customFormat="false" ht="15" hidden="false" customHeight="false" outlineLevel="0" collapsed="false">
      <c r="A1715" s="1" t="s">
        <v>8250</v>
      </c>
      <c r="B1715" s="1" t="s">
        <v>8251</v>
      </c>
      <c r="C1715" s="1" t="s">
        <v>2698</v>
      </c>
      <c r="D1715" s="2" t="n">
        <v>37549</v>
      </c>
      <c r="E1715" s="1" t="s">
        <v>763</v>
      </c>
      <c r="F1715" s="1" t="s">
        <v>711</v>
      </c>
      <c r="G1715" s="1" t="s">
        <v>722</v>
      </c>
      <c r="H1715" s="1" t="s">
        <v>713</v>
      </c>
      <c r="I1715" s="1" t="s">
        <v>714</v>
      </c>
      <c r="J1715" s="1" t="s">
        <v>8252</v>
      </c>
      <c r="K1715" s="1" t="s">
        <v>8253</v>
      </c>
      <c r="L1715" s="1" t="s">
        <v>2700</v>
      </c>
      <c r="M1715" s="1" t="s">
        <v>718</v>
      </c>
    </row>
    <row r="1716" customFormat="false" ht="15" hidden="false" customHeight="false" outlineLevel="0" collapsed="false">
      <c r="A1716" s="1" t="s">
        <v>8254</v>
      </c>
      <c r="B1716" s="1" t="s">
        <v>8255</v>
      </c>
      <c r="C1716" s="1" t="s">
        <v>8106</v>
      </c>
      <c r="D1716" s="2" t="n">
        <v>33431</v>
      </c>
      <c r="E1716" s="1" t="s">
        <v>763</v>
      </c>
      <c r="F1716" s="1" t="s">
        <v>711</v>
      </c>
      <c r="G1716" s="1" t="s">
        <v>712</v>
      </c>
      <c r="H1716" s="1" t="s">
        <v>713</v>
      </c>
      <c r="I1716" s="1" t="s">
        <v>714</v>
      </c>
      <c r="J1716" s="1" t="s">
        <v>716</v>
      </c>
      <c r="K1716" s="1" t="s">
        <v>716</v>
      </c>
      <c r="L1716" s="1" t="s">
        <v>834</v>
      </c>
      <c r="M1716" s="1" t="s">
        <v>718</v>
      </c>
    </row>
    <row r="1717" customFormat="false" ht="15" hidden="false" customHeight="false" outlineLevel="0" collapsed="false">
      <c r="A1717" s="1" t="s">
        <v>8256</v>
      </c>
      <c r="B1717" s="1" t="s">
        <v>8257</v>
      </c>
      <c r="C1717" s="1" t="s">
        <v>958</v>
      </c>
      <c r="D1717" s="2" t="n">
        <v>33960</v>
      </c>
      <c r="E1717" s="1" t="s">
        <v>710</v>
      </c>
      <c r="F1717" s="1" t="s">
        <v>711</v>
      </c>
      <c r="G1717" s="1" t="s">
        <v>722</v>
      </c>
      <c r="H1717" s="1" t="s">
        <v>713</v>
      </c>
      <c r="I1717" s="1" t="s">
        <v>714</v>
      </c>
      <c r="J1717" s="1" t="s">
        <v>7653</v>
      </c>
      <c r="K1717" s="1" t="s">
        <v>7653</v>
      </c>
      <c r="L1717" s="1" t="s">
        <v>834</v>
      </c>
      <c r="M1717" s="1" t="s">
        <v>718</v>
      </c>
    </row>
    <row r="1718" customFormat="false" ht="15" hidden="false" customHeight="false" outlineLevel="0" collapsed="false">
      <c r="A1718" s="1" t="s">
        <v>8258</v>
      </c>
      <c r="B1718" s="1" t="s">
        <v>8259</v>
      </c>
      <c r="C1718" s="1" t="s">
        <v>8260</v>
      </c>
      <c r="D1718" s="2" t="n">
        <v>37577</v>
      </c>
      <c r="E1718" s="1" t="s">
        <v>710</v>
      </c>
      <c r="F1718" s="1" t="s">
        <v>711</v>
      </c>
      <c r="G1718" s="1" t="s">
        <v>712</v>
      </c>
      <c r="H1718" s="1" t="s">
        <v>713</v>
      </c>
      <c r="I1718" s="1" t="s">
        <v>714</v>
      </c>
      <c r="J1718" s="1" t="s">
        <v>8261</v>
      </c>
      <c r="K1718" s="1" t="s">
        <v>8262</v>
      </c>
      <c r="L1718" s="1" t="s">
        <v>8263</v>
      </c>
      <c r="M1718" s="1" t="s">
        <v>718</v>
      </c>
    </row>
    <row r="1719" customFormat="false" ht="15" hidden="false" customHeight="false" outlineLevel="0" collapsed="false">
      <c r="A1719" s="1" t="s">
        <v>8264</v>
      </c>
      <c r="B1719" s="1" t="s">
        <v>8265</v>
      </c>
      <c r="C1719" s="1" t="s">
        <v>8266</v>
      </c>
      <c r="D1719" s="2" t="n">
        <v>37560</v>
      </c>
      <c r="E1719" s="1" t="s">
        <v>763</v>
      </c>
      <c r="F1719" s="1" t="s">
        <v>711</v>
      </c>
      <c r="G1719" s="1" t="s">
        <v>712</v>
      </c>
      <c r="H1719" s="1" t="s">
        <v>713</v>
      </c>
      <c r="I1719" s="1" t="s">
        <v>714</v>
      </c>
      <c r="J1719" s="1" t="s">
        <v>8267</v>
      </c>
      <c r="K1719" s="1" t="s">
        <v>8268</v>
      </c>
      <c r="L1719" s="1" t="s">
        <v>8269</v>
      </c>
      <c r="M1719" s="1" t="s">
        <v>718</v>
      </c>
    </row>
    <row r="1720" customFormat="false" ht="15" hidden="false" customHeight="false" outlineLevel="0" collapsed="false">
      <c r="A1720" s="1" t="s">
        <v>8270</v>
      </c>
      <c r="B1720" s="1" t="s">
        <v>8271</v>
      </c>
      <c r="C1720" s="1" t="s">
        <v>8272</v>
      </c>
      <c r="D1720" s="2" t="n">
        <v>37114</v>
      </c>
      <c r="E1720" s="1" t="s">
        <v>710</v>
      </c>
      <c r="F1720" s="1" t="s">
        <v>711</v>
      </c>
      <c r="G1720" s="1" t="s">
        <v>712</v>
      </c>
      <c r="H1720" s="1" t="s">
        <v>713</v>
      </c>
      <c r="I1720" s="1" t="s">
        <v>714</v>
      </c>
      <c r="J1720" s="1" t="s">
        <v>8273</v>
      </c>
      <c r="K1720" s="1" t="s">
        <v>8274</v>
      </c>
      <c r="L1720" s="1" t="s">
        <v>8275</v>
      </c>
      <c r="M1720" s="1" t="s">
        <v>718</v>
      </c>
    </row>
    <row r="1721" customFormat="false" ht="15" hidden="false" customHeight="false" outlineLevel="0" collapsed="false">
      <c r="A1721" s="1" t="s">
        <v>8276</v>
      </c>
      <c r="B1721" s="1" t="s">
        <v>8277</v>
      </c>
      <c r="C1721" s="1" t="s">
        <v>8278</v>
      </c>
      <c r="D1721" s="2" t="n">
        <v>37503</v>
      </c>
      <c r="E1721" s="1" t="s">
        <v>710</v>
      </c>
      <c r="F1721" s="1" t="s">
        <v>711</v>
      </c>
      <c r="G1721" s="1" t="s">
        <v>712</v>
      </c>
      <c r="H1721" s="1" t="s">
        <v>713</v>
      </c>
      <c r="I1721" s="1" t="s">
        <v>714</v>
      </c>
      <c r="J1721" s="1" t="s">
        <v>8279</v>
      </c>
      <c r="K1721" s="1" t="s">
        <v>8280</v>
      </c>
      <c r="L1721" s="1" t="s">
        <v>8281</v>
      </c>
      <c r="M1721" s="1" t="s">
        <v>718</v>
      </c>
    </row>
    <row r="1722" customFormat="false" ht="15" hidden="false" customHeight="false" outlineLevel="0" collapsed="false">
      <c r="A1722" s="1" t="s">
        <v>8282</v>
      </c>
      <c r="B1722" s="1" t="s">
        <v>8283</v>
      </c>
      <c r="C1722" s="1" t="s">
        <v>750</v>
      </c>
      <c r="D1722" s="2" t="n">
        <v>36761</v>
      </c>
      <c r="E1722" s="1" t="s">
        <v>710</v>
      </c>
      <c r="F1722" s="1" t="s">
        <v>711</v>
      </c>
      <c r="G1722" s="1" t="s">
        <v>722</v>
      </c>
      <c r="H1722" s="1" t="s">
        <v>713</v>
      </c>
      <c r="I1722" s="1" t="s">
        <v>714</v>
      </c>
      <c r="J1722" s="1" t="s">
        <v>8284</v>
      </c>
      <c r="K1722" s="1" t="s">
        <v>7474</v>
      </c>
      <c r="L1722" s="1" t="s">
        <v>1792</v>
      </c>
      <c r="M1722" s="1" t="s">
        <v>718</v>
      </c>
    </row>
    <row r="1723" customFormat="false" ht="15" hidden="false" customHeight="false" outlineLevel="0" collapsed="false">
      <c r="A1723" s="1" t="s">
        <v>8285</v>
      </c>
      <c r="B1723" s="1" t="s">
        <v>8286</v>
      </c>
      <c r="C1723" s="1" t="s">
        <v>8287</v>
      </c>
      <c r="D1723" s="2" t="n">
        <v>37293</v>
      </c>
      <c r="E1723" s="1" t="s">
        <v>763</v>
      </c>
      <c r="F1723" s="1" t="s">
        <v>711</v>
      </c>
      <c r="G1723" s="1" t="s">
        <v>722</v>
      </c>
      <c r="H1723" s="1" t="s">
        <v>713</v>
      </c>
      <c r="I1723" s="1" t="s">
        <v>714</v>
      </c>
      <c r="J1723" s="1" t="s">
        <v>8288</v>
      </c>
      <c r="K1723" s="1" t="s">
        <v>8289</v>
      </c>
      <c r="L1723" s="1" t="s">
        <v>8290</v>
      </c>
      <c r="M1723" s="1" t="s">
        <v>718</v>
      </c>
    </row>
    <row r="1724" customFormat="false" ht="15" hidden="false" customHeight="false" outlineLevel="0" collapsed="false">
      <c r="A1724" s="1" t="s">
        <v>8291</v>
      </c>
      <c r="B1724" s="1" t="s">
        <v>8292</v>
      </c>
      <c r="C1724" s="1" t="s">
        <v>5950</v>
      </c>
      <c r="D1724" s="2" t="n">
        <v>36639</v>
      </c>
      <c r="E1724" s="1" t="s">
        <v>763</v>
      </c>
      <c r="F1724" s="1" t="s">
        <v>711</v>
      </c>
      <c r="G1724" s="1" t="s">
        <v>712</v>
      </c>
      <c r="H1724" s="1" t="s">
        <v>713</v>
      </c>
      <c r="I1724" s="1" t="s">
        <v>714</v>
      </c>
      <c r="J1724" s="1" t="s">
        <v>8293</v>
      </c>
      <c r="K1724" s="1" t="s">
        <v>8294</v>
      </c>
      <c r="L1724" s="1" t="s">
        <v>5953</v>
      </c>
      <c r="M1724" s="1" t="s">
        <v>718</v>
      </c>
    </row>
    <row r="1725" customFormat="false" ht="15" hidden="false" customHeight="false" outlineLevel="0" collapsed="false">
      <c r="A1725" s="1" t="s">
        <v>8295</v>
      </c>
      <c r="B1725" s="1" t="s">
        <v>6067</v>
      </c>
      <c r="C1725" s="1" t="s">
        <v>8296</v>
      </c>
      <c r="D1725" s="2" t="n">
        <v>37161</v>
      </c>
      <c r="E1725" s="1" t="s">
        <v>710</v>
      </c>
      <c r="F1725" s="1" t="s">
        <v>711</v>
      </c>
      <c r="G1725" s="1" t="s">
        <v>7695</v>
      </c>
      <c r="H1725" s="1" t="s">
        <v>713</v>
      </c>
      <c r="I1725" s="1" t="s">
        <v>714</v>
      </c>
      <c r="J1725" s="1" t="s">
        <v>8297</v>
      </c>
      <c r="K1725" s="1" t="s">
        <v>7653</v>
      </c>
      <c r="L1725" s="1" t="s">
        <v>2449</v>
      </c>
      <c r="M1725" s="1" t="s">
        <v>718</v>
      </c>
    </row>
    <row r="1726" customFormat="false" ht="15" hidden="false" customHeight="false" outlineLevel="0" collapsed="false">
      <c r="A1726" s="1" t="s">
        <v>8298</v>
      </c>
      <c r="B1726" s="1" t="s">
        <v>8299</v>
      </c>
      <c r="C1726" s="1" t="s">
        <v>8300</v>
      </c>
      <c r="D1726" s="2" t="n">
        <v>35766</v>
      </c>
      <c r="E1726" s="1" t="s">
        <v>763</v>
      </c>
      <c r="F1726" s="1" t="s">
        <v>711</v>
      </c>
      <c r="G1726" s="1" t="s">
        <v>2997</v>
      </c>
      <c r="H1726" s="1" t="s">
        <v>713</v>
      </c>
      <c r="I1726" s="1" t="s">
        <v>714</v>
      </c>
      <c r="J1726" s="1" t="s">
        <v>8301</v>
      </c>
      <c r="K1726" s="1" t="s">
        <v>6732</v>
      </c>
      <c r="L1726" s="1" t="s">
        <v>2195</v>
      </c>
      <c r="M1726" s="1" t="s">
        <v>718</v>
      </c>
    </row>
    <row r="1727" customFormat="false" ht="15" hidden="false" customHeight="false" outlineLevel="0" collapsed="false">
      <c r="A1727" s="1" t="s">
        <v>8302</v>
      </c>
      <c r="B1727" s="1" t="s">
        <v>8303</v>
      </c>
      <c r="C1727" s="1" t="s">
        <v>7176</v>
      </c>
      <c r="D1727" s="2" t="n">
        <v>37440</v>
      </c>
      <c r="E1727" s="1" t="s">
        <v>763</v>
      </c>
      <c r="F1727" s="1" t="s">
        <v>711</v>
      </c>
      <c r="G1727" s="1" t="s">
        <v>722</v>
      </c>
      <c r="H1727" s="1" t="s">
        <v>713</v>
      </c>
      <c r="I1727" s="1" t="s">
        <v>714</v>
      </c>
      <c r="J1727" s="1" t="s">
        <v>8304</v>
      </c>
      <c r="K1727" s="1" t="s">
        <v>8305</v>
      </c>
      <c r="L1727" s="1" t="s">
        <v>8306</v>
      </c>
      <c r="M1727" s="1" t="s">
        <v>718</v>
      </c>
    </row>
    <row r="1728" customFormat="false" ht="15" hidden="false" customHeight="false" outlineLevel="0" collapsed="false">
      <c r="A1728" s="1" t="s">
        <v>8307</v>
      </c>
      <c r="B1728" s="1" t="s">
        <v>8308</v>
      </c>
      <c r="C1728" s="1" t="s">
        <v>1518</v>
      </c>
      <c r="D1728" s="2" t="n">
        <v>37638</v>
      </c>
      <c r="E1728" s="1" t="s">
        <v>710</v>
      </c>
      <c r="F1728" s="1" t="s">
        <v>711</v>
      </c>
      <c r="G1728" s="1" t="s">
        <v>712</v>
      </c>
      <c r="H1728" s="1" t="s">
        <v>713</v>
      </c>
      <c r="I1728" s="1" t="s">
        <v>714</v>
      </c>
      <c r="J1728" s="1" t="s">
        <v>8309</v>
      </c>
      <c r="K1728" s="1" t="s">
        <v>8310</v>
      </c>
      <c r="L1728" s="1" t="s">
        <v>5457</v>
      </c>
      <c r="M1728" s="1" t="s">
        <v>718</v>
      </c>
    </row>
    <row r="1729" customFormat="false" ht="15" hidden="false" customHeight="false" outlineLevel="0" collapsed="false">
      <c r="A1729" s="1" t="s">
        <v>8311</v>
      </c>
      <c r="B1729" s="1" t="s">
        <v>8312</v>
      </c>
      <c r="C1729" s="1" t="s">
        <v>8313</v>
      </c>
      <c r="D1729" s="2" t="n">
        <v>37610</v>
      </c>
      <c r="E1729" s="1" t="s">
        <v>763</v>
      </c>
      <c r="F1729" s="1" t="s">
        <v>711</v>
      </c>
      <c r="G1729" s="1" t="s">
        <v>712</v>
      </c>
      <c r="H1729" s="1" t="s">
        <v>713</v>
      </c>
      <c r="I1729" s="1" t="s">
        <v>714</v>
      </c>
      <c r="J1729" s="1" t="s">
        <v>8314</v>
      </c>
      <c r="K1729" s="1" t="s">
        <v>8315</v>
      </c>
      <c r="L1729" s="1" t="s">
        <v>8316</v>
      </c>
      <c r="M1729" s="1" t="s">
        <v>718</v>
      </c>
    </row>
    <row r="1730" customFormat="false" ht="15" hidden="false" customHeight="false" outlineLevel="0" collapsed="false">
      <c r="A1730" s="1" t="s">
        <v>8317</v>
      </c>
      <c r="B1730" s="1" t="s">
        <v>8318</v>
      </c>
      <c r="C1730" s="1" t="s">
        <v>2970</v>
      </c>
      <c r="D1730" s="2" t="n">
        <v>37876</v>
      </c>
      <c r="E1730" s="1" t="s">
        <v>710</v>
      </c>
      <c r="F1730" s="1" t="s">
        <v>711</v>
      </c>
      <c r="G1730" s="1" t="s">
        <v>712</v>
      </c>
      <c r="H1730" s="1" t="s">
        <v>713</v>
      </c>
      <c r="I1730" s="1" t="s">
        <v>714</v>
      </c>
      <c r="J1730" s="1" t="s">
        <v>8319</v>
      </c>
      <c r="K1730" s="1" t="s">
        <v>8320</v>
      </c>
      <c r="L1730" s="1" t="s">
        <v>8321</v>
      </c>
      <c r="M1730" s="1" t="s">
        <v>718</v>
      </c>
    </row>
    <row r="1731" customFormat="false" ht="15" hidden="false" customHeight="false" outlineLevel="0" collapsed="false">
      <c r="A1731" s="1" t="s">
        <v>8322</v>
      </c>
      <c r="B1731" s="1" t="s">
        <v>8323</v>
      </c>
      <c r="C1731" s="1" t="s">
        <v>8324</v>
      </c>
      <c r="D1731" s="2" t="n">
        <v>37532</v>
      </c>
      <c r="E1731" s="1" t="s">
        <v>763</v>
      </c>
      <c r="F1731" s="1" t="s">
        <v>711</v>
      </c>
      <c r="G1731" s="1" t="s">
        <v>712</v>
      </c>
      <c r="H1731" s="1" t="s">
        <v>713</v>
      </c>
      <c r="I1731" s="1" t="s">
        <v>714</v>
      </c>
      <c r="J1731" s="1" t="s">
        <v>8325</v>
      </c>
      <c r="K1731" s="1" t="s">
        <v>8326</v>
      </c>
      <c r="L1731" s="1" t="s">
        <v>8327</v>
      </c>
      <c r="M1731" s="1" t="s">
        <v>718</v>
      </c>
    </row>
    <row r="1732" customFormat="false" ht="15" hidden="false" customHeight="false" outlineLevel="0" collapsed="false">
      <c r="A1732" s="1" t="s">
        <v>8328</v>
      </c>
      <c r="B1732" s="1" t="s">
        <v>8329</v>
      </c>
      <c r="C1732" s="1" t="s">
        <v>1486</v>
      </c>
      <c r="D1732" s="2" t="n">
        <v>37347</v>
      </c>
      <c r="E1732" s="1" t="s">
        <v>710</v>
      </c>
      <c r="F1732" s="1" t="s">
        <v>711</v>
      </c>
      <c r="G1732" s="1" t="s">
        <v>712</v>
      </c>
      <c r="H1732" s="1" t="s">
        <v>713</v>
      </c>
      <c r="I1732" s="1" t="s">
        <v>714</v>
      </c>
      <c r="J1732" s="1" t="s">
        <v>8284</v>
      </c>
      <c r="K1732" s="1" t="s">
        <v>8330</v>
      </c>
      <c r="L1732" s="1" t="s">
        <v>8331</v>
      </c>
      <c r="M1732" s="1" t="s">
        <v>718</v>
      </c>
    </row>
    <row r="1733" customFormat="false" ht="15" hidden="false" customHeight="false" outlineLevel="0" collapsed="false">
      <c r="A1733" s="1" t="s">
        <v>8332</v>
      </c>
      <c r="B1733" s="1" t="s">
        <v>8002</v>
      </c>
      <c r="C1733" s="1" t="s">
        <v>8333</v>
      </c>
      <c r="D1733" s="2" t="n">
        <v>37412</v>
      </c>
      <c r="E1733" s="1" t="s">
        <v>763</v>
      </c>
      <c r="F1733" s="1" t="s">
        <v>711</v>
      </c>
      <c r="G1733" s="1" t="s">
        <v>722</v>
      </c>
      <c r="H1733" s="1" t="s">
        <v>713</v>
      </c>
      <c r="I1733" s="1" t="s">
        <v>714</v>
      </c>
      <c r="J1733" s="1" t="s">
        <v>8334</v>
      </c>
      <c r="K1733" s="1" t="s">
        <v>8335</v>
      </c>
      <c r="L1733" s="1" t="s">
        <v>8336</v>
      </c>
      <c r="M1733" s="1" t="s">
        <v>718</v>
      </c>
    </row>
    <row r="1734" customFormat="false" ht="15" hidden="false" customHeight="false" outlineLevel="0" collapsed="false">
      <c r="A1734" s="1" t="s">
        <v>8337</v>
      </c>
      <c r="B1734" s="1" t="s">
        <v>8338</v>
      </c>
      <c r="C1734" s="1" t="s">
        <v>8339</v>
      </c>
      <c r="D1734" s="2" t="n">
        <v>37529</v>
      </c>
      <c r="E1734" s="1" t="s">
        <v>763</v>
      </c>
      <c r="F1734" s="1" t="s">
        <v>711</v>
      </c>
      <c r="G1734" s="1" t="s">
        <v>712</v>
      </c>
      <c r="H1734" s="1" t="s">
        <v>713</v>
      </c>
      <c r="I1734" s="1" t="s">
        <v>714</v>
      </c>
      <c r="J1734" s="1" t="s">
        <v>8340</v>
      </c>
      <c r="K1734" s="1" t="s">
        <v>8341</v>
      </c>
      <c r="L1734" s="1" t="s">
        <v>8342</v>
      </c>
      <c r="M1734" s="1" t="s">
        <v>718</v>
      </c>
    </row>
    <row r="1735" customFormat="false" ht="15" hidden="false" customHeight="false" outlineLevel="0" collapsed="false">
      <c r="A1735" s="1" t="s">
        <v>8343</v>
      </c>
      <c r="B1735" s="1" t="s">
        <v>5848</v>
      </c>
      <c r="C1735" s="1" t="s">
        <v>2488</v>
      </c>
      <c r="D1735" s="2" t="n">
        <v>36950</v>
      </c>
      <c r="E1735" s="1" t="s">
        <v>710</v>
      </c>
      <c r="F1735" s="1" t="s">
        <v>711</v>
      </c>
      <c r="G1735" s="1" t="s">
        <v>722</v>
      </c>
      <c r="H1735" s="1" t="s">
        <v>713</v>
      </c>
      <c r="I1735" s="1" t="s">
        <v>714</v>
      </c>
      <c r="J1735" s="1" t="s">
        <v>8344</v>
      </c>
      <c r="K1735" s="1" t="s">
        <v>8345</v>
      </c>
      <c r="L1735" s="1" t="s">
        <v>8346</v>
      </c>
      <c r="M1735" s="1" t="s">
        <v>718</v>
      </c>
    </row>
    <row r="1736" customFormat="false" ht="15" hidden="false" customHeight="false" outlineLevel="0" collapsed="false">
      <c r="A1736" s="1" t="s">
        <v>8347</v>
      </c>
      <c r="B1736" s="1" t="s">
        <v>8348</v>
      </c>
      <c r="C1736" s="1" t="s">
        <v>750</v>
      </c>
      <c r="D1736" s="2" t="n">
        <v>37621</v>
      </c>
      <c r="E1736" s="1" t="s">
        <v>710</v>
      </c>
      <c r="F1736" s="1" t="s">
        <v>711</v>
      </c>
      <c r="G1736" s="1" t="s">
        <v>722</v>
      </c>
      <c r="H1736" s="1" t="s">
        <v>713</v>
      </c>
      <c r="I1736" s="1" t="s">
        <v>714</v>
      </c>
      <c r="J1736" s="1" t="s">
        <v>8349</v>
      </c>
      <c r="K1736" s="1" t="s">
        <v>8350</v>
      </c>
      <c r="L1736" s="1" t="s">
        <v>6979</v>
      </c>
      <c r="M1736" s="1" t="s">
        <v>718</v>
      </c>
    </row>
    <row r="1737" customFormat="false" ht="15" hidden="false" customHeight="false" outlineLevel="0" collapsed="false">
      <c r="A1737" s="1" t="s">
        <v>8351</v>
      </c>
      <c r="B1737" s="1" t="s">
        <v>8352</v>
      </c>
      <c r="C1737" s="1" t="s">
        <v>1376</v>
      </c>
      <c r="D1737" s="2" t="n">
        <v>37496</v>
      </c>
      <c r="E1737" s="1" t="s">
        <v>763</v>
      </c>
      <c r="F1737" s="1" t="s">
        <v>711</v>
      </c>
      <c r="G1737" s="1" t="s">
        <v>712</v>
      </c>
      <c r="H1737" s="1" t="s">
        <v>713</v>
      </c>
      <c r="I1737" s="1" t="s">
        <v>714</v>
      </c>
      <c r="J1737" s="1" t="s">
        <v>8284</v>
      </c>
      <c r="K1737" s="1" t="s">
        <v>8353</v>
      </c>
      <c r="L1737" s="1" t="s">
        <v>1377</v>
      </c>
      <c r="M1737" s="1" t="s">
        <v>718</v>
      </c>
    </row>
    <row r="1738" customFormat="false" ht="15" hidden="false" customHeight="false" outlineLevel="0" collapsed="false">
      <c r="A1738" s="1" t="s">
        <v>8354</v>
      </c>
      <c r="B1738" s="1" t="s">
        <v>8355</v>
      </c>
      <c r="C1738" s="1" t="s">
        <v>8356</v>
      </c>
      <c r="D1738" s="2" t="n">
        <v>37324</v>
      </c>
      <c r="E1738" s="1" t="s">
        <v>710</v>
      </c>
      <c r="F1738" s="1" t="s">
        <v>711</v>
      </c>
      <c r="G1738" s="1" t="s">
        <v>722</v>
      </c>
      <c r="H1738" s="1" t="s">
        <v>713</v>
      </c>
      <c r="I1738" s="1" t="s">
        <v>714</v>
      </c>
      <c r="J1738" s="1" t="s">
        <v>8357</v>
      </c>
      <c r="K1738" s="1" t="s">
        <v>8358</v>
      </c>
      <c r="L1738" s="1" t="s">
        <v>6160</v>
      </c>
      <c r="M1738" s="1" t="s">
        <v>718</v>
      </c>
    </row>
    <row r="1739" customFormat="false" ht="15" hidden="false" customHeight="false" outlineLevel="0" collapsed="false">
      <c r="A1739" s="1" t="s">
        <v>8359</v>
      </c>
      <c r="B1739" s="1" t="s">
        <v>8360</v>
      </c>
      <c r="C1739" s="1" t="s">
        <v>1185</v>
      </c>
      <c r="D1739" s="2" t="n">
        <v>37582</v>
      </c>
      <c r="E1739" s="1" t="s">
        <v>710</v>
      </c>
      <c r="F1739" s="1" t="s">
        <v>711</v>
      </c>
      <c r="G1739" s="1" t="s">
        <v>712</v>
      </c>
      <c r="H1739" s="1" t="s">
        <v>713</v>
      </c>
      <c r="I1739" s="1" t="s">
        <v>714</v>
      </c>
      <c r="J1739" s="1" t="s">
        <v>8293</v>
      </c>
      <c r="K1739" s="1" t="s">
        <v>8361</v>
      </c>
      <c r="L1739" s="1" t="s">
        <v>8362</v>
      </c>
      <c r="M1739" s="1" t="s">
        <v>718</v>
      </c>
    </row>
    <row r="1740" customFormat="false" ht="15" hidden="false" customHeight="false" outlineLevel="0" collapsed="false">
      <c r="A1740" s="1" t="s">
        <v>8363</v>
      </c>
      <c r="B1740" s="1" t="s">
        <v>8364</v>
      </c>
      <c r="C1740" s="1" t="s">
        <v>8365</v>
      </c>
      <c r="D1740" s="2" t="n">
        <v>37511</v>
      </c>
      <c r="E1740" s="1" t="s">
        <v>763</v>
      </c>
      <c r="F1740" s="1" t="s">
        <v>711</v>
      </c>
      <c r="G1740" s="1" t="s">
        <v>712</v>
      </c>
      <c r="H1740" s="1" t="s">
        <v>713</v>
      </c>
      <c r="I1740" s="1" t="s">
        <v>714</v>
      </c>
      <c r="J1740" s="1" t="s">
        <v>8366</v>
      </c>
      <c r="K1740" s="1" t="s">
        <v>8367</v>
      </c>
      <c r="L1740" s="1" t="s">
        <v>8368</v>
      </c>
      <c r="M1740" s="1" t="s">
        <v>718</v>
      </c>
    </row>
    <row r="1741" customFormat="false" ht="15" hidden="false" customHeight="false" outlineLevel="0" collapsed="false">
      <c r="A1741" s="1" t="s">
        <v>8369</v>
      </c>
      <c r="B1741" s="1" t="s">
        <v>8370</v>
      </c>
      <c r="C1741" s="1" t="s">
        <v>8371</v>
      </c>
      <c r="D1741" s="2" t="n">
        <v>37552</v>
      </c>
      <c r="E1741" s="1" t="s">
        <v>710</v>
      </c>
      <c r="F1741" s="1" t="s">
        <v>711</v>
      </c>
      <c r="G1741" s="1" t="s">
        <v>712</v>
      </c>
      <c r="H1741" s="1" t="s">
        <v>713</v>
      </c>
      <c r="I1741" s="1" t="s">
        <v>714</v>
      </c>
      <c r="J1741" s="1" t="s">
        <v>8293</v>
      </c>
      <c r="K1741" s="1" t="s">
        <v>8372</v>
      </c>
      <c r="L1741" s="1" t="s">
        <v>5131</v>
      </c>
      <c r="M1741" s="1" t="s">
        <v>718</v>
      </c>
    </row>
    <row r="1742" customFormat="false" ht="15" hidden="false" customHeight="false" outlineLevel="0" collapsed="false">
      <c r="A1742" s="1" t="s">
        <v>8373</v>
      </c>
      <c r="B1742" s="1" t="s">
        <v>8374</v>
      </c>
      <c r="C1742" s="1" t="s">
        <v>8375</v>
      </c>
      <c r="D1742" s="2" t="n">
        <v>37675</v>
      </c>
      <c r="E1742" s="1" t="s">
        <v>763</v>
      </c>
      <c r="F1742" s="1" t="s">
        <v>711</v>
      </c>
      <c r="G1742" s="1" t="s">
        <v>712</v>
      </c>
      <c r="H1742" s="1" t="s">
        <v>713</v>
      </c>
      <c r="I1742" s="1" t="s">
        <v>714</v>
      </c>
      <c r="J1742" s="1" t="s">
        <v>8376</v>
      </c>
      <c r="K1742" s="1" t="s">
        <v>8377</v>
      </c>
      <c r="L1742" s="1" t="s">
        <v>8378</v>
      </c>
      <c r="M1742" s="1" t="s">
        <v>718</v>
      </c>
    </row>
    <row r="1743" customFormat="false" ht="15" hidden="false" customHeight="false" outlineLevel="0" collapsed="false">
      <c r="A1743" s="1" t="s">
        <v>8379</v>
      </c>
      <c r="B1743" s="1" t="s">
        <v>8380</v>
      </c>
      <c r="C1743" s="1" t="s">
        <v>3154</v>
      </c>
      <c r="D1743" s="2" t="n">
        <v>37571</v>
      </c>
      <c r="E1743" s="1" t="s">
        <v>763</v>
      </c>
      <c r="F1743" s="1" t="s">
        <v>711</v>
      </c>
      <c r="G1743" s="1" t="s">
        <v>775</v>
      </c>
      <c r="H1743" s="1" t="s">
        <v>713</v>
      </c>
      <c r="I1743" s="1" t="s">
        <v>714</v>
      </c>
      <c r="J1743" s="1" t="s">
        <v>8381</v>
      </c>
      <c r="K1743" s="1" t="s">
        <v>7653</v>
      </c>
      <c r="L1743" s="1" t="s">
        <v>3155</v>
      </c>
      <c r="M1743" s="1" t="s">
        <v>718</v>
      </c>
    </row>
    <row r="1744" customFormat="false" ht="15" hidden="false" customHeight="false" outlineLevel="0" collapsed="false">
      <c r="A1744" s="1" t="s">
        <v>8382</v>
      </c>
      <c r="B1744" s="1" t="s">
        <v>8383</v>
      </c>
      <c r="C1744" s="1" t="s">
        <v>8384</v>
      </c>
      <c r="D1744" s="2" t="n">
        <v>37668</v>
      </c>
      <c r="E1744" s="1" t="s">
        <v>763</v>
      </c>
      <c r="F1744" s="1" t="s">
        <v>711</v>
      </c>
      <c r="G1744" s="1" t="s">
        <v>712</v>
      </c>
      <c r="H1744" s="1" t="s">
        <v>713</v>
      </c>
      <c r="I1744" s="1" t="s">
        <v>714</v>
      </c>
      <c r="J1744" s="1" t="s">
        <v>8385</v>
      </c>
      <c r="K1744" s="1" t="s">
        <v>8386</v>
      </c>
      <c r="L1744" s="1" t="s">
        <v>8387</v>
      </c>
      <c r="M1744" s="1" t="s">
        <v>718</v>
      </c>
    </row>
    <row r="1745" customFormat="false" ht="15" hidden="false" customHeight="false" outlineLevel="0" collapsed="false">
      <c r="A1745" s="1" t="s">
        <v>8388</v>
      </c>
      <c r="B1745" s="1" t="s">
        <v>5433</v>
      </c>
      <c r="C1745" s="1" t="s">
        <v>8389</v>
      </c>
      <c r="D1745" s="2" t="n">
        <v>36187</v>
      </c>
      <c r="E1745" s="1" t="s">
        <v>763</v>
      </c>
      <c r="F1745" s="1" t="s">
        <v>711</v>
      </c>
      <c r="G1745" s="1" t="s">
        <v>712</v>
      </c>
      <c r="H1745" s="1" t="s">
        <v>713</v>
      </c>
      <c r="I1745" s="1" t="s">
        <v>714</v>
      </c>
      <c r="J1745" s="1" t="s">
        <v>8390</v>
      </c>
      <c r="K1745" s="1" t="s">
        <v>7653</v>
      </c>
      <c r="L1745" s="1" t="s">
        <v>8391</v>
      </c>
      <c r="M1745" s="1" t="s">
        <v>718</v>
      </c>
    </row>
    <row r="1746" customFormat="false" ht="15" hidden="false" customHeight="false" outlineLevel="0" collapsed="false">
      <c r="A1746" s="1" t="s">
        <v>8392</v>
      </c>
      <c r="B1746" s="1" t="s">
        <v>5893</v>
      </c>
      <c r="C1746" s="1" t="s">
        <v>3789</v>
      </c>
      <c r="D1746" s="2" t="n">
        <v>37328</v>
      </c>
      <c r="E1746" s="1" t="s">
        <v>710</v>
      </c>
      <c r="F1746" s="1" t="s">
        <v>711</v>
      </c>
      <c r="G1746" s="1" t="s">
        <v>1220</v>
      </c>
      <c r="H1746" s="1" t="s">
        <v>713</v>
      </c>
      <c r="I1746" s="1" t="s">
        <v>714</v>
      </c>
      <c r="J1746" s="1" t="s">
        <v>8393</v>
      </c>
      <c r="K1746" s="1" t="s">
        <v>8394</v>
      </c>
      <c r="L1746" s="1" t="s">
        <v>3792</v>
      </c>
      <c r="M1746" s="1" t="s">
        <v>718</v>
      </c>
    </row>
    <row r="1747" customFormat="false" ht="15" hidden="false" customHeight="false" outlineLevel="0" collapsed="false">
      <c r="A1747" s="1" t="s">
        <v>8395</v>
      </c>
      <c r="B1747" s="1" t="s">
        <v>8396</v>
      </c>
      <c r="C1747" s="1" t="s">
        <v>8397</v>
      </c>
      <c r="D1747" s="2" t="n">
        <v>37376</v>
      </c>
      <c r="E1747" s="1" t="s">
        <v>763</v>
      </c>
      <c r="F1747" s="1" t="s">
        <v>711</v>
      </c>
      <c r="G1747" s="1" t="s">
        <v>712</v>
      </c>
      <c r="H1747" s="1" t="s">
        <v>713</v>
      </c>
      <c r="I1747" s="1" t="s">
        <v>714</v>
      </c>
      <c r="J1747" s="1" t="s">
        <v>8398</v>
      </c>
      <c r="K1747" s="1" t="s">
        <v>8399</v>
      </c>
      <c r="L1747" s="1" t="s">
        <v>8400</v>
      </c>
      <c r="M1747" s="1" t="s">
        <v>718</v>
      </c>
    </row>
    <row r="1748" customFormat="false" ht="15" hidden="false" customHeight="false" outlineLevel="0" collapsed="false">
      <c r="A1748" s="1" t="s">
        <v>8401</v>
      </c>
      <c r="B1748" s="1" t="s">
        <v>8402</v>
      </c>
      <c r="C1748" s="1" t="s">
        <v>8403</v>
      </c>
      <c r="D1748" s="2" t="n">
        <v>37576</v>
      </c>
      <c r="E1748" s="1" t="s">
        <v>710</v>
      </c>
      <c r="F1748" s="1" t="s">
        <v>711</v>
      </c>
      <c r="G1748" s="1" t="s">
        <v>712</v>
      </c>
      <c r="H1748" s="1" t="s">
        <v>713</v>
      </c>
      <c r="I1748" s="1" t="s">
        <v>714</v>
      </c>
      <c r="J1748" s="1" t="s">
        <v>8404</v>
      </c>
      <c r="K1748" s="1" t="s">
        <v>8405</v>
      </c>
      <c r="L1748" s="1" t="s">
        <v>8406</v>
      </c>
      <c r="M1748" s="1" t="s">
        <v>718</v>
      </c>
    </row>
    <row r="1749" customFormat="false" ht="15" hidden="false" customHeight="false" outlineLevel="0" collapsed="false">
      <c r="A1749" s="1" t="s">
        <v>8407</v>
      </c>
      <c r="B1749" s="1" t="s">
        <v>8408</v>
      </c>
      <c r="C1749" s="1" t="s">
        <v>8409</v>
      </c>
      <c r="D1749" s="2" t="n">
        <v>36735</v>
      </c>
      <c r="E1749" s="1" t="s">
        <v>763</v>
      </c>
      <c r="F1749" s="1" t="s">
        <v>711</v>
      </c>
      <c r="G1749" s="1" t="s">
        <v>2204</v>
      </c>
      <c r="H1749" s="1" t="s">
        <v>713</v>
      </c>
      <c r="I1749" s="1" t="s">
        <v>714</v>
      </c>
      <c r="J1749" s="1" t="s">
        <v>8410</v>
      </c>
      <c r="K1749" s="1" t="s">
        <v>8411</v>
      </c>
      <c r="L1749" s="1" t="s">
        <v>8412</v>
      </c>
      <c r="M1749" s="1" t="s">
        <v>718</v>
      </c>
    </row>
    <row r="1750" customFormat="false" ht="15" hidden="false" customHeight="false" outlineLevel="0" collapsed="false">
      <c r="A1750" s="1" t="s">
        <v>8413</v>
      </c>
      <c r="B1750" s="1" t="s">
        <v>8414</v>
      </c>
      <c r="C1750" s="1" t="s">
        <v>8415</v>
      </c>
      <c r="D1750" s="2" t="n">
        <v>37076</v>
      </c>
      <c r="E1750" s="1" t="s">
        <v>710</v>
      </c>
      <c r="F1750" s="1" t="s">
        <v>711</v>
      </c>
      <c r="G1750" s="1" t="s">
        <v>712</v>
      </c>
      <c r="H1750" s="1" t="s">
        <v>713</v>
      </c>
      <c r="I1750" s="1" t="s">
        <v>714</v>
      </c>
      <c r="J1750" s="1" t="s">
        <v>8416</v>
      </c>
      <c r="K1750" s="1" t="s">
        <v>8417</v>
      </c>
      <c r="L1750" s="1" t="s">
        <v>8418</v>
      </c>
      <c r="M1750" s="1" t="s">
        <v>718</v>
      </c>
    </row>
    <row r="1751" customFormat="false" ht="15" hidden="false" customHeight="false" outlineLevel="0" collapsed="false">
      <c r="A1751" s="1" t="s">
        <v>8419</v>
      </c>
      <c r="B1751" s="1" t="s">
        <v>8420</v>
      </c>
      <c r="C1751" s="1" t="s">
        <v>1968</v>
      </c>
      <c r="D1751" s="2" t="n">
        <v>37199</v>
      </c>
      <c r="E1751" s="1" t="s">
        <v>710</v>
      </c>
      <c r="F1751" s="1" t="s">
        <v>711</v>
      </c>
      <c r="G1751" s="1" t="s">
        <v>712</v>
      </c>
      <c r="H1751" s="1" t="s">
        <v>713</v>
      </c>
      <c r="I1751" s="1" t="s">
        <v>714</v>
      </c>
      <c r="J1751" s="1" t="s">
        <v>8421</v>
      </c>
      <c r="K1751" s="1" t="s">
        <v>8422</v>
      </c>
      <c r="L1751" s="1" t="s">
        <v>1970</v>
      </c>
      <c r="M1751" s="1" t="s">
        <v>718</v>
      </c>
    </row>
    <row r="1752" customFormat="false" ht="15" hidden="false" customHeight="false" outlineLevel="0" collapsed="false">
      <c r="A1752" s="1" t="s">
        <v>8423</v>
      </c>
      <c r="B1752" s="1" t="s">
        <v>8424</v>
      </c>
      <c r="C1752" s="1" t="s">
        <v>1444</v>
      </c>
      <c r="D1752" s="2" t="n">
        <v>37276</v>
      </c>
      <c r="E1752" s="1" t="s">
        <v>763</v>
      </c>
      <c r="F1752" s="1" t="s">
        <v>711</v>
      </c>
      <c r="G1752" s="1" t="s">
        <v>712</v>
      </c>
      <c r="H1752" s="1" t="s">
        <v>713</v>
      </c>
      <c r="I1752" s="1" t="s">
        <v>714</v>
      </c>
      <c r="J1752" s="1" t="s">
        <v>8416</v>
      </c>
      <c r="K1752" s="1" t="s">
        <v>8425</v>
      </c>
      <c r="L1752" s="1" t="s">
        <v>782</v>
      </c>
      <c r="M1752" s="1" t="s">
        <v>718</v>
      </c>
    </row>
    <row r="1753" customFormat="false" ht="15" hidden="false" customHeight="false" outlineLevel="0" collapsed="false">
      <c r="A1753" s="1" t="s">
        <v>8426</v>
      </c>
      <c r="B1753" s="1" t="s">
        <v>8427</v>
      </c>
      <c r="C1753" s="1" t="s">
        <v>1009</v>
      </c>
      <c r="D1753" s="2" t="n">
        <v>36613</v>
      </c>
      <c r="E1753" s="1" t="s">
        <v>710</v>
      </c>
      <c r="F1753" s="1" t="s">
        <v>711</v>
      </c>
      <c r="G1753" s="1" t="s">
        <v>722</v>
      </c>
      <c r="H1753" s="1" t="s">
        <v>713</v>
      </c>
      <c r="I1753" s="1" t="s">
        <v>714</v>
      </c>
      <c r="J1753" s="1" t="s">
        <v>8428</v>
      </c>
      <c r="K1753" s="1" t="s">
        <v>8429</v>
      </c>
      <c r="L1753" s="1" t="s">
        <v>1012</v>
      </c>
      <c r="M1753" s="1" t="s">
        <v>718</v>
      </c>
    </row>
    <row r="1754" customFormat="false" ht="15" hidden="false" customHeight="false" outlineLevel="0" collapsed="false">
      <c r="A1754" s="1" t="s">
        <v>8430</v>
      </c>
      <c r="B1754" s="1" t="s">
        <v>1716</v>
      </c>
      <c r="C1754" s="1" t="s">
        <v>2524</v>
      </c>
      <c r="D1754" s="2" t="n">
        <v>37210</v>
      </c>
      <c r="E1754" s="1" t="s">
        <v>710</v>
      </c>
      <c r="F1754" s="1" t="s">
        <v>711</v>
      </c>
      <c r="G1754" s="1" t="s">
        <v>712</v>
      </c>
      <c r="H1754" s="1" t="s">
        <v>713</v>
      </c>
      <c r="I1754" s="1" t="s">
        <v>714</v>
      </c>
      <c r="J1754" s="1" t="s">
        <v>8431</v>
      </c>
      <c r="K1754" s="1" t="s">
        <v>8432</v>
      </c>
      <c r="L1754" s="1" t="s">
        <v>2526</v>
      </c>
      <c r="M1754" s="1" t="s">
        <v>718</v>
      </c>
    </row>
    <row r="1755" customFormat="false" ht="15" hidden="false" customHeight="false" outlineLevel="0" collapsed="false">
      <c r="A1755" s="1" t="s">
        <v>8433</v>
      </c>
      <c r="B1755" s="1" t="s">
        <v>4289</v>
      </c>
      <c r="C1755" s="1" t="s">
        <v>4142</v>
      </c>
      <c r="D1755" s="2" t="n">
        <v>37374</v>
      </c>
      <c r="E1755" s="1" t="s">
        <v>710</v>
      </c>
      <c r="F1755" s="1" t="s">
        <v>711</v>
      </c>
      <c r="G1755" s="1" t="s">
        <v>712</v>
      </c>
      <c r="H1755" s="1" t="s">
        <v>713</v>
      </c>
      <c r="I1755" s="1" t="s">
        <v>714</v>
      </c>
      <c r="J1755" s="1" t="s">
        <v>8434</v>
      </c>
      <c r="K1755" s="1" t="s">
        <v>8435</v>
      </c>
      <c r="L1755" s="1" t="s">
        <v>4562</v>
      </c>
      <c r="M1755" s="1" t="s">
        <v>718</v>
      </c>
    </row>
    <row r="1756" customFormat="false" ht="15" hidden="false" customHeight="false" outlineLevel="0" collapsed="false">
      <c r="A1756" s="1" t="s">
        <v>8436</v>
      </c>
      <c r="B1756" s="1" t="s">
        <v>8090</v>
      </c>
      <c r="C1756" s="1" t="s">
        <v>7326</v>
      </c>
      <c r="D1756" s="2" t="n">
        <v>37504</v>
      </c>
      <c r="E1756" s="1" t="s">
        <v>763</v>
      </c>
      <c r="F1756" s="1" t="s">
        <v>711</v>
      </c>
      <c r="G1756" s="1" t="s">
        <v>712</v>
      </c>
      <c r="H1756" s="1" t="s">
        <v>713</v>
      </c>
      <c r="I1756" s="1" t="s">
        <v>714</v>
      </c>
      <c r="J1756" s="1" t="s">
        <v>8437</v>
      </c>
      <c r="K1756" s="1" t="s">
        <v>8438</v>
      </c>
      <c r="L1756" s="1" t="s">
        <v>8439</v>
      </c>
      <c r="M1756" s="1" t="s">
        <v>718</v>
      </c>
    </row>
    <row r="1757" customFormat="false" ht="15" hidden="false" customHeight="false" outlineLevel="0" collapsed="false">
      <c r="A1757" s="1" t="s">
        <v>8440</v>
      </c>
      <c r="B1757" s="1" t="s">
        <v>7711</v>
      </c>
      <c r="C1757" s="1" t="s">
        <v>8441</v>
      </c>
      <c r="D1757" s="2" t="n">
        <v>34336</v>
      </c>
      <c r="E1757" s="1" t="s">
        <v>710</v>
      </c>
      <c r="F1757" s="1" t="s">
        <v>711</v>
      </c>
      <c r="G1757" s="1" t="s">
        <v>722</v>
      </c>
      <c r="H1757" s="1" t="s">
        <v>713</v>
      </c>
      <c r="I1757" s="1" t="s">
        <v>714</v>
      </c>
      <c r="J1757" s="1" t="s">
        <v>7653</v>
      </c>
      <c r="K1757" s="1" t="s">
        <v>7653</v>
      </c>
      <c r="L1757" s="1" t="s">
        <v>834</v>
      </c>
      <c r="M1757" s="1" t="s">
        <v>718</v>
      </c>
    </row>
    <row r="1758" customFormat="false" ht="15" hidden="false" customHeight="false" outlineLevel="0" collapsed="false">
      <c r="A1758" s="1" t="s">
        <v>8442</v>
      </c>
      <c r="B1758" s="1" t="s">
        <v>8443</v>
      </c>
      <c r="C1758" s="1" t="s">
        <v>774</v>
      </c>
      <c r="D1758" s="2" t="n">
        <v>35360</v>
      </c>
      <c r="E1758" s="1" t="s">
        <v>710</v>
      </c>
      <c r="F1758" s="1" t="s">
        <v>711</v>
      </c>
      <c r="G1758" s="1" t="s">
        <v>722</v>
      </c>
      <c r="H1758" s="1" t="s">
        <v>713</v>
      </c>
      <c r="I1758" s="1" t="s">
        <v>714</v>
      </c>
      <c r="J1758" s="1" t="s">
        <v>7653</v>
      </c>
      <c r="K1758" s="1" t="s">
        <v>7653</v>
      </c>
      <c r="L1758" s="1" t="s">
        <v>882</v>
      </c>
      <c r="M1758" s="1" t="s">
        <v>718</v>
      </c>
    </row>
    <row r="1759" customFormat="false" ht="15" hidden="false" customHeight="false" outlineLevel="0" collapsed="false">
      <c r="A1759" s="1" t="s">
        <v>8444</v>
      </c>
      <c r="B1759" s="1" t="s">
        <v>8445</v>
      </c>
      <c r="C1759" s="1" t="s">
        <v>8446</v>
      </c>
      <c r="D1759" s="2" t="n">
        <v>36155</v>
      </c>
      <c r="E1759" s="1" t="s">
        <v>710</v>
      </c>
      <c r="F1759" s="1" t="s">
        <v>711</v>
      </c>
      <c r="G1759" s="1" t="s">
        <v>712</v>
      </c>
      <c r="H1759" s="1" t="s">
        <v>713</v>
      </c>
      <c r="I1759" s="1" t="s">
        <v>714</v>
      </c>
      <c r="J1759" s="1" t="s">
        <v>8447</v>
      </c>
      <c r="K1759" s="1" t="s">
        <v>7653</v>
      </c>
      <c r="L1759" s="1" t="s">
        <v>8448</v>
      </c>
      <c r="M1759" s="1" t="s">
        <v>718</v>
      </c>
    </row>
    <row r="1760" customFormat="false" ht="15" hidden="false" customHeight="false" outlineLevel="0" collapsed="false">
      <c r="A1760" s="1" t="s">
        <v>8449</v>
      </c>
      <c r="B1760" s="1" t="s">
        <v>8450</v>
      </c>
      <c r="C1760" s="1" t="s">
        <v>8451</v>
      </c>
      <c r="D1760" s="2" t="n">
        <v>36362</v>
      </c>
      <c r="E1760" s="1" t="s">
        <v>710</v>
      </c>
      <c r="F1760" s="1" t="s">
        <v>711</v>
      </c>
      <c r="G1760" s="1" t="s">
        <v>712</v>
      </c>
      <c r="H1760" s="1" t="s">
        <v>713</v>
      </c>
      <c r="I1760" s="1" t="s">
        <v>714</v>
      </c>
      <c r="J1760" s="1" t="s">
        <v>8452</v>
      </c>
      <c r="K1760" s="1" t="s">
        <v>8453</v>
      </c>
      <c r="L1760" s="1" t="s">
        <v>8454</v>
      </c>
      <c r="M1760" s="1" t="s">
        <v>718</v>
      </c>
    </row>
    <row r="1761" customFormat="false" ht="15" hidden="false" customHeight="false" outlineLevel="0" collapsed="false">
      <c r="A1761" s="1" t="s">
        <v>8455</v>
      </c>
      <c r="B1761" s="1" t="s">
        <v>8456</v>
      </c>
      <c r="C1761" s="1" t="s">
        <v>8457</v>
      </c>
      <c r="D1761" s="2" t="n">
        <v>36161</v>
      </c>
      <c r="E1761" s="1" t="s">
        <v>763</v>
      </c>
      <c r="F1761" s="1" t="s">
        <v>711</v>
      </c>
      <c r="G1761" s="1" t="s">
        <v>712</v>
      </c>
      <c r="H1761" s="1" t="s">
        <v>713</v>
      </c>
      <c r="I1761" s="1" t="s">
        <v>714</v>
      </c>
      <c r="J1761" s="1" t="s">
        <v>8458</v>
      </c>
      <c r="K1761" s="1" t="s">
        <v>8459</v>
      </c>
      <c r="L1761" s="1" t="s">
        <v>8460</v>
      </c>
      <c r="M1761" s="1" t="s">
        <v>718</v>
      </c>
    </row>
    <row r="1762" customFormat="false" ht="15" hidden="false" customHeight="false" outlineLevel="0" collapsed="false">
      <c r="A1762" s="1" t="s">
        <v>8461</v>
      </c>
      <c r="B1762" s="1" t="s">
        <v>8462</v>
      </c>
      <c r="C1762" s="1" t="s">
        <v>5271</v>
      </c>
      <c r="D1762" s="2" t="n">
        <v>36409</v>
      </c>
      <c r="E1762" s="1" t="s">
        <v>763</v>
      </c>
      <c r="F1762" s="1" t="s">
        <v>711</v>
      </c>
      <c r="G1762" s="1" t="s">
        <v>722</v>
      </c>
      <c r="H1762" s="1" t="s">
        <v>713</v>
      </c>
      <c r="I1762" s="1" t="s">
        <v>714</v>
      </c>
      <c r="J1762" s="1" t="s">
        <v>8463</v>
      </c>
      <c r="K1762" s="1" t="s">
        <v>8464</v>
      </c>
      <c r="L1762" s="1" t="s">
        <v>8465</v>
      </c>
      <c r="M1762" s="1" t="s">
        <v>718</v>
      </c>
    </row>
    <row r="1763" customFormat="false" ht="15" hidden="false" customHeight="false" outlineLevel="0" collapsed="false">
      <c r="A1763" s="1" t="s">
        <v>8466</v>
      </c>
      <c r="B1763" s="1" t="s">
        <v>8467</v>
      </c>
      <c r="C1763" s="1" t="s">
        <v>750</v>
      </c>
      <c r="D1763" s="2" t="n">
        <v>35962</v>
      </c>
      <c r="E1763" s="1" t="s">
        <v>763</v>
      </c>
      <c r="F1763" s="1" t="s">
        <v>711</v>
      </c>
      <c r="G1763" s="1" t="s">
        <v>722</v>
      </c>
      <c r="H1763" s="1" t="s">
        <v>713</v>
      </c>
      <c r="I1763" s="1" t="s">
        <v>714</v>
      </c>
      <c r="J1763" s="1" t="s">
        <v>8468</v>
      </c>
      <c r="K1763" s="1" t="s">
        <v>8469</v>
      </c>
      <c r="L1763" s="1" t="s">
        <v>8470</v>
      </c>
      <c r="M1763" s="1" t="s">
        <v>718</v>
      </c>
    </row>
    <row r="1764" customFormat="false" ht="15" hidden="false" customHeight="false" outlineLevel="0" collapsed="false">
      <c r="A1764" s="1" t="s">
        <v>8471</v>
      </c>
      <c r="B1764" s="1" t="s">
        <v>1614</v>
      </c>
      <c r="C1764" s="1" t="s">
        <v>8472</v>
      </c>
      <c r="D1764" s="2" t="n">
        <v>35219</v>
      </c>
      <c r="E1764" s="1" t="s">
        <v>710</v>
      </c>
      <c r="F1764" s="1" t="s">
        <v>711</v>
      </c>
      <c r="G1764" s="1" t="s">
        <v>712</v>
      </c>
      <c r="H1764" s="1" t="s">
        <v>713</v>
      </c>
      <c r="I1764" s="1" t="s">
        <v>714</v>
      </c>
      <c r="J1764" s="1" t="s">
        <v>5211</v>
      </c>
      <c r="K1764" s="1" t="s">
        <v>7653</v>
      </c>
      <c r="L1764" s="1" t="s">
        <v>834</v>
      </c>
      <c r="M1764" s="1" t="s">
        <v>718</v>
      </c>
    </row>
    <row r="1765" customFormat="false" ht="15" hidden="false" customHeight="false" outlineLevel="0" collapsed="false">
      <c r="A1765" s="1" t="s">
        <v>8473</v>
      </c>
      <c r="B1765" s="1" t="s">
        <v>8474</v>
      </c>
      <c r="C1765" s="1" t="s">
        <v>8475</v>
      </c>
      <c r="D1765" s="2" t="n">
        <v>36795</v>
      </c>
      <c r="E1765" s="1" t="s">
        <v>763</v>
      </c>
      <c r="F1765" s="1" t="s">
        <v>711</v>
      </c>
      <c r="G1765" s="1" t="s">
        <v>712</v>
      </c>
      <c r="H1765" s="1" t="s">
        <v>713</v>
      </c>
      <c r="I1765" s="1" t="s">
        <v>714</v>
      </c>
      <c r="J1765" s="1" t="s">
        <v>4239</v>
      </c>
      <c r="K1765" s="1" t="s">
        <v>8326</v>
      </c>
      <c r="L1765" s="1" t="s">
        <v>8327</v>
      </c>
      <c r="M1765" s="1" t="s">
        <v>718</v>
      </c>
    </row>
    <row r="1766" customFormat="false" ht="15" hidden="false" customHeight="false" outlineLevel="0" collapsed="false">
      <c r="A1766" s="1" t="s">
        <v>8476</v>
      </c>
      <c r="B1766" s="1" t="s">
        <v>1024</v>
      </c>
      <c r="C1766" s="1" t="s">
        <v>8477</v>
      </c>
      <c r="D1766" s="2" t="n">
        <v>36786</v>
      </c>
      <c r="E1766" s="1" t="s">
        <v>763</v>
      </c>
      <c r="F1766" s="1" t="s">
        <v>711</v>
      </c>
      <c r="G1766" s="1" t="s">
        <v>712</v>
      </c>
      <c r="H1766" s="1" t="s">
        <v>713</v>
      </c>
      <c r="I1766" s="1" t="s">
        <v>714</v>
      </c>
      <c r="J1766" s="1" t="s">
        <v>8478</v>
      </c>
      <c r="K1766" s="1" t="s">
        <v>8479</v>
      </c>
      <c r="L1766" s="1" t="s">
        <v>8480</v>
      </c>
      <c r="M1766" s="1" t="s">
        <v>718</v>
      </c>
    </row>
    <row r="1767" customFormat="false" ht="15" hidden="false" customHeight="false" outlineLevel="0" collapsed="false">
      <c r="A1767" s="1" t="s">
        <v>8481</v>
      </c>
      <c r="B1767" s="1" t="s">
        <v>8482</v>
      </c>
      <c r="C1767" s="1" t="s">
        <v>6258</v>
      </c>
      <c r="D1767" s="2" t="n">
        <v>35481</v>
      </c>
      <c r="E1767" s="1" t="s">
        <v>763</v>
      </c>
      <c r="F1767" s="1" t="s">
        <v>711</v>
      </c>
      <c r="G1767" s="1" t="s">
        <v>8447</v>
      </c>
      <c r="H1767" s="1" t="s">
        <v>713</v>
      </c>
      <c r="I1767" s="1" t="s">
        <v>714</v>
      </c>
      <c r="J1767" s="1" t="s">
        <v>8483</v>
      </c>
      <c r="K1767" s="1" t="s">
        <v>8484</v>
      </c>
      <c r="L1767" s="1" t="s">
        <v>8485</v>
      </c>
      <c r="M1767" s="1" t="s">
        <v>718</v>
      </c>
    </row>
    <row r="1768" customFormat="false" ht="15" hidden="false" customHeight="false" outlineLevel="0" collapsed="false">
      <c r="A1768" s="1" t="s">
        <v>8486</v>
      </c>
      <c r="B1768" s="1" t="s">
        <v>8487</v>
      </c>
      <c r="C1768" s="1" t="s">
        <v>1885</v>
      </c>
      <c r="D1768" s="2" t="n">
        <v>36546</v>
      </c>
      <c r="E1768" s="1" t="s">
        <v>710</v>
      </c>
      <c r="F1768" s="1" t="s">
        <v>711</v>
      </c>
      <c r="G1768" s="1" t="s">
        <v>712</v>
      </c>
      <c r="H1768" s="1" t="s">
        <v>713</v>
      </c>
      <c r="I1768" s="1" t="s">
        <v>714</v>
      </c>
      <c r="J1768" s="1" t="s">
        <v>8488</v>
      </c>
      <c r="K1768" s="1" t="s">
        <v>8489</v>
      </c>
      <c r="L1768" s="1" t="s">
        <v>8490</v>
      </c>
      <c r="M1768" s="1" t="s">
        <v>718</v>
      </c>
    </row>
    <row r="1769" customFormat="false" ht="15" hidden="false" customHeight="false" outlineLevel="0" collapsed="false">
      <c r="A1769" s="1" t="s">
        <v>8491</v>
      </c>
      <c r="B1769" s="1" t="s">
        <v>2688</v>
      </c>
      <c r="C1769" s="1" t="s">
        <v>8492</v>
      </c>
      <c r="D1769" s="2" t="n">
        <v>35812</v>
      </c>
      <c r="E1769" s="1" t="s">
        <v>710</v>
      </c>
      <c r="F1769" s="1" t="s">
        <v>711</v>
      </c>
      <c r="G1769" s="1" t="s">
        <v>722</v>
      </c>
      <c r="H1769" s="1" t="s">
        <v>713</v>
      </c>
      <c r="I1769" s="1" t="s">
        <v>714</v>
      </c>
      <c r="J1769" s="1" t="s">
        <v>870</v>
      </c>
      <c r="K1769" s="1" t="s">
        <v>8493</v>
      </c>
      <c r="L1769" s="1" t="s">
        <v>8494</v>
      </c>
      <c r="M1769" s="1" t="s">
        <v>718</v>
      </c>
    </row>
    <row r="1770" customFormat="false" ht="15" hidden="false" customHeight="false" outlineLevel="0" collapsed="false">
      <c r="A1770" s="1" t="s">
        <v>8495</v>
      </c>
      <c r="B1770" s="1" t="s">
        <v>8496</v>
      </c>
      <c r="C1770" s="1" t="s">
        <v>2292</v>
      </c>
      <c r="D1770" s="2" t="n">
        <v>33862</v>
      </c>
      <c r="E1770" s="1" t="s">
        <v>763</v>
      </c>
      <c r="F1770" s="1" t="s">
        <v>711</v>
      </c>
      <c r="G1770" s="1" t="s">
        <v>712</v>
      </c>
      <c r="H1770" s="1" t="s">
        <v>713</v>
      </c>
      <c r="I1770" s="1" t="s">
        <v>714</v>
      </c>
      <c r="J1770" s="1" t="s">
        <v>716</v>
      </c>
      <c r="K1770" s="1" t="s">
        <v>716</v>
      </c>
      <c r="L1770" s="1" t="s">
        <v>1418</v>
      </c>
      <c r="M1770" s="1" t="s">
        <v>718</v>
      </c>
    </row>
    <row r="1771" customFormat="false" ht="15" hidden="false" customHeight="false" outlineLevel="0" collapsed="false">
      <c r="A1771" s="1" t="s">
        <v>8497</v>
      </c>
      <c r="B1771" s="1" t="s">
        <v>8498</v>
      </c>
      <c r="C1771" s="1" t="s">
        <v>6804</v>
      </c>
      <c r="D1771" s="2" t="n">
        <v>35086</v>
      </c>
      <c r="E1771" s="1" t="s">
        <v>763</v>
      </c>
      <c r="F1771" s="1" t="s">
        <v>711</v>
      </c>
      <c r="G1771" s="1" t="s">
        <v>712</v>
      </c>
      <c r="H1771" s="1" t="s">
        <v>713</v>
      </c>
      <c r="I1771" s="1" t="s">
        <v>714</v>
      </c>
      <c r="J1771" s="1" t="s">
        <v>8499</v>
      </c>
      <c r="K1771" s="1" t="s">
        <v>716</v>
      </c>
      <c r="L1771" s="1" t="s">
        <v>1418</v>
      </c>
      <c r="M1771" s="1" t="s">
        <v>718</v>
      </c>
    </row>
    <row r="1772" customFormat="false" ht="15" hidden="false" customHeight="false" outlineLevel="0" collapsed="false">
      <c r="A1772" s="1" t="s">
        <v>8500</v>
      </c>
      <c r="B1772" s="1" t="s">
        <v>8501</v>
      </c>
      <c r="C1772" s="1" t="s">
        <v>3737</v>
      </c>
      <c r="D1772" s="2" t="n">
        <v>33956</v>
      </c>
      <c r="E1772" s="1" t="s">
        <v>763</v>
      </c>
      <c r="F1772" s="1" t="s">
        <v>711</v>
      </c>
      <c r="G1772" s="1" t="s">
        <v>712</v>
      </c>
      <c r="H1772" s="1" t="s">
        <v>713</v>
      </c>
      <c r="I1772" s="1" t="s">
        <v>714</v>
      </c>
      <c r="J1772" s="1" t="s">
        <v>716</v>
      </c>
      <c r="K1772" s="1" t="s">
        <v>716</v>
      </c>
      <c r="L1772" s="1" t="s">
        <v>8502</v>
      </c>
      <c r="M1772" s="1" t="s">
        <v>718</v>
      </c>
    </row>
    <row r="1773" customFormat="false" ht="15" hidden="false" customHeight="false" outlineLevel="0" collapsed="false">
      <c r="A1773" s="1" t="s">
        <v>8503</v>
      </c>
      <c r="B1773" s="1" t="s">
        <v>8501</v>
      </c>
      <c r="C1773" s="1" t="s">
        <v>3737</v>
      </c>
      <c r="D1773" s="2" t="n">
        <v>33956</v>
      </c>
      <c r="E1773" s="1" t="s">
        <v>763</v>
      </c>
      <c r="F1773" s="1" t="s">
        <v>711</v>
      </c>
      <c r="G1773" s="1" t="s">
        <v>712</v>
      </c>
      <c r="H1773" s="1" t="s">
        <v>713</v>
      </c>
      <c r="I1773" s="1" t="s">
        <v>714</v>
      </c>
      <c r="J1773" s="1" t="s">
        <v>8504</v>
      </c>
      <c r="K1773" s="1" t="s">
        <v>8505</v>
      </c>
      <c r="L1773" s="1" t="s">
        <v>8506</v>
      </c>
      <c r="M1773" s="1" t="s">
        <v>718</v>
      </c>
    </row>
    <row r="1774" customFormat="false" ht="15" hidden="false" customHeight="false" outlineLevel="0" collapsed="false">
      <c r="A1774" s="1" t="s">
        <v>8507</v>
      </c>
      <c r="B1774" s="1" t="s">
        <v>8498</v>
      </c>
      <c r="C1774" s="1" t="s">
        <v>6804</v>
      </c>
      <c r="D1774" s="2" t="n">
        <v>35086</v>
      </c>
      <c r="E1774" s="1" t="s">
        <v>763</v>
      </c>
      <c r="F1774" s="1" t="s">
        <v>711</v>
      </c>
      <c r="G1774" s="1" t="s">
        <v>712</v>
      </c>
      <c r="H1774" s="1" t="s">
        <v>713</v>
      </c>
      <c r="I1774" s="1" t="s">
        <v>714</v>
      </c>
      <c r="J1774" s="1" t="s">
        <v>8499</v>
      </c>
      <c r="K1774" s="1" t="s">
        <v>716</v>
      </c>
      <c r="L1774" s="1" t="s">
        <v>1418</v>
      </c>
      <c r="M1774" s="1" t="s">
        <v>718</v>
      </c>
    </row>
    <row r="1775" customFormat="false" ht="15" hidden="false" customHeight="false" outlineLevel="0" collapsed="false">
      <c r="A1775" s="1" t="s">
        <v>8508</v>
      </c>
      <c r="B1775" s="1" t="s">
        <v>8509</v>
      </c>
      <c r="C1775" s="1" t="s">
        <v>8510</v>
      </c>
      <c r="D1775" s="2" t="n">
        <v>36127</v>
      </c>
      <c r="E1775" s="1" t="s">
        <v>763</v>
      </c>
      <c r="F1775" s="1" t="s">
        <v>711</v>
      </c>
      <c r="G1775" s="1" t="s">
        <v>722</v>
      </c>
      <c r="H1775" s="1" t="s">
        <v>713</v>
      </c>
      <c r="I1775" s="1" t="s">
        <v>714</v>
      </c>
      <c r="J1775" s="1" t="s">
        <v>8511</v>
      </c>
      <c r="K1775" s="1" t="s">
        <v>716</v>
      </c>
      <c r="L1775" s="1" t="s">
        <v>1418</v>
      </c>
      <c r="M1775" s="1" t="s">
        <v>718</v>
      </c>
    </row>
    <row r="1776" customFormat="false" ht="15" hidden="false" customHeight="false" outlineLevel="0" collapsed="false">
      <c r="A1776" s="1" t="s">
        <v>8512</v>
      </c>
      <c r="B1776" s="1" t="s">
        <v>2071</v>
      </c>
      <c r="C1776" s="1" t="s">
        <v>8513</v>
      </c>
      <c r="D1776" s="2" t="n">
        <v>35586</v>
      </c>
      <c r="E1776" s="1" t="s">
        <v>710</v>
      </c>
      <c r="F1776" s="1" t="s">
        <v>711</v>
      </c>
      <c r="G1776" s="1" t="s">
        <v>722</v>
      </c>
      <c r="H1776" s="1" t="s">
        <v>713</v>
      </c>
      <c r="I1776" s="1" t="s">
        <v>714</v>
      </c>
      <c r="J1776" s="1" t="s">
        <v>8514</v>
      </c>
      <c r="K1776" s="1" t="s">
        <v>716</v>
      </c>
      <c r="L1776" s="1" t="s">
        <v>1418</v>
      </c>
      <c r="M1776" s="1" t="s">
        <v>718</v>
      </c>
    </row>
    <row r="1777" customFormat="false" ht="15" hidden="false" customHeight="false" outlineLevel="0" collapsed="false">
      <c r="A1777" s="1" t="s">
        <v>8515</v>
      </c>
      <c r="B1777" s="1" t="s">
        <v>8516</v>
      </c>
      <c r="C1777" s="1" t="s">
        <v>8517</v>
      </c>
      <c r="D1777" s="2" t="n">
        <v>35988</v>
      </c>
      <c r="E1777" s="1" t="s">
        <v>763</v>
      </c>
      <c r="F1777" s="1" t="s">
        <v>711</v>
      </c>
      <c r="G1777" s="1" t="s">
        <v>722</v>
      </c>
      <c r="H1777" s="1" t="s">
        <v>713</v>
      </c>
      <c r="I1777" s="1" t="s">
        <v>714</v>
      </c>
      <c r="J1777" s="1" t="s">
        <v>8518</v>
      </c>
      <c r="K1777" s="1" t="s">
        <v>716</v>
      </c>
      <c r="L1777" s="1" t="s">
        <v>1418</v>
      </c>
      <c r="M1777" s="1" t="s">
        <v>718</v>
      </c>
    </row>
    <row r="1778" customFormat="false" ht="15" hidden="false" customHeight="false" outlineLevel="0" collapsed="false">
      <c r="A1778" s="1" t="s">
        <v>8519</v>
      </c>
      <c r="B1778" s="1" t="s">
        <v>8520</v>
      </c>
      <c r="C1778" s="1" t="s">
        <v>8517</v>
      </c>
      <c r="D1778" s="2" t="n">
        <v>36371</v>
      </c>
      <c r="E1778" s="1" t="s">
        <v>763</v>
      </c>
      <c r="F1778" s="1" t="s">
        <v>711</v>
      </c>
      <c r="G1778" s="1" t="s">
        <v>722</v>
      </c>
      <c r="H1778" s="1" t="s">
        <v>713</v>
      </c>
      <c r="I1778" s="1" t="s">
        <v>714</v>
      </c>
      <c r="J1778" s="1" t="s">
        <v>8521</v>
      </c>
      <c r="K1778" s="1" t="s">
        <v>716</v>
      </c>
      <c r="L1778" s="1" t="s">
        <v>1418</v>
      </c>
      <c r="M1778" s="1" t="s">
        <v>718</v>
      </c>
    </row>
    <row r="1779" customFormat="false" ht="15" hidden="false" customHeight="false" outlineLevel="0" collapsed="false">
      <c r="A1779" s="1" t="s">
        <v>8522</v>
      </c>
      <c r="B1779" s="1" t="s">
        <v>8523</v>
      </c>
      <c r="C1779" s="1" t="s">
        <v>8524</v>
      </c>
      <c r="D1779" s="2" t="n">
        <v>36488</v>
      </c>
      <c r="E1779" s="1" t="s">
        <v>710</v>
      </c>
      <c r="F1779" s="1" t="s">
        <v>711</v>
      </c>
      <c r="G1779" s="1" t="s">
        <v>1450</v>
      </c>
      <c r="H1779" s="1" t="s">
        <v>713</v>
      </c>
      <c r="I1779" s="1" t="s">
        <v>714</v>
      </c>
      <c r="J1779" s="1" t="s">
        <v>1505</v>
      </c>
      <c r="K1779" s="1" t="s">
        <v>716</v>
      </c>
      <c r="L1779" s="1" t="s">
        <v>1418</v>
      </c>
      <c r="M1779" s="1" t="s">
        <v>718</v>
      </c>
    </row>
    <row r="1780" customFormat="false" ht="15" hidden="false" customHeight="false" outlineLevel="0" collapsed="false">
      <c r="A1780" s="1" t="s">
        <v>8525</v>
      </c>
      <c r="B1780" s="1" t="s">
        <v>8526</v>
      </c>
      <c r="C1780" s="1" t="s">
        <v>8524</v>
      </c>
      <c r="D1780" s="2" t="n">
        <v>36023</v>
      </c>
      <c r="E1780" s="1" t="s">
        <v>710</v>
      </c>
      <c r="F1780" s="1" t="s">
        <v>711</v>
      </c>
      <c r="G1780" s="1" t="s">
        <v>1450</v>
      </c>
      <c r="H1780" s="1" t="s">
        <v>713</v>
      </c>
      <c r="I1780" s="1" t="s">
        <v>714</v>
      </c>
      <c r="J1780" s="1" t="s">
        <v>1149</v>
      </c>
      <c r="K1780" s="1" t="s">
        <v>716</v>
      </c>
      <c r="L1780" s="1" t="s">
        <v>8527</v>
      </c>
      <c r="M1780" s="1" t="s">
        <v>718</v>
      </c>
    </row>
    <row r="1781" customFormat="false" ht="15" hidden="false" customHeight="false" outlineLevel="0" collapsed="false">
      <c r="A1781" s="1" t="s">
        <v>8528</v>
      </c>
      <c r="B1781" s="1" t="s">
        <v>5995</v>
      </c>
      <c r="C1781" s="1" t="s">
        <v>8529</v>
      </c>
      <c r="D1781" s="2" t="n">
        <v>36259</v>
      </c>
      <c r="E1781" s="1" t="s">
        <v>710</v>
      </c>
      <c r="F1781" s="1" t="s">
        <v>711</v>
      </c>
      <c r="G1781" s="1" t="s">
        <v>2807</v>
      </c>
      <c r="H1781" s="1" t="s">
        <v>713</v>
      </c>
      <c r="I1781" s="1" t="s">
        <v>714</v>
      </c>
      <c r="J1781" s="1" t="s">
        <v>2807</v>
      </c>
      <c r="K1781" s="1" t="s">
        <v>716</v>
      </c>
      <c r="L1781" s="1" t="s">
        <v>8530</v>
      </c>
      <c r="M1781" s="1" t="s">
        <v>718</v>
      </c>
    </row>
    <row r="1782" customFormat="false" ht="15" hidden="false" customHeight="false" outlineLevel="0" collapsed="false">
      <c r="A1782" s="1" t="s">
        <v>8531</v>
      </c>
      <c r="B1782" s="1" t="s">
        <v>8532</v>
      </c>
      <c r="C1782" s="1" t="s">
        <v>750</v>
      </c>
      <c r="D1782" s="2" t="n">
        <v>37398</v>
      </c>
      <c r="E1782" s="1" t="s">
        <v>710</v>
      </c>
      <c r="F1782" s="1" t="s">
        <v>711</v>
      </c>
      <c r="G1782" s="1" t="s">
        <v>8533</v>
      </c>
      <c r="H1782" s="1" t="s">
        <v>713</v>
      </c>
      <c r="I1782" s="1" t="s">
        <v>714</v>
      </c>
      <c r="J1782" s="1" t="s">
        <v>8534</v>
      </c>
      <c r="K1782" s="1" t="s">
        <v>8535</v>
      </c>
      <c r="L1782" s="1" t="s">
        <v>1207</v>
      </c>
      <c r="M1782" s="1" t="s">
        <v>718</v>
      </c>
    </row>
    <row r="1783" customFormat="false" ht="15" hidden="false" customHeight="false" outlineLevel="0" collapsed="false">
      <c r="A1783" s="1" t="s">
        <v>8536</v>
      </c>
      <c r="B1783" s="1" t="s">
        <v>8537</v>
      </c>
      <c r="C1783" s="1" t="s">
        <v>8538</v>
      </c>
      <c r="D1783" s="2" t="n">
        <v>37284</v>
      </c>
      <c r="E1783" s="1" t="s">
        <v>763</v>
      </c>
      <c r="F1783" s="1" t="s">
        <v>711</v>
      </c>
      <c r="G1783" s="1" t="s">
        <v>712</v>
      </c>
      <c r="H1783" s="1" t="s">
        <v>713</v>
      </c>
      <c r="I1783" s="1" t="s">
        <v>714</v>
      </c>
      <c r="J1783" s="1" t="s">
        <v>4940</v>
      </c>
      <c r="K1783" s="1" t="s">
        <v>8539</v>
      </c>
      <c r="L1783" s="1" t="s">
        <v>3039</v>
      </c>
      <c r="M1783" s="1" t="s">
        <v>718</v>
      </c>
    </row>
    <row r="1784" customFormat="false" ht="15" hidden="false" customHeight="false" outlineLevel="0" collapsed="false">
      <c r="A1784" s="1" t="s">
        <v>8540</v>
      </c>
      <c r="B1784" s="1" t="s">
        <v>8541</v>
      </c>
      <c r="C1784" s="1" t="s">
        <v>8542</v>
      </c>
      <c r="D1784" s="2" t="n">
        <v>37442</v>
      </c>
      <c r="E1784" s="1" t="s">
        <v>710</v>
      </c>
      <c r="F1784" s="1" t="s">
        <v>711</v>
      </c>
      <c r="G1784" s="1" t="s">
        <v>722</v>
      </c>
      <c r="H1784" s="1" t="s">
        <v>713</v>
      </c>
      <c r="I1784" s="1" t="s">
        <v>714</v>
      </c>
      <c r="J1784" s="1" t="s">
        <v>8543</v>
      </c>
      <c r="K1784" s="1" t="s">
        <v>8544</v>
      </c>
      <c r="L1784" s="1" t="s">
        <v>1418</v>
      </c>
      <c r="M1784" s="1" t="s">
        <v>718</v>
      </c>
    </row>
    <row r="1785" customFormat="false" ht="15" hidden="false" customHeight="false" outlineLevel="0" collapsed="false">
      <c r="A1785" s="1" t="s">
        <v>8545</v>
      </c>
      <c r="B1785" s="1" t="s">
        <v>8546</v>
      </c>
      <c r="C1785" s="1" t="s">
        <v>1280</v>
      </c>
      <c r="D1785" s="2" t="n">
        <v>37394</v>
      </c>
      <c r="E1785" s="1" t="s">
        <v>763</v>
      </c>
      <c r="F1785" s="1" t="s">
        <v>711</v>
      </c>
      <c r="G1785" s="1" t="s">
        <v>1220</v>
      </c>
      <c r="H1785" s="1" t="s">
        <v>713</v>
      </c>
      <c r="I1785" s="1" t="s">
        <v>714</v>
      </c>
      <c r="J1785" s="1" t="s">
        <v>3893</v>
      </c>
      <c r="K1785" s="1" t="s">
        <v>8547</v>
      </c>
      <c r="L1785" s="1" t="s">
        <v>1283</v>
      </c>
      <c r="M1785" s="1" t="s">
        <v>718</v>
      </c>
    </row>
    <row r="1786" customFormat="false" ht="15" hidden="false" customHeight="false" outlineLevel="0" collapsed="false">
      <c r="A1786" s="1" t="s">
        <v>8548</v>
      </c>
      <c r="B1786" s="1" t="s">
        <v>8549</v>
      </c>
      <c r="C1786" s="1" t="s">
        <v>8550</v>
      </c>
      <c r="D1786" s="2" t="n">
        <v>37640</v>
      </c>
      <c r="E1786" s="1" t="s">
        <v>763</v>
      </c>
      <c r="F1786" s="1" t="s">
        <v>711</v>
      </c>
      <c r="G1786" s="1" t="s">
        <v>712</v>
      </c>
      <c r="H1786" s="1" t="s">
        <v>713</v>
      </c>
      <c r="I1786" s="1" t="s">
        <v>714</v>
      </c>
      <c r="J1786" s="1" t="s">
        <v>8551</v>
      </c>
      <c r="K1786" s="1" t="s">
        <v>8552</v>
      </c>
      <c r="L1786" s="1" t="s">
        <v>8553</v>
      </c>
      <c r="M1786" s="1" t="s">
        <v>718</v>
      </c>
    </row>
    <row r="1787" customFormat="false" ht="15" hidden="false" customHeight="false" outlineLevel="0" collapsed="false">
      <c r="A1787" s="1" t="s">
        <v>8554</v>
      </c>
      <c r="B1787" s="1" t="s">
        <v>8555</v>
      </c>
      <c r="C1787" s="1" t="s">
        <v>1692</v>
      </c>
      <c r="D1787" s="2" t="n">
        <v>37998</v>
      </c>
      <c r="E1787" s="1" t="s">
        <v>710</v>
      </c>
      <c r="F1787" s="1" t="s">
        <v>711</v>
      </c>
      <c r="G1787" s="1" t="s">
        <v>1693</v>
      </c>
      <c r="H1787" s="1" t="s">
        <v>713</v>
      </c>
      <c r="I1787" s="1" t="s">
        <v>714</v>
      </c>
      <c r="J1787" s="1" t="s">
        <v>8556</v>
      </c>
      <c r="K1787" s="1" t="s">
        <v>8557</v>
      </c>
      <c r="L1787" s="1" t="s">
        <v>1694</v>
      </c>
      <c r="M1787" s="1" t="s">
        <v>718</v>
      </c>
    </row>
    <row r="1788" customFormat="false" ht="15" hidden="false" customHeight="false" outlineLevel="0" collapsed="false">
      <c r="A1788" s="1" t="s">
        <v>8558</v>
      </c>
      <c r="B1788" s="1" t="s">
        <v>4294</v>
      </c>
      <c r="C1788" s="1" t="s">
        <v>4939</v>
      </c>
      <c r="D1788" s="2" t="n">
        <v>37368</v>
      </c>
      <c r="E1788" s="1" t="s">
        <v>710</v>
      </c>
      <c r="F1788" s="1" t="s">
        <v>711</v>
      </c>
      <c r="G1788" s="1" t="s">
        <v>712</v>
      </c>
      <c r="H1788" s="1" t="s">
        <v>713</v>
      </c>
      <c r="I1788" s="1" t="s">
        <v>714</v>
      </c>
      <c r="J1788" s="1" t="s">
        <v>880</v>
      </c>
      <c r="K1788" s="1" t="s">
        <v>8559</v>
      </c>
      <c r="L1788" s="1" t="s">
        <v>4942</v>
      </c>
      <c r="M1788" s="1" t="s">
        <v>718</v>
      </c>
    </row>
    <row r="1789" customFormat="false" ht="15" hidden="false" customHeight="false" outlineLevel="0" collapsed="false">
      <c r="A1789" s="1" t="s">
        <v>8560</v>
      </c>
      <c r="B1789" s="1" t="s">
        <v>1538</v>
      </c>
      <c r="C1789" s="1" t="s">
        <v>8561</v>
      </c>
      <c r="D1789" s="2" t="n">
        <v>37333</v>
      </c>
      <c r="E1789" s="1" t="s">
        <v>763</v>
      </c>
      <c r="F1789" s="1" t="s">
        <v>711</v>
      </c>
      <c r="G1789" s="1" t="s">
        <v>712</v>
      </c>
      <c r="H1789" s="1" t="s">
        <v>713</v>
      </c>
      <c r="I1789" s="1" t="s">
        <v>714</v>
      </c>
      <c r="J1789" s="1" t="s">
        <v>832</v>
      </c>
      <c r="K1789" s="1" t="s">
        <v>8562</v>
      </c>
      <c r="L1789" s="1" t="s">
        <v>8563</v>
      </c>
      <c r="M1789" s="1" t="s">
        <v>718</v>
      </c>
    </row>
    <row r="1790" customFormat="false" ht="15" hidden="false" customHeight="false" outlineLevel="0" collapsed="false">
      <c r="A1790" s="1" t="s">
        <v>8564</v>
      </c>
      <c r="B1790" s="1" t="s">
        <v>8565</v>
      </c>
      <c r="C1790" s="1" t="s">
        <v>8566</v>
      </c>
      <c r="D1790" s="2" t="n">
        <v>36959</v>
      </c>
      <c r="E1790" s="1" t="s">
        <v>763</v>
      </c>
      <c r="F1790" s="1" t="s">
        <v>711</v>
      </c>
      <c r="G1790" s="1" t="s">
        <v>6271</v>
      </c>
      <c r="H1790" s="1" t="s">
        <v>713</v>
      </c>
      <c r="I1790" s="1" t="s">
        <v>714</v>
      </c>
      <c r="J1790" s="1" t="s">
        <v>2001</v>
      </c>
      <c r="K1790" s="1" t="s">
        <v>8567</v>
      </c>
      <c r="L1790" s="1" t="s">
        <v>8568</v>
      </c>
      <c r="M1790" s="1" t="s">
        <v>718</v>
      </c>
    </row>
    <row r="1791" customFormat="false" ht="15" hidden="false" customHeight="false" outlineLevel="0" collapsed="false">
      <c r="A1791" s="1" t="s">
        <v>8569</v>
      </c>
      <c r="B1791" s="1" t="s">
        <v>8570</v>
      </c>
      <c r="C1791" s="1" t="s">
        <v>8571</v>
      </c>
      <c r="D1791" s="2" t="n">
        <v>37772</v>
      </c>
      <c r="E1791" s="1" t="s">
        <v>763</v>
      </c>
      <c r="F1791" s="1" t="s">
        <v>711</v>
      </c>
      <c r="G1791" s="1" t="s">
        <v>712</v>
      </c>
      <c r="H1791" s="1" t="s">
        <v>713</v>
      </c>
      <c r="I1791" s="1" t="s">
        <v>714</v>
      </c>
      <c r="J1791" s="1" t="s">
        <v>928</v>
      </c>
      <c r="K1791" s="1" t="s">
        <v>8572</v>
      </c>
      <c r="L1791" s="1" t="s">
        <v>8573</v>
      </c>
      <c r="M1791" s="1" t="s">
        <v>718</v>
      </c>
    </row>
    <row r="1792" customFormat="false" ht="15" hidden="false" customHeight="false" outlineLevel="0" collapsed="false">
      <c r="A1792" s="1" t="s">
        <v>8574</v>
      </c>
      <c r="B1792" s="1" t="s">
        <v>8575</v>
      </c>
      <c r="C1792" s="1" t="s">
        <v>8576</v>
      </c>
      <c r="D1792" s="2" t="n">
        <v>38123</v>
      </c>
      <c r="E1792" s="1" t="s">
        <v>763</v>
      </c>
      <c r="F1792" s="1" t="s">
        <v>711</v>
      </c>
      <c r="G1792" s="1" t="s">
        <v>722</v>
      </c>
      <c r="H1792" s="1" t="s">
        <v>713</v>
      </c>
      <c r="I1792" s="1" t="s">
        <v>714</v>
      </c>
      <c r="J1792" s="1" t="s">
        <v>928</v>
      </c>
      <c r="K1792" s="1" t="s">
        <v>8572</v>
      </c>
      <c r="L1792" s="1" t="s">
        <v>8573</v>
      </c>
      <c r="M1792" s="1" t="s">
        <v>718</v>
      </c>
    </row>
    <row r="1793" customFormat="false" ht="15" hidden="false" customHeight="false" outlineLevel="0" collapsed="false">
      <c r="A1793" s="1" t="s">
        <v>8577</v>
      </c>
      <c r="B1793" s="1" t="s">
        <v>8578</v>
      </c>
      <c r="C1793" s="1" t="s">
        <v>1964</v>
      </c>
      <c r="D1793" s="2" t="n">
        <v>37450</v>
      </c>
      <c r="E1793" s="1" t="s">
        <v>710</v>
      </c>
      <c r="F1793" s="1" t="s">
        <v>711</v>
      </c>
      <c r="G1793" s="1" t="s">
        <v>2094</v>
      </c>
      <c r="H1793" s="1" t="s">
        <v>713</v>
      </c>
      <c r="I1793" s="1" t="s">
        <v>714</v>
      </c>
      <c r="J1793" s="1" t="s">
        <v>1244</v>
      </c>
      <c r="K1793" s="1" t="s">
        <v>8579</v>
      </c>
      <c r="L1793" s="1" t="s">
        <v>1965</v>
      </c>
      <c r="M1793" s="1" t="s">
        <v>718</v>
      </c>
    </row>
    <row r="1794" customFormat="false" ht="15" hidden="false" customHeight="false" outlineLevel="0" collapsed="false">
      <c r="A1794" s="1" t="s">
        <v>8580</v>
      </c>
      <c r="B1794" s="1" t="s">
        <v>8581</v>
      </c>
      <c r="C1794" s="1" t="s">
        <v>8582</v>
      </c>
      <c r="D1794" s="2" t="n">
        <v>36885</v>
      </c>
      <c r="E1794" s="1" t="s">
        <v>763</v>
      </c>
      <c r="F1794" s="1" t="s">
        <v>711</v>
      </c>
      <c r="G1794" s="1" t="s">
        <v>712</v>
      </c>
      <c r="H1794" s="1" t="s">
        <v>713</v>
      </c>
      <c r="I1794" s="1" t="s">
        <v>714</v>
      </c>
      <c r="J1794" s="1" t="s">
        <v>2001</v>
      </c>
      <c r="K1794" s="1" t="s">
        <v>8583</v>
      </c>
      <c r="L1794" s="1" t="s">
        <v>8584</v>
      </c>
      <c r="M1794" s="1" t="s">
        <v>718</v>
      </c>
    </row>
    <row r="1795" customFormat="false" ht="15" hidden="false" customHeight="false" outlineLevel="0" collapsed="false">
      <c r="A1795" s="1" t="s">
        <v>8585</v>
      </c>
      <c r="B1795" s="1" t="s">
        <v>8586</v>
      </c>
      <c r="C1795" s="1" t="s">
        <v>8587</v>
      </c>
      <c r="D1795" s="2" t="n">
        <v>37577</v>
      </c>
      <c r="E1795" s="1" t="s">
        <v>763</v>
      </c>
      <c r="F1795" s="1" t="s">
        <v>711</v>
      </c>
      <c r="G1795" s="1" t="s">
        <v>712</v>
      </c>
      <c r="H1795" s="1" t="s">
        <v>713</v>
      </c>
      <c r="I1795" s="1" t="s">
        <v>714</v>
      </c>
      <c r="J1795" s="1" t="s">
        <v>1244</v>
      </c>
      <c r="K1795" s="1" t="s">
        <v>716</v>
      </c>
      <c r="L1795" s="1" t="s">
        <v>8588</v>
      </c>
      <c r="M1795" s="1" t="s">
        <v>718</v>
      </c>
    </row>
    <row r="1796" customFormat="false" ht="15" hidden="false" customHeight="false" outlineLevel="0" collapsed="false">
      <c r="A1796" s="1" t="s">
        <v>8589</v>
      </c>
      <c r="B1796" s="1" t="s">
        <v>8590</v>
      </c>
      <c r="C1796" s="1" t="s">
        <v>8591</v>
      </c>
      <c r="D1796" s="2" t="n">
        <v>37347</v>
      </c>
      <c r="E1796" s="1" t="s">
        <v>763</v>
      </c>
      <c r="F1796" s="1" t="s">
        <v>711</v>
      </c>
      <c r="G1796" s="1" t="s">
        <v>712</v>
      </c>
      <c r="H1796" s="1" t="s">
        <v>713</v>
      </c>
      <c r="I1796" s="1" t="s">
        <v>714</v>
      </c>
      <c r="J1796" s="1" t="s">
        <v>7788</v>
      </c>
      <c r="K1796" s="1" t="s">
        <v>8592</v>
      </c>
      <c r="L1796" s="1" t="s">
        <v>8593</v>
      </c>
      <c r="M1796" s="1" t="s">
        <v>718</v>
      </c>
    </row>
    <row r="1797" customFormat="false" ht="15" hidden="false" customHeight="false" outlineLevel="0" collapsed="false">
      <c r="A1797" s="1" t="s">
        <v>8594</v>
      </c>
      <c r="B1797" s="1" t="s">
        <v>8595</v>
      </c>
      <c r="C1797" s="1" t="s">
        <v>8596</v>
      </c>
      <c r="D1797" s="2" t="n">
        <v>37663</v>
      </c>
      <c r="E1797" s="1" t="s">
        <v>710</v>
      </c>
      <c r="F1797" s="1" t="s">
        <v>711</v>
      </c>
      <c r="G1797" s="1" t="s">
        <v>775</v>
      </c>
      <c r="H1797" s="1" t="s">
        <v>713</v>
      </c>
      <c r="I1797" s="1" t="s">
        <v>714</v>
      </c>
      <c r="J1797" s="1" t="s">
        <v>2204</v>
      </c>
      <c r="K1797" s="1" t="s">
        <v>8597</v>
      </c>
      <c r="L1797" s="1" t="s">
        <v>8598</v>
      </c>
      <c r="M1797" s="1" t="s">
        <v>718</v>
      </c>
    </row>
    <row r="1798" customFormat="false" ht="15" hidden="false" customHeight="false" outlineLevel="0" collapsed="false">
      <c r="A1798" s="1" t="s">
        <v>8599</v>
      </c>
      <c r="B1798" s="1" t="s">
        <v>8600</v>
      </c>
      <c r="C1798" s="1" t="s">
        <v>8601</v>
      </c>
      <c r="D1798" s="2" t="n">
        <v>37653</v>
      </c>
      <c r="E1798" s="1" t="s">
        <v>763</v>
      </c>
      <c r="F1798" s="1" t="s">
        <v>711</v>
      </c>
      <c r="G1798" s="1" t="s">
        <v>722</v>
      </c>
      <c r="H1798" s="1" t="s">
        <v>713</v>
      </c>
      <c r="I1798" s="1" t="s">
        <v>714</v>
      </c>
      <c r="J1798" s="1" t="s">
        <v>978</v>
      </c>
      <c r="K1798" s="1" t="s">
        <v>8602</v>
      </c>
      <c r="L1798" s="1" t="s">
        <v>6154</v>
      </c>
      <c r="M1798" s="1" t="s">
        <v>718</v>
      </c>
    </row>
    <row r="1799" customFormat="false" ht="15" hidden="false" customHeight="false" outlineLevel="0" collapsed="false">
      <c r="A1799" s="1" t="s">
        <v>8603</v>
      </c>
      <c r="B1799" s="1" t="s">
        <v>8604</v>
      </c>
      <c r="C1799" s="1" t="s">
        <v>2011</v>
      </c>
      <c r="D1799" s="2" t="n">
        <v>36309</v>
      </c>
      <c r="E1799" s="1" t="s">
        <v>710</v>
      </c>
      <c r="F1799" s="1" t="s">
        <v>711</v>
      </c>
      <c r="G1799" s="1" t="s">
        <v>722</v>
      </c>
      <c r="H1799" s="1" t="s">
        <v>713</v>
      </c>
      <c r="I1799" s="1" t="s">
        <v>714</v>
      </c>
      <c r="J1799" s="1" t="s">
        <v>8605</v>
      </c>
      <c r="K1799" s="1" t="s">
        <v>8606</v>
      </c>
      <c r="L1799" s="1" t="s">
        <v>2013</v>
      </c>
      <c r="M1799" s="1" t="s">
        <v>718</v>
      </c>
    </row>
    <row r="1800" customFormat="false" ht="15" hidden="false" customHeight="false" outlineLevel="0" collapsed="false">
      <c r="A1800" s="1" t="s">
        <v>8607</v>
      </c>
      <c r="B1800" s="1" t="s">
        <v>8608</v>
      </c>
      <c r="C1800" s="1" t="s">
        <v>8609</v>
      </c>
      <c r="D1800" s="2" t="n">
        <v>36843</v>
      </c>
      <c r="E1800" s="1" t="s">
        <v>710</v>
      </c>
      <c r="F1800" s="1" t="s">
        <v>711</v>
      </c>
      <c r="G1800" s="1" t="s">
        <v>712</v>
      </c>
      <c r="H1800" s="1" t="s">
        <v>713</v>
      </c>
      <c r="I1800" s="1" t="s">
        <v>714</v>
      </c>
      <c r="J1800" s="1" t="s">
        <v>2041</v>
      </c>
      <c r="K1800" s="1" t="s">
        <v>8610</v>
      </c>
      <c r="L1800" s="1" t="s">
        <v>806</v>
      </c>
      <c r="M1800" s="1" t="s">
        <v>718</v>
      </c>
    </row>
    <row r="1801" customFormat="false" ht="15" hidden="false" customHeight="false" outlineLevel="0" collapsed="false">
      <c r="A1801" s="1" t="s">
        <v>8611</v>
      </c>
      <c r="B1801" s="1" t="s">
        <v>8612</v>
      </c>
      <c r="C1801" s="1" t="s">
        <v>804</v>
      </c>
      <c r="D1801" s="2" t="n">
        <v>37401</v>
      </c>
      <c r="E1801" s="1" t="s">
        <v>763</v>
      </c>
      <c r="F1801" s="1" t="s">
        <v>711</v>
      </c>
      <c r="G1801" s="1" t="s">
        <v>722</v>
      </c>
      <c r="H1801" s="1" t="s">
        <v>713</v>
      </c>
      <c r="I1801" s="1" t="s">
        <v>714</v>
      </c>
      <c r="J1801" s="1" t="s">
        <v>2041</v>
      </c>
      <c r="K1801" s="1" t="s">
        <v>8613</v>
      </c>
      <c r="L1801" s="1" t="s">
        <v>806</v>
      </c>
      <c r="M1801" s="1" t="s">
        <v>718</v>
      </c>
    </row>
    <row r="1802" customFormat="false" ht="15" hidden="false" customHeight="false" outlineLevel="0" collapsed="false">
      <c r="A1802" s="1" t="s">
        <v>8614</v>
      </c>
      <c r="B1802" s="1" t="s">
        <v>8615</v>
      </c>
      <c r="C1802" s="1" t="s">
        <v>8616</v>
      </c>
      <c r="D1802" s="2" t="n">
        <v>37334</v>
      </c>
      <c r="E1802" s="1" t="s">
        <v>710</v>
      </c>
      <c r="F1802" s="1" t="s">
        <v>711</v>
      </c>
      <c r="G1802" s="1" t="s">
        <v>712</v>
      </c>
      <c r="H1802" s="1" t="s">
        <v>713</v>
      </c>
      <c r="I1802" s="1" t="s">
        <v>714</v>
      </c>
      <c r="J1802" s="1" t="s">
        <v>2041</v>
      </c>
      <c r="K1802" s="1" t="s">
        <v>8617</v>
      </c>
      <c r="L1802" s="1" t="s">
        <v>8618</v>
      </c>
      <c r="M1802" s="1" t="s">
        <v>718</v>
      </c>
    </row>
    <row r="1803" customFormat="false" ht="15" hidden="false" customHeight="false" outlineLevel="0" collapsed="false">
      <c r="A1803" s="1" t="s">
        <v>8619</v>
      </c>
      <c r="B1803" s="1" t="s">
        <v>8620</v>
      </c>
      <c r="C1803" s="1" t="s">
        <v>8621</v>
      </c>
      <c r="D1803" s="2" t="n">
        <v>36873</v>
      </c>
      <c r="E1803" s="1" t="s">
        <v>710</v>
      </c>
      <c r="F1803" s="1" t="s">
        <v>711</v>
      </c>
      <c r="G1803" s="1" t="s">
        <v>722</v>
      </c>
      <c r="H1803" s="1" t="s">
        <v>713</v>
      </c>
      <c r="I1803" s="1" t="s">
        <v>714</v>
      </c>
      <c r="J1803" s="1" t="s">
        <v>821</v>
      </c>
      <c r="K1803" s="1" t="s">
        <v>8622</v>
      </c>
      <c r="L1803" s="1" t="s">
        <v>8623</v>
      </c>
      <c r="M1803" s="1" t="s">
        <v>718</v>
      </c>
    </row>
    <row r="1804" customFormat="false" ht="15" hidden="false" customHeight="false" outlineLevel="0" collapsed="false">
      <c r="A1804" s="1" t="s">
        <v>8624</v>
      </c>
      <c r="B1804" s="1" t="s">
        <v>7155</v>
      </c>
      <c r="C1804" s="1" t="s">
        <v>8625</v>
      </c>
      <c r="D1804" s="2" t="n">
        <v>36580</v>
      </c>
      <c r="E1804" s="1" t="s">
        <v>710</v>
      </c>
      <c r="F1804" s="1" t="s">
        <v>711</v>
      </c>
      <c r="G1804" s="1" t="s">
        <v>8626</v>
      </c>
      <c r="H1804" s="1" t="s">
        <v>713</v>
      </c>
      <c r="I1804" s="1" t="s">
        <v>714</v>
      </c>
      <c r="J1804" s="1" t="s">
        <v>8627</v>
      </c>
      <c r="K1804" s="1" t="s">
        <v>8628</v>
      </c>
      <c r="L1804" s="1" t="s">
        <v>8629</v>
      </c>
      <c r="M1804" s="1" t="s">
        <v>718</v>
      </c>
    </row>
    <row r="1805" customFormat="false" ht="15" hidden="false" customHeight="false" outlineLevel="0" collapsed="false">
      <c r="A1805" s="1" t="s">
        <v>8630</v>
      </c>
      <c r="B1805" s="1" t="s">
        <v>8631</v>
      </c>
      <c r="C1805" s="1" t="s">
        <v>8632</v>
      </c>
      <c r="D1805" s="2" t="n">
        <v>36850</v>
      </c>
      <c r="E1805" s="1" t="s">
        <v>710</v>
      </c>
      <c r="F1805" s="1" t="s">
        <v>711</v>
      </c>
      <c r="G1805" s="1" t="s">
        <v>712</v>
      </c>
      <c r="H1805" s="1" t="s">
        <v>713</v>
      </c>
      <c r="I1805" s="1" t="s">
        <v>714</v>
      </c>
      <c r="J1805" s="1" t="s">
        <v>3678</v>
      </c>
      <c r="K1805" s="1" t="s">
        <v>8633</v>
      </c>
      <c r="L1805" s="1" t="s">
        <v>924</v>
      </c>
      <c r="M1805" s="1" t="s">
        <v>718</v>
      </c>
    </row>
    <row r="1806" customFormat="false" ht="15" hidden="false" customHeight="false" outlineLevel="0" collapsed="false">
      <c r="A1806" s="1" t="s">
        <v>8634</v>
      </c>
      <c r="B1806" s="1" t="s">
        <v>8635</v>
      </c>
      <c r="C1806" s="1" t="s">
        <v>2992</v>
      </c>
      <c r="D1806" s="2" t="n">
        <v>37759</v>
      </c>
      <c r="E1806" s="1" t="s">
        <v>763</v>
      </c>
      <c r="F1806" s="1" t="s">
        <v>711</v>
      </c>
      <c r="G1806" s="1" t="s">
        <v>712</v>
      </c>
      <c r="H1806" s="1" t="s">
        <v>713</v>
      </c>
      <c r="I1806" s="1" t="s">
        <v>714</v>
      </c>
      <c r="J1806" s="1" t="s">
        <v>1244</v>
      </c>
      <c r="K1806" s="1" t="s">
        <v>8636</v>
      </c>
      <c r="L1806" s="1" t="s">
        <v>8637</v>
      </c>
      <c r="M1806" s="1" t="s">
        <v>718</v>
      </c>
    </row>
    <row r="1807" customFormat="false" ht="15" hidden="false" customHeight="false" outlineLevel="0" collapsed="false">
      <c r="A1807" s="1" t="s">
        <v>8638</v>
      </c>
      <c r="B1807" s="1" t="s">
        <v>8639</v>
      </c>
      <c r="C1807" s="1" t="s">
        <v>8640</v>
      </c>
      <c r="D1807" s="2" t="n">
        <v>37442</v>
      </c>
      <c r="E1807" s="1" t="s">
        <v>710</v>
      </c>
      <c r="F1807" s="1" t="s">
        <v>711</v>
      </c>
      <c r="G1807" s="1" t="s">
        <v>712</v>
      </c>
      <c r="H1807" s="1" t="s">
        <v>713</v>
      </c>
      <c r="I1807" s="1" t="s">
        <v>714</v>
      </c>
      <c r="J1807" s="1" t="s">
        <v>928</v>
      </c>
      <c r="K1807" s="1" t="s">
        <v>8641</v>
      </c>
      <c r="L1807" s="1" t="s">
        <v>8642</v>
      </c>
      <c r="M1807" s="1" t="s">
        <v>718</v>
      </c>
    </row>
    <row r="1808" customFormat="false" ht="15" hidden="false" customHeight="false" outlineLevel="0" collapsed="false">
      <c r="A1808" s="1" t="s">
        <v>8643</v>
      </c>
      <c r="B1808" s="1" t="s">
        <v>8644</v>
      </c>
      <c r="C1808" s="1" t="s">
        <v>6435</v>
      </c>
      <c r="D1808" s="2" t="n">
        <v>37655</v>
      </c>
      <c r="E1808" s="1" t="s">
        <v>763</v>
      </c>
      <c r="F1808" s="1" t="s">
        <v>711</v>
      </c>
      <c r="G1808" s="1" t="s">
        <v>712</v>
      </c>
      <c r="H1808" s="1" t="s">
        <v>713</v>
      </c>
      <c r="I1808" s="1" t="s">
        <v>714</v>
      </c>
      <c r="J1808" s="1" t="s">
        <v>8234</v>
      </c>
      <c r="K1808" s="1" t="s">
        <v>6436</v>
      </c>
      <c r="L1808" s="1" t="s">
        <v>6437</v>
      </c>
      <c r="M1808" s="1" t="s">
        <v>718</v>
      </c>
    </row>
    <row r="1809" customFormat="false" ht="15" hidden="false" customHeight="false" outlineLevel="0" collapsed="false">
      <c r="A1809" s="1" t="s">
        <v>8645</v>
      </c>
      <c r="B1809" s="1" t="s">
        <v>8646</v>
      </c>
      <c r="C1809" s="1" t="s">
        <v>8647</v>
      </c>
      <c r="D1809" s="2" t="n">
        <v>36889</v>
      </c>
      <c r="E1809" s="1" t="s">
        <v>710</v>
      </c>
      <c r="F1809" s="1" t="s">
        <v>711</v>
      </c>
      <c r="G1809" s="1" t="s">
        <v>722</v>
      </c>
      <c r="H1809" s="1" t="s">
        <v>713</v>
      </c>
      <c r="I1809" s="1" t="s">
        <v>714</v>
      </c>
      <c r="J1809" s="1" t="s">
        <v>7788</v>
      </c>
      <c r="K1809" s="1" t="s">
        <v>8648</v>
      </c>
      <c r="L1809" s="1" t="s">
        <v>955</v>
      </c>
      <c r="M1809" s="1" t="s">
        <v>718</v>
      </c>
    </row>
    <row r="1810" customFormat="false" ht="15" hidden="false" customHeight="false" outlineLevel="0" collapsed="false">
      <c r="A1810" s="1" t="s">
        <v>8649</v>
      </c>
      <c r="B1810" s="1" t="s">
        <v>8650</v>
      </c>
      <c r="C1810" s="1" t="s">
        <v>8651</v>
      </c>
      <c r="D1810" s="2" t="n">
        <v>37655</v>
      </c>
      <c r="E1810" s="1" t="s">
        <v>763</v>
      </c>
      <c r="F1810" s="1" t="s">
        <v>711</v>
      </c>
      <c r="G1810" s="1" t="s">
        <v>712</v>
      </c>
      <c r="H1810" s="1" t="s">
        <v>713</v>
      </c>
      <c r="I1810" s="1" t="s">
        <v>714</v>
      </c>
      <c r="J1810" s="1" t="s">
        <v>4787</v>
      </c>
      <c r="K1810" s="1" t="s">
        <v>8652</v>
      </c>
      <c r="L1810" s="1" t="s">
        <v>1531</v>
      </c>
      <c r="M1810" s="1" t="s">
        <v>718</v>
      </c>
    </row>
    <row r="1811" customFormat="false" ht="15" hidden="false" customHeight="false" outlineLevel="0" collapsed="false">
      <c r="A1811" s="1" t="s">
        <v>8653</v>
      </c>
      <c r="B1811" s="1" t="s">
        <v>8654</v>
      </c>
      <c r="C1811" s="1" t="s">
        <v>5548</v>
      </c>
      <c r="D1811" s="2" t="n">
        <v>37578</v>
      </c>
      <c r="E1811" s="1" t="s">
        <v>763</v>
      </c>
      <c r="F1811" s="1" t="s">
        <v>711</v>
      </c>
      <c r="G1811" s="1" t="s">
        <v>712</v>
      </c>
      <c r="H1811" s="1" t="s">
        <v>713</v>
      </c>
      <c r="I1811" s="1" t="s">
        <v>714</v>
      </c>
      <c r="J1811" s="1" t="s">
        <v>1723</v>
      </c>
      <c r="K1811" s="1" t="s">
        <v>8655</v>
      </c>
      <c r="L1811" s="1" t="s">
        <v>6123</v>
      </c>
      <c r="M1811" s="1" t="s">
        <v>718</v>
      </c>
    </row>
    <row r="1812" customFormat="false" ht="15" hidden="false" customHeight="false" outlineLevel="0" collapsed="false">
      <c r="A1812" s="1" t="s">
        <v>8656</v>
      </c>
      <c r="B1812" s="1" t="s">
        <v>8657</v>
      </c>
      <c r="C1812" s="1" t="s">
        <v>2369</v>
      </c>
      <c r="D1812" s="2" t="n">
        <v>37270</v>
      </c>
      <c r="E1812" s="1" t="s">
        <v>763</v>
      </c>
      <c r="F1812" s="1" t="s">
        <v>711</v>
      </c>
      <c r="G1812" s="1" t="s">
        <v>712</v>
      </c>
      <c r="H1812" s="1" t="s">
        <v>713</v>
      </c>
      <c r="I1812" s="1" t="s">
        <v>714</v>
      </c>
      <c r="J1812" s="1" t="s">
        <v>2298</v>
      </c>
      <c r="K1812" s="1" t="s">
        <v>716</v>
      </c>
      <c r="L1812" s="1" t="s">
        <v>2372</v>
      </c>
      <c r="M1812" s="1" t="s">
        <v>718</v>
      </c>
    </row>
    <row r="1813" customFormat="false" ht="15" hidden="false" customHeight="false" outlineLevel="0" collapsed="false">
      <c r="A1813" s="1" t="s">
        <v>8658</v>
      </c>
      <c r="B1813" s="1" t="s">
        <v>8659</v>
      </c>
      <c r="C1813" s="1" t="s">
        <v>8660</v>
      </c>
      <c r="D1813" s="2" t="n">
        <v>36814</v>
      </c>
      <c r="E1813" s="1" t="s">
        <v>710</v>
      </c>
      <c r="F1813" s="1" t="s">
        <v>711</v>
      </c>
      <c r="G1813" s="1" t="s">
        <v>712</v>
      </c>
      <c r="H1813" s="1" t="s">
        <v>713</v>
      </c>
      <c r="I1813" s="1" t="s">
        <v>714</v>
      </c>
      <c r="J1813" s="1" t="s">
        <v>8661</v>
      </c>
      <c r="K1813" s="1" t="s">
        <v>8662</v>
      </c>
      <c r="L1813" s="1" t="s">
        <v>8663</v>
      </c>
      <c r="M1813" s="1" t="s">
        <v>718</v>
      </c>
    </row>
    <row r="1814" customFormat="false" ht="15" hidden="false" customHeight="false" outlineLevel="0" collapsed="false">
      <c r="A1814" s="1" t="s">
        <v>8664</v>
      </c>
      <c r="B1814" s="1" t="s">
        <v>8665</v>
      </c>
      <c r="C1814" s="1" t="s">
        <v>8660</v>
      </c>
      <c r="D1814" s="2" t="n">
        <v>37214</v>
      </c>
      <c r="E1814" s="1" t="s">
        <v>763</v>
      </c>
      <c r="F1814" s="1" t="s">
        <v>711</v>
      </c>
      <c r="G1814" s="1" t="s">
        <v>712</v>
      </c>
      <c r="H1814" s="1" t="s">
        <v>713</v>
      </c>
      <c r="I1814" s="1" t="s">
        <v>714</v>
      </c>
      <c r="J1814" s="1" t="s">
        <v>8661</v>
      </c>
      <c r="K1814" s="1" t="s">
        <v>8662</v>
      </c>
      <c r="L1814" s="1" t="s">
        <v>8663</v>
      </c>
      <c r="M1814" s="1" t="s">
        <v>718</v>
      </c>
    </row>
    <row r="1815" customFormat="false" ht="15" hidden="false" customHeight="false" outlineLevel="0" collapsed="false">
      <c r="A1815" s="1" t="s">
        <v>8666</v>
      </c>
      <c r="B1815" s="1" t="s">
        <v>8667</v>
      </c>
      <c r="C1815" s="1" t="s">
        <v>8668</v>
      </c>
      <c r="D1815" s="2" t="n">
        <v>36747</v>
      </c>
      <c r="E1815" s="1" t="s">
        <v>763</v>
      </c>
      <c r="F1815" s="1" t="s">
        <v>711</v>
      </c>
      <c r="G1815" s="1" t="s">
        <v>712</v>
      </c>
      <c r="H1815" s="1" t="s">
        <v>713</v>
      </c>
      <c r="I1815" s="1" t="s">
        <v>714</v>
      </c>
      <c r="J1815" s="1" t="s">
        <v>864</v>
      </c>
      <c r="K1815" s="1" t="s">
        <v>8669</v>
      </c>
      <c r="L1815" s="1" t="s">
        <v>8670</v>
      </c>
      <c r="M1815" s="1" t="s">
        <v>718</v>
      </c>
    </row>
    <row r="1816" customFormat="false" ht="15" hidden="false" customHeight="false" outlineLevel="0" collapsed="false">
      <c r="A1816" s="1" t="s">
        <v>8671</v>
      </c>
      <c r="B1816" s="1" t="s">
        <v>8672</v>
      </c>
      <c r="C1816" s="1" t="s">
        <v>849</v>
      </c>
      <c r="D1816" s="2" t="n">
        <v>37336</v>
      </c>
      <c r="E1816" s="1" t="s">
        <v>710</v>
      </c>
      <c r="F1816" s="1" t="s">
        <v>711</v>
      </c>
      <c r="G1816" s="1" t="s">
        <v>712</v>
      </c>
      <c r="H1816" s="1" t="s">
        <v>713</v>
      </c>
      <c r="I1816" s="1" t="s">
        <v>714</v>
      </c>
      <c r="J1816" s="1" t="s">
        <v>7555</v>
      </c>
      <c r="K1816" s="1" t="s">
        <v>8673</v>
      </c>
      <c r="L1816" s="1" t="s">
        <v>851</v>
      </c>
      <c r="M1816" s="1" t="s">
        <v>718</v>
      </c>
    </row>
    <row r="1817" customFormat="false" ht="15" hidden="false" customHeight="false" outlineLevel="0" collapsed="false">
      <c r="A1817" s="1" t="s">
        <v>8674</v>
      </c>
      <c r="B1817" s="1" t="s">
        <v>8675</v>
      </c>
      <c r="C1817" s="1" t="s">
        <v>986</v>
      </c>
      <c r="D1817" s="2" t="n">
        <v>31934</v>
      </c>
      <c r="E1817" s="1" t="s">
        <v>710</v>
      </c>
      <c r="F1817" s="1" t="s">
        <v>711</v>
      </c>
      <c r="G1817" s="1" t="s">
        <v>712</v>
      </c>
      <c r="H1817" s="1" t="s">
        <v>713</v>
      </c>
      <c r="I1817" s="1" t="s">
        <v>714</v>
      </c>
      <c r="J1817" s="1" t="s">
        <v>8676</v>
      </c>
      <c r="K1817" s="1" t="s">
        <v>716</v>
      </c>
      <c r="L1817" s="1" t="s">
        <v>1418</v>
      </c>
      <c r="M1817" s="1" t="s">
        <v>718</v>
      </c>
    </row>
    <row r="1818" customFormat="false" ht="15" hidden="false" customHeight="false" outlineLevel="0" collapsed="false">
      <c r="A1818" s="1" t="s">
        <v>8677</v>
      </c>
      <c r="B1818" s="1" t="s">
        <v>8678</v>
      </c>
      <c r="C1818" s="1" t="s">
        <v>8679</v>
      </c>
      <c r="D1818" s="2" t="n">
        <v>37376</v>
      </c>
      <c r="E1818" s="1" t="s">
        <v>763</v>
      </c>
      <c r="F1818" s="1" t="s">
        <v>711</v>
      </c>
      <c r="G1818" s="1" t="s">
        <v>712</v>
      </c>
      <c r="H1818" s="1" t="s">
        <v>713</v>
      </c>
      <c r="I1818" s="1" t="s">
        <v>714</v>
      </c>
      <c r="J1818" s="1" t="s">
        <v>8416</v>
      </c>
      <c r="K1818" s="1" t="s">
        <v>8680</v>
      </c>
      <c r="L1818" s="1" t="s">
        <v>1087</v>
      </c>
      <c r="M1818" s="1" t="s">
        <v>718</v>
      </c>
    </row>
    <row r="1819" customFormat="false" ht="15" hidden="false" customHeight="false" outlineLevel="0" collapsed="false">
      <c r="A1819" s="1" t="s">
        <v>8681</v>
      </c>
      <c r="B1819" s="1" t="s">
        <v>8682</v>
      </c>
      <c r="C1819" s="1" t="s">
        <v>8683</v>
      </c>
      <c r="D1819" s="2" t="n">
        <v>37080</v>
      </c>
      <c r="E1819" s="1" t="s">
        <v>710</v>
      </c>
      <c r="F1819" s="1" t="s">
        <v>711</v>
      </c>
      <c r="G1819" s="1" t="s">
        <v>712</v>
      </c>
      <c r="H1819" s="1" t="s">
        <v>713</v>
      </c>
      <c r="I1819" s="1" t="s">
        <v>714</v>
      </c>
      <c r="J1819" s="1" t="s">
        <v>8684</v>
      </c>
      <c r="K1819" s="1" t="s">
        <v>8685</v>
      </c>
      <c r="L1819" s="1" t="s">
        <v>8686</v>
      </c>
      <c r="M1819" s="1" t="s">
        <v>718</v>
      </c>
    </row>
    <row r="1820" customFormat="false" ht="15" hidden="false" customHeight="false" outlineLevel="0" collapsed="false">
      <c r="A1820" s="1" t="s">
        <v>8687</v>
      </c>
      <c r="B1820" s="1" t="s">
        <v>8688</v>
      </c>
      <c r="C1820" s="1" t="s">
        <v>3200</v>
      </c>
      <c r="D1820" s="2" t="n">
        <v>36359</v>
      </c>
      <c r="E1820" s="1" t="s">
        <v>710</v>
      </c>
      <c r="F1820" s="1" t="s">
        <v>711</v>
      </c>
      <c r="G1820" s="1" t="s">
        <v>722</v>
      </c>
      <c r="H1820" s="1" t="s">
        <v>713</v>
      </c>
      <c r="I1820" s="1" t="s">
        <v>714</v>
      </c>
      <c r="J1820" s="1" t="s">
        <v>4276</v>
      </c>
      <c r="K1820" s="1" t="s">
        <v>8689</v>
      </c>
      <c r="L1820" s="1" t="s">
        <v>1418</v>
      </c>
      <c r="M1820" s="1" t="s">
        <v>718</v>
      </c>
    </row>
    <row r="1821" customFormat="false" ht="15" hidden="false" customHeight="false" outlineLevel="0" collapsed="false">
      <c r="A1821" s="1" t="s">
        <v>8690</v>
      </c>
      <c r="B1821" s="1" t="s">
        <v>8691</v>
      </c>
      <c r="C1821" s="1" t="s">
        <v>8692</v>
      </c>
      <c r="D1821" s="2" t="n">
        <v>37402</v>
      </c>
      <c r="E1821" s="1" t="s">
        <v>763</v>
      </c>
      <c r="F1821" s="1" t="s">
        <v>711</v>
      </c>
      <c r="G1821" s="1" t="s">
        <v>722</v>
      </c>
      <c r="H1821" s="1" t="s">
        <v>713</v>
      </c>
      <c r="I1821" s="1" t="s">
        <v>714</v>
      </c>
      <c r="J1821" s="1" t="s">
        <v>8693</v>
      </c>
      <c r="K1821" s="1" t="s">
        <v>8694</v>
      </c>
      <c r="L1821" s="1" t="s">
        <v>812</v>
      </c>
      <c r="M1821" s="1" t="s">
        <v>718</v>
      </c>
    </row>
    <row r="1822" customFormat="false" ht="15" hidden="false" customHeight="false" outlineLevel="0" collapsed="false">
      <c r="A1822" s="1" t="s">
        <v>8695</v>
      </c>
      <c r="B1822" s="1" t="s">
        <v>1285</v>
      </c>
      <c r="C1822" s="1" t="s">
        <v>8696</v>
      </c>
      <c r="D1822" s="2" t="n">
        <v>36935</v>
      </c>
      <c r="E1822" s="1" t="s">
        <v>710</v>
      </c>
      <c r="F1822" s="1" t="s">
        <v>711</v>
      </c>
      <c r="G1822" s="1" t="s">
        <v>712</v>
      </c>
      <c r="H1822" s="1" t="s">
        <v>713</v>
      </c>
      <c r="I1822" s="1" t="s">
        <v>714</v>
      </c>
      <c r="J1822" s="1" t="s">
        <v>928</v>
      </c>
      <c r="K1822" s="1" t="s">
        <v>716</v>
      </c>
      <c r="L1822" s="1" t="s">
        <v>8697</v>
      </c>
      <c r="M1822" s="1" t="s">
        <v>718</v>
      </c>
    </row>
    <row r="1823" customFormat="false" ht="15" hidden="false" customHeight="false" outlineLevel="0" collapsed="false">
      <c r="A1823" s="1" t="s">
        <v>8698</v>
      </c>
      <c r="B1823" s="1" t="s">
        <v>8699</v>
      </c>
      <c r="C1823" s="1" t="s">
        <v>1139</v>
      </c>
      <c r="D1823" s="2" t="n">
        <v>37625</v>
      </c>
      <c r="E1823" s="1" t="s">
        <v>710</v>
      </c>
      <c r="F1823" s="1" t="s">
        <v>711</v>
      </c>
      <c r="G1823" s="1" t="s">
        <v>712</v>
      </c>
      <c r="H1823" s="1" t="s">
        <v>713</v>
      </c>
      <c r="I1823" s="1" t="s">
        <v>714</v>
      </c>
      <c r="J1823" s="1" t="s">
        <v>8700</v>
      </c>
      <c r="K1823" s="1" t="s">
        <v>8701</v>
      </c>
      <c r="L1823" s="1" t="s">
        <v>1061</v>
      </c>
      <c r="M1823" s="1" t="s">
        <v>718</v>
      </c>
    </row>
    <row r="1824" customFormat="false" ht="15" hidden="false" customHeight="false" outlineLevel="0" collapsed="false">
      <c r="A1824" s="1" t="s">
        <v>8702</v>
      </c>
      <c r="B1824" s="1" t="s">
        <v>8703</v>
      </c>
      <c r="C1824" s="1" t="s">
        <v>1234</v>
      </c>
      <c r="D1824" s="2" t="n">
        <v>37444</v>
      </c>
      <c r="E1824" s="1" t="s">
        <v>710</v>
      </c>
      <c r="F1824" s="1" t="s">
        <v>711</v>
      </c>
      <c r="G1824" s="1" t="s">
        <v>722</v>
      </c>
      <c r="H1824" s="1" t="s">
        <v>713</v>
      </c>
      <c r="I1824" s="1" t="s">
        <v>714</v>
      </c>
      <c r="J1824" s="1" t="s">
        <v>8704</v>
      </c>
      <c r="K1824" s="1" t="s">
        <v>716</v>
      </c>
      <c r="L1824" s="1" t="s">
        <v>3578</v>
      </c>
      <c r="M1824" s="1" t="s">
        <v>718</v>
      </c>
    </row>
    <row r="1825" customFormat="false" ht="15" hidden="false" customHeight="false" outlineLevel="0" collapsed="false">
      <c r="A1825" s="1" t="s">
        <v>8705</v>
      </c>
      <c r="B1825" s="1" t="s">
        <v>8706</v>
      </c>
      <c r="C1825" s="1" t="s">
        <v>8707</v>
      </c>
      <c r="D1825" s="2" t="n">
        <v>37596</v>
      </c>
      <c r="E1825" s="1" t="s">
        <v>763</v>
      </c>
      <c r="F1825" s="1" t="s">
        <v>711</v>
      </c>
      <c r="G1825" s="1" t="s">
        <v>712</v>
      </c>
      <c r="H1825" s="1" t="s">
        <v>713</v>
      </c>
      <c r="I1825" s="1" t="s">
        <v>714</v>
      </c>
      <c r="J1825" s="1" t="s">
        <v>8708</v>
      </c>
      <c r="K1825" s="1" t="s">
        <v>8709</v>
      </c>
      <c r="L1825" s="1" t="s">
        <v>7122</v>
      </c>
      <c r="M1825" s="1" t="s">
        <v>718</v>
      </c>
    </row>
    <row r="1826" customFormat="false" ht="15" hidden="false" customHeight="false" outlineLevel="0" collapsed="false">
      <c r="A1826" s="1" t="s">
        <v>8710</v>
      </c>
      <c r="B1826" s="1" t="s">
        <v>8711</v>
      </c>
      <c r="C1826" s="1" t="s">
        <v>8712</v>
      </c>
      <c r="D1826" s="2" t="n">
        <v>35496</v>
      </c>
      <c r="E1826" s="1" t="s">
        <v>710</v>
      </c>
      <c r="F1826" s="1" t="s">
        <v>4714</v>
      </c>
      <c r="G1826" s="1" t="s">
        <v>8713</v>
      </c>
      <c r="H1826" s="1" t="s">
        <v>2083</v>
      </c>
      <c r="I1826" s="1" t="s">
        <v>2084</v>
      </c>
      <c r="J1826" s="1" t="s">
        <v>8714</v>
      </c>
      <c r="K1826" s="1" t="s">
        <v>8715</v>
      </c>
      <c r="L1826" s="1" t="s">
        <v>8716</v>
      </c>
      <c r="M1826" s="1" t="s">
        <v>2083</v>
      </c>
    </row>
    <row r="1827" customFormat="false" ht="15" hidden="false" customHeight="false" outlineLevel="0" collapsed="false">
      <c r="A1827" s="1" t="s">
        <v>8717</v>
      </c>
      <c r="B1827" s="1" t="s">
        <v>8718</v>
      </c>
      <c r="C1827" s="1" t="s">
        <v>8719</v>
      </c>
      <c r="D1827" s="2" t="n">
        <v>36813</v>
      </c>
      <c r="E1827" s="1" t="s">
        <v>763</v>
      </c>
      <c r="F1827" s="1" t="s">
        <v>711</v>
      </c>
      <c r="G1827" s="1" t="s">
        <v>712</v>
      </c>
      <c r="H1827" s="1" t="s">
        <v>713</v>
      </c>
      <c r="I1827" s="1" t="s">
        <v>714</v>
      </c>
      <c r="J1827" s="1" t="s">
        <v>8720</v>
      </c>
      <c r="K1827" s="1" t="s">
        <v>8721</v>
      </c>
      <c r="L1827" s="1" t="s">
        <v>3342</v>
      </c>
      <c r="M1827" s="1" t="s">
        <v>718</v>
      </c>
    </row>
    <row r="1828" customFormat="false" ht="15" hidden="false" customHeight="false" outlineLevel="0" collapsed="false">
      <c r="A1828" s="1" t="s">
        <v>8722</v>
      </c>
      <c r="B1828" s="1" t="s">
        <v>8723</v>
      </c>
      <c r="C1828" s="1" t="s">
        <v>4388</v>
      </c>
      <c r="D1828" s="2" t="n">
        <v>36533</v>
      </c>
      <c r="E1828" s="1" t="s">
        <v>763</v>
      </c>
      <c r="F1828" s="1" t="s">
        <v>711</v>
      </c>
      <c r="G1828" s="1" t="s">
        <v>775</v>
      </c>
      <c r="H1828" s="1" t="s">
        <v>713</v>
      </c>
      <c r="I1828" s="1" t="s">
        <v>714</v>
      </c>
      <c r="J1828" s="1" t="s">
        <v>5272</v>
      </c>
      <c r="K1828" s="1" t="s">
        <v>8724</v>
      </c>
      <c r="L1828" s="1" t="s">
        <v>4391</v>
      </c>
      <c r="M1828" s="1" t="s">
        <v>718</v>
      </c>
    </row>
    <row r="1829" customFormat="false" ht="15" hidden="false" customHeight="false" outlineLevel="0" collapsed="false">
      <c r="A1829" s="1" t="s">
        <v>8725</v>
      </c>
      <c r="B1829" s="1" t="s">
        <v>8726</v>
      </c>
      <c r="C1829" s="1" t="s">
        <v>8727</v>
      </c>
      <c r="D1829" s="2" t="n">
        <v>31683</v>
      </c>
      <c r="E1829" s="1" t="s">
        <v>763</v>
      </c>
      <c r="F1829" s="1" t="s">
        <v>711</v>
      </c>
      <c r="G1829" s="1" t="s">
        <v>2386</v>
      </c>
      <c r="H1829" s="1" t="s">
        <v>2387</v>
      </c>
      <c r="I1829" s="1" t="s">
        <v>2388</v>
      </c>
      <c r="J1829" s="1" t="s">
        <v>716</v>
      </c>
      <c r="K1829" s="1" t="s">
        <v>716</v>
      </c>
      <c r="L1829" s="1" t="s">
        <v>1418</v>
      </c>
      <c r="M1829" s="1" t="s">
        <v>718</v>
      </c>
    </row>
    <row r="1830" customFormat="false" ht="15" hidden="false" customHeight="false" outlineLevel="0" collapsed="false">
      <c r="A1830" s="1" t="s">
        <v>8728</v>
      </c>
      <c r="B1830" s="1" t="s">
        <v>8729</v>
      </c>
      <c r="C1830" s="1" t="s">
        <v>8730</v>
      </c>
      <c r="D1830" s="2" t="n">
        <v>36649</v>
      </c>
      <c r="E1830" s="1" t="s">
        <v>710</v>
      </c>
      <c r="F1830" s="1" t="s">
        <v>711</v>
      </c>
      <c r="G1830" s="1" t="s">
        <v>722</v>
      </c>
      <c r="H1830" s="1" t="s">
        <v>713</v>
      </c>
      <c r="I1830" s="1" t="s">
        <v>714</v>
      </c>
      <c r="J1830" s="1" t="s">
        <v>8731</v>
      </c>
      <c r="K1830" s="1" t="s">
        <v>8732</v>
      </c>
      <c r="L1830" s="1" t="s">
        <v>8733</v>
      </c>
      <c r="M1830" s="1" t="s">
        <v>718</v>
      </c>
    </row>
    <row r="1831" customFormat="false" ht="15" hidden="false" customHeight="false" outlineLevel="0" collapsed="false">
      <c r="A1831" s="1" t="s">
        <v>8734</v>
      </c>
      <c r="B1831" s="1" t="s">
        <v>8735</v>
      </c>
      <c r="C1831" s="1" t="s">
        <v>8736</v>
      </c>
      <c r="D1831" s="2" t="n">
        <v>37157</v>
      </c>
      <c r="E1831" s="1" t="s">
        <v>763</v>
      </c>
      <c r="F1831" s="1" t="s">
        <v>711</v>
      </c>
      <c r="G1831" s="1" t="s">
        <v>5660</v>
      </c>
      <c r="H1831" s="1" t="s">
        <v>713</v>
      </c>
      <c r="I1831" s="1" t="s">
        <v>714</v>
      </c>
      <c r="J1831" s="1" t="s">
        <v>8737</v>
      </c>
      <c r="K1831" s="1" t="s">
        <v>8738</v>
      </c>
      <c r="L1831" s="1" t="s">
        <v>8739</v>
      </c>
      <c r="M1831" s="1" t="s">
        <v>718</v>
      </c>
    </row>
    <row r="1832" customFormat="false" ht="15" hidden="false" customHeight="false" outlineLevel="0" collapsed="false">
      <c r="A1832" s="1" t="s">
        <v>8740</v>
      </c>
      <c r="B1832" s="1" t="s">
        <v>8741</v>
      </c>
      <c r="C1832" s="1" t="s">
        <v>8742</v>
      </c>
      <c r="D1832" s="2" t="n">
        <v>37226</v>
      </c>
      <c r="E1832" s="1" t="s">
        <v>763</v>
      </c>
      <c r="F1832" s="1" t="s">
        <v>711</v>
      </c>
      <c r="G1832" s="1" t="s">
        <v>712</v>
      </c>
      <c r="H1832" s="1" t="s">
        <v>713</v>
      </c>
      <c r="I1832" s="1" t="s">
        <v>714</v>
      </c>
      <c r="J1832" s="1" t="s">
        <v>6740</v>
      </c>
      <c r="K1832" s="1" t="s">
        <v>8743</v>
      </c>
      <c r="L1832" s="1" t="s">
        <v>8744</v>
      </c>
      <c r="M1832" s="1" t="s">
        <v>718</v>
      </c>
    </row>
    <row r="1833" customFormat="false" ht="15" hidden="false" customHeight="false" outlineLevel="0" collapsed="false">
      <c r="A1833" s="1" t="s">
        <v>8745</v>
      </c>
      <c r="B1833" s="1" t="s">
        <v>8746</v>
      </c>
      <c r="C1833" s="1" t="s">
        <v>8736</v>
      </c>
      <c r="D1833" s="2" t="n">
        <v>36316</v>
      </c>
      <c r="E1833" s="1" t="s">
        <v>710</v>
      </c>
      <c r="F1833" s="1" t="s">
        <v>711</v>
      </c>
      <c r="G1833" s="1" t="s">
        <v>712</v>
      </c>
      <c r="H1833" s="1" t="s">
        <v>713</v>
      </c>
      <c r="I1833" s="1" t="s">
        <v>714</v>
      </c>
      <c r="J1833" s="1" t="s">
        <v>821</v>
      </c>
      <c r="K1833" s="1" t="s">
        <v>8738</v>
      </c>
      <c r="L1833" s="1" t="s">
        <v>8739</v>
      </c>
      <c r="M1833" s="1" t="s">
        <v>718</v>
      </c>
    </row>
    <row r="1834" customFormat="false" ht="15" hidden="false" customHeight="false" outlineLevel="0" collapsed="false">
      <c r="A1834" s="1" t="s">
        <v>8747</v>
      </c>
      <c r="B1834" s="1" t="s">
        <v>8748</v>
      </c>
      <c r="C1834" s="1" t="s">
        <v>8749</v>
      </c>
      <c r="D1834" s="2" t="n">
        <v>36438</v>
      </c>
      <c r="E1834" s="1" t="s">
        <v>710</v>
      </c>
      <c r="F1834" s="1" t="s">
        <v>711</v>
      </c>
      <c r="G1834" s="1" t="s">
        <v>712</v>
      </c>
      <c r="H1834" s="1" t="s">
        <v>713</v>
      </c>
      <c r="I1834" s="1" t="s">
        <v>714</v>
      </c>
      <c r="J1834" s="1" t="s">
        <v>8750</v>
      </c>
      <c r="K1834" s="1" t="s">
        <v>8751</v>
      </c>
      <c r="L1834" s="1" t="s">
        <v>8752</v>
      </c>
      <c r="M1834" s="1" t="s">
        <v>718</v>
      </c>
    </row>
    <row r="1835" customFormat="false" ht="15" hidden="false" customHeight="false" outlineLevel="0" collapsed="false">
      <c r="A1835" s="1" t="s">
        <v>8753</v>
      </c>
      <c r="B1835" s="1" t="s">
        <v>8754</v>
      </c>
      <c r="C1835" s="1" t="s">
        <v>8755</v>
      </c>
      <c r="D1835" s="2" t="n">
        <v>35790</v>
      </c>
      <c r="E1835" s="1" t="s">
        <v>763</v>
      </c>
      <c r="F1835" s="1" t="s">
        <v>711</v>
      </c>
      <c r="G1835" s="1" t="s">
        <v>5660</v>
      </c>
      <c r="H1835" s="1" t="s">
        <v>713</v>
      </c>
      <c r="I1835" s="1" t="s">
        <v>714</v>
      </c>
      <c r="J1835" s="1" t="s">
        <v>8756</v>
      </c>
      <c r="K1835" s="1" t="s">
        <v>8757</v>
      </c>
      <c r="L1835" s="1" t="s">
        <v>8758</v>
      </c>
      <c r="M1835" s="1" t="s">
        <v>718</v>
      </c>
    </row>
    <row r="1836" customFormat="false" ht="15" hidden="false" customHeight="false" outlineLevel="0" collapsed="false">
      <c r="A1836" s="1" t="s">
        <v>8759</v>
      </c>
      <c r="B1836" s="1" t="s">
        <v>8760</v>
      </c>
      <c r="C1836" s="1" t="s">
        <v>8755</v>
      </c>
      <c r="D1836" s="2" t="n">
        <v>36570</v>
      </c>
      <c r="E1836" s="1" t="s">
        <v>763</v>
      </c>
      <c r="F1836" s="1" t="s">
        <v>711</v>
      </c>
      <c r="G1836" s="1" t="s">
        <v>5660</v>
      </c>
      <c r="H1836" s="1" t="s">
        <v>713</v>
      </c>
      <c r="I1836" s="1" t="s">
        <v>714</v>
      </c>
      <c r="J1836" s="1" t="s">
        <v>928</v>
      </c>
      <c r="K1836" s="1" t="s">
        <v>8761</v>
      </c>
      <c r="L1836" s="1" t="s">
        <v>8762</v>
      </c>
      <c r="M1836" s="1" t="s">
        <v>718</v>
      </c>
    </row>
    <row r="1837" customFormat="false" ht="15" hidden="false" customHeight="false" outlineLevel="0" collapsed="false">
      <c r="A1837" s="1" t="s">
        <v>8763</v>
      </c>
      <c r="B1837" s="1" t="s">
        <v>8764</v>
      </c>
      <c r="C1837" s="1" t="s">
        <v>8730</v>
      </c>
      <c r="D1837" s="2" t="n">
        <v>37319</v>
      </c>
      <c r="E1837" s="1" t="s">
        <v>763</v>
      </c>
      <c r="F1837" s="1" t="s">
        <v>711</v>
      </c>
      <c r="G1837" s="1" t="s">
        <v>712</v>
      </c>
      <c r="H1837" s="1" t="s">
        <v>713</v>
      </c>
      <c r="I1837" s="1" t="s">
        <v>714</v>
      </c>
      <c r="J1837" s="1" t="s">
        <v>8765</v>
      </c>
      <c r="K1837" s="1" t="s">
        <v>8732</v>
      </c>
      <c r="L1837" s="1" t="s">
        <v>8733</v>
      </c>
      <c r="M1837" s="1" t="s">
        <v>718</v>
      </c>
    </row>
    <row r="1838" customFormat="false" ht="15" hidden="false" customHeight="false" outlineLevel="0" collapsed="false">
      <c r="A1838" s="1" t="s">
        <v>8766</v>
      </c>
      <c r="B1838" s="1" t="s">
        <v>8767</v>
      </c>
      <c r="C1838" s="1" t="s">
        <v>8768</v>
      </c>
      <c r="D1838" s="2" t="n">
        <v>37523</v>
      </c>
      <c r="E1838" s="1" t="s">
        <v>763</v>
      </c>
      <c r="F1838" s="1" t="s">
        <v>711</v>
      </c>
      <c r="G1838" s="1" t="s">
        <v>712</v>
      </c>
      <c r="H1838" s="1" t="s">
        <v>713</v>
      </c>
      <c r="I1838" s="1" t="s">
        <v>714</v>
      </c>
      <c r="J1838" s="1" t="s">
        <v>3678</v>
      </c>
      <c r="K1838" s="1" t="s">
        <v>8769</v>
      </c>
      <c r="L1838" s="1" t="s">
        <v>7209</v>
      </c>
      <c r="M1838" s="1" t="s">
        <v>718</v>
      </c>
    </row>
    <row r="1839" customFormat="false" ht="15" hidden="false" customHeight="false" outlineLevel="0" collapsed="false">
      <c r="A1839" s="1" t="s">
        <v>8770</v>
      </c>
      <c r="B1839" s="1" t="s">
        <v>7651</v>
      </c>
      <c r="C1839" s="1" t="s">
        <v>8771</v>
      </c>
      <c r="D1839" s="2" t="n">
        <v>35372</v>
      </c>
      <c r="E1839" s="1" t="s">
        <v>710</v>
      </c>
      <c r="F1839" s="1" t="s">
        <v>711</v>
      </c>
      <c r="G1839" s="1" t="s">
        <v>712</v>
      </c>
      <c r="H1839" s="1" t="s">
        <v>713</v>
      </c>
      <c r="I1839" s="1" t="s">
        <v>714</v>
      </c>
      <c r="J1839" s="1" t="s">
        <v>8772</v>
      </c>
      <c r="K1839" s="1" t="s">
        <v>8773</v>
      </c>
      <c r="L1839" s="1" t="s">
        <v>8774</v>
      </c>
      <c r="M1839" s="1" t="s">
        <v>718</v>
      </c>
    </row>
    <row r="1840" customFormat="false" ht="15" hidden="false" customHeight="false" outlineLevel="0" collapsed="false">
      <c r="A1840" s="1" t="s">
        <v>8775</v>
      </c>
      <c r="B1840" s="1" t="s">
        <v>8776</v>
      </c>
      <c r="C1840" s="1" t="s">
        <v>7206</v>
      </c>
      <c r="D1840" s="2" t="n">
        <v>37301</v>
      </c>
      <c r="E1840" s="1" t="s">
        <v>710</v>
      </c>
      <c r="F1840" s="1" t="s">
        <v>711</v>
      </c>
      <c r="G1840" s="1" t="s">
        <v>712</v>
      </c>
      <c r="H1840" s="1" t="s">
        <v>713</v>
      </c>
      <c r="I1840" s="1" t="s">
        <v>714</v>
      </c>
      <c r="J1840" s="1" t="s">
        <v>3678</v>
      </c>
      <c r="K1840" s="1" t="s">
        <v>8769</v>
      </c>
      <c r="L1840" s="1" t="s">
        <v>7209</v>
      </c>
      <c r="M1840" s="1" t="s">
        <v>718</v>
      </c>
    </row>
    <row r="1841" customFormat="false" ht="15" hidden="false" customHeight="false" outlineLevel="0" collapsed="false">
      <c r="A1841" s="1" t="s">
        <v>8777</v>
      </c>
      <c r="B1841" s="1" t="s">
        <v>3194</v>
      </c>
      <c r="C1841" s="1" t="s">
        <v>8778</v>
      </c>
      <c r="D1841" s="2" t="n">
        <v>35915</v>
      </c>
      <c r="E1841" s="1" t="s">
        <v>710</v>
      </c>
      <c r="F1841" s="1" t="s">
        <v>711</v>
      </c>
      <c r="G1841" s="1" t="s">
        <v>712</v>
      </c>
      <c r="H1841" s="1" t="s">
        <v>713</v>
      </c>
      <c r="I1841" s="1" t="s">
        <v>714</v>
      </c>
      <c r="J1841" s="1" t="s">
        <v>3678</v>
      </c>
      <c r="K1841" s="1" t="s">
        <v>8779</v>
      </c>
      <c r="L1841" s="1" t="s">
        <v>8780</v>
      </c>
      <c r="M1841" s="1" t="s">
        <v>718</v>
      </c>
    </row>
    <row r="1842" customFormat="false" ht="15" hidden="false" customHeight="false" outlineLevel="0" collapsed="false">
      <c r="A1842" s="1" t="s">
        <v>8781</v>
      </c>
      <c r="B1842" s="1" t="s">
        <v>8782</v>
      </c>
      <c r="C1842" s="1" t="s">
        <v>8783</v>
      </c>
      <c r="D1842" s="2" t="n">
        <v>34089</v>
      </c>
      <c r="E1842" s="1" t="s">
        <v>710</v>
      </c>
      <c r="F1842" s="1" t="s">
        <v>711</v>
      </c>
      <c r="G1842" s="1" t="s">
        <v>722</v>
      </c>
      <c r="H1842" s="1" t="s">
        <v>713</v>
      </c>
      <c r="I1842" s="1" t="s">
        <v>714</v>
      </c>
      <c r="J1842" s="1" t="s">
        <v>716</v>
      </c>
      <c r="K1842" s="1" t="s">
        <v>716</v>
      </c>
      <c r="L1842" s="1" t="s">
        <v>1418</v>
      </c>
      <c r="M1842" s="1" t="s">
        <v>718</v>
      </c>
    </row>
    <row r="1843" customFormat="false" ht="15" hidden="false" customHeight="false" outlineLevel="0" collapsed="false">
      <c r="A1843" s="1" t="s">
        <v>8784</v>
      </c>
      <c r="B1843" s="1" t="s">
        <v>8785</v>
      </c>
      <c r="C1843" s="1" t="s">
        <v>8786</v>
      </c>
      <c r="D1843" s="2" t="n">
        <v>28411</v>
      </c>
      <c r="E1843" s="1" t="s">
        <v>763</v>
      </c>
      <c r="F1843" s="1" t="s">
        <v>711</v>
      </c>
      <c r="G1843" s="1" t="s">
        <v>722</v>
      </c>
      <c r="H1843" s="1" t="s">
        <v>713</v>
      </c>
      <c r="I1843" s="1" t="s">
        <v>714</v>
      </c>
      <c r="J1843" s="1" t="s">
        <v>716</v>
      </c>
      <c r="K1843" s="1" t="s">
        <v>716</v>
      </c>
      <c r="L1843" s="1" t="s">
        <v>1418</v>
      </c>
      <c r="M1843" s="1" t="s">
        <v>718</v>
      </c>
    </row>
    <row r="1844" customFormat="false" ht="15" hidden="false" customHeight="false" outlineLevel="0" collapsed="false">
      <c r="A1844" s="1" t="s">
        <v>8787</v>
      </c>
      <c r="B1844" s="1" t="s">
        <v>8788</v>
      </c>
      <c r="C1844" s="1" t="s">
        <v>8789</v>
      </c>
      <c r="D1844" s="2" t="n">
        <v>24371</v>
      </c>
      <c r="E1844" s="1" t="s">
        <v>710</v>
      </c>
      <c r="F1844" s="1" t="s">
        <v>711</v>
      </c>
      <c r="G1844" s="1" t="s">
        <v>722</v>
      </c>
      <c r="H1844" s="1" t="s">
        <v>713</v>
      </c>
      <c r="I1844" s="1" t="s">
        <v>714</v>
      </c>
      <c r="J1844" s="1" t="s">
        <v>716</v>
      </c>
      <c r="K1844" s="1" t="s">
        <v>716</v>
      </c>
      <c r="L1844" s="1" t="s">
        <v>1418</v>
      </c>
      <c r="M1844" s="1" t="s">
        <v>718</v>
      </c>
    </row>
    <row r="1845" customFormat="false" ht="15" hidden="false" customHeight="false" outlineLevel="0" collapsed="false">
      <c r="A1845" s="1" t="s">
        <v>8790</v>
      </c>
      <c r="B1845" s="1" t="s">
        <v>8791</v>
      </c>
      <c r="C1845" s="1" t="s">
        <v>8792</v>
      </c>
      <c r="D1845" s="2" t="n">
        <v>34795</v>
      </c>
      <c r="E1845" s="1" t="s">
        <v>710</v>
      </c>
      <c r="F1845" s="1" t="s">
        <v>711</v>
      </c>
      <c r="G1845" s="1" t="s">
        <v>8793</v>
      </c>
      <c r="H1845" s="1" t="s">
        <v>713</v>
      </c>
      <c r="I1845" s="1" t="s">
        <v>714</v>
      </c>
      <c r="J1845" s="1" t="s">
        <v>7653</v>
      </c>
      <c r="K1845" s="1" t="s">
        <v>7653</v>
      </c>
      <c r="L1845" s="1" t="s">
        <v>834</v>
      </c>
      <c r="M1845" s="1" t="s">
        <v>718</v>
      </c>
    </row>
    <row r="1846" customFormat="false" ht="15" hidden="false" customHeight="false" outlineLevel="0" collapsed="false">
      <c r="A1846" s="1" t="s">
        <v>8794</v>
      </c>
      <c r="B1846" s="1" t="s">
        <v>2451</v>
      </c>
      <c r="C1846" s="1" t="s">
        <v>8795</v>
      </c>
      <c r="D1846" s="2" t="n">
        <v>35268</v>
      </c>
      <c r="E1846" s="1" t="s">
        <v>710</v>
      </c>
      <c r="F1846" s="1" t="s">
        <v>711</v>
      </c>
      <c r="G1846" s="1" t="s">
        <v>712</v>
      </c>
      <c r="H1846" s="1" t="s">
        <v>713</v>
      </c>
      <c r="I1846" s="1" t="s">
        <v>714</v>
      </c>
      <c r="J1846" s="1" t="s">
        <v>1723</v>
      </c>
      <c r="K1846" s="1" t="s">
        <v>8425</v>
      </c>
      <c r="L1846" s="1" t="s">
        <v>782</v>
      </c>
      <c r="M1846" s="1" t="s">
        <v>718</v>
      </c>
    </row>
    <row r="1847" customFormat="false" ht="15" hidden="false" customHeight="false" outlineLevel="0" collapsed="false">
      <c r="A1847" s="1" t="s">
        <v>8796</v>
      </c>
      <c r="B1847" s="1" t="s">
        <v>4104</v>
      </c>
      <c r="C1847" s="1" t="s">
        <v>8797</v>
      </c>
      <c r="D1847" s="2" t="n">
        <v>36557</v>
      </c>
      <c r="E1847" s="1" t="s">
        <v>763</v>
      </c>
      <c r="F1847" s="1" t="s">
        <v>711</v>
      </c>
      <c r="G1847" s="1" t="s">
        <v>1220</v>
      </c>
      <c r="H1847" s="1" t="s">
        <v>713</v>
      </c>
      <c r="I1847" s="1" t="s">
        <v>714</v>
      </c>
      <c r="J1847" s="1" t="s">
        <v>751</v>
      </c>
      <c r="K1847" s="1" t="s">
        <v>8798</v>
      </c>
      <c r="L1847" s="1" t="s">
        <v>8799</v>
      </c>
      <c r="M1847" s="1" t="s">
        <v>718</v>
      </c>
    </row>
    <row r="1848" customFormat="false" ht="15" hidden="false" customHeight="false" outlineLevel="0" collapsed="false">
      <c r="A1848" s="1" t="s">
        <v>8800</v>
      </c>
      <c r="B1848" s="1" t="s">
        <v>8801</v>
      </c>
      <c r="C1848" s="1" t="s">
        <v>7206</v>
      </c>
      <c r="D1848" s="2" t="n">
        <v>34152</v>
      </c>
      <c r="E1848" s="1" t="s">
        <v>763</v>
      </c>
      <c r="F1848" s="1" t="s">
        <v>711</v>
      </c>
      <c r="G1848" s="1" t="s">
        <v>712</v>
      </c>
      <c r="H1848" s="1" t="s">
        <v>713</v>
      </c>
      <c r="I1848" s="1" t="s">
        <v>714</v>
      </c>
      <c r="J1848" s="1" t="s">
        <v>716</v>
      </c>
      <c r="K1848" s="1" t="s">
        <v>716</v>
      </c>
      <c r="L1848" s="1" t="s">
        <v>1418</v>
      </c>
      <c r="M1848" s="1" t="s">
        <v>718</v>
      </c>
    </row>
    <row r="1849" customFormat="false" ht="15" hidden="false" customHeight="false" outlineLevel="0" collapsed="false">
      <c r="A1849" s="1" t="s">
        <v>8802</v>
      </c>
      <c r="B1849" s="1" t="s">
        <v>8803</v>
      </c>
      <c r="C1849" s="1" t="s">
        <v>3118</v>
      </c>
      <c r="D1849" s="2" t="n">
        <v>37192</v>
      </c>
      <c r="E1849" s="1" t="s">
        <v>763</v>
      </c>
      <c r="F1849" s="1" t="s">
        <v>711</v>
      </c>
      <c r="G1849" s="1" t="s">
        <v>722</v>
      </c>
      <c r="H1849" s="1" t="s">
        <v>713</v>
      </c>
      <c r="I1849" s="1" t="s">
        <v>714</v>
      </c>
      <c r="J1849" s="1" t="s">
        <v>1244</v>
      </c>
      <c r="K1849" s="1" t="s">
        <v>8804</v>
      </c>
      <c r="L1849" s="1" t="s">
        <v>1418</v>
      </c>
      <c r="M1849" s="1" t="s">
        <v>718</v>
      </c>
    </row>
    <row r="1850" customFormat="false" ht="15" hidden="false" customHeight="false" outlineLevel="0" collapsed="false">
      <c r="A1850" s="1" t="s">
        <v>8805</v>
      </c>
      <c r="B1850" s="1" t="s">
        <v>8101</v>
      </c>
      <c r="C1850" s="1" t="s">
        <v>8806</v>
      </c>
      <c r="D1850" s="2" t="n">
        <v>37239</v>
      </c>
      <c r="E1850" s="1" t="s">
        <v>763</v>
      </c>
      <c r="F1850" s="1" t="s">
        <v>711</v>
      </c>
      <c r="G1850" s="1" t="s">
        <v>722</v>
      </c>
      <c r="H1850" s="1" t="s">
        <v>713</v>
      </c>
      <c r="I1850" s="1" t="s">
        <v>714</v>
      </c>
      <c r="J1850" s="1" t="s">
        <v>821</v>
      </c>
      <c r="K1850" s="1" t="s">
        <v>8807</v>
      </c>
      <c r="L1850" s="1" t="s">
        <v>8808</v>
      </c>
      <c r="M1850" s="1" t="s">
        <v>718</v>
      </c>
    </row>
    <row r="1851" customFormat="false" ht="15" hidden="false" customHeight="false" outlineLevel="0" collapsed="false">
      <c r="A1851" s="1" t="s">
        <v>8809</v>
      </c>
      <c r="B1851" s="1" t="s">
        <v>8810</v>
      </c>
      <c r="C1851" s="1" t="s">
        <v>8811</v>
      </c>
      <c r="D1851" s="2" t="n">
        <v>29352</v>
      </c>
      <c r="E1851" s="1" t="s">
        <v>763</v>
      </c>
      <c r="F1851" s="1" t="s">
        <v>711</v>
      </c>
      <c r="G1851" s="1" t="s">
        <v>712</v>
      </c>
      <c r="H1851" s="1" t="s">
        <v>713</v>
      </c>
      <c r="I1851" s="1" t="s">
        <v>714</v>
      </c>
      <c r="J1851" s="1" t="s">
        <v>716</v>
      </c>
      <c r="K1851" s="1" t="s">
        <v>716</v>
      </c>
      <c r="L1851" s="1" t="s">
        <v>1418</v>
      </c>
      <c r="M1851" s="1" t="s">
        <v>718</v>
      </c>
    </row>
    <row r="1852" customFormat="false" ht="15" hidden="false" customHeight="false" outlineLevel="0" collapsed="false">
      <c r="A1852" s="1" t="s">
        <v>8812</v>
      </c>
      <c r="B1852" s="1" t="s">
        <v>8813</v>
      </c>
      <c r="C1852" s="1" t="s">
        <v>8814</v>
      </c>
      <c r="D1852" s="2" t="n">
        <v>33574</v>
      </c>
      <c r="E1852" s="1" t="s">
        <v>763</v>
      </c>
      <c r="F1852" s="1" t="s">
        <v>711</v>
      </c>
      <c r="G1852" s="1" t="s">
        <v>722</v>
      </c>
      <c r="H1852" s="1" t="s">
        <v>713</v>
      </c>
      <c r="I1852" s="1" t="s">
        <v>714</v>
      </c>
      <c r="J1852" s="1" t="s">
        <v>716</v>
      </c>
      <c r="K1852" s="1" t="s">
        <v>716</v>
      </c>
      <c r="L1852" s="1" t="s">
        <v>1418</v>
      </c>
      <c r="M1852" s="1" t="s">
        <v>718</v>
      </c>
    </row>
    <row r="1853" customFormat="false" ht="15" hidden="false" customHeight="false" outlineLevel="0" collapsed="false">
      <c r="A1853" s="1" t="s">
        <v>8815</v>
      </c>
      <c r="B1853" s="1" t="s">
        <v>8816</v>
      </c>
      <c r="C1853" s="1" t="s">
        <v>7206</v>
      </c>
      <c r="D1853" s="2" t="n">
        <v>33321</v>
      </c>
      <c r="E1853" s="1" t="s">
        <v>763</v>
      </c>
      <c r="F1853" s="1" t="s">
        <v>711</v>
      </c>
      <c r="G1853" s="1" t="s">
        <v>712</v>
      </c>
      <c r="H1853" s="1" t="s">
        <v>713</v>
      </c>
      <c r="I1853" s="1" t="s">
        <v>714</v>
      </c>
      <c r="J1853" s="1" t="s">
        <v>716</v>
      </c>
      <c r="K1853" s="1" t="s">
        <v>716</v>
      </c>
      <c r="L1853" s="1" t="s">
        <v>1418</v>
      </c>
      <c r="M1853" s="1" t="s">
        <v>718</v>
      </c>
    </row>
    <row r="1854" customFormat="false" ht="15" hidden="false" customHeight="false" outlineLevel="0" collapsed="false">
      <c r="A1854" s="1" t="s">
        <v>8817</v>
      </c>
      <c r="B1854" s="1" t="s">
        <v>8818</v>
      </c>
      <c r="C1854" s="1" t="s">
        <v>8819</v>
      </c>
      <c r="D1854" s="2" t="n">
        <v>33869</v>
      </c>
      <c r="E1854" s="1" t="s">
        <v>763</v>
      </c>
      <c r="F1854" s="1" t="s">
        <v>711</v>
      </c>
      <c r="G1854" s="1" t="s">
        <v>712</v>
      </c>
      <c r="H1854" s="1" t="s">
        <v>713</v>
      </c>
      <c r="I1854" s="1" t="s">
        <v>714</v>
      </c>
      <c r="J1854" s="1" t="s">
        <v>716</v>
      </c>
      <c r="K1854" s="1" t="s">
        <v>716</v>
      </c>
      <c r="L1854" s="1" t="s">
        <v>1418</v>
      </c>
      <c r="M1854" s="1" t="s">
        <v>718</v>
      </c>
    </row>
    <row r="1855" customFormat="false" ht="15" hidden="false" customHeight="false" outlineLevel="0" collapsed="false">
      <c r="A1855" s="1" t="s">
        <v>8820</v>
      </c>
      <c r="B1855" s="1" t="s">
        <v>8821</v>
      </c>
      <c r="C1855" s="1" t="s">
        <v>8822</v>
      </c>
      <c r="D1855" s="2" t="n">
        <v>33872</v>
      </c>
      <c r="E1855" s="1" t="s">
        <v>710</v>
      </c>
      <c r="F1855" s="1" t="s">
        <v>711</v>
      </c>
      <c r="G1855" s="1" t="s">
        <v>712</v>
      </c>
      <c r="H1855" s="1" t="s">
        <v>713</v>
      </c>
      <c r="I1855" s="1" t="s">
        <v>714</v>
      </c>
      <c r="J1855" s="1" t="s">
        <v>8823</v>
      </c>
      <c r="K1855" s="1" t="s">
        <v>8824</v>
      </c>
      <c r="L1855" s="1" t="s">
        <v>1418</v>
      </c>
      <c r="M1855" s="1" t="s">
        <v>718</v>
      </c>
    </row>
    <row r="1856" customFormat="false" ht="15" hidden="false" customHeight="false" outlineLevel="0" collapsed="false">
      <c r="A1856" s="1" t="s">
        <v>8825</v>
      </c>
      <c r="B1856" s="1" t="s">
        <v>8826</v>
      </c>
      <c r="C1856" s="1" t="s">
        <v>8827</v>
      </c>
      <c r="D1856" s="2" t="n">
        <v>33164</v>
      </c>
      <c r="E1856" s="1" t="s">
        <v>710</v>
      </c>
      <c r="F1856" s="1" t="s">
        <v>711</v>
      </c>
      <c r="G1856" s="1" t="s">
        <v>722</v>
      </c>
      <c r="H1856" s="1" t="s">
        <v>713</v>
      </c>
      <c r="I1856" s="1" t="s">
        <v>714</v>
      </c>
      <c r="J1856" s="1" t="s">
        <v>7653</v>
      </c>
      <c r="K1856" s="1" t="s">
        <v>7653</v>
      </c>
      <c r="L1856" s="1" t="s">
        <v>834</v>
      </c>
      <c r="M1856" s="1" t="s">
        <v>718</v>
      </c>
    </row>
    <row r="1857" customFormat="false" ht="15" hidden="false" customHeight="false" outlineLevel="0" collapsed="false">
      <c r="A1857" s="1" t="s">
        <v>8828</v>
      </c>
      <c r="B1857" s="1" t="s">
        <v>8829</v>
      </c>
      <c r="C1857" s="1" t="s">
        <v>8830</v>
      </c>
      <c r="D1857" s="2" t="n">
        <v>32774</v>
      </c>
      <c r="E1857" s="1" t="s">
        <v>710</v>
      </c>
      <c r="F1857" s="1" t="s">
        <v>711</v>
      </c>
      <c r="G1857" s="1" t="s">
        <v>712</v>
      </c>
      <c r="H1857" s="1" t="s">
        <v>713</v>
      </c>
      <c r="I1857" s="1" t="s">
        <v>714</v>
      </c>
      <c r="J1857" s="1" t="s">
        <v>716</v>
      </c>
      <c r="K1857" s="1" t="s">
        <v>716</v>
      </c>
      <c r="L1857" s="1" t="s">
        <v>1418</v>
      </c>
      <c r="M1857" s="1" t="s">
        <v>718</v>
      </c>
    </row>
    <row r="1858" customFormat="false" ht="15" hidden="false" customHeight="false" outlineLevel="0" collapsed="false">
      <c r="A1858" s="1" t="s">
        <v>8831</v>
      </c>
      <c r="B1858" s="1" t="s">
        <v>8832</v>
      </c>
      <c r="C1858" s="1" t="s">
        <v>8833</v>
      </c>
      <c r="D1858" s="2" t="n">
        <v>32529</v>
      </c>
      <c r="E1858" s="1" t="s">
        <v>710</v>
      </c>
      <c r="F1858" s="1" t="s">
        <v>711</v>
      </c>
      <c r="G1858" s="1" t="s">
        <v>722</v>
      </c>
      <c r="H1858" s="1" t="s">
        <v>713</v>
      </c>
      <c r="I1858" s="1" t="s">
        <v>714</v>
      </c>
      <c r="J1858" s="1" t="s">
        <v>716</v>
      </c>
      <c r="K1858" s="1" t="s">
        <v>716</v>
      </c>
      <c r="L1858" s="1" t="s">
        <v>1418</v>
      </c>
      <c r="M1858" s="1" t="s">
        <v>718</v>
      </c>
    </row>
    <row r="1859" customFormat="false" ht="15" hidden="false" customHeight="false" outlineLevel="0" collapsed="false">
      <c r="A1859" s="1" t="s">
        <v>8834</v>
      </c>
      <c r="B1859" s="1" t="s">
        <v>8835</v>
      </c>
      <c r="C1859" s="1" t="s">
        <v>8836</v>
      </c>
      <c r="D1859" s="2" t="n">
        <v>33879</v>
      </c>
      <c r="E1859" s="1" t="s">
        <v>763</v>
      </c>
      <c r="F1859" s="1" t="s">
        <v>711</v>
      </c>
      <c r="G1859" s="1" t="s">
        <v>722</v>
      </c>
      <c r="H1859" s="1" t="s">
        <v>713</v>
      </c>
      <c r="I1859" s="1" t="s">
        <v>714</v>
      </c>
      <c r="J1859" s="1" t="s">
        <v>716</v>
      </c>
      <c r="K1859" s="1" t="s">
        <v>716</v>
      </c>
      <c r="L1859" s="1" t="s">
        <v>1418</v>
      </c>
      <c r="M1859" s="1" t="s">
        <v>718</v>
      </c>
    </row>
    <row r="1860" customFormat="false" ht="15" hidden="false" customHeight="false" outlineLevel="0" collapsed="false">
      <c r="A1860" s="1" t="s">
        <v>8837</v>
      </c>
      <c r="B1860" s="1" t="s">
        <v>2614</v>
      </c>
      <c r="C1860" s="1" t="s">
        <v>8838</v>
      </c>
      <c r="D1860" s="2" t="n">
        <v>34163</v>
      </c>
      <c r="E1860" s="1" t="s">
        <v>763</v>
      </c>
      <c r="F1860" s="1" t="s">
        <v>711</v>
      </c>
      <c r="G1860" s="1" t="s">
        <v>722</v>
      </c>
      <c r="H1860" s="1" t="s">
        <v>713</v>
      </c>
      <c r="I1860" s="1" t="s">
        <v>714</v>
      </c>
      <c r="J1860" s="1" t="s">
        <v>716</v>
      </c>
      <c r="K1860" s="1" t="s">
        <v>716</v>
      </c>
      <c r="L1860" s="1" t="s">
        <v>1418</v>
      </c>
      <c r="M1860" s="1" t="s">
        <v>718</v>
      </c>
    </row>
    <row r="1861" customFormat="false" ht="15" hidden="false" customHeight="false" outlineLevel="0" collapsed="false">
      <c r="A1861" s="1" t="s">
        <v>8839</v>
      </c>
      <c r="B1861" s="1" t="s">
        <v>8840</v>
      </c>
      <c r="C1861" s="1" t="s">
        <v>8841</v>
      </c>
      <c r="D1861" s="2" t="n">
        <v>37522</v>
      </c>
      <c r="E1861" s="1" t="s">
        <v>763</v>
      </c>
      <c r="F1861" s="1" t="s">
        <v>711</v>
      </c>
      <c r="G1861" s="1" t="s">
        <v>8842</v>
      </c>
      <c r="H1861" s="1" t="s">
        <v>2387</v>
      </c>
      <c r="I1861" s="1" t="s">
        <v>2388</v>
      </c>
      <c r="J1861" s="1" t="s">
        <v>928</v>
      </c>
      <c r="K1861" s="1" t="s">
        <v>8843</v>
      </c>
      <c r="L1861" s="1" t="s">
        <v>8844</v>
      </c>
      <c r="M1861" s="1" t="s">
        <v>718</v>
      </c>
    </row>
    <row r="1862" customFormat="false" ht="15" hidden="false" customHeight="false" outlineLevel="0" collapsed="false">
      <c r="A1862" s="1" t="s">
        <v>8845</v>
      </c>
      <c r="B1862" s="1" t="s">
        <v>8846</v>
      </c>
      <c r="C1862" s="1" t="s">
        <v>4605</v>
      </c>
      <c r="D1862" s="2" t="n">
        <v>36876</v>
      </c>
      <c r="E1862" s="1" t="s">
        <v>763</v>
      </c>
      <c r="F1862" s="1" t="s">
        <v>711</v>
      </c>
      <c r="G1862" s="1" t="s">
        <v>712</v>
      </c>
      <c r="H1862" s="1" t="s">
        <v>713</v>
      </c>
      <c r="I1862" s="1" t="s">
        <v>714</v>
      </c>
      <c r="J1862" s="1" t="s">
        <v>8847</v>
      </c>
      <c r="K1862" s="1" t="s">
        <v>8848</v>
      </c>
      <c r="L1862" s="1" t="s">
        <v>8849</v>
      </c>
      <c r="M1862" s="1" t="s">
        <v>718</v>
      </c>
    </row>
    <row r="1863" customFormat="false" ht="15" hidden="false" customHeight="false" outlineLevel="0" collapsed="false">
      <c r="A1863" s="1" t="s">
        <v>8850</v>
      </c>
      <c r="B1863" s="1" t="s">
        <v>8851</v>
      </c>
      <c r="C1863" s="1" t="s">
        <v>4107</v>
      </c>
      <c r="D1863" s="2" t="n">
        <v>36672</v>
      </c>
      <c r="E1863" s="1" t="s">
        <v>763</v>
      </c>
      <c r="F1863" s="1" t="s">
        <v>711</v>
      </c>
      <c r="G1863" s="1" t="s">
        <v>722</v>
      </c>
      <c r="H1863" s="1" t="s">
        <v>713</v>
      </c>
      <c r="I1863" s="1" t="s">
        <v>714</v>
      </c>
      <c r="J1863" s="1" t="s">
        <v>751</v>
      </c>
      <c r="K1863" s="1" t="s">
        <v>716</v>
      </c>
      <c r="L1863" s="1" t="s">
        <v>8799</v>
      </c>
      <c r="M1863" s="1" t="s">
        <v>718</v>
      </c>
    </row>
    <row r="1864" customFormat="false" ht="15" hidden="false" customHeight="false" outlineLevel="0" collapsed="false">
      <c r="A1864" s="1" t="s">
        <v>8852</v>
      </c>
      <c r="B1864" s="1" t="s">
        <v>4790</v>
      </c>
      <c r="C1864" s="1" t="s">
        <v>6650</v>
      </c>
      <c r="D1864" s="2" t="n">
        <v>35644</v>
      </c>
      <c r="E1864" s="1" t="s">
        <v>710</v>
      </c>
      <c r="F1864" s="1" t="s">
        <v>711</v>
      </c>
      <c r="G1864" s="1" t="s">
        <v>712</v>
      </c>
      <c r="H1864" s="1" t="s">
        <v>713</v>
      </c>
      <c r="I1864" s="1" t="s">
        <v>714</v>
      </c>
      <c r="J1864" s="1" t="s">
        <v>8853</v>
      </c>
      <c r="K1864" s="1" t="s">
        <v>716</v>
      </c>
      <c r="L1864" s="1" t="s">
        <v>8854</v>
      </c>
      <c r="M1864" s="1" t="s">
        <v>718</v>
      </c>
    </row>
    <row r="1865" customFormat="false" ht="15" hidden="false" customHeight="false" outlineLevel="0" collapsed="false">
      <c r="A1865" s="1" t="s">
        <v>8855</v>
      </c>
      <c r="B1865" s="1" t="s">
        <v>8856</v>
      </c>
      <c r="C1865" s="1" t="s">
        <v>8857</v>
      </c>
      <c r="D1865" s="2" t="n">
        <v>32879</v>
      </c>
      <c r="E1865" s="1" t="s">
        <v>710</v>
      </c>
      <c r="F1865" s="1" t="s">
        <v>711</v>
      </c>
      <c r="G1865" s="1" t="s">
        <v>712</v>
      </c>
      <c r="H1865" s="1" t="s">
        <v>713</v>
      </c>
      <c r="I1865" s="1" t="s">
        <v>714</v>
      </c>
      <c r="J1865" s="1" t="s">
        <v>716</v>
      </c>
      <c r="K1865" s="1" t="s">
        <v>716</v>
      </c>
      <c r="L1865" s="1" t="s">
        <v>1418</v>
      </c>
      <c r="M1865" s="1" t="s">
        <v>718</v>
      </c>
    </row>
    <row r="1866" customFormat="false" ht="15" hidden="false" customHeight="false" outlineLevel="0" collapsed="false">
      <c r="A1866" s="1" t="s">
        <v>8858</v>
      </c>
      <c r="B1866" s="1" t="s">
        <v>879</v>
      </c>
      <c r="C1866" s="1" t="s">
        <v>8859</v>
      </c>
      <c r="D1866" s="2" t="n">
        <v>33237</v>
      </c>
      <c r="E1866" s="1" t="s">
        <v>710</v>
      </c>
      <c r="F1866" s="1" t="s">
        <v>711</v>
      </c>
      <c r="G1866" s="1" t="s">
        <v>712</v>
      </c>
      <c r="H1866" s="1" t="s">
        <v>713</v>
      </c>
      <c r="I1866" s="1" t="s">
        <v>714</v>
      </c>
      <c r="J1866" s="1" t="s">
        <v>7653</v>
      </c>
      <c r="K1866" s="1" t="s">
        <v>7653</v>
      </c>
      <c r="L1866" s="1" t="s">
        <v>834</v>
      </c>
      <c r="M1866" s="1" t="s">
        <v>718</v>
      </c>
    </row>
    <row r="1867" customFormat="false" ht="15" hidden="false" customHeight="false" outlineLevel="0" collapsed="false">
      <c r="A1867" s="1" t="s">
        <v>8860</v>
      </c>
      <c r="B1867" s="1" t="s">
        <v>8861</v>
      </c>
      <c r="C1867" s="1" t="s">
        <v>5238</v>
      </c>
      <c r="D1867" s="2" t="n">
        <v>33850</v>
      </c>
      <c r="E1867" s="1" t="s">
        <v>763</v>
      </c>
      <c r="F1867" s="1" t="s">
        <v>711</v>
      </c>
      <c r="G1867" s="1" t="s">
        <v>712</v>
      </c>
      <c r="H1867" s="1" t="s">
        <v>713</v>
      </c>
      <c r="I1867" s="1" t="s">
        <v>714</v>
      </c>
      <c r="J1867" s="1" t="s">
        <v>716</v>
      </c>
      <c r="K1867" s="1" t="s">
        <v>716</v>
      </c>
      <c r="L1867" s="1" t="s">
        <v>1418</v>
      </c>
      <c r="M1867" s="1" t="s">
        <v>718</v>
      </c>
    </row>
    <row r="1868" customFormat="false" ht="15" hidden="false" customHeight="false" outlineLevel="0" collapsed="false">
      <c r="A1868" s="1" t="s">
        <v>8862</v>
      </c>
      <c r="B1868" s="1" t="s">
        <v>8863</v>
      </c>
      <c r="C1868" s="1" t="s">
        <v>8864</v>
      </c>
      <c r="D1868" s="2" t="n">
        <v>33801</v>
      </c>
      <c r="E1868" s="1" t="s">
        <v>763</v>
      </c>
      <c r="F1868" s="1" t="s">
        <v>711</v>
      </c>
      <c r="G1868" s="1" t="s">
        <v>712</v>
      </c>
      <c r="H1868" s="1" t="s">
        <v>713</v>
      </c>
      <c r="I1868" s="1" t="s">
        <v>714</v>
      </c>
      <c r="J1868" s="1" t="s">
        <v>716</v>
      </c>
      <c r="K1868" s="1" t="s">
        <v>716</v>
      </c>
      <c r="L1868" s="1" t="s">
        <v>1418</v>
      </c>
      <c r="M1868" s="1" t="s">
        <v>718</v>
      </c>
    </row>
    <row r="1869" customFormat="false" ht="15" hidden="false" customHeight="false" outlineLevel="0" collapsed="false">
      <c r="A1869" s="1" t="s">
        <v>8865</v>
      </c>
      <c r="B1869" s="1" t="s">
        <v>3827</v>
      </c>
      <c r="C1869" s="1" t="s">
        <v>1059</v>
      </c>
      <c r="D1869" s="2" t="n">
        <v>29691</v>
      </c>
      <c r="E1869" s="1" t="s">
        <v>710</v>
      </c>
      <c r="F1869" s="1" t="s">
        <v>711</v>
      </c>
      <c r="G1869" s="1" t="s">
        <v>712</v>
      </c>
      <c r="H1869" s="1" t="s">
        <v>713</v>
      </c>
      <c r="I1869" s="1" t="s">
        <v>714</v>
      </c>
      <c r="J1869" s="1" t="s">
        <v>716</v>
      </c>
      <c r="K1869" s="1" t="s">
        <v>716</v>
      </c>
      <c r="L1869" s="1" t="s">
        <v>1418</v>
      </c>
      <c r="M1869" s="1" t="s">
        <v>718</v>
      </c>
    </row>
    <row r="1870" customFormat="false" ht="15" hidden="false" customHeight="false" outlineLevel="0" collapsed="false">
      <c r="A1870" s="1" t="s">
        <v>8866</v>
      </c>
      <c r="B1870" s="1" t="s">
        <v>8867</v>
      </c>
      <c r="C1870" s="1" t="s">
        <v>3364</v>
      </c>
      <c r="D1870" s="2" t="n">
        <v>32854</v>
      </c>
      <c r="E1870" s="1" t="s">
        <v>763</v>
      </c>
      <c r="F1870" s="1" t="s">
        <v>711</v>
      </c>
      <c r="G1870" s="1" t="s">
        <v>712</v>
      </c>
      <c r="H1870" s="1" t="s">
        <v>713</v>
      </c>
      <c r="I1870" s="1" t="s">
        <v>714</v>
      </c>
      <c r="J1870" s="1" t="s">
        <v>716</v>
      </c>
      <c r="K1870" s="1" t="s">
        <v>716</v>
      </c>
      <c r="L1870" s="1" t="s">
        <v>1418</v>
      </c>
      <c r="M1870" s="1" t="s">
        <v>718</v>
      </c>
    </row>
    <row r="1871" customFormat="false" ht="15" hidden="false" customHeight="false" outlineLevel="0" collapsed="false">
      <c r="A1871" s="1" t="s">
        <v>8868</v>
      </c>
      <c r="B1871" s="1" t="s">
        <v>8869</v>
      </c>
      <c r="C1871" s="1" t="s">
        <v>8870</v>
      </c>
      <c r="D1871" s="2" t="n">
        <v>33047</v>
      </c>
      <c r="E1871" s="1" t="s">
        <v>763</v>
      </c>
      <c r="F1871" s="1" t="s">
        <v>711</v>
      </c>
      <c r="G1871" s="1" t="s">
        <v>712</v>
      </c>
      <c r="H1871" s="1" t="s">
        <v>713</v>
      </c>
      <c r="I1871" s="1" t="s">
        <v>714</v>
      </c>
      <c r="J1871" s="1" t="s">
        <v>716</v>
      </c>
      <c r="K1871" s="1" t="s">
        <v>716</v>
      </c>
      <c r="L1871" s="1" t="s">
        <v>1418</v>
      </c>
      <c r="M1871" s="1" t="s">
        <v>718</v>
      </c>
    </row>
    <row r="1872" customFormat="false" ht="15" hidden="false" customHeight="false" outlineLevel="0" collapsed="false">
      <c r="A1872" s="1" t="s">
        <v>8871</v>
      </c>
      <c r="B1872" s="1" t="s">
        <v>8872</v>
      </c>
      <c r="C1872" s="1" t="s">
        <v>4270</v>
      </c>
      <c r="D1872" s="2" t="n">
        <v>33134</v>
      </c>
      <c r="E1872" s="1" t="s">
        <v>710</v>
      </c>
      <c r="F1872" s="1" t="s">
        <v>711</v>
      </c>
      <c r="G1872" s="1" t="s">
        <v>722</v>
      </c>
      <c r="H1872" s="1" t="s">
        <v>713</v>
      </c>
      <c r="I1872" s="1" t="s">
        <v>714</v>
      </c>
      <c r="J1872" s="1" t="s">
        <v>7653</v>
      </c>
      <c r="K1872" s="1" t="s">
        <v>7653</v>
      </c>
      <c r="L1872" s="1" t="s">
        <v>4273</v>
      </c>
      <c r="M1872" s="1" t="s">
        <v>718</v>
      </c>
    </row>
    <row r="1873" customFormat="false" ht="15" hidden="false" customHeight="false" outlineLevel="0" collapsed="false">
      <c r="A1873" s="1" t="s">
        <v>8873</v>
      </c>
      <c r="B1873" s="1" t="s">
        <v>8874</v>
      </c>
      <c r="C1873" s="1" t="s">
        <v>8875</v>
      </c>
      <c r="D1873" s="2" t="n">
        <v>37120</v>
      </c>
      <c r="E1873" s="1" t="s">
        <v>710</v>
      </c>
      <c r="F1873" s="1" t="s">
        <v>711</v>
      </c>
      <c r="G1873" s="1" t="s">
        <v>712</v>
      </c>
      <c r="H1873" s="1" t="s">
        <v>713</v>
      </c>
      <c r="I1873" s="1" t="s">
        <v>714</v>
      </c>
      <c r="J1873" s="1" t="s">
        <v>1390</v>
      </c>
      <c r="K1873" s="1" t="s">
        <v>8876</v>
      </c>
      <c r="L1873" s="1" t="s">
        <v>6180</v>
      </c>
      <c r="M1873" s="1" t="s">
        <v>718</v>
      </c>
    </row>
    <row r="1874" customFormat="false" ht="15" hidden="false" customHeight="false" outlineLevel="0" collapsed="false">
      <c r="A1874" s="1" t="s">
        <v>8877</v>
      </c>
      <c r="B1874" s="1" t="s">
        <v>6067</v>
      </c>
      <c r="C1874" s="1" t="s">
        <v>8878</v>
      </c>
      <c r="D1874" s="2" t="n">
        <v>32692</v>
      </c>
      <c r="E1874" s="1" t="s">
        <v>710</v>
      </c>
      <c r="F1874" s="1" t="s">
        <v>711</v>
      </c>
      <c r="G1874" s="1" t="s">
        <v>712</v>
      </c>
      <c r="H1874" s="1" t="s">
        <v>713</v>
      </c>
      <c r="I1874" s="1" t="s">
        <v>714</v>
      </c>
      <c r="J1874" s="1" t="s">
        <v>8879</v>
      </c>
      <c r="K1874" s="1" t="s">
        <v>7653</v>
      </c>
      <c r="L1874" s="1" t="s">
        <v>834</v>
      </c>
      <c r="M1874" s="1" t="s">
        <v>718</v>
      </c>
    </row>
    <row r="1875" customFormat="false" ht="15" hidden="false" customHeight="false" outlineLevel="0" collapsed="false">
      <c r="A1875" s="1" t="s">
        <v>8880</v>
      </c>
      <c r="B1875" s="1" t="s">
        <v>8881</v>
      </c>
      <c r="C1875" s="1" t="s">
        <v>8882</v>
      </c>
      <c r="D1875" s="2" t="n">
        <v>34101</v>
      </c>
      <c r="E1875" s="1" t="s">
        <v>763</v>
      </c>
      <c r="F1875" s="1" t="s">
        <v>711</v>
      </c>
      <c r="G1875" s="1" t="s">
        <v>712</v>
      </c>
      <c r="H1875" s="1" t="s">
        <v>713</v>
      </c>
      <c r="I1875" s="1" t="s">
        <v>714</v>
      </c>
      <c r="J1875" s="1" t="s">
        <v>7653</v>
      </c>
      <c r="K1875" s="1" t="s">
        <v>7653</v>
      </c>
      <c r="L1875" s="1" t="s">
        <v>834</v>
      </c>
      <c r="M1875" s="1" t="s">
        <v>718</v>
      </c>
    </row>
    <row r="1876" customFormat="false" ht="15" hidden="false" customHeight="false" outlineLevel="0" collapsed="false">
      <c r="A1876" s="1" t="s">
        <v>8883</v>
      </c>
      <c r="B1876" s="1" t="s">
        <v>8884</v>
      </c>
      <c r="C1876" s="1" t="s">
        <v>8885</v>
      </c>
      <c r="D1876" s="2" t="n">
        <v>34159</v>
      </c>
      <c r="E1876" s="1" t="s">
        <v>710</v>
      </c>
      <c r="F1876" s="1" t="s">
        <v>711</v>
      </c>
      <c r="G1876" s="1" t="s">
        <v>722</v>
      </c>
      <c r="H1876" s="1" t="s">
        <v>713</v>
      </c>
      <c r="I1876" s="1" t="s">
        <v>714</v>
      </c>
      <c r="J1876" s="1" t="s">
        <v>7653</v>
      </c>
      <c r="K1876" s="1" t="s">
        <v>7653</v>
      </c>
      <c r="L1876" s="1" t="s">
        <v>834</v>
      </c>
      <c r="M1876" s="1" t="s">
        <v>718</v>
      </c>
    </row>
    <row r="1877" customFormat="false" ht="15" hidden="false" customHeight="false" outlineLevel="0" collapsed="false">
      <c r="A1877" s="1" t="s">
        <v>8886</v>
      </c>
      <c r="B1877" s="1" t="s">
        <v>8887</v>
      </c>
      <c r="C1877" s="1" t="s">
        <v>8888</v>
      </c>
      <c r="D1877" s="2" t="n">
        <v>28691</v>
      </c>
      <c r="E1877" s="1" t="s">
        <v>763</v>
      </c>
      <c r="F1877" s="1" t="s">
        <v>711</v>
      </c>
      <c r="G1877" s="1" t="s">
        <v>712</v>
      </c>
      <c r="H1877" s="1" t="s">
        <v>713</v>
      </c>
      <c r="I1877" s="1" t="s">
        <v>714</v>
      </c>
      <c r="J1877" s="1" t="s">
        <v>7653</v>
      </c>
      <c r="K1877" s="1" t="s">
        <v>7653</v>
      </c>
      <c r="L1877" s="1" t="s">
        <v>834</v>
      </c>
      <c r="M1877" s="1" t="s">
        <v>718</v>
      </c>
    </row>
    <row r="1878" customFormat="false" ht="15" hidden="false" customHeight="false" outlineLevel="0" collapsed="false">
      <c r="A1878" s="1" t="s">
        <v>8889</v>
      </c>
      <c r="B1878" s="1" t="s">
        <v>1888</v>
      </c>
      <c r="C1878" s="1" t="s">
        <v>8890</v>
      </c>
      <c r="D1878" s="2" t="n">
        <v>35332</v>
      </c>
      <c r="E1878" s="1" t="s">
        <v>710</v>
      </c>
      <c r="F1878" s="1" t="s">
        <v>711</v>
      </c>
      <c r="G1878" s="1" t="s">
        <v>722</v>
      </c>
      <c r="H1878" s="1" t="s">
        <v>713</v>
      </c>
      <c r="I1878" s="1" t="s">
        <v>714</v>
      </c>
      <c r="J1878" s="1" t="s">
        <v>7653</v>
      </c>
      <c r="K1878" s="1" t="s">
        <v>7653</v>
      </c>
      <c r="L1878" s="1" t="s">
        <v>834</v>
      </c>
      <c r="M1878" s="1" t="s">
        <v>718</v>
      </c>
    </row>
    <row r="1879" customFormat="false" ht="15" hidden="false" customHeight="false" outlineLevel="0" collapsed="false">
      <c r="A1879" s="1" t="s">
        <v>8891</v>
      </c>
      <c r="B1879" s="1" t="s">
        <v>8892</v>
      </c>
      <c r="C1879" s="1" t="s">
        <v>8878</v>
      </c>
      <c r="D1879" s="2" t="n">
        <v>36403</v>
      </c>
      <c r="E1879" s="1" t="s">
        <v>710</v>
      </c>
      <c r="F1879" s="1" t="s">
        <v>711</v>
      </c>
      <c r="G1879" s="1" t="s">
        <v>712</v>
      </c>
      <c r="H1879" s="1" t="s">
        <v>713</v>
      </c>
      <c r="I1879" s="1" t="s">
        <v>714</v>
      </c>
      <c r="J1879" s="1" t="s">
        <v>8893</v>
      </c>
      <c r="K1879" s="1" t="s">
        <v>7653</v>
      </c>
      <c r="L1879" s="1" t="s">
        <v>8894</v>
      </c>
      <c r="M1879" s="1" t="s">
        <v>718</v>
      </c>
    </row>
    <row r="1880" customFormat="false" ht="15" hidden="false" customHeight="false" outlineLevel="0" collapsed="false">
      <c r="A1880" s="1" t="s">
        <v>8895</v>
      </c>
      <c r="B1880" s="1" t="s">
        <v>8896</v>
      </c>
      <c r="C1880" s="1" t="s">
        <v>8194</v>
      </c>
      <c r="D1880" s="2" t="n">
        <v>36521</v>
      </c>
      <c r="E1880" s="1" t="s">
        <v>763</v>
      </c>
      <c r="F1880" s="1" t="s">
        <v>711</v>
      </c>
      <c r="G1880" s="1" t="s">
        <v>712</v>
      </c>
      <c r="H1880" s="1" t="s">
        <v>713</v>
      </c>
      <c r="I1880" s="1" t="s">
        <v>714</v>
      </c>
      <c r="J1880" s="1" t="s">
        <v>805</v>
      </c>
      <c r="K1880" s="1" t="s">
        <v>8897</v>
      </c>
      <c r="L1880" s="1" t="s">
        <v>8197</v>
      </c>
      <c r="M1880" s="1" t="s">
        <v>718</v>
      </c>
    </row>
    <row r="1881" customFormat="false" ht="15" hidden="false" customHeight="false" outlineLevel="0" collapsed="false">
      <c r="A1881" s="1" t="s">
        <v>8898</v>
      </c>
      <c r="B1881" s="1" t="s">
        <v>8899</v>
      </c>
      <c r="C1881" s="1" t="s">
        <v>8900</v>
      </c>
      <c r="D1881" s="2" t="n">
        <v>35385</v>
      </c>
      <c r="E1881" s="1" t="s">
        <v>763</v>
      </c>
      <c r="F1881" s="1" t="s">
        <v>711</v>
      </c>
      <c r="G1881" s="1" t="s">
        <v>712</v>
      </c>
      <c r="H1881" s="1" t="s">
        <v>713</v>
      </c>
      <c r="I1881" s="1" t="s">
        <v>714</v>
      </c>
      <c r="J1881" s="1" t="s">
        <v>3678</v>
      </c>
      <c r="K1881" s="1" t="s">
        <v>8901</v>
      </c>
      <c r="L1881" s="1" t="s">
        <v>8902</v>
      </c>
      <c r="M1881" s="1" t="s">
        <v>718</v>
      </c>
    </row>
    <row r="1882" customFormat="false" ht="15" hidden="false" customHeight="false" outlineLevel="0" collapsed="false">
      <c r="A1882" s="1" t="s">
        <v>8903</v>
      </c>
      <c r="B1882" s="1" t="s">
        <v>8904</v>
      </c>
      <c r="C1882" s="1" t="s">
        <v>8905</v>
      </c>
      <c r="D1882" s="2" t="n">
        <v>36412</v>
      </c>
      <c r="E1882" s="1" t="s">
        <v>710</v>
      </c>
      <c r="F1882" s="1" t="s">
        <v>711</v>
      </c>
      <c r="G1882" s="1" t="s">
        <v>712</v>
      </c>
      <c r="H1882" s="1" t="s">
        <v>713</v>
      </c>
      <c r="I1882" s="1" t="s">
        <v>714</v>
      </c>
      <c r="J1882" s="1" t="s">
        <v>3678</v>
      </c>
      <c r="K1882" s="1" t="s">
        <v>8901</v>
      </c>
      <c r="L1882" s="1" t="s">
        <v>8902</v>
      </c>
      <c r="M1882" s="1" t="s">
        <v>718</v>
      </c>
    </row>
    <row r="1883" customFormat="false" ht="15" hidden="false" customHeight="false" outlineLevel="0" collapsed="false">
      <c r="A1883" s="1" t="s">
        <v>8906</v>
      </c>
      <c r="B1883" s="1" t="s">
        <v>1716</v>
      </c>
      <c r="C1883" s="1" t="s">
        <v>1234</v>
      </c>
      <c r="D1883" s="2" t="n">
        <v>36047</v>
      </c>
      <c r="E1883" s="1" t="s">
        <v>710</v>
      </c>
      <c r="F1883" s="1" t="s">
        <v>711</v>
      </c>
      <c r="G1883" s="1" t="s">
        <v>712</v>
      </c>
      <c r="H1883" s="1" t="s">
        <v>713</v>
      </c>
      <c r="I1883" s="1" t="s">
        <v>714</v>
      </c>
      <c r="J1883" s="1" t="s">
        <v>7653</v>
      </c>
      <c r="K1883" s="1" t="s">
        <v>7653</v>
      </c>
      <c r="L1883" s="1" t="s">
        <v>834</v>
      </c>
      <c r="M1883" s="1" t="s">
        <v>718</v>
      </c>
    </row>
    <row r="1884" customFormat="false" ht="15" hidden="false" customHeight="false" outlineLevel="0" collapsed="false">
      <c r="A1884" s="1" t="s">
        <v>8907</v>
      </c>
      <c r="B1884" s="1" t="s">
        <v>1184</v>
      </c>
      <c r="C1884" s="1" t="s">
        <v>8908</v>
      </c>
      <c r="D1884" s="2" t="n">
        <v>33226</v>
      </c>
      <c r="E1884" s="1" t="s">
        <v>763</v>
      </c>
      <c r="F1884" s="1" t="s">
        <v>711</v>
      </c>
      <c r="G1884" s="1" t="s">
        <v>722</v>
      </c>
      <c r="H1884" s="1" t="s">
        <v>713</v>
      </c>
      <c r="I1884" s="1" t="s">
        <v>714</v>
      </c>
      <c r="J1884" s="1" t="s">
        <v>7653</v>
      </c>
      <c r="K1884" s="1" t="s">
        <v>7653</v>
      </c>
      <c r="L1884" s="1" t="s">
        <v>834</v>
      </c>
      <c r="M1884" s="1" t="s">
        <v>718</v>
      </c>
    </row>
    <row r="1885" customFormat="false" ht="15" hidden="false" customHeight="false" outlineLevel="0" collapsed="false">
      <c r="A1885" s="1" t="s">
        <v>8909</v>
      </c>
      <c r="B1885" s="1" t="s">
        <v>8910</v>
      </c>
      <c r="C1885" s="1" t="s">
        <v>8911</v>
      </c>
      <c r="D1885" s="2" t="n">
        <v>32883</v>
      </c>
      <c r="E1885" s="1" t="s">
        <v>763</v>
      </c>
      <c r="F1885" s="1" t="s">
        <v>711</v>
      </c>
      <c r="G1885" s="1" t="s">
        <v>722</v>
      </c>
      <c r="H1885" s="1" t="s">
        <v>713</v>
      </c>
      <c r="I1885" s="1" t="s">
        <v>714</v>
      </c>
      <c r="J1885" s="1" t="s">
        <v>7653</v>
      </c>
      <c r="K1885" s="1" t="s">
        <v>7653</v>
      </c>
      <c r="L1885" s="1" t="s">
        <v>834</v>
      </c>
      <c r="M1885" s="1" t="s">
        <v>718</v>
      </c>
    </row>
    <row r="1886" customFormat="false" ht="15" hidden="false" customHeight="false" outlineLevel="0" collapsed="false">
      <c r="A1886" s="1" t="s">
        <v>8912</v>
      </c>
      <c r="B1886" s="1" t="s">
        <v>8913</v>
      </c>
      <c r="C1886" s="1" t="s">
        <v>7003</v>
      </c>
      <c r="D1886" s="2" t="n">
        <v>33113</v>
      </c>
      <c r="E1886" s="1" t="s">
        <v>710</v>
      </c>
      <c r="F1886" s="1" t="s">
        <v>711</v>
      </c>
      <c r="G1886" s="1" t="s">
        <v>712</v>
      </c>
      <c r="H1886" s="1" t="s">
        <v>713</v>
      </c>
      <c r="I1886" s="1" t="s">
        <v>714</v>
      </c>
      <c r="J1886" s="1" t="s">
        <v>7653</v>
      </c>
      <c r="K1886" s="1" t="s">
        <v>7653</v>
      </c>
      <c r="L1886" s="1" t="s">
        <v>6561</v>
      </c>
      <c r="M1886" s="1" t="s">
        <v>718</v>
      </c>
    </row>
    <row r="1887" customFormat="false" ht="15" hidden="false" customHeight="false" outlineLevel="0" collapsed="false">
      <c r="A1887" s="1" t="s">
        <v>8914</v>
      </c>
      <c r="B1887" s="1" t="s">
        <v>6431</v>
      </c>
      <c r="C1887" s="1" t="s">
        <v>8915</v>
      </c>
      <c r="D1887" s="2" t="n">
        <v>34182</v>
      </c>
      <c r="E1887" s="1" t="s">
        <v>763</v>
      </c>
      <c r="F1887" s="1" t="s">
        <v>711</v>
      </c>
      <c r="G1887" s="1" t="s">
        <v>712</v>
      </c>
      <c r="H1887" s="1" t="s">
        <v>713</v>
      </c>
      <c r="I1887" s="1" t="s">
        <v>714</v>
      </c>
      <c r="J1887" s="1" t="s">
        <v>7653</v>
      </c>
      <c r="K1887" s="1" t="s">
        <v>7653</v>
      </c>
      <c r="L1887" s="1" t="s">
        <v>7448</v>
      </c>
      <c r="M1887" s="1" t="s">
        <v>718</v>
      </c>
    </row>
    <row r="1888" customFormat="false" ht="15" hidden="false" customHeight="false" outlineLevel="0" collapsed="false">
      <c r="A1888" s="1" t="s">
        <v>8916</v>
      </c>
      <c r="B1888" s="1" t="s">
        <v>8917</v>
      </c>
      <c r="C1888" s="1" t="s">
        <v>8742</v>
      </c>
      <c r="D1888" s="2" t="n">
        <v>36509</v>
      </c>
      <c r="E1888" s="1" t="s">
        <v>763</v>
      </c>
      <c r="F1888" s="1" t="s">
        <v>711</v>
      </c>
      <c r="G1888" s="1" t="s">
        <v>712</v>
      </c>
      <c r="H1888" s="1" t="s">
        <v>713</v>
      </c>
      <c r="I1888" s="1" t="s">
        <v>714</v>
      </c>
      <c r="J1888" s="1" t="s">
        <v>8918</v>
      </c>
      <c r="K1888" s="1" t="s">
        <v>8919</v>
      </c>
      <c r="L1888" s="1" t="s">
        <v>725</v>
      </c>
      <c r="M1888" s="1" t="s">
        <v>718</v>
      </c>
    </row>
    <row r="1889" customFormat="false" ht="15" hidden="false" customHeight="false" outlineLevel="0" collapsed="false">
      <c r="A1889" s="1" t="s">
        <v>8920</v>
      </c>
      <c r="B1889" s="1" t="s">
        <v>8921</v>
      </c>
      <c r="C1889" s="1" t="s">
        <v>8922</v>
      </c>
      <c r="D1889" s="2" t="n">
        <v>34887</v>
      </c>
      <c r="E1889" s="1" t="s">
        <v>763</v>
      </c>
      <c r="F1889" s="1" t="s">
        <v>711</v>
      </c>
      <c r="G1889" s="1" t="s">
        <v>722</v>
      </c>
      <c r="H1889" s="1" t="s">
        <v>713</v>
      </c>
      <c r="I1889" s="1" t="s">
        <v>714</v>
      </c>
      <c r="J1889" s="1" t="s">
        <v>7653</v>
      </c>
      <c r="K1889" s="1" t="s">
        <v>7653</v>
      </c>
      <c r="L1889" s="1" t="s">
        <v>3804</v>
      </c>
      <c r="M1889" s="1" t="s">
        <v>718</v>
      </c>
    </row>
    <row r="1890" customFormat="false" ht="15" hidden="false" customHeight="false" outlineLevel="0" collapsed="false">
      <c r="A1890" s="1" t="s">
        <v>8923</v>
      </c>
      <c r="B1890" s="1" t="s">
        <v>8924</v>
      </c>
      <c r="C1890" s="1" t="s">
        <v>3200</v>
      </c>
      <c r="D1890" s="2" t="n">
        <v>33961</v>
      </c>
      <c r="E1890" s="1" t="s">
        <v>763</v>
      </c>
      <c r="F1890" s="1" t="s">
        <v>711</v>
      </c>
      <c r="G1890" s="1" t="s">
        <v>712</v>
      </c>
      <c r="H1890" s="1" t="s">
        <v>713</v>
      </c>
      <c r="I1890" s="1" t="s">
        <v>714</v>
      </c>
      <c r="J1890" s="1" t="s">
        <v>7653</v>
      </c>
      <c r="K1890" s="1" t="s">
        <v>7653</v>
      </c>
      <c r="L1890" s="1" t="s">
        <v>4904</v>
      </c>
      <c r="M1890" s="1" t="s">
        <v>718</v>
      </c>
    </row>
    <row r="1891" customFormat="false" ht="15" hidden="false" customHeight="false" outlineLevel="0" collapsed="false">
      <c r="A1891" s="1" t="s">
        <v>8925</v>
      </c>
      <c r="B1891" s="1" t="s">
        <v>8926</v>
      </c>
      <c r="C1891" s="1" t="s">
        <v>8616</v>
      </c>
      <c r="D1891" s="2" t="n">
        <v>33018</v>
      </c>
      <c r="E1891" s="1" t="s">
        <v>763</v>
      </c>
      <c r="F1891" s="1" t="s">
        <v>711</v>
      </c>
      <c r="G1891" s="1" t="s">
        <v>722</v>
      </c>
      <c r="H1891" s="1" t="s">
        <v>713</v>
      </c>
      <c r="I1891" s="1" t="s">
        <v>714</v>
      </c>
      <c r="J1891" s="1" t="s">
        <v>7653</v>
      </c>
      <c r="K1891" s="1" t="s">
        <v>7653</v>
      </c>
      <c r="L1891" s="1" t="s">
        <v>8618</v>
      </c>
      <c r="M1891" s="1" t="s">
        <v>718</v>
      </c>
    </row>
    <row r="1892" customFormat="false" ht="15" hidden="false" customHeight="false" outlineLevel="0" collapsed="false">
      <c r="A1892" s="1" t="s">
        <v>8927</v>
      </c>
      <c r="B1892" s="1" t="s">
        <v>8928</v>
      </c>
      <c r="C1892" s="1" t="s">
        <v>3200</v>
      </c>
      <c r="D1892" s="2" t="n">
        <v>32499</v>
      </c>
      <c r="E1892" s="1" t="s">
        <v>763</v>
      </c>
      <c r="F1892" s="1" t="s">
        <v>711</v>
      </c>
      <c r="G1892" s="1" t="s">
        <v>712</v>
      </c>
      <c r="H1892" s="1" t="s">
        <v>713</v>
      </c>
      <c r="I1892" s="1" t="s">
        <v>714</v>
      </c>
      <c r="J1892" s="1" t="s">
        <v>7653</v>
      </c>
      <c r="K1892" s="1" t="s">
        <v>7653</v>
      </c>
      <c r="L1892" s="1" t="s">
        <v>4904</v>
      </c>
      <c r="M1892" s="1" t="s">
        <v>718</v>
      </c>
    </row>
    <row r="1893" customFormat="false" ht="15" hidden="false" customHeight="false" outlineLevel="0" collapsed="false">
      <c r="A1893" s="1" t="s">
        <v>8929</v>
      </c>
      <c r="B1893" s="1" t="s">
        <v>8930</v>
      </c>
      <c r="C1893" s="1" t="s">
        <v>5675</v>
      </c>
      <c r="D1893" s="2" t="n">
        <v>28472</v>
      </c>
      <c r="E1893" s="1" t="s">
        <v>763</v>
      </c>
      <c r="F1893" s="1" t="s">
        <v>711</v>
      </c>
      <c r="G1893" s="1" t="s">
        <v>712</v>
      </c>
      <c r="H1893" s="1" t="s">
        <v>713</v>
      </c>
      <c r="I1893" s="1" t="s">
        <v>714</v>
      </c>
      <c r="J1893" s="1" t="s">
        <v>7653</v>
      </c>
      <c r="K1893" s="1" t="s">
        <v>7653</v>
      </c>
      <c r="L1893" s="1" t="s">
        <v>5990</v>
      </c>
      <c r="M1893" s="1" t="s">
        <v>718</v>
      </c>
    </row>
    <row r="1894" customFormat="false" ht="15" hidden="false" customHeight="false" outlineLevel="0" collapsed="false">
      <c r="A1894" s="1" t="s">
        <v>8931</v>
      </c>
      <c r="B1894" s="1" t="s">
        <v>8932</v>
      </c>
      <c r="C1894" s="1" t="s">
        <v>4403</v>
      </c>
      <c r="D1894" s="2" t="n">
        <v>34696</v>
      </c>
      <c r="E1894" s="1" t="s">
        <v>763</v>
      </c>
      <c r="F1894" s="1" t="s">
        <v>711</v>
      </c>
      <c r="G1894" s="1" t="s">
        <v>722</v>
      </c>
      <c r="H1894" s="1" t="s">
        <v>713</v>
      </c>
      <c r="I1894" s="1" t="s">
        <v>714</v>
      </c>
      <c r="J1894" s="1" t="s">
        <v>7653</v>
      </c>
      <c r="K1894" s="1" t="s">
        <v>7653</v>
      </c>
      <c r="L1894" s="1" t="s">
        <v>8637</v>
      </c>
      <c r="M1894" s="1" t="s">
        <v>718</v>
      </c>
    </row>
    <row r="1895" customFormat="false" ht="15" hidden="false" customHeight="false" outlineLevel="0" collapsed="false">
      <c r="A1895" s="1" t="s">
        <v>8933</v>
      </c>
      <c r="B1895" s="1" t="s">
        <v>8934</v>
      </c>
      <c r="C1895" s="1" t="s">
        <v>1518</v>
      </c>
      <c r="D1895" s="2" t="n">
        <v>33961</v>
      </c>
      <c r="E1895" s="1" t="s">
        <v>763</v>
      </c>
      <c r="F1895" s="1" t="s">
        <v>711</v>
      </c>
      <c r="G1895" s="1" t="s">
        <v>712</v>
      </c>
      <c r="H1895" s="1" t="s">
        <v>713</v>
      </c>
      <c r="I1895" s="1" t="s">
        <v>714</v>
      </c>
      <c r="J1895" s="1" t="s">
        <v>7653</v>
      </c>
      <c r="K1895" s="1" t="s">
        <v>7653</v>
      </c>
      <c r="L1895" s="1" t="s">
        <v>1418</v>
      </c>
      <c r="M1895" s="1" t="s">
        <v>718</v>
      </c>
    </row>
    <row r="1896" customFormat="false" ht="15" hidden="false" customHeight="false" outlineLevel="0" collapsed="false">
      <c r="A1896" s="1" t="s">
        <v>8935</v>
      </c>
      <c r="B1896" s="1" t="s">
        <v>8936</v>
      </c>
      <c r="C1896" s="1" t="s">
        <v>8937</v>
      </c>
      <c r="D1896" s="2" t="n">
        <v>30600</v>
      </c>
      <c r="E1896" s="1" t="s">
        <v>710</v>
      </c>
      <c r="F1896" s="1" t="s">
        <v>711</v>
      </c>
      <c r="G1896" s="1" t="s">
        <v>722</v>
      </c>
      <c r="H1896" s="1" t="s">
        <v>713</v>
      </c>
      <c r="I1896" s="1" t="s">
        <v>714</v>
      </c>
      <c r="J1896" s="1" t="s">
        <v>7653</v>
      </c>
      <c r="K1896" s="1" t="s">
        <v>7653</v>
      </c>
      <c r="L1896" s="1" t="s">
        <v>1418</v>
      </c>
      <c r="M1896" s="1" t="s">
        <v>718</v>
      </c>
    </row>
    <row r="1897" customFormat="false" ht="15" hidden="false" customHeight="false" outlineLevel="0" collapsed="false">
      <c r="A1897" s="1" t="s">
        <v>8938</v>
      </c>
      <c r="B1897" s="1" t="s">
        <v>8939</v>
      </c>
      <c r="C1897" s="1" t="s">
        <v>3775</v>
      </c>
      <c r="D1897" s="2" t="n">
        <v>31276</v>
      </c>
      <c r="E1897" s="1" t="s">
        <v>710</v>
      </c>
      <c r="F1897" s="1" t="s">
        <v>711</v>
      </c>
      <c r="G1897" s="1" t="s">
        <v>712</v>
      </c>
      <c r="H1897" s="1" t="s">
        <v>713</v>
      </c>
      <c r="I1897" s="1" t="s">
        <v>714</v>
      </c>
      <c r="J1897" s="1" t="s">
        <v>7653</v>
      </c>
      <c r="K1897" s="1" t="s">
        <v>7653</v>
      </c>
      <c r="L1897" s="1" t="s">
        <v>1418</v>
      </c>
      <c r="M1897" s="1" t="s">
        <v>718</v>
      </c>
    </row>
    <row r="1898" customFormat="false" ht="15" hidden="false" customHeight="false" outlineLevel="0" collapsed="false">
      <c r="A1898" s="1" t="s">
        <v>8940</v>
      </c>
      <c r="B1898" s="1" t="s">
        <v>4564</v>
      </c>
      <c r="C1898" s="1" t="s">
        <v>8941</v>
      </c>
      <c r="D1898" s="2" t="n">
        <v>33501</v>
      </c>
      <c r="E1898" s="1" t="s">
        <v>710</v>
      </c>
      <c r="F1898" s="1" t="s">
        <v>711</v>
      </c>
      <c r="G1898" s="1" t="s">
        <v>712</v>
      </c>
      <c r="H1898" s="1" t="s">
        <v>713</v>
      </c>
      <c r="I1898" s="1" t="s">
        <v>714</v>
      </c>
      <c r="J1898" s="1" t="s">
        <v>7653</v>
      </c>
      <c r="K1898" s="1" t="s">
        <v>7653</v>
      </c>
      <c r="L1898" s="1" t="s">
        <v>1418</v>
      </c>
      <c r="M1898" s="1" t="s">
        <v>718</v>
      </c>
    </row>
    <row r="1899" customFormat="false" ht="15" hidden="false" customHeight="false" outlineLevel="0" collapsed="false">
      <c r="A1899" s="1" t="s">
        <v>8942</v>
      </c>
      <c r="B1899" s="1" t="s">
        <v>1614</v>
      </c>
      <c r="C1899" s="1" t="s">
        <v>2643</v>
      </c>
      <c r="D1899" s="2" t="n">
        <v>31605</v>
      </c>
      <c r="E1899" s="1" t="s">
        <v>710</v>
      </c>
      <c r="F1899" s="1" t="s">
        <v>711</v>
      </c>
      <c r="G1899" s="1" t="s">
        <v>722</v>
      </c>
      <c r="H1899" s="1" t="s">
        <v>713</v>
      </c>
      <c r="I1899" s="1" t="s">
        <v>714</v>
      </c>
      <c r="J1899" s="1" t="s">
        <v>7653</v>
      </c>
      <c r="K1899" s="1" t="s">
        <v>7653</v>
      </c>
      <c r="L1899" s="1" t="s">
        <v>1418</v>
      </c>
      <c r="M1899" s="1" t="s">
        <v>718</v>
      </c>
    </row>
    <row r="1900" customFormat="false" ht="15" hidden="false" customHeight="false" outlineLevel="0" collapsed="false">
      <c r="A1900" s="1" t="s">
        <v>8943</v>
      </c>
      <c r="B1900" s="1" t="s">
        <v>8944</v>
      </c>
      <c r="C1900" s="1" t="s">
        <v>8945</v>
      </c>
      <c r="D1900" s="2" t="n">
        <v>30270</v>
      </c>
      <c r="E1900" s="1" t="s">
        <v>763</v>
      </c>
      <c r="F1900" s="1" t="s">
        <v>711</v>
      </c>
      <c r="G1900" s="1" t="s">
        <v>722</v>
      </c>
      <c r="H1900" s="1" t="s">
        <v>713</v>
      </c>
      <c r="I1900" s="1" t="s">
        <v>714</v>
      </c>
      <c r="J1900" s="1" t="s">
        <v>7653</v>
      </c>
      <c r="K1900" s="1" t="s">
        <v>7653</v>
      </c>
      <c r="L1900" s="1" t="s">
        <v>1418</v>
      </c>
      <c r="M1900" s="1" t="s">
        <v>718</v>
      </c>
    </row>
    <row r="1901" customFormat="false" ht="15" hidden="false" customHeight="false" outlineLevel="0" collapsed="false">
      <c r="A1901" s="1" t="s">
        <v>8946</v>
      </c>
      <c r="B1901" s="1" t="s">
        <v>8947</v>
      </c>
      <c r="C1901" s="1" t="s">
        <v>8948</v>
      </c>
      <c r="D1901" s="2" t="n">
        <v>32388</v>
      </c>
      <c r="E1901" s="1" t="s">
        <v>710</v>
      </c>
      <c r="F1901" s="1" t="s">
        <v>711</v>
      </c>
      <c r="G1901" s="1" t="s">
        <v>712</v>
      </c>
      <c r="H1901" s="1" t="s">
        <v>713</v>
      </c>
      <c r="I1901" s="1" t="s">
        <v>714</v>
      </c>
      <c r="J1901" s="1" t="s">
        <v>716</v>
      </c>
      <c r="K1901" s="1" t="s">
        <v>716</v>
      </c>
      <c r="L1901" s="1" t="s">
        <v>1418</v>
      </c>
      <c r="M1901" s="1" t="s">
        <v>718</v>
      </c>
    </row>
    <row r="1902" customFormat="false" ht="15" hidden="false" customHeight="false" outlineLevel="0" collapsed="false">
      <c r="A1902" s="1" t="s">
        <v>8949</v>
      </c>
      <c r="B1902" s="1" t="s">
        <v>8950</v>
      </c>
      <c r="C1902" s="1" t="s">
        <v>8951</v>
      </c>
      <c r="D1902" s="2" t="n">
        <v>32990</v>
      </c>
      <c r="E1902" s="1" t="s">
        <v>763</v>
      </c>
      <c r="F1902" s="1" t="s">
        <v>711</v>
      </c>
      <c r="G1902" s="1" t="s">
        <v>712</v>
      </c>
      <c r="H1902" s="1" t="s">
        <v>713</v>
      </c>
      <c r="I1902" s="1" t="s">
        <v>714</v>
      </c>
      <c r="J1902" s="1" t="s">
        <v>716</v>
      </c>
      <c r="K1902" s="1" t="s">
        <v>716</v>
      </c>
      <c r="L1902" s="1" t="s">
        <v>1418</v>
      </c>
      <c r="M1902" s="1" t="s">
        <v>718</v>
      </c>
    </row>
    <row r="1903" customFormat="false" ht="15" hidden="false" customHeight="false" outlineLevel="0" collapsed="false">
      <c r="A1903" s="1" t="s">
        <v>8952</v>
      </c>
      <c r="B1903" s="1" t="s">
        <v>7312</v>
      </c>
      <c r="C1903" s="1" t="s">
        <v>1469</v>
      </c>
      <c r="D1903" s="2" t="n">
        <v>34100</v>
      </c>
      <c r="E1903" s="1" t="s">
        <v>710</v>
      </c>
      <c r="F1903" s="1" t="s">
        <v>711</v>
      </c>
      <c r="G1903" s="1" t="s">
        <v>712</v>
      </c>
      <c r="H1903" s="1" t="s">
        <v>713</v>
      </c>
      <c r="I1903" s="1" t="s">
        <v>714</v>
      </c>
      <c r="J1903" s="1" t="s">
        <v>7653</v>
      </c>
      <c r="K1903" s="1" t="s">
        <v>7653</v>
      </c>
      <c r="L1903" s="1" t="s">
        <v>1470</v>
      </c>
      <c r="M1903" s="1" t="s">
        <v>718</v>
      </c>
    </row>
    <row r="1904" customFormat="false" ht="15" hidden="false" customHeight="false" outlineLevel="0" collapsed="false">
      <c r="A1904" s="1" t="s">
        <v>8953</v>
      </c>
      <c r="B1904" s="1" t="s">
        <v>8954</v>
      </c>
      <c r="C1904" s="1" t="s">
        <v>8955</v>
      </c>
      <c r="D1904" s="2" t="n">
        <v>34893</v>
      </c>
      <c r="E1904" s="1" t="s">
        <v>763</v>
      </c>
      <c r="F1904" s="1" t="s">
        <v>4714</v>
      </c>
      <c r="G1904" s="1" t="s">
        <v>2083</v>
      </c>
      <c r="H1904" s="1" t="s">
        <v>8956</v>
      </c>
      <c r="I1904" s="1" t="s">
        <v>2084</v>
      </c>
      <c r="J1904" s="1" t="s">
        <v>7653</v>
      </c>
      <c r="K1904" s="1" t="s">
        <v>7653</v>
      </c>
      <c r="L1904" s="1" t="s">
        <v>1418</v>
      </c>
      <c r="M1904" s="1" t="s">
        <v>718</v>
      </c>
    </row>
    <row r="1905" customFormat="false" ht="15" hidden="false" customHeight="false" outlineLevel="0" collapsed="false">
      <c r="A1905" s="1" t="s">
        <v>8957</v>
      </c>
      <c r="B1905" s="1" t="s">
        <v>8958</v>
      </c>
      <c r="C1905" s="1" t="s">
        <v>2488</v>
      </c>
      <c r="D1905" s="2" t="n">
        <v>29499</v>
      </c>
      <c r="E1905" s="1" t="s">
        <v>763</v>
      </c>
      <c r="F1905" s="1" t="s">
        <v>711</v>
      </c>
      <c r="G1905" s="1" t="s">
        <v>712</v>
      </c>
      <c r="H1905" s="1" t="s">
        <v>713</v>
      </c>
      <c r="I1905" s="1" t="s">
        <v>714</v>
      </c>
      <c r="J1905" s="1" t="s">
        <v>7653</v>
      </c>
      <c r="K1905" s="1" t="s">
        <v>7653</v>
      </c>
      <c r="L1905" s="1" t="s">
        <v>1414</v>
      </c>
      <c r="M1905" s="1" t="s">
        <v>718</v>
      </c>
    </row>
    <row r="1906" customFormat="false" ht="15" hidden="false" customHeight="false" outlineLevel="0" collapsed="false">
      <c r="A1906" s="1" t="s">
        <v>8959</v>
      </c>
      <c r="B1906" s="1" t="s">
        <v>8960</v>
      </c>
      <c r="C1906" s="1" t="s">
        <v>8961</v>
      </c>
      <c r="D1906" s="2" t="n">
        <v>29196</v>
      </c>
      <c r="E1906" s="1" t="s">
        <v>763</v>
      </c>
      <c r="F1906" s="1" t="s">
        <v>711</v>
      </c>
      <c r="G1906" s="1" t="s">
        <v>712</v>
      </c>
      <c r="H1906" s="1" t="s">
        <v>713</v>
      </c>
      <c r="I1906" s="1" t="s">
        <v>714</v>
      </c>
      <c r="J1906" s="1" t="s">
        <v>7653</v>
      </c>
      <c r="K1906" s="1" t="s">
        <v>7653</v>
      </c>
      <c r="L1906" s="1" t="s">
        <v>834</v>
      </c>
      <c r="M1906" s="1" t="s">
        <v>718</v>
      </c>
    </row>
    <row r="1907" customFormat="false" ht="15" hidden="false" customHeight="false" outlineLevel="0" collapsed="false">
      <c r="A1907" s="1" t="s">
        <v>8962</v>
      </c>
      <c r="B1907" s="1" t="s">
        <v>8963</v>
      </c>
      <c r="C1907" s="1" t="s">
        <v>8964</v>
      </c>
      <c r="D1907" s="2" t="n">
        <v>37406</v>
      </c>
      <c r="E1907" s="1" t="s">
        <v>710</v>
      </c>
      <c r="F1907" s="1" t="s">
        <v>711</v>
      </c>
      <c r="G1907" s="1" t="s">
        <v>1220</v>
      </c>
      <c r="H1907" s="1" t="s">
        <v>713</v>
      </c>
      <c r="I1907" s="1" t="s">
        <v>714</v>
      </c>
      <c r="J1907" s="1" t="s">
        <v>7653</v>
      </c>
      <c r="K1907" s="1" t="s">
        <v>7653</v>
      </c>
      <c r="L1907" s="1" t="s">
        <v>8965</v>
      </c>
      <c r="M1907" s="1" t="s">
        <v>718</v>
      </c>
    </row>
    <row r="1908" customFormat="false" ht="15" hidden="false" customHeight="false" outlineLevel="0" collapsed="false">
      <c r="A1908" s="1" t="s">
        <v>8966</v>
      </c>
      <c r="B1908" s="1" t="s">
        <v>8967</v>
      </c>
      <c r="C1908" s="1" t="s">
        <v>8968</v>
      </c>
      <c r="D1908" s="2" t="n">
        <v>34142</v>
      </c>
      <c r="E1908" s="1" t="s">
        <v>710</v>
      </c>
      <c r="F1908" s="1" t="s">
        <v>711</v>
      </c>
      <c r="G1908" s="1" t="s">
        <v>712</v>
      </c>
      <c r="H1908" s="1" t="s">
        <v>713</v>
      </c>
      <c r="I1908" s="1" t="s">
        <v>714</v>
      </c>
      <c r="J1908" s="1" t="s">
        <v>716</v>
      </c>
      <c r="K1908" s="1" t="s">
        <v>716</v>
      </c>
      <c r="L1908" s="1" t="s">
        <v>1418</v>
      </c>
      <c r="M1908" s="1" t="s">
        <v>718</v>
      </c>
    </row>
    <row r="1909" customFormat="false" ht="15" hidden="false" customHeight="false" outlineLevel="0" collapsed="false">
      <c r="A1909" s="1" t="s">
        <v>8969</v>
      </c>
      <c r="B1909" s="1" t="s">
        <v>8967</v>
      </c>
      <c r="C1909" s="1" t="s">
        <v>8968</v>
      </c>
      <c r="D1909" s="2" t="n">
        <v>34142</v>
      </c>
      <c r="E1909" s="1" t="s">
        <v>710</v>
      </c>
      <c r="F1909" s="1" t="s">
        <v>711</v>
      </c>
      <c r="G1909" s="1" t="s">
        <v>712</v>
      </c>
      <c r="H1909" s="1" t="s">
        <v>713</v>
      </c>
      <c r="I1909" s="1" t="s">
        <v>714</v>
      </c>
      <c r="J1909" s="1" t="s">
        <v>716</v>
      </c>
      <c r="K1909" s="1" t="s">
        <v>716</v>
      </c>
      <c r="L1909" s="1" t="s">
        <v>1418</v>
      </c>
      <c r="M1909" s="1" t="s">
        <v>718</v>
      </c>
    </row>
    <row r="1910" customFormat="false" ht="15" hidden="false" customHeight="false" outlineLevel="0" collapsed="false">
      <c r="A1910" s="1" t="s">
        <v>8970</v>
      </c>
      <c r="B1910" s="1" t="s">
        <v>8971</v>
      </c>
      <c r="C1910" s="1" t="s">
        <v>8972</v>
      </c>
      <c r="D1910" s="2" t="n">
        <v>31216</v>
      </c>
      <c r="E1910" s="1" t="s">
        <v>710</v>
      </c>
      <c r="F1910" s="1" t="s">
        <v>711</v>
      </c>
      <c r="G1910" s="1" t="s">
        <v>722</v>
      </c>
      <c r="H1910" s="1" t="s">
        <v>713</v>
      </c>
      <c r="I1910" s="1" t="s">
        <v>714</v>
      </c>
      <c r="J1910" s="1" t="s">
        <v>716</v>
      </c>
      <c r="K1910" s="1" t="s">
        <v>716</v>
      </c>
      <c r="L1910" s="1" t="s">
        <v>1418</v>
      </c>
      <c r="M1910" s="1" t="s">
        <v>718</v>
      </c>
    </row>
    <row r="1911" customFormat="false" ht="15" hidden="false" customHeight="false" outlineLevel="0" collapsed="false">
      <c r="A1911" s="1" t="s">
        <v>8973</v>
      </c>
      <c r="B1911" s="1" t="s">
        <v>8974</v>
      </c>
      <c r="C1911" s="1" t="s">
        <v>8975</v>
      </c>
      <c r="D1911" s="2" t="n">
        <v>34397</v>
      </c>
      <c r="E1911" s="1" t="s">
        <v>763</v>
      </c>
      <c r="F1911" s="1" t="s">
        <v>711</v>
      </c>
      <c r="G1911" s="1" t="s">
        <v>712</v>
      </c>
      <c r="H1911" s="1" t="s">
        <v>713</v>
      </c>
      <c r="I1911" s="1" t="s">
        <v>714</v>
      </c>
      <c r="J1911" s="1" t="s">
        <v>716</v>
      </c>
      <c r="K1911" s="1" t="s">
        <v>716</v>
      </c>
      <c r="L1911" s="1" t="s">
        <v>1418</v>
      </c>
      <c r="M1911" s="1" t="s">
        <v>718</v>
      </c>
    </row>
    <row r="1912" customFormat="false" ht="15" hidden="false" customHeight="false" outlineLevel="0" collapsed="false">
      <c r="A1912" s="1" t="s">
        <v>8976</v>
      </c>
      <c r="B1912" s="1" t="s">
        <v>8977</v>
      </c>
      <c r="C1912" s="1" t="s">
        <v>8978</v>
      </c>
      <c r="D1912" s="2" t="n">
        <v>27286</v>
      </c>
      <c r="E1912" s="1" t="s">
        <v>763</v>
      </c>
      <c r="F1912" s="1" t="s">
        <v>711</v>
      </c>
      <c r="G1912" s="1" t="s">
        <v>722</v>
      </c>
      <c r="H1912" s="1" t="s">
        <v>713</v>
      </c>
      <c r="I1912" s="1" t="s">
        <v>714</v>
      </c>
      <c r="J1912" s="1" t="s">
        <v>716</v>
      </c>
      <c r="K1912" s="1" t="s">
        <v>716</v>
      </c>
      <c r="L1912" s="1" t="s">
        <v>1418</v>
      </c>
      <c r="M1912" s="1" t="s">
        <v>718</v>
      </c>
    </row>
    <row r="1913" customFormat="false" ht="15" hidden="false" customHeight="false" outlineLevel="0" collapsed="false">
      <c r="A1913" s="1" t="s">
        <v>8979</v>
      </c>
      <c r="B1913" s="1" t="s">
        <v>8980</v>
      </c>
      <c r="C1913" s="1" t="s">
        <v>1606</v>
      </c>
      <c r="D1913" s="2" t="n">
        <v>32913</v>
      </c>
      <c r="E1913" s="1" t="s">
        <v>763</v>
      </c>
      <c r="F1913" s="1" t="s">
        <v>711</v>
      </c>
      <c r="G1913" s="1" t="s">
        <v>722</v>
      </c>
      <c r="H1913" s="1" t="s">
        <v>713</v>
      </c>
      <c r="I1913" s="1" t="s">
        <v>714</v>
      </c>
      <c r="J1913" s="1" t="s">
        <v>716</v>
      </c>
      <c r="K1913" s="1" t="s">
        <v>716</v>
      </c>
      <c r="L1913" s="1" t="s">
        <v>1418</v>
      </c>
      <c r="M1913" s="1" t="s">
        <v>718</v>
      </c>
    </row>
    <row r="1914" customFormat="false" ht="15" hidden="false" customHeight="false" outlineLevel="0" collapsed="false">
      <c r="A1914" s="1" t="s">
        <v>8981</v>
      </c>
      <c r="B1914" s="1" t="s">
        <v>8982</v>
      </c>
      <c r="C1914" s="1" t="s">
        <v>1122</v>
      </c>
      <c r="D1914" s="2" t="n">
        <v>31686</v>
      </c>
      <c r="E1914" s="1" t="s">
        <v>763</v>
      </c>
      <c r="F1914" s="1" t="s">
        <v>711</v>
      </c>
      <c r="G1914" s="1" t="s">
        <v>722</v>
      </c>
      <c r="H1914" s="1" t="s">
        <v>713</v>
      </c>
      <c r="I1914" s="1" t="s">
        <v>714</v>
      </c>
      <c r="J1914" s="1" t="s">
        <v>716</v>
      </c>
      <c r="K1914" s="1" t="s">
        <v>716</v>
      </c>
      <c r="L1914" s="1" t="s">
        <v>1418</v>
      </c>
      <c r="M1914" s="1" t="s">
        <v>718</v>
      </c>
    </row>
    <row r="1915" customFormat="false" ht="15" hidden="false" customHeight="false" outlineLevel="0" collapsed="false">
      <c r="A1915" s="1" t="s">
        <v>8983</v>
      </c>
      <c r="B1915" s="1" t="s">
        <v>8984</v>
      </c>
      <c r="C1915" s="1" t="s">
        <v>8985</v>
      </c>
      <c r="D1915" s="2" t="n">
        <v>34084</v>
      </c>
      <c r="E1915" s="1" t="s">
        <v>763</v>
      </c>
      <c r="F1915" s="1" t="s">
        <v>711</v>
      </c>
      <c r="G1915" s="1" t="s">
        <v>712</v>
      </c>
      <c r="H1915" s="1" t="s">
        <v>713</v>
      </c>
      <c r="I1915" s="1" t="s">
        <v>714</v>
      </c>
      <c r="J1915" s="1" t="s">
        <v>716</v>
      </c>
      <c r="K1915" s="1" t="s">
        <v>716</v>
      </c>
      <c r="L1915" s="1" t="s">
        <v>1418</v>
      </c>
      <c r="M1915" s="1" t="s">
        <v>718</v>
      </c>
    </row>
    <row r="1916" customFormat="false" ht="15" hidden="false" customHeight="false" outlineLevel="0" collapsed="false">
      <c r="A1916" s="1" t="s">
        <v>8986</v>
      </c>
      <c r="B1916" s="1" t="s">
        <v>8987</v>
      </c>
      <c r="C1916" s="1" t="s">
        <v>2573</v>
      </c>
      <c r="D1916" s="2" t="n">
        <v>30790</v>
      </c>
      <c r="E1916" s="1" t="s">
        <v>763</v>
      </c>
      <c r="F1916" s="1" t="s">
        <v>711</v>
      </c>
      <c r="G1916" s="1" t="s">
        <v>722</v>
      </c>
      <c r="H1916" s="1" t="s">
        <v>713</v>
      </c>
      <c r="I1916" s="1" t="s">
        <v>714</v>
      </c>
      <c r="J1916" s="1" t="s">
        <v>716</v>
      </c>
      <c r="K1916" s="1" t="s">
        <v>716</v>
      </c>
      <c r="L1916" s="1" t="s">
        <v>1418</v>
      </c>
      <c r="M1916" s="1" t="s">
        <v>718</v>
      </c>
    </row>
    <row r="1917" customFormat="false" ht="15" hidden="false" customHeight="false" outlineLevel="0" collapsed="false">
      <c r="A1917" s="1" t="s">
        <v>8988</v>
      </c>
      <c r="B1917" s="1" t="s">
        <v>8989</v>
      </c>
      <c r="C1917" s="1" t="s">
        <v>8990</v>
      </c>
      <c r="D1917" s="2" t="n">
        <v>33011</v>
      </c>
      <c r="E1917" s="1" t="s">
        <v>710</v>
      </c>
      <c r="F1917" s="1" t="s">
        <v>711</v>
      </c>
      <c r="G1917" s="1" t="s">
        <v>712</v>
      </c>
      <c r="H1917" s="1" t="s">
        <v>713</v>
      </c>
      <c r="I1917" s="1" t="s">
        <v>714</v>
      </c>
      <c r="J1917" s="1" t="s">
        <v>716</v>
      </c>
      <c r="K1917" s="1" t="s">
        <v>716</v>
      </c>
      <c r="L1917" s="1" t="s">
        <v>1418</v>
      </c>
      <c r="M1917" s="1" t="s">
        <v>718</v>
      </c>
    </row>
    <row r="1918" customFormat="false" ht="15" hidden="false" customHeight="false" outlineLevel="0" collapsed="false">
      <c r="A1918" s="1" t="s">
        <v>8991</v>
      </c>
      <c r="B1918" s="1" t="s">
        <v>8992</v>
      </c>
      <c r="C1918" s="1" t="s">
        <v>8660</v>
      </c>
      <c r="D1918" s="2" t="n">
        <v>33811</v>
      </c>
      <c r="E1918" s="1" t="s">
        <v>763</v>
      </c>
      <c r="F1918" s="1" t="s">
        <v>711</v>
      </c>
      <c r="G1918" s="1" t="s">
        <v>712</v>
      </c>
      <c r="H1918" s="1" t="s">
        <v>713</v>
      </c>
      <c r="I1918" s="1" t="s">
        <v>714</v>
      </c>
      <c r="J1918" s="1" t="s">
        <v>716</v>
      </c>
      <c r="K1918" s="1" t="s">
        <v>716</v>
      </c>
      <c r="L1918" s="1" t="s">
        <v>1418</v>
      </c>
      <c r="M1918" s="1" t="s">
        <v>718</v>
      </c>
    </row>
    <row r="1919" customFormat="false" ht="15" hidden="false" customHeight="false" outlineLevel="0" collapsed="false">
      <c r="A1919" s="1" t="s">
        <v>8993</v>
      </c>
      <c r="B1919" s="1" t="s">
        <v>8994</v>
      </c>
      <c r="C1919" s="1" t="s">
        <v>4018</v>
      </c>
      <c r="D1919" s="2" t="n">
        <v>34060</v>
      </c>
      <c r="E1919" s="1" t="s">
        <v>763</v>
      </c>
      <c r="F1919" s="1" t="s">
        <v>711</v>
      </c>
      <c r="G1919" s="1" t="s">
        <v>712</v>
      </c>
      <c r="H1919" s="1" t="s">
        <v>713</v>
      </c>
      <c r="I1919" s="1" t="s">
        <v>714</v>
      </c>
      <c r="J1919" s="1" t="s">
        <v>716</v>
      </c>
      <c r="K1919" s="1" t="s">
        <v>716</v>
      </c>
      <c r="L1919" s="1" t="s">
        <v>1418</v>
      </c>
      <c r="M1919" s="1" t="s">
        <v>718</v>
      </c>
    </row>
    <row r="1920" customFormat="false" ht="15" hidden="false" customHeight="false" outlineLevel="0" collapsed="false">
      <c r="A1920" s="1" t="s">
        <v>8995</v>
      </c>
      <c r="B1920" s="1" t="s">
        <v>8996</v>
      </c>
      <c r="C1920" s="1" t="s">
        <v>5308</v>
      </c>
      <c r="D1920" s="2" t="n">
        <v>27612</v>
      </c>
      <c r="E1920" s="1" t="s">
        <v>763</v>
      </c>
      <c r="F1920" s="1" t="s">
        <v>711</v>
      </c>
      <c r="G1920" s="1" t="s">
        <v>722</v>
      </c>
      <c r="H1920" s="1" t="s">
        <v>713</v>
      </c>
      <c r="I1920" s="1" t="s">
        <v>714</v>
      </c>
      <c r="J1920" s="1" t="s">
        <v>716</v>
      </c>
      <c r="K1920" s="1" t="s">
        <v>716</v>
      </c>
      <c r="L1920" s="1" t="s">
        <v>1418</v>
      </c>
      <c r="M1920" s="1" t="s">
        <v>718</v>
      </c>
    </row>
    <row r="1921" customFormat="false" ht="15" hidden="false" customHeight="false" outlineLevel="0" collapsed="false">
      <c r="A1921" s="1" t="s">
        <v>8997</v>
      </c>
      <c r="B1921" s="1" t="s">
        <v>8998</v>
      </c>
      <c r="C1921" s="1" t="s">
        <v>8999</v>
      </c>
      <c r="D1921" s="2" t="n">
        <v>27472</v>
      </c>
      <c r="E1921" s="1" t="s">
        <v>763</v>
      </c>
      <c r="F1921" s="1" t="s">
        <v>711</v>
      </c>
      <c r="G1921" s="1" t="s">
        <v>712</v>
      </c>
      <c r="H1921" s="1" t="s">
        <v>713</v>
      </c>
      <c r="I1921" s="1" t="s">
        <v>714</v>
      </c>
      <c r="J1921" s="1" t="s">
        <v>716</v>
      </c>
      <c r="K1921" s="1" t="s">
        <v>716</v>
      </c>
      <c r="L1921" s="1" t="s">
        <v>1418</v>
      </c>
      <c r="M1921" s="1" t="s">
        <v>718</v>
      </c>
    </row>
    <row r="1922" customFormat="false" ht="15" hidden="false" customHeight="false" outlineLevel="0" collapsed="false">
      <c r="A1922" s="1" t="s">
        <v>9000</v>
      </c>
      <c r="B1922" s="1" t="s">
        <v>9001</v>
      </c>
      <c r="C1922" s="1" t="s">
        <v>9002</v>
      </c>
      <c r="D1922" s="2" t="n">
        <v>37540</v>
      </c>
      <c r="E1922" s="1" t="s">
        <v>763</v>
      </c>
      <c r="F1922" s="1" t="s">
        <v>711</v>
      </c>
      <c r="G1922" s="1" t="s">
        <v>722</v>
      </c>
      <c r="H1922" s="1" t="s">
        <v>713</v>
      </c>
      <c r="I1922" s="1" t="s">
        <v>714</v>
      </c>
      <c r="J1922" s="1" t="s">
        <v>821</v>
      </c>
      <c r="K1922" s="1" t="s">
        <v>9003</v>
      </c>
      <c r="L1922" s="1" t="s">
        <v>9004</v>
      </c>
      <c r="M1922" s="1" t="s">
        <v>718</v>
      </c>
    </row>
    <row r="1923" customFormat="false" ht="15" hidden="false" customHeight="false" outlineLevel="0" collapsed="false">
      <c r="A1923" s="1" t="s">
        <v>9005</v>
      </c>
      <c r="B1923" s="1" t="s">
        <v>9006</v>
      </c>
      <c r="C1923" s="1" t="s">
        <v>1610</v>
      </c>
      <c r="D1923" s="2" t="n">
        <v>37642</v>
      </c>
      <c r="E1923" s="1" t="s">
        <v>710</v>
      </c>
      <c r="F1923" s="1" t="s">
        <v>711</v>
      </c>
      <c r="G1923" s="1" t="s">
        <v>712</v>
      </c>
      <c r="H1923" s="1" t="s">
        <v>713</v>
      </c>
      <c r="I1923" s="1" t="s">
        <v>714</v>
      </c>
      <c r="J1923" s="1" t="s">
        <v>9007</v>
      </c>
      <c r="K1923" s="1" t="s">
        <v>9008</v>
      </c>
      <c r="L1923" s="1" t="s">
        <v>1707</v>
      </c>
      <c r="M1923" s="1" t="s">
        <v>718</v>
      </c>
    </row>
    <row r="1924" customFormat="false" ht="15" hidden="false" customHeight="false" outlineLevel="0" collapsed="false">
      <c r="A1924" s="1" t="s">
        <v>9009</v>
      </c>
      <c r="B1924" s="1" t="s">
        <v>9010</v>
      </c>
      <c r="C1924" s="1" t="s">
        <v>907</v>
      </c>
      <c r="D1924" s="2" t="n">
        <v>37587</v>
      </c>
      <c r="E1924" s="1" t="s">
        <v>763</v>
      </c>
      <c r="F1924" s="1" t="s">
        <v>711</v>
      </c>
      <c r="G1924" s="1" t="s">
        <v>722</v>
      </c>
      <c r="H1924" s="1" t="s">
        <v>713</v>
      </c>
      <c r="I1924" s="1" t="s">
        <v>714</v>
      </c>
      <c r="J1924" s="1" t="s">
        <v>9011</v>
      </c>
      <c r="K1924" s="1" t="s">
        <v>716</v>
      </c>
      <c r="L1924" s="1" t="s">
        <v>908</v>
      </c>
      <c r="M1924" s="1" t="s">
        <v>718</v>
      </c>
    </row>
    <row r="1925" customFormat="false" ht="15" hidden="false" customHeight="false" outlineLevel="0" collapsed="false">
      <c r="A1925" s="1" t="s">
        <v>9012</v>
      </c>
      <c r="B1925" s="1" t="s">
        <v>9013</v>
      </c>
      <c r="C1925" s="1" t="s">
        <v>9014</v>
      </c>
      <c r="D1925" s="2" t="n">
        <v>35637</v>
      </c>
      <c r="E1925" s="1" t="s">
        <v>710</v>
      </c>
      <c r="F1925" s="1" t="s">
        <v>711</v>
      </c>
      <c r="G1925" s="1" t="s">
        <v>722</v>
      </c>
      <c r="H1925" s="1" t="s">
        <v>713</v>
      </c>
      <c r="I1925" s="1" t="s">
        <v>714</v>
      </c>
      <c r="J1925" s="1" t="s">
        <v>1244</v>
      </c>
      <c r="K1925" s="1" t="s">
        <v>9015</v>
      </c>
      <c r="L1925" s="1" t="s">
        <v>5724</v>
      </c>
      <c r="M1925" s="1" t="s">
        <v>718</v>
      </c>
    </row>
    <row r="1926" customFormat="false" ht="15" hidden="false" customHeight="false" outlineLevel="0" collapsed="false">
      <c r="A1926" s="1" t="s">
        <v>9016</v>
      </c>
      <c r="B1926" s="1" t="s">
        <v>9017</v>
      </c>
      <c r="C1926" s="1" t="s">
        <v>9018</v>
      </c>
      <c r="D1926" s="2" t="n">
        <v>36790</v>
      </c>
      <c r="E1926" s="1" t="s">
        <v>763</v>
      </c>
      <c r="F1926" s="1" t="s">
        <v>711</v>
      </c>
      <c r="G1926" s="1" t="s">
        <v>712</v>
      </c>
      <c r="H1926" s="1" t="s">
        <v>713</v>
      </c>
      <c r="I1926" s="1" t="s">
        <v>714</v>
      </c>
      <c r="J1926" s="1" t="s">
        <v>928</v>
      </c>
      <c r="K1926" s="1" t="s">
        <v>9019</v>
      </c>
      <c r="L1926" s="1" t="s">
        <v>9020</v>
      </c>
      <c r="M1926" s="1" t="s">
        <v>718</v>
      </c>
    </row>
    <row r="1927" customFormat="false" ht="15" hidden="false" customHeight="false" outlineLevel="0" collapsed="false">
      <c r="A1927" s="1" t="s">
        <v>9021</v>
      </c>
      <c r="B1927" s="1" t="s">
        <v>1668</v>
      </c>
      <c r="C1927" s="1" t="s">
        <v>9018</v>
      </c>
      <c r="D1927" s="2" t="n">
        <v>37407</v>
      </c>
      <c r="E1927" s="1" t="s">
        <v>710</v>
      </c>
      <c r="F1927" s="1" t="s">
        <v>711</v>
      </c>
      <c r="G1927" s="1" t="s">
        <v>712</v>
      </c>
      <c r="H1927" s="1" t="s">
        <v>713</v>
      </c>
      <c r="I1927" s="1" t="s">
        <v>714</v>
      </c>
      <c r="J1927" s="1" t="s">
        <v>928</v>
      </c>
      <c r="K1927" s="1" t="s">
        <v>9022</v>
      </c>
      <c r="L1927" s="1" t="s">
        <v>9020</v>
      </c>
      <c r="M1927" s="1" t="s">
        <v>718</v>
      </c>
    </row>
    <row r="1928" customFormat="false" ht="15" hidden="false" customHeight="false" outlineLevel="0" collapsed="false">
      <c r="A1928" s="1" t="s">
        <v>9023</v>
      </c>
      <c r="B1928" s="1" t="s">
        <v>9024</v>
      </c>
      <c r="C1928" s="1" t="s">
        <v>1675</v>
      </c>
      <c r="D1928" s="2" t="n">
        <v>37231</v>
      </c>
      <c r="E1928" s="1" t="s">
        <v>710</v>
      </c>
      <c r="F1928" s="1" t="s">
        <v>711</v>
      </c>
      <c r="G1928" s="1" t="s">
        <v>712</v>
      </c>
      <c r="H1928" s="1" t="s">
        <v>713</v>
      </c>
      <c r="I1928" s="1" t="s">
        <v>714</v>
      </c>
      <c r="J1928" s="1" t="s">
        <v>9025</v>
      </c>
      <c r="K1928" s="1" t="s">
        <v>9026</v>
      </c>
      <c r="L1928" s="1" t="s">
        <v>1676</v>
      </c>
      <c r="M1928" s="1" t="s">
        <v>718</v>
      </c>
    </row>
    <row r="1929" customFormat="false" ht="15" hidden="false" customHeight="false" outlineLevel="0" collapsed="false">
      <c r="A1929" s="1" t="s">
        <v>9027</v>
      </c>
      <c r="B1929" s="1" t="s">
        <v>3855</v>
      </c>
      <c r="C1929" s="1" t="s">
        <v>9028</v>
      </c>
      <c r="D1929" s="2" t="n">
        <v>37383</v>
      </c>
      <c r="E1929" s="1" t="s">
        <v>710</v>
      </c>
      <c r="F1929" s="1" t="s">
        <v>711</v>
      </c>
      <c r="G1929" s="1" t="s">
        <v>9029</v>
      </c>
      <c r="H1929" s="1" t="s">
        <v>713</v>
      </c>
      <c r="I1929" s="1" t="s">
        <v>714</v>
      </c>
      <c r="J1929" s="1" t="s">
        <v>9030</v>
      </c>
      <c r="K1929" s="1" t="s">
        <v>9031</v>
      </c>
      <c r="L1929" s="1" t="s">
        <v>2516</v>
      </c>
      <c r="M1929" s="1" t="s">
        <v>718</v>
      </c>
    </row>
    <row r="1930" customFormat="false" ht="15" hidden="false" customHeight="false" outlineLevel="0" collapsed="false">
      <c r="A1930" s="1" t="s">
        <v>9032</v>
      </c>
      <c r="B1930" s="1" t="s">
        <v>9033</v>
      </c>
      <c r="C1930" s="1" t="s">
        <v>5960</v>
      </c>
      <c r="D1930" s="2" t="n">
        <v>36966</v>
      </c>
      <c r="E1930" s="1" t="s">
        <v>710</v>
      </c>
      <c r="F1930" s="1" t="s">
        <v>711</v>
      </c>
      <c r="G1930" s="1" t="s">
        <v>712</v>
      </c>
      <c r="H1930" s="1" t="s">
        <v>713</v>
      </c>
      <c r="I1930" s="1" t="s">
        <v>714</v>
      </c>
      <c r="J1930" s="1" t="s">
        <v>9034</v>
      </c>
      <c r="K1930" s="1" t="s">
        <v>9035</v>
      </c>
      <c r="L1930" s="1" t="s">
        <v>9036</v>
      </c>
      <c r="M1930" s="1" t="s">
        <v>718</v>
      </c>
    </row>
    <row r="1931" customFormat="false" ht="15" hidden="false" customHeight="false" outlineLevel="0" collapsed="false">
      <c r="A1931" s="1" t="s">
        <v>9037</v>
      </c>
      <c r="B1931" s="1" t="s">
        <v>9038</v>
      </c>
      <c r="C1931" s="1" t="s">
        <v>3341</v>
      </c>
      <c r="D1931" s="2" t="n">
        <v>37200</v>
      </c>
      <c r="E1931" s="1" t="s">
        <v>710</v>
      </c>
      <c r="F1931" s="1" t="s">
        <v>711</v>
      </c>
      <c r="G1931" s="1" t="s">
        <v>712</v>
      </c>
      <c r="H1931" s="1" t="s">
        <v>713</v>
      </c>
      <c r="I1931" s="1" t="s">
        <v>714</v>
      </c>
      <c r="J1931" s="1" t="s">
        <v>9039</v>
      </c>
      <c r="K1931" s="1" t="s">
        <v>9040</v>
      </c>
      <c r="L1931" s="1" t="s">
        <v>7130</v>
      </c>
      <c r="M1931" s="1" t="s">
        <v>718</v>
      </c>
    </row>
    <row r="1932" customFormat="false" ht="15" hidden="false" customHeight="false" outlineLevel="0" collapsed="false">
      <c r="A1932" s="1" t="s">
        <v>9041</v>
      </c>
      <c r="B1932" s="1" t="s">
        <v>9042</v>
      </c>
      <c r="C1932" s="1" t="s">
        <v>1810</v>
      </c>
      <c r="D1932" s="2" t="n">
        <v>37422</v>
      </c>
      <c r="E1932" s="1" t="s">
        <v>763</v>
      </c>
      <c r="F1932" s="1" t="s">
        <v>711</v>
      </c>
      <c r="G1932" s="1" t="s">
        <v>712</v>
      </c>
      <c r="H1932" s="1" t="s">
        <v>713</v>
      </c>
      <c r="I1932" s="1" t="s">
        <v>714</v>
      </c>
      <c r="J1932" s="1" t="s">
        <v>1390</v>
      </c>
      <c r="K1932" s="1" t="s">
        <v>9043</v>
      </c>
      <c r="L1932" s="1" t="s">
        <v>4960</v>
      </c>
      <c r="M1932" s="1" t="s">
        <v>718</v>
      </c>
    </row>
    <row r="1933" customFormat="false" ht="15" hidden="false" customHeight="false" outlineLevel="0" collapsed="false">
      <c r="A1933" s="1" t="s">
        <v>9044</v>
      </c>
      <c r="B1933" s="1" t="s">
        <v>9045</v>
      </c>
      <c r="C1933" s="1" t="s">
        <v>7248</v>
      </c>
      <c r="D1933" s="2" t="n">
        <v>37584</v>
      </c>
      <c r="E1933" s="1" t="s">
        <v>710</v>
      </c>
      <c r="F1933" s="1" t="s">
        <v>711</v>
      </c>
      <c r="G1933" s="1" t="s">
        <v>722</v>
      </c>
      <c r="H1933" s="1" t="s">
        <v>713</v>
      </c>
      <c r="I1933" s="1" t="s">
        <v>714</v>
      </c>
      <c r="J1933" s="1" t="s">
        <v>3678</v>
      </c>
      <c r="K1933" s="1" t="s">
        <v>7249</v>
      </c>
      <c r="L1933" s="1" t="s">
        <v>7250</v>
      </c>
      <c r="M1933" s="1" t="s">
        <v>718</v>
      </c>
    </row>
    <row r="1934" customFormat="false" ht="15" hidden="false" customHeight="false" outlineLevel="0" collapsed="false">
      <c r="A1934" s="1" t="s">
        <v>9046</v>
      </c>
      <c r="B1934" s="1" t="s">
        <v>9047</v>
      </c>
      <c r="C1934" s="1" t="s">
        <v>7827</v>
      </c>
      <c r="D1934" s="2" t="n">
        <v>36944</v>
      </c>
      <c r="E1934" s="1" t="s">
        <v>710</v>
      </c>
      <c r="F1934" s="1" t="s">
        <v>711</v>
      </c>
      <c r="G1934" s="1" t="s">
        <v>712</v>
      </c>
      <c r="H1934" s="1" t="s">
        <v>713</v>
      </c>
      <c r="I1934" s="1" t="s">
        <v>714</v>
      </c>
      <c r="J1934" s="1" t="s">
        <v>1898</v>
      </c>
      <c r="K1934" s="1" t="s">
        <v>9048</v>
      </c>
      <c r="L1934" s="1" t="s">
        <v>2254</v>
      </c>
      <c r="M1934" s="1" t="s">
        <v>718</v>
      </c>
    </row>
    <row r="1935" customFormat="false" ht="15" hidden="false" customHeight="false" outlineLevel="0" collapsed="false">
      <c r="A1935" s="1" t="s">
        <v>9049</v>
      </c>
      <c r="B1935" s="1" t="s">
        <v>9050</v>
      </c>
      <c r="C1935" s="1" t="s">
        <v>986</v>
      </c>
      <c r="D1935" s="2" t="n">
        <v>37485</v>
      </c>
      <c r="E1935" s="1" t="s">
        <v>763</v>
      </c>
      <c r="F1935" s="1" t="s">
        <v>711</v>
      </c>
      <c r="G1935" s="1" t="s">
        <v>722</v>
      </c>
      <c r="H1935" s="1" t="s">
        <v>713</v>
      </c>
      <c r="I1935" s="1" t="s">
        <v>714</v>
      </c>
      <c r="J1935" s="1" t="s">
        <v>9051</v>
      </c>
      <c r="K1935" s="1" t="s">
        <v>9052</v>
      </c>
      <c r="L1935" s="1" t="s">
        <v>9053</v>
      </c>
      <c r="M1935" s="1" t="s">
        <v>718</v>
      </c>
    </row>
    <row r="1936" customFormat="false" ht="15" hidden="false" customHeight="false" outlineLevel="0" collapsed="false">
      <c r="A1936" s="1" t="s">
        <v>9054</v>
      </c>
      <c r="B1936" s="1" t="s">
        <v>9055</v>
      </c>
      <c r="C1936" s="1" t="s">
        <v>9056</v>
      </c>
      <c r="D1936" s="2" t="n">
        <v>36905</v>
      </c>
      <c r="E1936" s="1" t="s">
        <v>763</v>
      </c>
      <c r="F1936" s="1" t="s">
        <v>711</v>
      </c>
      <c r="G1936" s="1" t="s">
        <v>722</v>
      </c>
      <c r="H1936" s="1" t="s">
        <v>713</v>
      </c>
      <c r="I1936" s="1" t="s">
        <v>714</v>
      </c>
      <c r="J1936" s="1" t="s">
        <v>892</v>
      </c>
      <c r="K1936" s="1" t="s">
        <v>9057</v>
      </c>
      <c r="L1936" s="1" t="s">
        <v>9058</v>
      </c>
      <c r="M1936" s="1" t="s">
        <v>718</v>
      </c>
    </row>
    <row r="1937" customFormat="false" ht="15" hidden="false" customHeight="false" outlineLevel="0" collapsed="false">
      <c r="A1937" s="1" t="s">
        <v>9059</v>
      </c>
      <c r="B1937" s="1" t="s">
        <v>9060</v>
      </c>
      <c r="C1937" s="1" t="s">
        <v>2099</v>
      </c>
      <c r="D1937" s="2" t="n">
        <v>37116</v>
      </c>
      <c r="E1937" s="1" t="s">
        <v>710</v>
      </c>
      <c r="F1937" s="1" t="s">
        <v>711</v>
      </c>
      <c r="G1937" s="1" t="s">
        <v>722</v>
      </c>
      <c r="H1937" s="1" t="s">
        <v>713</v>
      </c>
      <c r="I1937" s="1" t="s">
        <v>714</v>
      </c>
      <c r="J1937" s="1" t="s">
        <v>9061</v>
      </c>
      <c r="K1937" s="1" t="s">
        <v>9062</v>
      </c>
      <c r="L1937" s="1" t="s">
        <v>9063</v>
      </c>
      <c r="M1937" s="1" t="s">
        <v>718</v>
      </c>
    </row>
    <row r="1938" customFormat="false" ht="15" hidden="false" customHeight="false" outlineLevel="0" collapsed="false">
      <c r="A1938" s="1" t="s">
        <v>9064</v>
      </c>
      <c r="B1938" s="1" t="s">
        <v>9065</v>
      </c>
      <c r="C1938" s="1" t="s">
        <v>804</v>
      </c>
      <c r="D1938" s="2" t="n">
        <v>37411</v>
      </c>
      <c r="E1938" s="1" t="s">
        <v>710</v>
      </c>
      <c r="F1938" s="1" t="s">
        <v>711</v>
      </c>
      <c r="G1938" s="1" t="s">
        <v>722</v>
      </c>
      <c r="H1938" s="1" t="s">
        <v>713</v>
      </c>
      <c r="I1938" s="1" t="s">
        <v>714</v>
      </c>
      <c r="J1938" s="1" t="s">
        <v>9066</v>
      </c>
      <c r="K1938" s="1" t="s">
        <v>9067</v>
      </c>
      <c r="L1938" s="1" t="s">
        <v>3338</v>
      </c>
      <c r="M1938" s="1" t="s">
        <v>718</v>
      </c>
    </row>
    <row r="1939" customFormat="false" ht="15" hidden="false" customHeight="false" outlineLevel="0" collapsed="false">
      <c r="A1939" s="1" t="s">
        <v>9068</v>
      </c>
      <c r="B1939" s="1" t="s">
        <v>1682</v>
      </c>
      <c r="C1939" s="1" t="s">
        <v>9069</v>
      </c>
      <c r="D1939" s="2" t="n">
        <v>37778</v>
      </c>
      <c r="E1939" s="1" t="s">
        <v>763</v>
      </c>
      <c r="F1939" s="1" t="s">
        <v>711</v>
      </c>
      <c r="G1939" s="1" t="s">
        <v>1979</v>
      </c>
      <c r="H1939" s="1" t="s">
        <v>1980</v>
      </c>
      <c r="I1939" s="1" t="s">
        <v>1981</v>
      </c>
      <c r="J1939" s="1" t="s">
        <v>9070</v>
      </c>
      <c r="K1939" s="1" t="s">
        <v>9071</v>
      </c>
      <c r="L1939" s="1" t="s">
        <v>1983</v>
      </c>
      <c r="M1939" s="1" t="s">
        <v>718</v>
      </c>
    </row>
    <row r="1940" customFormat="false" ht="15" hidden="false" customHeight="false" outlineLevel="0" collapsed="false">
      <c r="A1940" s="1" t="s">
        <v>9072</v>
      </c>
      <c r="B1940" s="1" t="s">
        <v>9073</v>
      </c>
      <c r="C1940" s="1" t="s">
        <v>5177</v>
      </c>
      <c r="D1940" s="2" t="n">
        <v>36985</v>
      </c>
      <c r="E1940" s="1" t="s">
        <v>710</v>
      </c>
      <c r="F1940" s="1" t="s">
        <v>711</v>
      </c>
      <c r="G1940" s="1" t="s">
        <v>9074</v>
      </c>
      <c r="H1940" s="1" t="s">
        <v>713</v>
      </c>
      <c r="I1940" s="1" t="s">
        <v>714</v>
      </c>
      <c r="J1940" s="1" t="s">
        <v>9075</v>
      </c>
      <c r="K1940" s="1" t="s">
        <v>9076</v>
      </c>
      <c r="L1940" s="1" t="s">
        <v>9077</v>
      </c>
      <c r="M1940" s="1" t="s">
        <v>718</v>
      </c>
    </row>
    <row r="1941" customFormat="false" ht="15" hidden="false" customHeight="false" outlineLevel="0" collapsed="false">
      <c r="A1941" s="1" t="s">
        <v>9078</v>
      </c>
      <c r="B1941" s="1" t="s">
        <v>9079</v>
      </c>
      <c r="C1941" s="1" t="s">
        <v>9080</v>
      </c>
      <c r="D1941" s="2" t="n">
        <v>33218</v>
      </c>
      <c r="E1941" s="1" t="s">
        <v>763</v>
      </c>
      <c r="F1941" s="1" t="s">
        <v>711</v>
      </c>
      <c r="G1941" s="1" t="s">
        <v>712</v>
      </c>
      <c r="H1941" s="1" t="s">
        <v>713</v>
      </c>
      <c r="I1941" s="1" t="s">
        <v>714</v>
      </c>
      <c r="J1941" s="1" t="s">
        <v>716</v>
      </c>
      <c r="K1941" s="1" t="s">
        <v>716</v>
      </c>
      <c r="L1941" s="1" t="s">
        <v>1418</v>
      </c>
      <c r="M1941" s="1" t="s">
        <v>718</v>
      </c>
    </row>
    <row r="1942" customFormat="false" ht="15" hidden="false" customHeight="false" outlineLevel="0" collapsed="false">
      <c r="A1942" s="1" t="s">
        <v>9081</v>
      </c>
      <c r="B1942" s="1" t="s">
        <v>9082</v>
      </c>
      <c r="C1942" s="1" t="s">
        <v>9083</v>
      </c>
      <c r="D1942" s="2" t="n">
        <v>31014</v>
      </c>
      <c r="E1942" s="1" t="s">
        <v>763</v>
      </c>
      <c r="F1942" s="1" t="s">
        <v>711</v>
      </c>
      <c r="G1942" s="1" t="s">
        <v>712</v>
      </c>
      <c r="H1942" s="1" t="s">
        <v>713</v>
      </c>
      <c r="I1942" s="1" t="s">
        <v>714</v>
      </c>
      <c r="J1942" s="1" t="s">
        <v>716</v>
      </c>
      <c r="K1942" s="1" t="s">
        <v>716</v>
      </c>
      <c r="L1942" s="1" t="s">
        <v>1418</v>
      </c>
      <c r="M1942" s="1" t="s">
        <v>718</v>
      </c>
    </row>
    <row r="1943" customFormat="false" ht="15" hidden="false" customHeight="false" outlineLevel="0" collapsed="false">
      <c r="A1943" s="1" t="s">
        <v>9084</v>
      </c>
      <c r="B1943" s="1" t="s">
        <v>9085</v>
      </c>
      <c r="C1943" s="1" t="s">
        <v>9086</v>
      </c>
      <c r="D1943" s="2" t="n">
        <v>34175</v>
      </c>
      <c r="E1943" s="1" t="s">
        <v>763</v>
      </c>
      <c r="F1943" s="1" t="s">
        <v>711</v>
      </c>
      <c r="G1943" s="1" t="s">
        <v>712</v>
      </c>
      <c r="H1943" s="1" t="s">
        <v>713</v>
      </c>
      <c r="I1943" s="1" t="s">
        <v>714</v>
      </c>
      <c r="J1943" s="1" t="s">
        <v>716</v>
      </c>
      <c r="K1943" s="1" t="s">
        <v>716</v>
      </c>
      <c r="L1943" s="1" t="s">
        <v>1418</v>
      </c>
      <c r="M1943" s="1" t="s">
        <v>718</v>
      </c>
    </row>
    <row r="1944" customFormat="false" ht="15" hidden="false" customHeight="false" outlineLevel="0" collapsed="false">
      <c r="A1944" s="1" t="s">
        <v>9087</v>
      </c>
      <c r="B1944" s="1" t="s">
        <v>9088</v>
      </c>
      <c r="C1944" s="1" t="s">
        <v>5177</v>
      </c>
      <c r="D1944" s="2" t="n">
        <v>30912</v>
      </c>
      <c r="E1944" s="1" t="s">
        <v>763</v>
      </c>
      <c r="F1944" s="1" t="s">
        <v>711</v>
      </c>
      <c r="G1944" s="1" t="s">
        <v>712</v>
      </c>
      <c r="H1944" s="1" t="s">
        <v>713</v>
      </c>
      <c r="I1944" s="1" t="s">
        <v>714</v>
      </c>
      <c r="J1944" s="1" t="s">
        <v>716</v>
      </c>
      <c r="K1944" s="1" t="s">
        <v>716</v>
      </c>
      <c r="L1944" s="1" t="s">
        <v>1418</v>
      </c>
      <c r="M1944" s="1" t="s">
        <v>718</v>
      </c>
    </row>
    <row r="1945" customFormat="false" ht="15" hidden="false" customHeight="false" outlineLevel="0" collapsed="false">
      <c r="A1945" s="1" t="s">
        <v>9089</v>
      </c>
      <c r="B1945" s="1" t="s">
        <v>9090</v>
      </c>
      <c r="C1945" s="1" t="s">
        <v>9091</v>
      </c>
      <c r="D1945" s="2" t="n">
        <v>30487</v>
      </c>
      <c r="E1945" s="1" t="s">
        <v>763</v>
      </c>
      <c r="F1945" s="1" t="s">
        <v>711</v>
      </c>
      <c r="G1945" s="1" t="s">
        <v>712</v>
      </c>
      <c r="H1945" s="1" t="s">
        <v>713</v>
      </c>
      <c r="I1945" s="1" t="s">
        <v>714</v>
      </c>
      <c r="J1945" s="1" t="s">
        <v>716</v>
      </c>
      <c r="K1945" s="1" t="s">
        <v>716</v>
      </c>
      <c r="L1945" s="1" t="s">
        <v>1418</v>
      </c>
      <c r="M1945" s="1" t="s">
        <v>718</v>
      </c>
    </row>
    <row r="1946" customFormat="false" ht="15" hidden="false" customHeight="false" outlineLevel="0" collapsed="false">
      <c r="A1946" s="1" t="s">
        <v>9092</v>
      </c>
      <c r="B1946" s="1" t="s">
        <v>9093</v>
      </c>
      <c r="C1946" s="1" t="s">
        <v>804</v>
      </c>
      <c r="D1946" s="2" t="n">
        <v>34340</v>
      </c>
      <c r="E1946" s="1" t="s">
        <v>763</v>
      </c>
      <c r="F1946" s="1" t="s">
        <v>711</v>
      </c>
      <c r="G1946" s="1" t="s">
        <v>712</v>
      </c>
      <c r="H1946" s="1" t="s">
        <v>713</v>
      </c>
      <c r="I1946" s="1" t="s">
        <v>714</v>
      </c>
      <c r="J1946" s="1" t="s">
        <v>716</v>
      </c>
      <c r="K1946" s="1" t="s">
        <v>716</v>
      </c>
      <c r="L1946" s="1" t="s">
        <v>1418</v>
      </c>
      <c r="M1946" s="1" t="s">
        <v>718</v>
      </c>
    </row>
    <row r="1947" customFormat="false" ht="15" hidden="false" customHeight="false" outlineLevel="0" collapsed="false">
      <c r="A1947" s="1" t="s">
        <v>9094</v>
      </c>
      <c r="B1947" s="1" t="s">
        <v>9095</v>
      </c>
      <c r="C1947" s="1" t="s">
        <v>9096</v>
      </c>
      <c r="D1947" s="2" t="n">
        <v>31621</v>
      </c>
      <c r="E1947" s="1" t="s">
        <v>763</v>
      </c>
      <c r="F1947" s="1" t="s">
        <v>711</v>
      </c>
      <c r="G1947" s="1" t="s">
        <v>722</v>
      </c>
      <c r="H1947" s="1" t="s">
        <v>713</v>
      </c>
      <c r="I1947" s="1" t="s">
        <v>714</v>
      </c>
      <c r="J1947" s="1" t="s">
        <v>716</v>
      </c>
      <c r="K1947" s="1" t="s">
        <v>716</v>
      </c>
      <c r="L1947" s="1" t="s">
        <v>1418</v>
      </c>
      <c r="M1947" s="1" t="s">
        <v>718</v>
      </c>
    </row>
    <row r="1948" customFormat="false" ht="15" hidden="false" customHeight="false" outlineLevel="0" collapsed="false">
      <c r="A1948" s="1" t="s">
        <v>9097</v>
      </c>
      <c r="B1948" s="1" t="s">
        <v>9098</v>
      </c>
      <c r="C1948" s="1" t="s">
        <v>9099</v>
      </c>
      <c r="D1948" s="2" t="n">
        <v>34500</v>
      </c>
      <c r="E1948" s="1" t="s">
        <v>710</v>
      </c>
      <c r="F1948" s="1" t="s">
        <v>711</v>
      </c>
      <c r="G1948" s="1" t="s">
        <v>712</v>
      </c>
      <c r="H1948" s="1" t="s">
        <v>713</v>
      </c>
      <c r="I1948" s="1" t="s">
        <v>714</v>
      </c>
      <c r="J1948" s="1" t="s">
        <v>716</v>
      </c>
      <c r="K1948" s="1" t="s">
        <v>716</v>
      </c>
      <c r="L1948" s="1" t="s">
        <v>1418</v>
      </c>
      <c r="M1948" s="1" t="s">
        <v>718</v>
      </c>
    </row>
    <row r="1949" customFormat="false" ht="15" hidden="false" customHeight="false" outlineLevel="0" collapsed="false">
      <c r="A1949" s="1" t="s">
        <v>9100</v>
      </c>
      <c r="B1949" s="1" t="s">
        <v>9101</v>
      </c>
      <c r="C1949" s="1" t="s">
        <v>9102</v>
      </c>
      <c r="D1949" s="2" t="n">
        <v>28934</v>
      </c>
      <c r="E1949" s="1" t="s">
        <v>763</v>
      </c>
      <c r="F1949" s="1" t="s">
        <v>711</v>
      </c>
      <c r="G1949" s="1" t="s">
        <v>9103</v>
      </c>
      <c r="H1949" s="1" t="s">
        <v>713</v>
      </c>
      <c r="I1949" s="1" t="s">
        <v>714</v>
      </c>
      <c r="J1949" s="1" t="s">
        <v>716</v>
      </c>
      <c r="K1949" s="1" t="s">
        <v>716</v>
      </c>
      <c r="L1949" s="1" t="s">
        <v>1418</v>
      </c>
      <c r="M1949" s="1" t="s">
        <v>718</v>
      </c>
    </row>
    <row r="1950" customFormat="false" ht="15" hidden="false" customHeight="false" outlineLevel="0" collapsed="false">
      <c r="A1950" s="1" t="s">
        <v>9104</v>
      </c>
      <c r="B1950" s="1" t="s">
        <v>9105</v>
      </c>
      <c r="C1950" s="1" t="s">
        <v>9106</v>
      </c>
      <c r="D1950" s="2" t="n">
        <v>34575</v>
      </c>
      <c r="E1950" s="1" t="s">
        <v>763</v>
      </c>
      <c r="F1950" s="1" t="s">
        <v>711</v>
      </c>
      <c r="G1950" s="1" t="s">
        <v>712</v>
      </c>
      <c r="H1950" s="1" t="s">
        <v>713</v>
      </c>
      <c r="I1950" s="1" t="s">
        <v>714</v>
      </c>
      <c r="J1950" s="1" t="s">
        <v>716</v>
      </c>
      <c r="K1950" s="1" t="s">
        <v>716</v>
      </c>
      <c r="L1950" s="1" t="s">
        <v>1418</v>
      </c>
      <c r="M1950" s="1" t="s">
        <v>718</v>
      </c>
    </row>
    <row r="1951" customFormat="false" ht="15" hidden="false" customHeight="false" outlineLevel="0" collapsed="false">
      <c r="A1951" s="1" t="s">
        <v>9107</v>
      </c>
      <c r="B1951" s="1" t="s">
        <v>9108</v>
      </c>
      <c r="C1951" s="1" t="s">
        <v>9109</v>
      </c>
      <c r="D1951" s="2" t="n">
        <v>34206</v>
      </c>
      <c r="E1951" s="1" t="s">
        <v>763</v>
      </c>
      <c r="F1951" s="1" t="s">
        <v>711</v>
      </c>
      <c r="G1951" s="1" t="s">
        <v>712</v>
      </c>
      <c r="H1951" s="1" t="s">
        <v>713</v>
      </c>
      <c r="I1951" s="1" t="s">
        <v>714</v>
      </c>
      <c r="J1951" s="1" t="s">
        <v>716</v>
      </c>
      <c r="K1951" s="1" t="s">
        <v>716</v>
      </c>
      <c r="L1951" s="1" t="s">
        <v>1418</v>
      </c>
      <c r="M1951" s="1" t="s">
        <v>718</v>
      </c>
    </row>
    <row r="1952" customFormat="false" ht="15" hidden="false" customHeight="false" outlineLevel="0" collapsed="false">
      <c r="A1952" s="1" t="s">
        <v>9110</v>
      </c>
      <c r="B1952" s="1" t="s">
        <v>9111</v>
      </c>
      <c r="C1952" s="1" t="s">
        <v>9112</v>
      </c>
      <c r="D1952" s="2" t="n">
        <v>29500</v>
      </c>
      <c r="E1952" s="1" t="s">
        <v>763</v>
      </c>
      <c r="F1952" s="1" t="s">
        <v>711</v>
      </c>
      <c r="G1952" s="1" t="s">
        <v>712</v>
      </c>
      <c r="H1952" s="1" t="s">
        <v>713</v>
      </c>
      <c r="I1952" s="1" t="s">
        <v>714</v>
      </c>
      <c r="J1952" s="1" t="s">
        <v>716</v>
      </c>
      <c r="K1952" s="1" t="s">
        <v>716</v>
      </c>
      <c r="L1952" s="1" t="s">
        <v>1418</v>
      </c>
      <c r="M1952" s="1" t="s">
        <v>718</v>
      </c>
    </row>
    <row r="1953" customFormat="false" ht="15" hidden="false" customHeight="false" outlineLevel="0" collapsed="false">
      <c r="A1953" s="1" t="s">
        <v>9113</v>
      </c>
      <c r="B1953" s="1" t="s">
        <v>9114</v>
      </c>
      <c r="C1953" s="1" t="s">
        <v>1455</v>
      </c>
      <c r="D1953" s="2" t="n">
        <v>31036</v>
      </c>
      <c r="E1953" s="1" t="s">
        <v>763</v>
      </c>
      <c r="F1953" s="1" t="s">
        <v>711</v>
      </c>
      <c r="G1953" s="1" t="s">
        <v>712</v>
      </c>
      <c r="H1953" s="1" t="s">
        <v>713</v>
      </c>
      <c r="I1953" s="1" t="s">
        <v>714</v>
      </c>
      <c r="J1953" s="1" t="s">
        <v>716</v>
      </c>
      <c r="K1953" s="1" t="s">
        <v>716</v>
      </c>
      <c r="L1953" s="1" t="s">
        <v>1418</v>
      </c>
      <c r="M1953" s="1" t="s">
        <v>718</v>
      </c>
    </row>
    <row r="1954" customFormat="false" ht="15" hidden="false" customHeight="false" outlineLevel="0" collapsed="false">
      <c r="A1954" s="1" t="s">
        <v>9115</v>
      </c>
      <c r="B1954" s="1" t="s">
        <v>9116</v>
      </c>
      <c r="C1954" s="1" t="s">
        <v>9117</v>
      </c>
      <c r="D1954" s="2" t="n">
        <v>31576</v>
      </c>
      <c r="E1954" s="1" t="s">
        <v>763</v>
      </c>
      <c r="F1954" s="1" t="s">
        <v>711</v>
      </c>
      <c r="G1954" s="1" t="s">
        <v>712</v>
      </c>
      <c r="H1954" s="1" t="s">
        <v>713</v>
      </c>
      <c r="I1954" s="1" t="s">
        <v>714</v>
      </c>
      <c r="J1954" s="1" t="s">
        <v>716</v>
      </c>
      <c r="K1954" s="1" t="s">
        <v>716</v>
      </c>
      <c r="L1954" s="1" t="s">
        <v>1418</v>
      </c>
      <c r="M1954" s="1" t="s">
        <v>718</v>
      </c>
    </row>
    <row r="1955" customFormat="false" ht="15" hidden="false" customHeight="false" outlineLevel="0" collapsed="false">
      <c r="A1955" s="1" t="s">
        <v>9118</v>
      </c>
      <c r="B1955" s="1" t="s">
        <v>9119</v>
      </c>
      <c r="C1955" s="1" t="s">
        <v>9120</v>
      </c>
      <c r="D1955" s="2" t="n">
        <v>34435</v>
      </c>
      <c r="E1955" s="1" t="s">
        <v>763</v>
      </c>
      <c r="F1955" s="1" t="s">
        <v>711</v>
      </c>
      <c r="G1955" s="1" t="s">
        <v>722</v>
      </c>
      <c r="H1955" s="1" t="s">
        <v>713</v>
      </c>
      <c r="I1955" s="1" t="s">
        <v>714</v>
      </c>
      <c r="J1955" s="1" t="s">
        <v>716</v>
      </c>
      <c r="K1955" s="1" t="s">
        <v>716</v>
      </c>
      <c r="L1955" s="1" t="s">
        <v>1418</v>
      </c>
      <c r="M1955" s="1" t="s">
        <v>718</v>
      </c>
    </row>
    <row r="1956" customFormat="false" ht="15" hidden="false" customHeight="false" outlineLevel="0" collapsed="false">
      <c r="A1956" s="1" t="s">
        <v>9121</v>
      </c>
      <c r="B1956" s="1" t="s">
        <v>9122</v>
      </c>
      <c r="C1956" s="1" t="s">
        <v>9123</v>
      </c>
      <c r="D1956" s="2" t="n">
        <v>35851</v>
      </c>
      <c r="E1956" s="1" t="s">
        <v>763</v>
      </c>
      <c r="F1956" s="1" t="s">
        <v>711</v>
      </c>
      <c r="G1956" s="1" t="s">
        <v>712</v>
      </c>
      <c r="H1956" s="1" t="s">
        <v>713</v>
      </c>
      <c r="I1956" s="1" t="s">
        <v>714</v>
      </c>
      <c r="J1956" s="1" t="s">
        <v>716</v>
      </c>
      <c r="K1956" s="1" t="s">
        <v>716</v>
      </c>
      <c r="L1956" s="1" t="s">
        <v>1418</v>
      </c>
      <c r="M1956" s="1" t="s">
        <v>718</v>
      </c>
    </row>
    <row r="1957" customFormat="false" ht="15" hidden="false" customHeight="false" outlineLevel="0" collapsed="false">
      <c r="A1957" s="1" t="s">
        <v>9124</v>
      </c>
      <c r="B1957" s="1" t="s">
        <v>9125</v>
      </c>
      <c r="C1957" s="1" t="s">
        <v>9126</v>
      </c>
      <c r="D1957" s="2" t="n">
        <v>35367</v>
      </c>
      <c r="E1957" s="1" t="s">
        <v>763</v>
      </c>
      <c r="F1957" s="1" t="s">
        <v>711</v>
      </c>
      <c r="G1957" s="1" t="s">
        <v>722</v>
      </c>
      <c r="H1957" s="1" t="s">
        <v>713</v>
      </c>
      <c r="I1957" s="1" t="s">
        <v>714</v>
      </c>
      <c r="J1957" s="1" t="s">
        <v>716</v>
      </c>
      <c r="K1957" s="1" t="s">
        <v>716</v>
      </c>
      <c r="L1957" s="1" t="s">
        <v>1418</v>
      </c>
      <c r="M1957" s="1" t="s">
        <v>718</v>
      </c>
    </row>
    <row r="1958" customFormat="false" ht="15" hidden="false" customHeight="false" outlineLevel="0" collapsed="false">
      <c r="A1958" s="1" t="s">
        <v>9127</v>
      </c>
      <c r="B1958" s="1" t="s">
        <v>9128</v>
      </c>
      <c r="C1958" s="1" t="s">
        <v>9129</v>
      </c>
      <c r="D1958" s="2" t="n">
        <v>33646</v>
      </c>
      <c r="E1958" s="1" t="s">
        <v>763</v>
      </c>
      <c r="F1958" s="1" t="s">
        <v>711</v>
      </c>
      <c r="G1958" s="1" t="s">
        <v>722</v>
      </c>
      <c r="H1958" s="1" t="s">
        <v>713</v>
      </c>
      <c r="I1958" s="1" t="s">
        <v>714</v>
      </c>
      <c r="J1958" s="1" t="s">
        <v>716</v>
      </c>
      <c r="K1958" s="1" t="s">
        <v>716</v>
      </c>
      <c r="L1958" s="1" t="s">
        <v>1418</v>
      </c>
      <c r="M1958" s="1" t="s">
        <v>718</v>
      </c>
    </row>
    <row r="1959" customFormat="false" ht="15" hidden="false" customHeight="false" outlineLevel="0" collapsed="false">
      <c r="A1959" s="1" t="s">
        <v>9130</v>
      </c>
      <c r="B1959" s="1" t="s">
        <v>9131</v>
      </c>
      <c r="C1959" s="1" t="s">
        <v>8822</v>
      </c>
      <c r="D1959" s="2" t="n">
        <v>34757</v>
      </c>
      <c r="E1959" s="1" t="s">
        <v>763</v>
      </c>
      <c r="F1959" s="1" t="s">
        <v>711</v>
      </c>
      <c r="G1959" s="1" t="s">
        <v>712</v>
      </c>
      <c r="H1959" s="1" t="s">
        <v>713</v>
      </c>
      <c r="I1959" s="1" t="s">
        <v>714</v>
      </c>
      <c r="J1959" s="1" t="s">
        <v>716</v>
      </c>
      <c r="K1959" s="1" t="s">
        <v>716</v>
      </c>
      <c r="L1959" s="1" t="s">
        <v>1418</v>
      </c>
      <c r="M1959" s="1" t="s">
        <v>718</v>
      </c>
    </row>
    <row r="1960" customFormat="false" ht="15" hidden="false" customHeight="false" outlineLevel="0" collapsed="false">
      <c r="A1960" s="1" t="s">
        <v>9132</v>
      </c>
      <c r="B1960" s="1" t="s">
        <v>9133</v>
      </c>
      <c r="C1960" s="1" t="s">
        <v>9134</v>
      </c>
      <c r="D1960" s="2" t="n">
        <v>32723</v>
      </c>
      <c r="E1960" s="1" t="s">
        <v>763</v>
      </c>
      <c r="F1960" s="1" t="s">
        <v>711</v>
      </c>
      <c r="G1960" s="1" t="s">
        <v>712</v>
      </c>
      <c r="H1960" s="1" t="s">
        <v>713</v>
      </c>
      <c r="I1960" s="1" t="s">
        <v>714</v>
      </c>
      <c r="J1960" s="1" t="s">
        <v>716</v>
      </c>
      <c r="K1960" s="1" t="s">
        <v>716</v>
      </c>
      <c r="L1960" s="1" t="s">
        <v>1418</v>
      </c>
      <c r="M1960" s="1" t="s">
        <v>718</v>
      </c>
    </row>
    <row r="1961" customFormat="false" ht="15" hidden="false" customHeight="false" outlineLevel="0" collapsed="false">
      <c r="A1961" s="1" t="s">
        <v>9135</v>
      </c>
      <c r="B1961" s="1" t="s">
        <v>9136</v>
      </c>
      <c r="C1961" s="1" t="s">
        <v>5243</v>
      </c>
      <c r="D1961" s="2" t="n">
        <v>33161</v>
      </c>
      <c r="E1961" s="1" t="s">
        <v>763</v>
      </c>
      <c r="F1961" s="1" t="s">
        <v>711</v>
      </c>
      <c r="G1961" s="1" t="s">
        <v>712</v>
      </c>
      <c r="H1961" s="1" t="s">
        <v>713</v>
      </c>
      <c r="I1961" s="1" t="s">
        <v>714</v>
      </c>
      <c r="J1961" s="1" t="s">
        <v>716</v>
      </c>
      <c r="K1961" s="1" t="s">
        <v>716</v>
      </c>
      <c r="L1961" s="1" t="s">
        <v>1418</v>
      </c>
      <c r="M1961" s="1" t="s">
        <v>718</v>
      </c>
    </row>
    <row r="1962" customFormat="false" ht="15" hidden="false" customHeight="false" outlineLevel="0" collapsed="false">
      <c r="A1962" s="1" t="s">
        <v>9137</v>
      </c>
      <c r="B1962" s="1" t="s">
        <v>2606</v>
      </c>
      <c r="C1962" s="1" t="s">
        <v>9138</v>
      </c>
      <c r="D1962" s="2" t="n">
        <v>35882</v>
      </c>
      <c r="E1962" s="1" t="s">
        <v>710</v>
      </c>
      <c r="F1962" s="1" t="s">
        <v>711</v>
      </c>
      <c r="G1962" s="1" t="s">
        <v>712</v>
      </c>
      <c r="H1962" s="1" t="s">
        <v>713</v>
      </c>
      <c r="I1962" s="1" t="s">
        <v>714</v>
      </c>
      <c r="J1962" s="1" t="s">
        <v>9139</v>
      </c>
      <c r="K1962" s="1" t="s">
        <v>716</v>
      </c>
      <c r="L1962" s="1" t="s">
        <v>1418</v>
      </c>
      <c r="M1962" s="1" t="s">
        <v>718</v>
      </c>
    </row>
    <row r="1963" customFormat="false" ht="15" hidden="false" customHeight="false" outlineLevel="0" collapsed="false">
      <c r="A1963" s="1" t="s">
        <v>9140</v>
      </c>
      <c r="B1963" s="1" t="s">
        <v>9141</v>
      </c>
      <c r="C1963" s="1" t="s">
        <v>1553</v>
      </c>
      <c r="D1963" s="2" t="n">
        <v>33138</v>
      </c>
      <c r="E1963" s="1" t="s">
        <v>763</v>
      </c>
      <c r="F1963" s="1" t="s">
        <v>711</v>
      </c>
      <c r="G1963" s="1" t="s">
        <v>722</v>
      </c>
      <c r="H1963" s="1" t="s">
        <v>713</v>
      </c>
      <c r="I1963" s="1" t="s">
        <v>714</v>
      </c>
      <c r="J1963" s="1" t="s">
        <v>716</v>
      </c>
      <c r="K1963" s="1" t="s">
        <v>716</v>
      </c>
      <c r="L1963" s="1" t="s">
        <v>1418</v>
      </c>
      <c r="M1963" s="1" t="s">
        <v>718</v>
      </c>
    </row>
    <row r="1964" customFormat="false" ht="15" hidden="false" customHeight="false" outlineLevel="0" collapsed="false">
      <c r="A1964" s="1" t="s">
        <v>9142</v>
      </c>
      <c r="B1964" s="1" t="s">
        <v>9143</v>
      </c>
      <c r="C1964" s="1" t="s">
        <v>4755</v>
      </c>
      <c r="D1964" s="2" t="n">
        <v>34951</v>
      </c>
      <c r="E1964" s="1" t="s">
        <v>763</v>
      </c>
      <c r="F1964" s="1" t="s">
        <v>711</v>
      </c>
      <c r="G1964" s="1" t="s">
        <v>712</v>
      </c>
      <c r="H1964" s="1" t="s">
        <v>713</v>
      </c>
      <c r="I1964" s="1" t="s">
        <v>714</v>
      </c>
      <c r="J1964" s="1" t="s">
        <v>716</v>
      </c>
      <c r="K1964" s="1" t="s">
        <v>716</v>
      </c>
      <c r="L1964" s="1" t="s">
        <v>1418</v>
      </c>
      <c r="M1964" s="1" t="s">
        <v>718</v>
      </c>
    </row>
    <row r="1965" customFormat="false" ht="15" hidden="false" customHeight="false" outlineLevel="0" collapsed="false">
      <c r="A1965" s="1" t="s">
        <v>9144</v>
      </c>
      <c r="B1965" s="1" t="s">
        <v>9145</v>
      </c>
      <c r="C1965" s="1" t="s">
        <v>8049</v>
      </c>
      <c r="D1965" s="2" t="n">
        <v>32926</v>
      </c>
      <c r="E1965" s="1" t="s">
        <v>763</v>
      </c>
      <c r="F1965" s="1" t="s">
        <v>711</v>
      </c>
      <c r="G1965" s="1" t="s">
        <v>712</v>
      </c>
      <c r="H1965" s="1" t="s">
        <v>713</v>
      </c>
      <c r="I1965" s="1" t="s">
        <v>714</v>
      </c>
      <c r="J1965" s="1" t="s">
        <v>716</v>
      </c>
      <c r="K1965" s="1" t="s">
        <v>716</v>
      </c>
      <c r="L1965" s="1" t="s">
        <v>1418</v>
      </c>
      <c r="M1965" s="1" t="s">
        <v>718</v>
      </c>
    </row>
    <row r="1966" customFormat="false" ht="15" hidden="false" customHeight="false" outlineLevel="0" collapsed="false">
      <c r="A1966" s="1" t="s">
        <v>9146</v>
      </c>
      <c r="B1966" s="1" t="s">
        <v>9147</v>
      </c>
      <c r="C1966" s="1" t="s">
        <v>9148</v>
      </c>
      <c r="D1966" s="2" t="n">
        <v>32784</v>
      </c>
      <c r="E1966" s="1" t="s">
        <v>763</v>
      </c>
      <c r="F1966" s="1" t="s">
        <v>711</v>
      </c>
      <c r="G1966" s="1" t="s">
        <v>712</v>
      </c>
      <c r="H1966" s="1" t="s">
        <v>713</v>
      </c>
      <c r="I1966" s="1" t="s">
        <v>714</v>
      </c>
      <c r="J1966" s="1" t="s">
        <v>7653</v>
      </c>
      <c r="K1966" s="1" t="s">
        <v>7653</v>
      </c>
      <c r="L1966" s="1" t="s">
        <v>1418</v>
      </c>
      <c r="M1966" s="1" t="s">
        <v>718</v>
      </c>
    </row>
    <row r="1967" customFormat="false" ht="15" hidden="false" customHeight="false" outlineLevel="0" collapsed="false">
      <c r="A1967" s="1" t="s">
        <v>9149</v>
      </c>
      <c r="B1967" s="1" t="s">
        <v>9150</v>
      </c>
      <c r="C1967" s="1" t="s">
        <v>9151</v>
      </c>
      <c r="D1967" s="2" t="n">
        <v>33557</v>
      </c>
      <c r="E1967" s="1" t="s">
        <v>763</v>
      </c>
      <c r="F1967" s="1" t="s">
        <v>711</v>
      </c>
      <c r="G1967" s="1" t="s">
        <v>712</v>
      </c>
      <c r="H1967" s="1" t="s">
        <v>713</v>
      </c>
      <c r="I1967" s="1" t="s">
        <v>714</v>
      </c>
      <c r="J1967" s="1" t="s">
        <v>9152</v>
      </c>
      <c r="K1967" s="1" t="s">
        <v>9153</v>
      </c>
      <c r="L1967" s="1" t="s">
        <v>1418</v>
      </c>
      <c r="M1967" s="1" t="s">
        <v>718</v>
      </c>
    </row>
    <row r="1968" customFormat="false" ht="15" hidden="false" customHeight="false" outlineLevel="0" collapsed="false">
      <c r="A1968" s="1" t="s">
        <v>9154</v>
      </c>
      <c r="B1968" s="1" t="s">
        <v>9155</v>
      </c>
      <c r="C1968" s="1" t="s">
        <v>5971</v>
      </c>
      <c r="D1968" s="2" t="n">
        <v>34893</v>
      </c>
      <c r="E1968" s="1" t="s">
        <v>763</v>
      </c>
      <c r="F1968" s="1" t="s">
        <v>711</v>
      </c>
      <c r="G1968" s="1" t="s">
        <v>722</v>
      </c>
      <c r="H1968" s="1" t="s">
        <v>713</v>
      </c>
      <c r="I1968" s="1" t="s">
        <v>714</v>
      </c>
      <c r="J1968" s="1" t="s">
        <v>716</v>
      </c>
      <c r="K1968" s="1" t="s">
        <v>716</v>
      </c>
      <c r="L1968" s="1" t="s">
        <v>1418</v>
      </c>
      <c r="M1968" s="1" t="s">
        <v>718</v>
      </c>
    </row>
    <row r="1969" customFormat="false" ht="15" hidden="false" customHeight="false" outlineLevel="0" collapsed="false">
      <c r="A1969" s="1" t="s">
        <v>9156</v>
      </c>
      <c r="B1969" s="1" t="s">
        <v>9157</v>
      </c>
      <c r="C1969" s="1" t="s">
        <v>9158</v>
      </c>
      <c r="D1969" s="2" t="n">
        <v>33485</v>
      </c>
      <c r="E1969" s="1" t="s">
        <v>710</v>
      </c>
      <c r="F1969" s="1" t="s">
        <v>711</v>
      </c>
      <c r="G1969" s="1" t="s">
        <v>712</v>
      </c>
      <c r="H1969" s="1" t="s">
        <v>713</v>
      </c>
      <c r="I1969" s="1" t="s">
        <v>714</v>
      </c>
      <c r="J1969" s="1" t="s">
        <v>716</v>
      </c>
      <c r="K1969" s="1" t="s">
        <v>716</v>
      </c>
      <c r="L1969" s="1" t="s">
        <v>1418</v>
      </c>
      <c r="M1969" s="1" t="s">
        <v>718</v>
      </c>
    </row>
    <row r="1970" customFormat="false" ht="15" hidden="false" customHeight="false" outlineLevel="0" collapsed="false">
      <c r="A1970" s="1" t="s">
        <v>9159</v>
      </c>
      <c r="B1970" s="1" t="s">
        <v>9160</v>
      </c>
      <c r="C1970" s="1" t="s">
        <v>5177</v>
      </c>
      <c r="D1970" s="2" t="n">
        <v>33115</v>
      </c>
      <c r="E1970" s="1" t="s">
        <v>763</v>
      </c>
      <c r="F1970" s="1" t="s">
        <v>711</v>
      </c>
      <c r="G1970" s="1" t="s">
        <v>722</v>
      </c>
      <c r="H1970" s="1" t="s">
        <v>713</v>
      </c>
      <c r="I1970" s="1" t="s">
        <v>714</v>
      </c>
      <c r="J1970" s="1" t="s">
        <v>716</v>
      </c>
      <c r="K1970" s="1" t="s">
        <v>716</v>
      </c>
      <c r="L1970" s="1" t="s">
        <v>1418</v>
      </c>
      <c r="M1970" s="1" t="s">
        <v>718</v>
      </c>
    </row>
    <row r="1971" customFormat="false" ht="15" hidden="false" customHeight="false" outlineLevel="0" collapsed="false">
      <c r="A1971" s="1" t="s">
        <v>9161</v>
      </c>
      <c r="B1971" s="1" t="s">
        <v>9162</v>
      </c>
      <c r="C1971" s="1" t="s">
        <v>9163</v>
      </c>
      <c r="D1971" s="2" t="n">
        <v>33731</v>
      </c>
      <c r="E1971" s="1" t="s">
        <v>763</v>
      </c>
      <c r="F1971" s="1" t="s">
        <v>711</v>
      </c>
      <c r="G1971" s="1" t="s">
        <v>722</v>
      </c>
      <c r="H1971" s="1" t="s">
        <v>713</v>
      </c>
      <c r="I1971" s="1" t="s">
        <v>714</v>
      </c>
      <c r="J1971" s="1" t="s">
        <v>716</v>
      </c>
      <c r="K1971" s="1" t="s">
        <v>716</v>
      </c>
      <c r="L1971" s="1" t="s">
        <v>1418</v>
      </c>
      <c r="M1971" s="1" t="s">
        <v>718</v>
      </c>
    </row>
    <row r="1972" customFormat="false" ht="15" hidden="false" customHeight="false" outlineLevel="0" collapsed="false">
      <c r="A1972" s="1" t="s">
        <v>9164</v>
      </c>
      <c r="B1972" s="1" t="s">
        <v>9165</v>
      </c>
      <c r="C1972" s="1" t="s">
        <v>9166</v>
      </c>
      <c r="D1972" s="2" t="n">
        <v>30919</v>
      </c>
      <c r="E1972" s="1" t="s">
        <v>763</v>
      </c>
      <c r="F1972" s="1" t="s">
        <v>711</v>
      </c>
      <c r="G1972" s="1" t="s">
        <v>712</v>
      </c>
      <c r="H1972" s="1" t="s">
        <v>713</v>
      </c>
      <c r="I1972" s="1" t="s">
        <v>714</v>
      </c>
      <c r="J1972" s="1" t="s">
        <v>716</v>
      </c>
      <c r="K1972" s="1" t="s">
        <v>716</v>
      </c>
      <c r="L1972" s="1" t="s">
        <v>1418</v>
      </c>
      <c r="M1972" s="1" t="s">
        <v>718</v>
      </c>
    </row>
    <row r="1973" customFormat="false" ht="15" hidden="false" customHeight="false" outlineLevel="0" collapsed="false">
      <c r="A1973" s="1" t="s">
        <v>9167</v>
      </c>
      <c r="B1973" s="1" t="s">
        <v>9168</v>
      </c>
      <c r="C1973" s="1" t="s">
        <v>9169</v>
      </c>
      <c r="D1973" s="2" t="n">
        <v>30251</v>
      </c>
      <c r="E1973" s="1" t="s">
        <v>763</v>
      </c>
      <c r="F1973" s="1" t="s">
        <v>711</v>
      </c>
      <c r="G1973" s="1" t="s">
        <v>722</v>
      </c>
      <c r="H1973" s="1" t="s">
        <v>713</v>
      </c>
      <c r="I1973" s="1" t="s">
        <v>714</v>
      </c>
      <c r="J1973" s="1" t="s">
        <v>716</v>
      </c>
      <c r="K1973" s="1" t="s">
        <v>716</v>
      </c>
      <c r="L1973" s="1" t="s">
        <v>1418</v>
      </c>
      <c r="M1973" s="1" t="s">
        <v>718</v>
      </c>
    </row>
    <row r="1974" customFormat="false" ht="15" hidden="false" customHeight="false" outlineLevel="0" collapsed="false">
      <c r="A1974" s="1" t="s">
        <v>9170</v>
      </c>
      <c r="B1974" s="1" t="s">
        <v>9171</v>
      </c>
      <c r="C1974" s="1" t="s">
        <v>9172</v>
      </c>
      <c r="D1974" s="2" t="n">
        <v>33114</v>
      </c>
      <c r="E1974" s="1" t="s">
        <v>763</v>
      </c>
      <c r="F1974" s="1" t="s">
        <v>711</v>
      </c>
      <c r="G1974" s="1" t="s">
        <v>712</v>
      </c>
      <c r="H1974" s="1" t="s">
        <v>713</v>
      </c>
      <c r="I1974" s="1" t="s">
        <v>714</v>
      </c>
      <c r="J1974" s="1" t="s">
        <v>716</v>
      </c>
      <c r="K1974" s="1" t="s">
        <v>716</v>
      </c>
      <c r="L1974" s="1" t="s">
        <v>1418</v>
      </c>
      <c r="M1974" s="1" t="s">
        <v>718</v>
      </c>
    </row>
    <row r="1975" customFormat="false" ht="15" hidden="false" customHeight="false" outlineLevel="0" collapsed="false">
      <c r="A1975" s="1" t="s">
        <v>9173</v>
      </c>
      <c r="B1975" s="1" t="s">
        <v>9174</v>
      </c>
      <c r="C1975" s="1" t="s">
        <v>9175</v>
      </c>
      <c r="D1975" s="2" t="n">
        <v>31062</v>
      </c>
      <c r="E1975" s="1" t="s">
        <v>763</v>
      </c>
      <c r="F1975" s="1" t="s">
        <v>711</v>
      </c>
      <c r="G1975" s="1" t="s">
        <v>722</v>
      </c>
      <c r="H1975" s="1" t="s">
        <v>713</v>
      </c>
      <c r="I1975" s="1" t="s">
        <v>714</v>
      </c>
      <c r="J1975" s="1" t="s">
        <v>716</v>
      </c>
      <c r="K1975" s="1" t="s">
        <v>716</v>
      </c>
      <c r="L1975" s="1" t="s">
        <v>1418</v>
      </c>
      <c r="M1975" s="1" t="s">
        <v>718</v>
      </c>
    </row>
    <row r="1976" customFormat="false" ht="15" hidden="false" customHeight="false" outlineLevel="0" collapsed="false">
      <c r="A1976" s="1" t="s">
        <v>9176</v>
      </c>
      <c r="B1976" s="1" t="s">
        <v>9177</v>
      </c>
      <c r="C1976" s="1" t="s">
        <v>9178</v>
      </c>
      <c r="D1976" s="2" t="n">
        <v>32741</v>
      </c>
      <c r="E1976" s="1" t="s">
        <v>710</v>
      </c>
      <c r="F1976" s="1" t="s">
        <v>711</v>
      </c>
      <c r="G1976" s="1" t="s">
        <v>4633</v>
      </c>
      <c r="H1976" s="1" t="s">
        <v>713</v>
      </c>
      <c r="I1976" s="1" t="s">
        <v>714</v>
      </c>
      <c r="J1976" s="1" t="s">
        <v>716</v>
      </c>
      <c r="K1976" s="1" t="s">
        <v>716</v>
      </c>
      <c r="L1976" s="1" t="s">
        <v>1418</v>
      </c>
      <c r="M1976" s="1" t="s">
        <v>718</v>
      </c>
    </row>
    <row r="1977" customFormat="false" ht="15" hidden="false" customHeight="false" outlineLevel="0" collapsed="false">
      <c r="A1977" s="1" t="s">
        <v>9179</v>
      </c>
      <c r="B1977" s="1" t="s">
        <v>9180</v>
      </c>
      <c r="C1977" s="1" t="s">
        <v>9181</v>
      </c>
      <c r="D1977" s="2" t="n">
        <v>31076</v>
      </c>
      <c r="E1977" s="1" t="s">
        <v>763</v>
      </c>
      <c r="F1977" s="1" t="s">
        <v>711</v>
      </c>
      <c r="G1977" s="1" t="s">
        <v>712</v>
      </c>
      <c r="H1977" s="1" t="s">
        <v>713</v>
      </c>
      <c r="I1977" s="1" t="s">
        <v>714</v>
      </c>
      <c r="J1977" s="1" t="s">
        <v>716</v>
      </c>
      <c r="K1977" s="1" t="s">
        <v>716</v>
      </c>
      <c r="L1977" s="1" t="s">
        <v>1418</v>
      </c>
      <c r="M1977" s="1" t="s">
        <v>718</v>
      </c>
    </row>
    <row r="1978" customFormat="false" ht="15" hidden="false" customHeight="false" outlineLevel="0" collapsed="false">
      <c r="A1978" s="1" t="s">
        <v>9182</v>
      </c>
      <c r="B1978" s="1" t="s">
        <v>9183</v>
      </c>
      <c r="C1978" s="1" t="s">
        <v>9184</v>
      </c>
      <c r="D1978" s="2" t="n">
        <v>27757</v>
      </c>
      <c r="E1978" s="1" t="s">
        <v>763</v>
      </c>
      <c r="F1978" s="1" t="s">
        <v>711</v>
      </c>
      <c r="G1978" s="1" t="s">
        <v>722</v>
      </c>
      <c r="H1978" s="1" t="s">
        <v>713</v>
      </c>
      <c r="I1978" s="1" t="s">
        <v>714</v>
      </c>
      <c r="J1978" s="1" t="s">
        <v>716</v>
      </c>
      <c r="K1978" s="1" t="s">
        <v>716</v>
      </c>
      <c r="L1978" s="1" t="s">
        <v>1418</v>
      </c>
      <c r="M1978" s="1" t="s">
        <v>718</v>
      </c>
    </row>
    <row r="1979" customFormat="false" ht="15" hidden="false" customHeight="false" outlineLevel="0" collapsed="false">
      <c r="A1979" s="1" t="s">
        <v>9185</v>
      </c>
      <c r="B1979" s="1" t="s">
        <v>9186</v>
      </c>
      <c r="C1979" s="1" t="s">
        <v>9187</v>
      </c>
      <c r="D1979" s="2" t="n">
        <v>32550</v>
      </c>
      <c r="E1979" s="1" t="s">
        <v>710</v>
      </c>
      <c r="F1979" s="1" t="s">
        <v>711</v>
      </c>
      <c r="G1979" s="1" t="s">
        <v>712</v>
      </c>
      <c r="H1979" s="1" t="s">
        <v>713</v>
      </c>
      <c r="I1979" s="1" t="s">
        <v>714</v>
      </c>
      <c r="J1979" s="1" t="s">
        <v>716</v>
      </c>
      <c r="K1979" s="1" t="s">
        <v>716</v>
      </c>
      <c r="L1979" s="1" t="s">
        <v>1418</v>
      </c>
      <c r="M1979" s="1" t="s">
        <v>718</v>
      </c>
    </row>
    <row r="1980" customFormat="false" ht="15" hidden="false" customHeight="false" outlineLevel="0" collapsed="false">
      <c r="A1980" s="1" t="s">
        <v>9188</v>
      </c>
      <c r="B1980" s="1" t="s">
        <v>9189</v>
      </c>
      <c r="C1980" s="1" t="s">
        <v>9190</v>
      </c>
      <c r="D1980" s="2" t="n">
        <v>33475</v>
      </c>
      <c r="E1980" s="1" t="s">
        <v>763</v>
      </c>
      <c r="F1980" s="1" t="s">
        <v>711</v>
      </c>
      <c r="G1980" s="1" t="s">
        <v>712</v>
      </c>
      <c r="H1980" s="1" t="s">
        <v>713</v>
      </c>
      <c r="I1980" s="1" t="s">
        <v>714</v>
      </c>
      <c r="J1980" s="1" t="s">
        <v>716</v>
      </c>
      <c r="K1980" s="1" t="s">
        <v>716</v>
      </c>
      <c r="L1980" s="1" t="s">
        <v>1418</v>
      </c>
      <c r="M1980" s="1" t="s">
        <v>718</v>
      </c>
    </row>
    <row r="1981" customFormat="false" ht="15" hidden="false" customHeight="false" outlineLevel="0" collapsed="false">
      <c r="A1981" s="1" t="s">
        <v>9191</v>
      </c>
      <c r="B1981" s="1" t="s">
        <v>9192</v>
      </c>
      <c r="C1981" s="1" t="s">
        <v>9193</v>
      </c>
      <c r="D1981" s="2" t="n">
        <v>29502</v>
      </c>
      <c r="E1981" s="1" t="s">
        <v>763</v>
      </c>
      <c r="F1981" s="1" t="s">
        <v>711</v>
      </c>
      <c r="G1981" s="1" t="s">
        <v>712</v>
      </c>
      <c r="H1981" s="1" t="s">
        <v>713</v>
      </c>
      <c r="I1981" s="1" t="s">
        <v>714</v>
      </c>
      <c r="J1981" s="1" t="s">
        <v>716</v>
      </c>
      <c r="K1981" s="1" t="s">
        <v>716</v>
      </c>
      <c r="L1981" s="1" t="s">
        <v>1418</v>
      </c>
      <c r="M1981" s="1" t="s">
        <v>718</v>
      </c>
    </row>
    <row r="1982" customFormat="false" ht="15" hidden="false" customHeight="false" outlineLevel="0" collapsed="false">
      <c r="A1982" s="1" t="s">
        <v>9194</v>
      </c>
      <c r="B1982" s="1" t="s">
        <v>9195</v>
      </c>
      <c r="C1982" s="1" t="s">
        <v>9196</v>
      </c>
      <c r="D1982" s="2" t="n">
        <v>31305</v>
      </c>
      <c r="E1982" s="1" t="s">
        <v>763</v>
      </c>
      <c r="F1982" s="1" t="s">
        <v>711</v>
      </c>
      <c r="G1982" s="1" t="s">
        <v>712</v>
      </c>
      <c r="H1982" s="1" t="s">
        <v>713</v>
      </c>
      <c r="I1982" s="1" t="s">
        <v>714</v>
      </c>
      <c r="J1982" s="1" t="s">
        <v>716</v>
      </c>
      <c r="K1982" s="1" t="s">
        <v>716</v>
      </c>
      <c r="L1982" s="1" t="s">
        <v>1418</v>
      </c>
      <c r="M1982" s="1" t="s">
        <v>718</v>
      </c>
    </row>
    <row r="1983" customFormat="false" ht="15" hidden="false" customHeight="false" outlineLevel="0" collapsed="false">
      <c r="A1983" s="1" t="s">
        <v>9197</v>
      </c>
      <c r="B1983" s="1" t="s">
        <v>3432</v>
      </c>
      <c r="C1983" s="1" t="s">
        <v>9198</v>
      </c>
      <c r="D1983" s="2" t="n">
        <v>30605</v>
      </c>
      <c r="E1983" s="1" t="s">
        <v>710</v>
      </c>
      <c r="F1983" s="1" t="s">
        <v>711</v>
      </c>
      <c r="G1983" s="1" t="s">
        <v>722</v>
      </c>
      <c r="H1983" s="1" t="s">
        <v>713</v>
      </c>
      <c r="I1983" s="1" t="s">
        <v>714</v>
      </c>
      <c r="J1983" s="1" t="s">
        <v>716</v>
      </c>
      <c r="K1983" s="1" t="s">
        <v>716</v>
      </c>
      <c r="L1983" s="1" t="s">
        <v>1418</v>
      </c>
      <c r="M1983" s="1" t="s">
        <v>718</v>
      </c>
    </row>
    <row r="1984" customFormat="false" ht="15" hidden="false" customHeight="false" outlineLevel="0" collapsed="false">
      <c r="A1984" s="1" t="s">
        <v>9199</v>
      </c>
      <c r="B1984" s="1" t="s">
        <v>9200</v>
      </c>
      <c r="C1984" s="1" t="s">
        <v>9201</v>
      </c>
      <c r="D1984" s="2" t="n">
        <v>32661</v>
      </c>
      <c r="E1984" s="1" t="s">
        <v>763</v>
      </c>
      <c r="F1984" s="1" t="s">
        <v>711</v>
      </c>
      <c r="G1984" s="1" t="s">
        <v>712</v>
      </c>
      <c r="H1984" s="1" t="s">
        <v>713</v>
      </c>
      <c r="I1984" s="1" t="s">
        <v>714</v>
      </c>
      <c r="J1984" s="1" t="s">
        <v>716</v>
      </c>
      <c r="K1984" s="1" t="s">
        <v>716</v>
      </c>
      <c r="L1984" s="1" t="s">
        <v>1418</v>
      </c>
      <c r="M1984" s="1" t="s">
        <v>718</v>
      </c>
    </row>
    <row r="1985" customFormat="false" ht="15" hidden="false" customHeight="false" outlineLevel="0" collapsed="false">
      <c r="A1985" s="1" t="s">
        <v>9202</v>
      </c>
      <c r="B1985" s="1" t="s">
        <v>4501</v>
      </c>
      <c r="C1985" s="1" t="s">
        <v>2783</v>
      </c>
      <c r="D1985" s="2" t="n">
        <v>34395</v>
      </c>
      <c r="E1985" s="1" t="s">
        <v>710</v>
      </c>
      <c r="F1985" s="1" t="s">
        <v>711</v>
      </c>
      <c r="G1985" s="1" t="s">
        <v>722</v>
      </c>
      <c r="H1985" s="1" t="s">
        <v>713</v>
      </c>
      <c r="I1985" s="1" t="s">
        <v>714</v>
      </c>
      <c r="J1985" s="1" t="s">
        <v>716</v>
      </c>
      <c r="K1985" s="1" t="s">
        <v>716</v>
      </c>
      <c r="L1985" s="1" t="s">
        <v>1418</v>
      </c>
      <c r="M1985" s="1" t="s">
        <v>718</v>
      </c>
    </row>
    <row r="1986" customFormat="false" ht="15" hidden="false" customHeight="false" outlineLevel="0" collapsed="false">
      <c r="A1986" s="1" t="s">
        <v>9203</v>
      </c>
      <c r="B1986" s="1" t="s">
        <v>4501</v>
      </c>
      <c r="C1986" s="1" t="s">
        <v>2783</v>
      </c>
      <c r="D1986" s="2" t="n">
        <v>34395</v>
      </c>
      <c r="E1986" s="1" t="s">
        <v>710</v>
      </c>
      <c r="F1986" s="1" t="s">
        <v>711</v>
      </c>
      <c r="G1986" s="1" t="s">
        <v>722</v>
      </c>
      <c r="H1986" s="1" t="s">
        <v>713</v>
      </c>
      <c r="I1986" s="1" t="s">
        <v>714</v>
      </c>
      <c r="J1986" s="1" t="s">
        <v>716</v>
      </c>
      <c r="K1986" s="1" t="s">
        <v>716</v>
      </c>
      <c r="L1986" s="1" t="s">
        <v>1418</v>
      </c>
      <c r="M1986" s="1" t="s">
        <v>718</v>
      </c>
    </row>
    <row r="1987" customFormat="false" ht="15" hidden="false" customHeight="false" outlineLevel="0" collapsed="false">
      <c r="A1987" s="1" t="s">
        <v>9204</v>
      </c>
      <c r="B1987" s="1" t="s">
        <v>9205</v>
      </c>
      <c r="C1987" s="1" t="s">
        <v>1180</v>
      </c>
      <c r="D1987" s="2" t="n">
        <v>34800</v>
      </c>
      <c r="E1987" s="1" t="s">
        <v>710</v>
      </c>
      <c r="F1987" s="1" t="s">
        <v>711</v>
      </c>
      <c r="G1987" s="1" t="s">
        <v>722</v>
      </c>
      <c r="H1987" s="1" t="s">
        <v>713</v>
      </c>
      <c r="I1987" s="1" t="s">
        <v>714</v>
      </c>
      <c r="J1987" s="1" t="s">
        <v>7653</v>
      </c>
      <c r="K1987" s="1" t="s">
        <v>7653</v>
      </c>
      <c r="L1987" s="1" t="s">
        <v>1418</v>
      </c>
      <c r="M1987" s="1" t="s">
        <v>718</v>
      </c>
    </row>
    <row r="1988" customFormat="false" ht="15" hidden="false" customHeight="false" outlineLevel="0" collapsed="false">
      <c r="A1988" s="1" t="s">
        <v>9206</v>
      </c>
      <c r="B1988" s="1" t="s">
        <v>9207</v>
      </c>
      <c r="C1988" s="1" t="s">
        <v>5419</v>
      </c>
      <c r="D1988" s="2" t="n">
        <v>34737</v>
      </c>
      <c r="E1988" s="1" t="s">
        <v>710</v>
      </c>
      <c r="F1988" s="1" t="s">
        <v>711</v>
      </c>
      <c r="G1988" s="1" t="s">
        <v>722</v>
      </c>
      <c r="H1988" s="1" t="s">
        <v>713</v>
      </c>
      <c r="I1988" s="1" t="s">
        <v>714</v>
      </c>
      <c r="J1988" s="1" t="s">
        <v>7653</v>
      </c>
      <c r="K1988" s="1" t="s">
        <v>7653</v>
      </c>
      <c r="L1988" s="1" t="s">
        <v>1418</v>
      </c>
      <c r="M1988" s="1" t="s">
        <v>718</v>
      </c>
    </row>
    <row r="1989" customFormat="false" ht="15" hidden="false" customHeight="false" outlineLevel="0" collapsed="false">
      <c r="A1989" s="1" t="s">
        <v>9208</v>
      </c>
      <c r="B1989" s="1" t="s">
        <v>9209</v>
      </c>
      <c r="C1989" s="1" t="s">
        <v>9210</v>
      </c>
      <c r="D1989" s="2" t="n">
        <v>35242</v>
      </c>
      <c r="E1989" s="1" t="s">
        <v>763</v>
      </c>
      <c r="F1989" s="1" t="s">
        <v>711</v>
      </c>
      <c r="G1989" s="1" t="s">
        <v>712</v>
      </c>
      <c r="H1989" s="1" t="s">
        <v>713</v>
      </c>
      <c r="I1989" s="1" t="s">
        <v>714</v>
      </c>
      <c r="J1989" s="1" t="s">
        <v>716</v>
      </c>
      <c r="K1989" s="1" t="s">
        <v>716</v>
      </c>
      <c r="L1989" s="1" t="s">
        <v>1418</v>
      </c>
      <c r="M1989" s="1" t="s">
        <v>718</v>
      </c>
    </row>
    <row r="1990" customFormat="false" ht="15" hidden="false" customHeight="false" outlineLevel="0" collapsed="false">
      <c r="A1990" s="1" t="s">
        <v>9211</v>
      </c>
      <c r="B1990" s="1" t="s">
        <v>9212</v>
      </c>
      <c r="C1990" s="1" t="s">
        <v>9213</v>
      </c>
      <c r="D1990" s="2" t="n">
        <v>33675</v>
      </c>
      <c r="E1990" s="1" t="s">
        <v>763</v>
      </c>
      <c r="F1990" s="1" t="s">
        <v>711</v>
      </c>
      <c r="G1990" s="1" t="s">
        <v>712</v>
      </c>
      <c r="H1990" s="1" t="s">
        <v>713</v>
      </c>
      <c r="I1990" s="1" t="s">
        <v>714</v>
      </c>
      <c r="J1990" s="1" t="s">
        <v>716</v>
      </c>
      <c r="K1990" s="1" t="s">
        <v>716</v>
      </c>
      <c r="L1990" s="1" t="s">
        <v>1418</v>
      </c>
      <c r="M1990" s="1" t="s">
        <v>718</v>
      </c>
    </row>
    <row r="1991" customFormat="false" ht="15" hidden="false" customHeight="false" outlineLevel="0" collapsed="false">
      <c r="A1991" s="1" t="s">
        <v>9214</v>
      </c>
      <c r="B1991" s="1" t="s">
        <v>5762</v>
      </c>
      <c r="C1991" s="1" t="s">
        <v>9215</v>
      </c>
      <c r="D1991" s="2" t="n">
        <v>34566</v>
      </c>
      <c r="E1991" s="1" t="s">
        <v>710</v>
      </c>
      <c r="F1991" s="1" t="s">
        <v>711</v>
      </c>
      <c r="G1991" s="1" t="s">
        <v>722</v>
      </c>
      <c r="H1991" s="1" t="s">
        <v>713</v>
      </c>
      <c r="I1991" s="1" t="s">
        <v>714</v>
      </c>
      <c r="J1991" s="1" t="s">
        <v>716</v>
      </c>
      <c r="K1991" s="1" t="s">
        <v>716</v>
      </c>
      <c r="L1991" s="1" t="s">
        <v>1418</v>
      </c>
      <c r="M1991" s="1" t="s">
        <v>718</v>
      </c>
    </row>
    <row r="1992" customFormat="false" ht="15" hidden="false" customHeight="false" outlineLevel="0" collapsed="false">
      <c r="A1992" s="1" t="s">
        <v>9216</v>
      </c>
      <c r="B1992" s="1" t="s">
        <v>9217</v>
      </c>
      <c r="C1992" s="1" t="s">
        <v>9218</v>
      </c>
      <c r="D1992" s="2" t="n">
        <v>27677</v>
      </c>
      <c r="E1992" s="1" t="s">
        <v>763</v>
      </c>
      <c r="F1992" s="1" t="s">
        <v>711</v>
      </c>
      <c r="G1992" s="1" t="s">
        <v>722</v>
      </c>
      <c r="H1992" s="1" t="s">
        <v>713</v>
      </c>
      <c r="I1992" s="1" t="s">
        <v>714</v>
      </c>
      <c r="J1992" s="1" t="s">
        <v>716</v>
      </c>
      <c r="K1992" s="1" t="s">
        <v>716</v>
      </c>
      <c r="L1992" s="1" t="s">
        <v>1418</v>
      </c>
      <c r="M1992" s="1" t="s">
        <v>718</v>
      </c>
    </row>
    <row r="1993" customFormat="false" ht="15" hidden="false" customHeight="false" outlineLevel="0" collapsed="false">
      <c r="A1993" s="1" t="s">
        <v>9219</v>
      </c>
      <c r="B1993" s="1" t="s">
        <v>9217</v>
      </c>
      <c r="C1993" s="1" t="s">
        <v>9218</v>
      </c>
      <c r="D1993" s="2" t="n">
        <v>27677</v>
      </c>
      <c r="E1993" s="1" t="s">
        <v>763</v>
      </c>
      <c r="F1993" s="1" t="s">
        <v>711</v>
      </c>
      <c r="G1993" s="1" t="s">
        <v>722</v>
      </c>
      <c r="H1993" s="1" t="s">
        <v>713</v>
      </c>
      <c r="I1993" s="1" t="s">
        <v>714</v>
      </c>
      <c r="J1993" s="1" t="s">
        <v>716</v>
      </c>
      <c r="K1993" s="1" t="s">
        <v>716</v>
      </c>
      <c r="L1993" s="1" t="s">
        <v>1418</v>
      </c>
      <c r="M1993" s="1" t="s">
        <v>718</v>
      </c>
    </row>
    <row r="1994" customFormat="false" ht="15" hidden="false" customHeight="false" outlineLevel="0" collapsed="false">
      <c r="A1994" s="1" t="s">
        <v>9220</v>
      </c>
      <c r="B1994" s="1" t="s">
        <v>9221</v>
      </c>
      <c r="C1994" s="1" t="s">
        <v>9222</v>
      </c>
      <c r="D1994" s="2" t="n">
        <v>34726</v>
      </c>
      <c r="E1994" s="1" t="s">
        <v>710</v>
      </c>
      <c r="F1994" s="1" t="s">
        <v>711</v>
      </c>
      <c r="G1994" s="1" t="s">
        <v>722</v>
      </c>
      <c r="H1994" s="1" t="s">
        <v>713</v>
      </c>
      <c r="I1994" s="1" t="s">
        <v>714</v>
      </c>
      <c r="J1994" s="1" t="s">
        <v>716</v>
      </c>
      <c r="K1994" s="1" t="s">
        <v>716</v>
      </c>
      <c r="L1994" s="1" t="s">
        <v>1418</v>
      </c>
      <c r="M1994" s="1" t="s">
        <v>718</v>
      </c>
    </row>
    <row r="1995" customFormat="false" ht="15" hidden="false" customHeight="false" outlineLevel="0" collapsed="false">
      <c r="A1995" s="1" t="s">
        <v>9223</v>
      </c>
      <c r="B1995" s="1" t="s">
        <v>9224</v>
      </c>
      <c r="C1995" s="1" t="s">
        <v>1122</v>
      </c>
      <c r="D1995" s="2" t="n">
        <v>30708</v>
      </c>
      <c r="E1995" s="1" t="s">
        <v>710</v>
      </c>
      <c r="F1995" s="1" t="s">
        <v>711</v>
      </c>
      <c r="G1995" s="1" t="s">
        <v>712</v>
      </c>
      <c r="H1995" s="1" t="s">
        <v>713</v>
      </c>
      <c r="I1995" s="1" t="s">
        <v>714</v>
      </c>
      <c r="J1995" s="1" t="s">
        <v>716</v>
      </c>
      <c r="K1995" s="1" t="s">
        <v>716</v>
      </c>
      <c r="L1995" s="1" t="s">
        <v>1418</v>
      </c>
      <c r="M1995" s="1" t="s">
        <v>718</v>
      </c>
    </row>
    <row r="1996" customFormat="false" ht="15" hidden="false" customHeight="false" outlineLevel="0" collapsed="false">
      <c r="A1996" s="1" t="s">
        <v>9225</v>
      </c>
      <c r="B1996" s="1" t="s">
        <v>9226</v>
      </c>
      <c r="C1996" s="1" t="s">
        <v>9227</v>
      </c>
      <c r="D1996" s="2" t="n">
        <v>29849</v>
      </c>
      <c r="E1996" s="1" t="s">
        <v>710</v>
      </c>
      <c r="F1996" s="1" t="s">
        <v>711</v>
      </c>
      <c r="G1996" s="1" t="s">
        <v>722</v>
      </c>
      <c r="H1996" s="1" t="s">
        <v>713</v>
      </c>
      <c r="I1996" s="1" t="s">
        <v>714</v>
      </c>
      <c r="J1996" s="1" t="s">
        <v>716</v>
      </c>
      <c r="K1996" s="1" t="s">
        <v>716</v>
      </c>
      <c r="L1996" s="1" t="s">
        <v>1418</v>
      </c>
      <c r="M1996" s="1" t="s">
        <v>718</v>
      </c>
    </row>
    <row r="1997" customFormat="false" ht="15" hidden="false" customHeight="false" outlineLevel="0" collapsed="false">
      <c r="A1997" s="1" t="s">
        <v>9228</v>
      </c>
      <c r="B1997" s="1" t="s">
        <v>9229</v>
      </c>
      <c r="C1997" s="1" t="s">
        <v>9230</v>
      </c>
      <c r="D1997" s="2" t="n">
        <v>34464</v>
      </c>
      <c r="E1997" s="1" t="s">
        <v>710</v>
      </c>
      <c r="F1997" s="1" t="s">
        <v>711</v>
      </c>
      <c r="G1997" s="1" t="s">
        <v>722</v>
      </c>
      <c r="H1997" s="1" t="s">
        <v>713</v>
      </c>
      <c r="I1997" s="1" t="s">
        <v>714</v>
      </c>
      <c r="J1997" s="1" t="s">
        <v>716</v>
      </c>
      <c r="K1997" s="1" t="s">
        <v>716</v>
      </c>
      <c r="L1997" s="1" t="s">
        <v>1418</v>
      </c>
      <c r="M1997" s="1" t="s">
        <v>718</v>
      </c>
    </row>
    <row r="1998" customFormat="false" ht="15" hidden="false" customHeight="false" outlineLevel="0" collapsed="false">
      <c r="A1998" s="1" t="s">
        <v>9231</v>
      </c>
      <c r="B1998" s="1" t="s">
        <v>9232</v>
      </c>
      <c r="C1998" s="1" t="s">
        <v>7365</v>
      </c>
      <c r="D1998" s="2" t="n">
        <v>35591</v>
      </c>
      <c r="E1998" s="1" t="s">
        <v>710</v>
      </c>
      <c r="F1998" s="1" t="s">
        <v>711</v>
      </c>
      <c r="G1998" s="1" t="s">
        <v>722</v>
      </c>
      <c r="H1998" s="1" t="s">
        <v>713</v>
      </c>
      <c r="I1998" s="1" t="s">
        <v>714</v>
      </c>
      <c r="J1998" s="1" t="s">
        <v>716</v>
      </c>
      <c r="K1998" s="1" t="s">
        <v>716</v>
      </c>
      <c r="L1998" s="1" t="s">
        <v>1418</v>
      </c>
      <c r="M1998" s="1" t="s">
        <v>718</v>
      </c>
    </row>
    <row r="1999" customFormat="false" ht="15" hidden="false" customHeight="false" outlineLevel="0" collapsed="false">
      <c r="A1999" s="1" t="s">
        <v>9233</v>
      </c>
      <c r="B1999" s="1" t="s">
        <v>9234</v>
      </c>
      <c r="C1999" s="1" t="s">
        <v>9235</v>
      </c>
      <c r="D1999" s="2" t="n">
        <v>32345</v>
      </c>
      <c r="E1999" s="1" t="s">
        <v>763</v>
      </c>
      <c r="F1999" s="1" t="s">
        <v>711</v>
      </c>
      <c r="G1999" s="1" t="s">
        <v>712</v>
      </c>
      <c r="H1999" s="1" t="s">
        <v>713</v>
      </c>
      <c r="I1999" s="1" t="s">
        <v>714</v>
      </c>
      <c r="J1999" s="1" t="s">
        <v>716</v>
      </c>
      <c r="K1999" s="1" t="s">
        <v>716</v>
      </c>
      <c r="L1999" s="1" t="s">
        <v>1418</v>
      </c>
      <c r="M1999" s="1" t="s">
        <v>718</v>
      </c>
    </row>
    <row r="2000" customFormat="false" ht="15" hidden="false" customHeight="false" outlineLevel="0" collapsed="false">
      <c r="A2000" s="1" t="s">
        <v>9236</v>
      </c>
      <c r="B2000" s="1" t="s">
        <v>9237</v>
      </c>
      <c r="C2000" s="1" t="s">
        <v>9238</v>
      </c>
      <c r="D2000" s="2" t="n">
        <v>33435</v>
      </c>
      <c r="E2000" s="1" t="s">
        <v>763</v>
      </c>
      <c r="F2000" s="1" t="s">
        <v>711</v>
      </c>
      <c r="G2000" s="1" t="s">
        <v>712</v>
      </c>
      <c r="H2000" s="1" t="s">
        <v>713</v>
      </c>
      <c r="I2000" s="1" t="s">
        <v>714</v>
      </c>
      <c r="J2000" s="1" t="s">
        <v>716</v>
      </c>
      <c r="K2000" s="1" t="s">
        <v>716</v>
      </c>
      <c r="L2000" s="1" t="s">
        <v>1418</v>
      </c>
      <c r="M2000" s="1" t="s">
        <v>718</v>
      </c>
    </row>
    <row r="2001" customFormat="false" ht="15" hidden="false" customHeight="false" outlineLevel="0" collapsed="false">
      <c r="A2001" s="1" t="s">
        <v>9239</v>
      </c>
      <c r="B2001" s="1" t="s">
        <v>9240</v>
      </c>
      <c r="C2001" s="1" t="s">
        <v>9175</v>
      </c>
      <c r="D2001" s="2" t="n">
        <v>34028</v>
      </c>
      <c r="E2001" s="1" t="s">
        <v>710</v>
      </c>
      <c r="F2001" s="1" t="s">
        <v>711</v>
      </c>
      <c r="G2001" s="1" t="s">
        <v>712</v>
      </c>
      <c r="H2001" s="1" t="s">
        <v>713</v>
      </c>
      <c r="I2001" s="1" t="s">
        <v>714</v>
      </c>
      <c r="J2001" s="1" t="s">
        <v>716</v>
      </c>
      <c r="K2001" s="1" t="s">
        <v>716</v>
      </c>
      <c r="L2001" s="1" t="s">
        <v>1418</v>
      </c>
      <c r="M2001" s="1" t="s">
        <v>718</v>
      </c>
    </row>
    <row r="2002" customFormat="false" ht="15" hidden="false" customHeight="false" outlineLevel="0" collapsed="false">
      <c r="A2002" s="1" t="s">
        <v>9241</v>
      </c>
      <c r="B2002" s="1" t="s">
        <v>4736</v>
      </c>
      <c r="C2002" s="1" t="s">
        <v>7072</v>
      </c>
      <c r="D2002" s="2" t="n">
        <v>34654</v>
      </c>
      <c r="E2002" s="1" t="s">
        <v>710</v>
      </c>
      <c r="F2002" s="1" t="s">
        <v>711</v>
      </c>
      <c r="G2002" s="1" t="s">
        <v>722</v>
      </c>
      <c r="H2002" s="1" t="s">
        <v>713</v>
      </c>
      <c r="I2002" s="1" t="s">
        <v>714</v>
      </c>
      <c r="J2002" s="1" t="s">
        <v>716</v>
      </c>
      <c r="K2002" s="1" t="s">
        <v>716</v>
      </c>
      <c r="L2002" s="1" t="s">
        <v>1418</v>
      </c>
      <c r="M2002" s="1" t="s">
        <v>718</v>
      </c>
    </row>
    <row r="2003" customFormat="false" ht="15" hidden="false" customHeight="false" outlineLevel="0" collapsed="false">
      <c r="A2003" s="1" t="s">
        <v>9242</v>
      </c>
      <c r="B2003" s="1" t="s">
        <v>9243</v>
      </c>
      <c r="C2003" s="1" t="s">
        <v>1859</v>
      </c>
      <c r="D2003" s="2" t="n">
        <v>32493</v>
      </c>
      <c r="E2003" s="1" t="s">
        <v>763</v>
      </c>
      <c r="F2003" s="1" t="s">
        <v>711</v>
      </c>
      <c r="G2003" s="1" t="s">
        <v>722</v>
      </c>
      <c r="H2003" s="1" t="s">
        <v>713</v>
      </c>
      <c r="I2003" s="1" t="s">
        <v>714</v>
      </c>
      <c r="J2003" s="1" t="s">
        <v>716</v>
      </c>
      <c r="K2003" s="1" t="s">
        <v>716</v>
      </c>
      <c r="L2003" s="1" t="s">
        <v>1418</v>
      </c>
      <c r="M2003" s="1" t="s">
        <v>718</v>
      </c>
    </row>
    <row r="2004" customFormat="false" ht="15" hidden="false" customHeight="false" outlineLevel="0" collapsed="false">
      <c r="A2004" s="1" t="s">
        <v>9244</v>
      </c>
      <c r="B2004" s="1" t="s">
        <v>9245</v>
      </c>
      <c r="C2004" s="1" t="s">
        <v>2067</v>
      </c>
      <c r="D2004" s="2" t="n">
        <v>37745</v>
      </c>
      <c r="E2004" s="1" t="s">
        <v>710</v>
      </c>
      <c r="F2004" s="1" t="s">
        <v>711</v>
      </c>
      <c r="G2004" s="1" t="s">
        <v>722</v>
      </c>
      <c r="H2004" s="1" t="s">
        <v>713</v>
      </c>
      <c r="I2004" s="1" t="s">
        <v>714</v>
      </c>
      <c r="J2004" s="1" t="s">
        <v>9246</v>
      </c>
      <c r="K2004" s="1" t="s">
        <v>9247</v>
      </c>
      <c r="L2004" s="1" t="s">
        <v>2069</v>
      </c>
      <c r="M2004" s="1" t="s">
        <v>718</v>
      </c>
    </row>
    <row r="2005" customFormat="false" ht="15" hidden="false" customHeight="false" outlineLevel="0" collapsed="false">
      <c r="A2005" s="1" t="s">
        <v>9248</v>
      </c>
      <c r="B2005" s="1" t="s">
        <v>9249</v>
      </c>
      <c r="C2005" s="1" t="s">
        <v>2462</v>
      </c>
      <c r="D2005" s="2" t="n">
        <v>38040</v>
      </c>
      <c r="E2005" s="1" t="s">
        <v>710</v>
      </c>
      <c r="F2005" s="1" t="s">
        <v>711</v>
      </c>
      <c r="G2005" s="1" t="s">
        <v>722</v>
      </c>
      <c r="H2005" s="1" t="s">
        <v>713</v>
      </c>
      <c r="I2005" s="1" t="s">
        <v>714</v>
      </c>
      <c r="J2005" s="1" t="s">
        <v>1244</v>
      </c>
      <c r="K2005" s="1" t="s">
        <v>9250</v>
      </c>
      <c r="L2005" s="1" t="s">
        <v>9251</v>
      </c>
      <c r="M2005" s="1" t="s">
        <v>718</v>
      </c>
    </row>
    <row r="2006" customFormat="false" ht="15" hidden="false" customHeight="false" outlineLevel="0" collapsed="false">
      <c r="A2006" s="1" t="s">
        <v>9252</v>
      </c>
      <c r="B2006" s="1" t="s">
        <v>9253</v>
      </c>
      <c r="C2006" s="1" t="s">
        <v>739</v>
      </c>
      <c r="D2006" s="2" t="n">
        <v>38484</v>
      </c>
      <c r="E2006" s="1" t="s">
        <v>763</v>
      </c>
      <c r="F2006" s="1" t="s">
        <v>711</v>
      </c>
      <c r="G2006" s="1" t="s">
        <v>712</v>
      </c>
      <c r="H2006" s="1" t="s">
        <v>713</v>
      </c>
      <c r="I2006" s="1" t="s">
        <v>714</v>
      </c>
      <c r="J2006" s="1" t="s">
        <v>9254</v>
      </c>
      <c r="K2006" s="1" t="s">
        <v>9255</v>
      </c>
      <c r="L2006" s="1" t="s">
        <v>9256</v>
      </c>
      <c r="M2006" s="1" t="s">
        <v>718</v>
      </c>
    </row>
    <row r="2007" customFormat="false" ht="15" hidden="false" customHeight="false" outlineLevel="0" collapsed="false">
      <c r="A2007" s="1" t="s">
        <v>9257</v>
      </c>
      <c r="B2007" s="1" t="s">
        <v>1134</v>
      </c>
      <c r="C2007" s="1" t="s">
        <v>1748</v>
      </c>
      <c r="D2007" s="2" t="n">
        <v>37853</v>
      </c>
      <c r="E2007" s="1" t="s">
        <v>710</v>
      </c>
      <c r="F2007" s="1" t="s">
        <v>711</v>
      </c>
      <c r="G2007" s="1" t="s">
        <v>712</v>
      </c>
      <c r="H2007" s="1" t="s">
        <v>713</v>
      </c>
      <c r="I2007" s="1" t="s">
        <v>714</v>
      </c>
      <c r="J2007" s="1" t="s">
        <v>826</v>
      </c>
      <c r="K2007" s="1" t="s">
        <v>9258</v>
      </c>
      <c r="L2007" s="1" t="s">
        <v>1749</v>
      </c>
      <c r="M2007" s="1" t="s">
        <v>718</v>
      </c>
    </row>
    <row r="2008" customFormat="false" ht="15" hidden="false" customHeight="false" outlineLevel="0" collapsed="false">
      <c r="A2008" s="1" t="s">
        <v>9259</v>
      </c>
      <c r="B2008" s="1" t="s">
        <v>9260</v>
      </c>
      <c r="C2008" s="1" t="s">
        <v>2369</v>
      </c>
      <c r="D2008" s="2" t="n">
        <v>37984</v>
      </c>
      <c r="E2008" s="1" t="s">
        <v>763</v>
      </c>
      <c r="F2008" s="1" t="s">
        <v>711</v>
      </c>
      <c r="G2008" s="1" t="s">
        <v>722</v>
      </c>
      <c r="H2008" s="1" t="s">
        <v>713</v>
      </c>
      <c r="I2008" s="1" t="s">
        <v>714</v>
      </c>
      <c r="J2008" s="1" t="s">
        <v>1723</v>
      </c>
      <c r="K2008" s="1" t="s">
        <v>9261</v>
      </c>
      <c r="L2008" s="1" t="s">
        <v>2604</v>
      </c>
      <c r="M2008" s="1" t="s">
        <v>718</v>
      </c>
    </row>
    <row r="2009" customFormat="false" ht="15" hidden="false" customHeight="false" outlineLevel="0" collapsed="false">
      <c r="A2009" s="1" t="s">
        <v>9262</v>
      </c>
      <c r="B2009" s="1" t="s">
        <v>9263</v>
      </c>
      <c r="C2009" s="1" t="s">
        <v>4755</v>
      </c>
      <c r="D2009" s="2" t="n">
        <v>37886</v>
      </c>
      <c r="E2009" s="1" t="s">
        <v>763</v>
      </c>
      <c r="F2009" s="1" t="s">
        <v>711</v>
      </c>
      <c r="G2009" s="1" t="s">
        <v>712</v>
      </c>
      <c r="H2009" s="1" t="s">
        <v>713</v>
      </c>
      <c r="I2009" s="1" t="s">
        <v>714</v>
      </c>
      <c r="J2009" s="1" t="s">
        <v>9264</v>
      </c>
      <c r="K2009" s="1" t="s">
        <v>9265</v>
      </c>
      <c r="L2009" s="1" t="s">
        <v>9266</v>
      </c>
      <c r="M2009" s="1" t="s">
        <v>718</v>
      </c>
    </row>
    <row r="2010" customFormat="false" ht="15" hidden="false" customHeight="false" outlineLevel="0" collapsed="false">
      <c r="A2010" s="1" t="s">
        <v>9267</v>
      </c>
      <c r="B2010" s="1" t="s">
        <v>9268</v>
      </c>
      <c r="C2010" s="1" t="s">
        <v>750</v>
      </c>
      <c r="D2010" s="2" t="n">
        <v>37131</v>
      </c>
      <c r="E2010" s="1" t="s">
        <v>763</v>
      </c>
      <c r="F2010" s="1" t="s">
        <v>711</v>
      </c>
      <c r="G2010" s="1" t="s">
        <v>712</v>
      </c>
      <c r="H2010" s="1" t="s">
        <v>713</v>
      </c>
      <c r="I2010" s="1" t="s">
        <v>714</v>
      </c>
      <c r="J2010" s="1" t="s">
        <v>1723</v>
      </c>
      <c r="K2010" s="1" t="s">
        <v>9269</v>
      </c>
      <c r="L2010" s="1" t="s">
        <v>1492</v>
      </c>
      <c r="M2010" s="1" t="s">
        <v>718</v>
      </c>
    </row>
    <row r="2011" customFormat="false" ht="15" hidden="false" customHeight="false" outlineLevel="0" collapsed="false">
      <c r="A2011" s="1" t="s">
        <v>9270</v>
      </c>
      <c r="B2011" s="1" t="s">
        <v>9271</v>
      </c>
      <c r="C2011" s="1" t="s">
        <v>8384</v>
      </c>
      <c r="D2011" s="2" t="n">
        <v>38228</v>
      </c>
      <c r="E2011" s="1" t="s">
        <v>763</v>
      </c>
      <c r="F2011" s="1" t="s">
        <v>711</v>
      </c>
      <c r="G2011" s="1" t="s">
        <v>722</v>
      </c>
      <c r="H2011" s="1" t="s">
        <v>713</v>
      </c>
      <c r="I2011" s="1" t="s">
        <v>714</v>
      </c>
      <c r="J2011" s="1" t="s">
        <v>9272</v>
      </c>
      <c r="K2011" s="1" t="s">
        <v>8386</v>
      </c>
      <c r="L2011" s="1" t="s">
        <v>8387</v>
      </c>
      <c r="M2011" s="1" t="s">
        <v>718</v>
      </c>
    </row>
    <row r="2012" customFormat="false" ht="15" hidden="false" customHeight="false" outlineLevel="0" collapsed="false">
      <c r="A2012" s="1" t="s">
        <v>9273</v>
      </c>
      <c r="B2012" s="1" t="s">
        <v>9274</v>
      </c>
      <c r="C2012" s="1" t="s">
        <v>8179</v>
      </c>
      <c r="D2012" s="2" t="n">
        <v>38207</v>
      </c>
      <c r="E2012" s="1" t="s">
        <v>710</v>
      </c>
      <c r="F2012" s="1" t="s">
        <v>711</v>
      </c>
      <c r="G2012" s="1" t="s">
        <v>712</v>
      </c>
      <c r="H2012" s="1" t="s">
        <v>713</v>
      </c>
      <c r="I2012" s="1" t="s">
        <v>714</v>
      </c>
      <c r="J2012" s="1" t="s">
        <v>928</v>
      </c>
      <c r="K2012" s="1" t="s">
        <v>8181</v>
      </c>
      <c r="L2012" s="1" t="s">
        <v>8182</v>
      </c>
      <c r="M2012" s="1" t="s">
        <v>718</v>
      </c>
    </row>
    <row r="2013" customFormat="false" ht="15" hidden="false" customHeight="false" outlineLevel="0" collapsed="false">
      <c r="A2013" s="1" t="s">
        <v>9275</v>
      </c>
      <c r="B2013" s="1" t="s">
        <v>9276</v>
      </c>
      <c r="C2013" s="1" t="s">
        <v>2416</v>
      </c>
      <c r="D2013" s="2" t="n">
        <v>37631</v>
      </c>
      <c r="E2013" s="1" t="s">
        <v>710</v>
      </c>
      <c r="F2013" s="1" t="s">
        <v>711</v>
      </c>
      <c r="G2013" s="1" t="s">
        <v>722</v>
      </c>
      <c r="H2013" s="1" t="s">
        <v>713</v>
      </c>
      <c r="I2013" s="1" t="s">
        <v>714</v>
      </c>
      <c r="J2013" s="1" t="s">
        <v>9277</v>
      </c>
      <c r="K2013" s="1" t="s">
        <v>9278</v>
      </c>
      <c r="L2013" s="1" t="s">
        <v>2418</v>
      </c>
      <c r="M2013" s="1" t="s">
        <v>718</v>
      </c>
    </row>
    <row r="2014" customFormat="false" ht="15" hidden="false" customHeight="false" outlineLevel="0" collapsed="false">
      <c r="A2014" s="1" t="s">
        <v>9279</v>
      </c>
      <c r="B2014" s="1" t="s">
        <v>9280</v>
      </c>
      <c r="C2014" s="1" t="s">
        <v>8651</v>
      </c>
      <c r="D2014" s="2" t="n">
        <v>37440</v>
      </c>
      <c r="E2014" s="1" t="s">
        <v>763</v>
      </c>
      <c r="F2014" s="1" t="s">
        <v>711</v>
      </c>
      <c r="G2014" s="1" t="s">
        <v>712</v>
      </c>
      <c r="H2014" s="1" t="s">
        <v>713</v>
      </c>
      <c r="I2014" s="1" t="s">
        <v>714</v>
      </c>
      <c r="J2014" s="1" t="s">
        <v>2001</v>
      </c>
      <c r="K2014" s="1" t="s">
        <v>9281</v>
      </c>
      <c r="L2014" s="1" t="s">
        <v>9282</v>
      </c>
      <c r="M2014" s="1" t="s">
        <v>718</v>
      </c>
    </row>
    <row r="2015" customFormat="false" ht="15" hidden="false" customHeight="false" outlineLevel="0" collapsed="false">
      <c r="A2015" s="1" t="s">
        <v>9283</v>
      </c>
      <c r="B2015" s="1" t="s">
        <v>9284</v>
      </c>
      <c r="C2015" s="1" t="s">
        <v>9285</v>
      </c>
      <c r="D2015" s="2" t="n">
        <v>37814</v>
      </c>
      <c r="E2015" s="1" t="s">
        <v>763</v>
      </c>
      <c r="F2015" s="1" t="s">
        <v>711</v>
      </c>
      <c r="G2015" s="1" t="s">
        <v>5902</v>
      </c>
      <c r="H2015" s="1" t="s">
        <v>713</v>
      </c>
      <c r="I2015" s="1" t="s">
        <v>714</v>
      </c>
      <c r="J2015" s="1" t="s">
        <v>1723</v>
      </c>
      <c r="K2015" s="1" t="s">
        <v>9286</v>
      </c>
      <c r="L2015" s="1" t="s">
        <v>9287</v>
      </c>
      <c r="M2015" s="1" t="s">
        <v>718</v>
      </c>
    </row>
    <row r="2016" customFormat="false" ht="15" hidden="false" customHeight="false" outlineLevel="0" collapsed="false">
      <c r="A2016" s="1" t="s">
        <v>9288</v>
      </c>
      <c r="B2016" s="1" t="s">
        <v>9289</v>
      </c>
      <c r="C2016" s="1" t="s">
        <v>5426</v>
      </c>
      <c r="D2016" s="2" t="n">
        <v>38194</v>
      </c>
      <c r="E2016" s="1" t="s">
        <v>710</v>
      </c>
      <c r="F2016" s="1" t="s">
        <v>711</v>
      </c>
      <c r="G2016" s="1" t="s">
        <v>712</v>
      </c>
      <c r="H2016" s="1" t="s">
        <v>713</v>
      </c>
      <c r="I2016" s="1" t="s">
        <v>714</v>
      </c>
      <c r="J2016" s="1" t="s">
        <v>1530</v>
      </c>
      <c r="K2016" s="1" t="s">
        <v>9290</v>
      </c>
      <c r="L2016" s="1" t="s">
        <v>9291</v>
      </c>
      <c r="M2016" s="1" t="s">
        <v>718</v>
      </c>
    </row>
    <row r="2017" customFormat="false" ht="15" hidden="false" customHeight="false" outlineLevel="0" collapsed="false">
      <c r="A2017" s="1" t="s">
        <v>9292</v>
      </c>
      <c r="B2017" s="1" t="s">
        <v>9293</v>
      </c>
      <c r="C2017" s="1" t="s">
        <v>8287</v>
      </c>
      <c r="D2017" s="2" t="n">
        <v>38023</v>
      </c>
      <c r="E2017" s="1" t="s">
        <v>710</v>
      </c>
      <c r="F2017" s="1" t="s">
        <v>711</v>
      </c>
      <c r="G2017" s="1" t="s">
        <v>722</v>
      </c>
      <c r="H2017" s="1" t="s">
        <v>713</v>
      </c>
      <c r="I2017" s="1" t="s">
        <v>714</v>
      </c>
      <c r="J2017" s="1" t="s">
        <v>9294</v>
      </c>
      <c r="K2017" s="1" t="s">
        <v>9295</v>
      </c>
      <c r="L2017" s="1" t="s">
        <v>9296</v>
      </c>
      <c r="M2017" s="1" t="s">
        <v>718</v>
      </c>
    </row>
    <row r="2018" customFormat="false" ht="15" hidden="false" customHeight="false" outlineLevel="0" collapsed="false">
      <c r="A2018" s="1" t="s">
        <v>9297</v>
      </c>
      <c r="B2018" s="1" t="s">
        <v>9298</v>
      </c>
      <c r="C2018" s="1" t="s">
        <v>2369</v>
      </c>
      <c r="D2018" s="2" t="n">
        <v>38113</v>
      </c>
      <c r="E2018" s="1" t="s">
        <v>710</v>
      </c>
      <c r="F2018" s="1" t="s">
        <v>711</v>
      </c>
      <c r="G2018" s="1" t="s">
        <v>712</v>
      </c>
      <c r="H2018" s="1" t="s">
        <v>713</v>
      </c>
      <c r="I2018" s="1" t="s">
        <v>714</v>
      </c>
      <c r="J2018" s="1" t="s">
        <v>9299</v>
      </c>
      <c r="K2018" s="1" t="s">
        <v>9300</v>
      </c>
      <c r="L2018" s="1" t="s">
        <v>9301</v>
      </c>
      <c r="M2018" s="1" t="s">
        <v>718</v>
      </c>
    </row>
    <row r="2019" customFormat="false" ht="15" hidden="false" customHeight="false" outlineLevel="0" collapsed="false">
      <c r="A2019" s="1" t="s">
        <v>9302</v>
      </c>
      <c r="B2019" s="1" t="s">
        <v>8846</v>
      </c>
      <c r="C2019" s="1" t="s">
        <v>9303</v>
      </c>
      <c r="D2019" s="2" t="n">
        <v>37692</v>
      </c>
      <c r="E2019" s="1" t="s">
        <v>763</v>
      </c>
      <c r="F2019" s="1" t="s">
        <v>711</v>
      </c>
      <c r="G2019" s="1" t="s">
        <v>722</v>
      </c>
      <c r="H2019" s="1" t="s">
        <v>713</v>
      </c>
      <c r="I2019" s="1" t="s">
        <v>714</v>
      </c>
      <c r="J2019" s="1" t="s">
        <v>2627</v>
      </c>
      <c r="K2019" s="1" t="s">
        <v>9304</v>
      </c>
      <c r="L2019" s="1" t="s">
        <v>9305</v>
      </c>
      <c r="M2019" s="1" t="s">
        <v>718</v>
      </c>
    </row>
    <row r="2020" customFormat="false" ht="15" hidden="false" customHeight="false" outlineLevel="0" collapsed="false">
      <c r="A2020" s="1" t="s">
        <v>9306</v>
      </c>
      <c r="B2020" s="1" t="s">
        <v>8045</v>
      </c>
      <c r="C2020" s="1" t="s">
        <v>1688</v>
      </c>
      <c r="D2020" s="2" t="n">
        <v>37380</v>
      </c>
      <c r="E2020" s="1" t="s">
        <v>763</v>
      </c>
      <c r="F2020" s="1" t="s">
        <v>711</v>
      </c>
      <c r="G2020" s="1" t="s">
        <v>712</v>
      </c>
      <c r="H2020" s="1" t="s">
        <v>713</v>
      </c>
      <c r="I2020" s="1" t="s">
        <v>714</v>
      </c>
      <c r="J2020" s="1" t="s">
        <v>1898</v>
      </c>
      <c r="K2020" s="1" t="s">
        <v>9307</v>
      </c>
      <c r="L2020" s="1" t="s">
        <v>1689</v>
      </c>
      <c r="M2020" s="1" t="s">
        <v>718</v>
      </c>
    </row>
    <row r="2021" customFormat="false" ht="15" hidden="false" customHeight="false" outlineLevel="0" collapsed="false">
      <c r="A2021" s="1" t="s">
        <v>9308</v>
      </c>
      <c r="B2021" s="1" t="s">
        <v>9309</v>
      </c>
      <c r="C2021" s="1" t="s">
        <v>7701</v>
      </c>
      <c r="D2021" s="2" t="n">
        <v>37908</v>
      </c>
      <c r="E2021" s="1" t="s">
        <v>763</v>
      </c>
      <c r="F2021" s="1" t="s">
        <v>711</v>
      </c>
      <c r="G2021" s="1" t="s">
        <v>712</v>
      </c>
      <c r="H2021" s="1" t="s">
        <v>713</v>
      </c>
      <c r="I2021" s="1" t="s">
        <v>714</v>
      </c>
      <c r="J2021" s="1" t="s">
        <v>1723</v>
      </c>
      <c r="K2021" s="1" t="s">
        <v>9310</v>
      </c>
      <c r="L2021" s="1" t="s">
        <v>5330</v>
      </c>
      <c r="M2021" s="1" t="s">
        <v>718</v>
      </c>
    </row>
    <row r="2022" customFormat="false" ht="15" hidden="false" customHeight="false" outlineLevel="0" collapsed="false">
      <c r="A2022" s="1" t="s">
        <v>9311</v>
      </c>
      <c r="B2022" s="1" t="s">
        <v>9312</v>
      </c>
      <c r="C2022" s="1" t="s">
        <v>9313</v>
      </c>
      <c r="D2022" s="2" t="n">
        <v>37800</v>
      </c>
      <c r="E2022" s="1" t="s">
        <v>763</v>
      </c>
      <c r="F2022" s="1" t="s">
        <v>711</v>
      </c>
      <c r="G2022" s="1" t="s">
        <v>712</v>
      </c>
      <c r="H2022" s="1" t="s">
        <v>713</v>
      </c>
      <c r="I2022" s="1" t="s">
        <v>714</v>
      </c>
      <c r="J2022" s="1" t="s">
        <v>9314</v>
      </c>
      <c r="K2022" s="1" t="s">
        <v>9315</v>
      </c>
      <c r="L2022" s="1" t="s">
        <v>9316</v>
      </c>
      <c r="M2022" s="1" t="s">
        <v>718</v>
      </c>
    </row>
    <row r="2023" customFormat="false" ht="15" hidden="false" customHeight="false" outlineLevel="0" collapsed="false">
      <c r="A2023" s="1" t="s">
        <v>9317</v>
      </c>
      <c r="B2023" s="1" t="s">
        <v>9318</v>
      </c>
      <c r="C2023" s="1" t="s">
        <v>3656</v>
      </c>
      <c r="D2023" s="2" t="n">
        <v>37806</v>
      </c>
      <c r="E2023" s="1" t="s">
        <v>763</v>
      </c>
      <c r="F2023" s="1" t="s">
        <v>711</v>
      </c>
      <c r="G2023" s="1" t="s">
        <v>712</v>
      </c>
      <c r="H2023" s="1" t="s">
        <v>713</v>
      </c>
      <c r="I2023" s="1" t="s">
        <v>714</v>
      </c>
      <c r="J2023" s="1" t="s">
        <v>9319</v>
      </c>
      <c r="K2023" s="1" t="s">
        <v>9320</v>
      </c>
      <c r="L2023" s="1" t="s">
        <v>9321</v>
      </c>
      <c r="M2023" s="1" t="s">
        <v>718</v>
      </c>
    </row>
    <row r="2024" customFormat="false" ht="15" hidden="false" customHeight="false" outlineLevel="0" collapsed="false">
      <c r="A2024" s="1" t="s">
        <v>9322</v>
      </c>
      <c r="B2024" s="1" t="s">
        <v>9323</v>
      </c>
      <c r="C2024" s="1" t="s">
        <v>9324</v>
      </c>
      <c r="D2024" s="2" t="n">
        <v>37824</v>
      </c>
      <c r="E2024" s="1" t="s">
        <v>763</v>
      </c>
      <c r="F2024" s="1" t="s">
        <v>711</v>
      </c>
      <c r="G2024" s="1" t="s">
        <v>722</v>
      </c>
      <c r="H2024" s="1" t="s">
        <v>713</v>
      </c>
      <c r="I2024" s="1" t="s">
        <v>714</v>
      </c>
      <c r="J2024" s="1" t="s">
        <v>9325</v>
      </c>
      <c r="K2024" s="1" t="s">
        <v>9326</v>
      </c>
      <c r="L2024" s="1" t="s">
        <v>9327</v>
      </c>
      <c r="M2024" s="1" t="s">
        <v>718</v>
      </c>
    </row>
    <row r="2025" customFormat="false" ht="15" hidden="false" customHeight="false" outlineLevel="0" collapsed="false">
      <c r="A2025" s="1" t="s">
        <v>9328</v>
      </c>
      <c r="B2025" s="1" t="s">
        <v>9329</v>
      </c>
      <c r="C2025" s="1" t="s">
        <v>9330</v>
      </c>
      <c r="D2025" s="2" t="n">
        <v>37662</v>
      </c>
      <c r="E2025" s="1" t="s">
        <v>763</v>
      </c>
      <c r="F2025" s="1" t="s">
        <v>711</v>
      </c>
      <c r="G2025" s="1" t="s">
        <v>722</v>
      </c>
      <c r="H2025" s="1" t="s">
        <v>713</v>
      </c>
      <c r="I2025" s="1" t="s">
        <v>714</v>
      </c>
      <c r="J2025" s="1" t="s">
        <v>1244</v>
      </c>
      <c r="K2025" s="1" t="s">
        <v>9331</v>
      </c>
      <c r="L2025" s="1" t="s">
        <v>9332</v>
      </c>
      <c r="M2025" s="1" t="s">
        <v>718</v>
      </c>
    </row>
    <row r="2026" customFormat="false" ht="15" hidden="false" customHeight="false" outlineLevel="0" collapsed="false">
      <c r="A2026" s="1" t="s">
        <v>9333</v>
      </c>
      <c r="B2026" s="1" t="s">
        <v>9334</v>
      </c>
      <c r="C2026" s="1" t="s">
        <v>9335</v>
      </c>
      <c r="D2026" s="2" t="n">
        <v>38213</v>
      </c>
      <c r="E2026" s="1" t="s">
        <v>763</v>
      </c>
      <c r="F2026" s="1" t="s">
        <v>711</v>
      </c>
      <c r="G2026" s="1" t="s">
        <v>712</v>
      </c>
      <c r="H2026" s="1" t="s">
        <v>713</v>
      </c>
      <c r="I2026" s="1" t="s">
        <v>714</v>
      </c>
      <c r="J2026" s="1" t="s">
        <v>9336</v>
      </c>
      <c r="K2026" s="1" t="s">
        <v>9337</v>
      </c>
      <c r="L2026" s="1" t="s">
        <v>9338</v>
      </c>
      <c r="M2026" s="1" t="s">
        <v>718</v>
      </c>
    </row>
    <row r="2027" customFormat="false" ht="15" hidden="false" customHeight="false" outlineLevel="0" collapsed="false">
      <c r="A2027" s="1" t="s">
        <v>9339</v>
      </c>
      <c r="B2027" s="1" t="s">
        <v>8257</v>
      </c>
      <c r="C2027" s="1" t="s">
        <v>3604</v>
      </c>
      <c r="D2027" s="2" t="n">
        <v>37619</v>
      </c>
      <c r="E2027" s="1" t="s">
        <v>710</v>
      </c>
      <c r="F2027" s="1" t="s">
        <v>711</v>
      </c>
      <c r="G2027" s="1" t="s">
        <v>712</v>
      </c>
      <c r="H2027" s="1" t="s">
        <v>713</v>
      </c>
      <c r="I2027" s="1" t="s">
        <v>714</v>
      </c>
      <c r="J2027" s="1" t="s">
        <v>1723</v>
      </c>
      <c r="K2027" s="1" t="s">
        <v>9340</v>
      </c>
      <c r="L2027" s="1" t="s">
        <v>2833</v>
      </c>
      <c r="M2027" s="1" t="s">
        <v>718</v>
      </c>
    </row>
    <row r="2028" customFormat="false" ht="15" hidden="false" customHeight="false" outlineLevel="0" collapsed="false">
      <c r="A2028" s="1" t="s">
        <v>9341</v>
      </c>
      <c r="B2028" s="1" t="s">
        <v>9342</v>
      </c>
      <c r="C2028" s="1" t="s">
        <v>7047</v>
      </c>
      <c r="D2028" s="2" t="n">
        <v>37962</v>
      </c>
      <c r="E2028" s="1" t="s">
        <v>710</v>
      </c>
      <c r="F2028" s="1" t="s">
        <v>711</v>
      </c>
      <c r="G2028" s="1" t="s">
        <v>722</v>
      </c>
      <c r="H2028" s="1" t="s">
        <v>713</v>
      </c>
      <c r="I2028" s="1" t="s">
        <v>714</v>
      </c>
      <c r="J2028" s="1" t="s">
        <v>9343</v>
      </c>
      <c r="K2028" s="1" t="s">
        <v>9344</v>
      </c>
      <c r="L2028" s="1" t="s">
        <v>9345</v>
      </c>
      <c r="M2028" s="1" t="s">
        <v>718</v>
      </c>
    </row>
    <row r="2029" customFormat="false" ht="15" hidden="false" customHeight="false" outlineLevel="0" collapsed="false">
      <c r="A2029" s="1" t="s">
        <v>9346</v>
      </c>
      <c r="B2029" s="1" t="s">
        <v>9347</v>
      </c>
      <c r="C2029" s="1" t="s">
        <v>9348</v>
      </c>
      <c r="D2029" s="2" t="n">
        <v>37934</v>
      </c>
      <c r="E2029" s="1" t="s">
        <v>710</v>
      </c>
      <c r="F2029" s="1" t="s">
        <v>711</v>
      </c>
      <c r="G2029" s="1" t="s">
        <v>1220</v>
      </c>
      <c r="H2029" s="1" t="s">
        <v>713</v>
      </c>
      <c r="I2029" s="1" t="s">
        <v>714</v>
      </c>
      <c r="J2029" s="1" t="s">
        <v>9349</v>
      </c>
      <c r="K2029" s="1" t="s">
        <v>9350</v>
      </c>
      <c r="L2029" s="1" t="s">
        <v>4973</v>
      </c>
      <c r="M2029" s="1" t="s">
        <v>718</v>
      </c>
    </row>
    <row r="2030" customFormat="false" ht="15" hidden="false" customHeight="false" outlineLevel="0" collapsed="false">
      <c r="A2030" s="1" t="s">
        <v>9351</v>
      </c>
      <c r="B2030" s="1" t="s">
        <v>9352</v>
      </c>
      <c r="C2030" s="1" t="s">
        <v>9353</v>
      </c>
      <c r="D2030" s="2" t="n">
        <v>37890</v>
      </c>
      <c r="E2030" s="1" t="s">
        <v>710</v>
      </c>
      <c r="F2030" s="1" t="s">
        <v>711</v>
      </c>
      <c r="G2030" s="1" t="s">
        <v>722</v>
      </c>
      <c r="H2030" s="1" t="s">
        <v>713</v>
      </c>
      <c r="I2030" s="1" t="s">
        <v>714</v>
      </c>
      <c r="J2030" s="1" t="s">
        <v>9354</v>
      </c>
      <c r="K2030" s="1" t="s">
        <v>9355</v>
      </c>
      <c r="L2030" s="1" t="s">
        <v>9356</v>
      </c>
      <c r="M2030" s="1" t="s">
        <v>718</v>
      </c>
    </row>
    <row r="2031" customFormat="false" ht="15" hidden="false" customHeight="false" outlineLevel="0" collapsed="false">
      <c r="A2031" s="1" t="s">
        <v>9357</v>
      </c>
      <c r="B2031" s="1" t="s">
        <v>7404</v>
      </c>
      <c r="C2031" s="1" t="s">
        <v>2739</v>
      </c>
      <c r="D2031" s="2" t="n">
        <v>37505</v>
      </c>
      <c r="E2031" s="1" t="s">
        <v>710</v>
      </c>
      <c r="F2031" s="1" t="s">
        <v>711</v>
      </c>
      <c r="G2031" s="1" t="s">
        <v>722</v>
      </c>
      <c r="H2031" s="1" t="s">
        <v>713</v>
      </c>
      <c r="I2031" s="1" t="s">
        <v>714</v>
      </c>
      <c r="J2031" s="1" t="s">
        <v>1723</v>
      </c>
      <c r="K2031" s="1" t="s">
        <v>9358</v>
      </c>
      <c r="L2031" s="1" t="s">
        <v>2741</v>
      </c>
      <c r="M2031" s="1" t="s">
        <v>718</v>
      </c>
    </row>
    <row r="2032" customFormat="false" ht="15" hidden="false" customHeight="false" outlineLevel="0" collapsed="false">
      <c r="A2032" s="1" t="s">
        <v>9359</v>
      </c>
      <c r="B2032" s="1" t="s">
        <v>4498</v>
      </c>
      <c r="C2032" s="1" t="s">
        <v>9360</v>
      </c>
      <c r="D2032" s="2" t="n">
        <v>37650</v>
      </c>
      <c r="E2032" s="1" t="s">
        <v>710</v>
      </c>
      <c r="F2032" s="1" t="s">
        <v>711</v>
      </c>
      <c r="G2032" s="1" t="s">
        <v>712</v>
      </c>
      <c r="H2032" s="1" t="s">
        <v>713</v>
      </c>
      <c r="I2032" s="1" t="s">
        <v>714</v>
      </c>
      <c r="J2032" s="1" t="s">
        <v>821</v>
      </c>
      <c r="K2032" s="1" t="s">
        <v>9361</v>
      </c>
      <c r="L2032" s="1" t="s">
        <v>9362</v>
      </c>
      <c r="M2032" s="1" t="s">
        <v>718</v>
      </c>
    </row>
    <row r="2033" customFormat="false" ht="15" hidden="false" customHeight="false" outlineLevel="0" collapsed="false">
      <c r="A2033" s="1" t="s">
        <v>9363</v>
      </c>
      <c r="B2033" s="1" t="s">
        <v>9364</v>
      </c>
      <c r="C2033" s="1" t="s">
        <v>6397</v>
      </c>
      <c r="D2033" s="2" t="n">
        <v>37862</v>
      </c>
      <c r="E2033" s="1" t="s">
        <v>763</v>
      </c>
      <c r="F2033" s="1" t="s">
        <v>711</v>
      </c>
      <c r="G2033" s="1" t="s">
        <v>712</v>
      </c>
      <c r="H2033" s="1" t="s">
        <v>713</v>
      </c>
      <c r="I2033" s="1" t="s">
        <v>714</v>
      </c>
      <c r="J2033" s="1" t="s">
        <v>9365</v>
      </c>
      <c r="K2033" s="1" t="s">
        <v>6399</v>
      </c>
      <c r="L2033" s="1" t="s">
        <v>6400</v>
      </c>
      <c r="M2033" s="1" t="s">
        <v>718</v>
      </c>
    </row>
    <row r="2034" customFormat="false" ht="15" hidden="false" customHeight="false" outlineLevel="0" collapsed="false">
      <c r="A2034" s="1" t="s">
        <v>9366</v>
      </c>
      <c r="B2034" s="1" t="s">
        <v>9367</v>
      </c>
      <c r="C2034" s="1" t="s">
        <v>9353</v>
      </c>
      <c r="D2034" s="2" t="n">
        <v>37983</v>
      </c>
      <c r="E2034" s="1" t="s">
        <v>763</v>
      </c>
      <c r="F2034" s="1" t="s">
        <v>711</v>
      </c>
      <c r="G2034" s="1" t="s">
        <v>712</v>
      </c>
      <c r="H2034" s="1" t="s">
        <v>713</v>
      </c>
      <c r="I2034" s="1" t="s">
        <v>714</v>
      </c>
      <c r="J2034" s="1" t="s">
        <v>9030</v>
      </c>
      <c r="K2034" s="1" t="s">
        <v>9368</v>
      </c>
      <c r="L2034" s="1" t="s">
        <v>9369</v>
      </c>
      <c r="M2034" s="1" t="s">
        <v>718</v>
      </c>
    </row>
    <row r="2035" customFormat="false" ht="15" hidden="false" customHeight="false" outlineLevel="0" collapsed="false">
      <c r="A2035" s="1" t="s">
        <v>9370</v>
      </c>
      <c r="B2035" s="1" t="s">
        <v>9371</v>
      </c>
      <c r="C2035" s="1" t="s">
        <v>7891</v>
      </c>
      <c r="D2035" s="2" t="n">
        <v>37656</v>
      </c>
      <c r="E2035" s="1" t="s">
        <v>763</v>
      </c>
      <c r="F2035" s="1" t="s">
        <v>711</v>
      </c>
      <c r="G2035" s="1" t="s">
        <v>712</v>
      </c>
      <c r="H2035" s="1" t="s">
        <v>713</v>
      </c>
      <c r="I2035" s="1" t="s">
        <v>714</v>
      </c>
      <c r="J2035" s="1" t="s">
        <v>7058</v>
      </c>
      <c r="K2035" s="1" t="s">
        <v>7892</v>
      </c>
      <c r="L2035" s="1" t="s">
        <v>7893</v>
      </c>
      <c r="M2035" s="1" t="s">
        <v>718</v>
      </c>
    </row>
    <row r="2036" customFormat="false" ht="15" hidden="false" customHeight="false" outlineLevel="0" collapsed="false">
      <c r="A2036" s="1" t="s">
        <v>9372</v>
      </c>
      <c r="B2036" s="1" t="s">
        <v>7404</v>
      </c>
      <c r="C2036" s="1" t="s">
        <v>739</v>
      </c>
      <c r="D2036" s="2" t="n">
        <v>37833</v>
      </c>
      <c r="E2036" s="1" t="s">
        <v>710</v>
      </c>
      <c r="F2036" s="1" t="s">
        <v>711</v>
      </c>
      <c r="G2036" s="1" t="s">
        <v>712</v>
      </c>
      <c r="H2036" s="1" t="s">
        <v>713</v>
      </c>
      <c r="I2036" s="1" t="s">
        <v>714</v>
      </c>
      <c r="J2036" s="1" t="s">
        <v>1723</v>
      </c>
      <c r="K2036" s="1" t="s">
        <v>9373</v>
      </c>
      <c r="L2036" s="1" t="s">
        <v>9374</v>
      </c>
      <c r="M2036" s="1" t="s">
        <v>718</v>
      </c>
    </row>
    <row r="2037" customFormat="false" ht="15" hidden="false" customHeight="false" outlineLevel="0" collapsed="false">
      <c r="A2037" s="1" t="s">
        <v>9375</v>
      </c>
      <c r="B2037" s="1" t="s">
        <v>9376</v>
      </c>
      <c r="C2037" s="1" t="s">
        <v>2753</v>
      </c>
      <c r="D2037" s="2" t="n">
        <v>37984</v>
      </c>
      <c r="E2037" s="1" t="s">
        <v>710</v>
      </c>
      <c r="F2037" s="1" t="s">
        <v>711</v>
      </c>
      <c r="G2037" s="1" t="s">
        <v>722</v>
      </c>
      <c r="H2037" s="1" t="s">
        <v>713</v>
      </c>
      <c r="I2037" s="1" t="s">
        <v>714</v>
      </c>
      <c r="J2037" s="1" t="s">
        <v>978</v>
      </c>
      <c r="K2037" s="1" t="s">
        <v>9377</v>
      </c>
      <c r="L2037" s="1" t="s">
        <v>2906</v>
      </c>
      <c r="M2037" s="1" t="s">
        <v>718</v>
      </c>
    </row>
    <row r="2038" customFormat="false" ht="15" hidden="false" customHeight="false" outlineLevel="0" collapsed="false">
      <c r="A2038" s="1" t="s">
        <v>9378</v>
      </c>
      <c r="B2038" s="1" t="s">
        <v>9379</v>
      </c>
      <c r="C2038" s="1" t="s">
        <v>9380</v>
      </c>
      <c r="D2038" s="2" t="n">
        <v>37024</v>
      </c>
      <c r="E2038" s="1" t="s">
        <v>710</v>
      </c>
      <c r="F2038" s="1" t="s">
        <v>711</v>
      </c>
      <c r="G2038" s="1" t="s">
        <v>722</v>
      </c>
      <c r="H2038" s="1" t="s">
        <v>713</v>
      </c>
      <c r="I2038" s="1" t="s">
        <v>714</v>
      </c>
      <c r="J2038" s="1" t="s">
        <v>9381</v>
      </c>
      <c r="K2038" s="1" t="s">
        <v>9382</v>
      </c>
      <c r="L2038" s="1" t="s">
        <v>9383</v>
      </c>
      <c r="M2038" s="1" t="s">
        <v>718</v>
      </c>
    </row>
    <row r="2039" customFormat="false" ht="15" hidden="false" customHeight="false" outlineLevel="0" collapsed="false">
      <c r="A2039" s="1" t="s">
        <v>9384</v>
      </c>
      <c r="B2039" s="1" t="s">
        <v>9385</v>
      </c>
      <c r="C2039" s="1" t="s">
        <v>9386</v>
      </c>
      <c r="D2039" s="2" t="n">
        <v>37759</v>
      </c>
      <c r="E2039" s="1" t="s">
        <v>710</v>
      </c>
      <c r="F2039" s="1" t="s">
        <v>711</v>
      </c>
      <c r="G2039" s="1" t="s">
        <v>712</v>
      </c>
      <c r="H2039" s="1" t="s">
        <v>713</v>
      </c>
      <c r="I2039" s="1" t="s">
        <v>714</v>
      </c>
      <c r="J2039" s="1" t="s">
        <v>9387</v>
      </c>
      <c r="K2039" s="1" t="s">
        <v>716</v>
      </c>
      <c r="L2039" s="1" t="s">
        <v>5413</v>
      </c>
      <c r="M2039" s="1" t="s">
        <v>718</v>
      </c>
    </row>
    <row r="2040" customFormat="false" ht="15" hidden="false" customHeight="false" outlineLevel="0" collapsed="false">
      <c r="A2040" s="1" t="s">
        <v>9388</v>
      </c>
      <c r="B2040" s="1" t="s">
        <v>9389</v>
      </c>
      <c r="C2040" s="1" t="s">
        <v>9390</v>
      </c>
      <c r="D2040" s="2" t="n">
        <v>38295</v>
      </c>
      <c r="E2040" s="1" t="s">
        <v>763</v>
      </c>
      <c r="F2040" s="1" t="s">
        <v>711</v>
      </c>
      <c r="G2040" s="1" t="s">
        <v>712</v>
      </c>
      <c r="H2040" s="1" t="s">
        <v>713</v>
      </c>
      <c r="I2040" s="1" t="s">
        <v>714</v>
      </c>
      <c r="J2040" s="1" t="s">
        <v>1131</v>
      </c>
      <c r="K2040" s="1" t="s">
        <v>9391</v>
      </c>
      <c r="L2040" s="1" t="s">
        <v>9392</v>
      </c>
      <c r="M2040" s="1" t="s">
        <v>718</v>
      </c>
    </row>
    <row r="2041" customFormat="false" ht="15" hidden="false" customHeight="false" outlineLevel="0" collapsed="false">
      <c r="A2041" s="1" t="s">
        <v>9393</v>
      </c>
      <c r="B2041" s="1" t="s">
        <v>9394</v>
      </c>
      <c r="C2041" s="1" t="s">
        <v>9395</v>
      </c>
      <c r="D2041" s="2" t="n">
        <v>37898</v>
      </c>
      <c r="E2041" s="1" t="s">
        <v>763</v>
      </c>
      <c r="F2041" s="1" t="s">
        <v>711</v>
      </c>
      <c r="G2041" s="1" t="s">
        <v>712</v>
      </c>
      <c r="H2041" s="1" t="s">
        <v>713</v>
      </c>
      <c r="I2041" s="1" t="s">
        <v>714</v>
      </c>
      <c r="J2041" s="1" t="s">
        <v>9396</v>
      </c>
      <c r="K2041" s="1" t="s">
        <v>716</v>
      </c>
      <c r="L2041" s="1" t="s">
        <v>9397</v>
      </c>
      <c r="M2041" s="1" t="s">
        <v>718</v>
      </c>
    </row>
    <row r="2042" customFormat="false" ht="15" hidden="false" customHeight="false" outlineLevel="0" collapsed="false">
      <c r="A2042" s="1" t="s">
        <v>9398</v>
      </c>
      <c r="B2042" s="1" t="s">
        <v>9399</v>
      </c>
      <c r="C2042" s="1" t="s">
        <v>1059</v>
      </c>
      <c r="D2042" s="2" t="n">
        <v>37849</v>
      </c>
      <c r="E2042" s="1" t="s">
        <v>710</v>
      </c>
      <c r="F2042" s="1" t="s">
        <v>711</v>
      </c>
      <c r="G2042" s="1" t="s">
        <v>712</v>
      </c>
      <c r="H2042" s="1" t="s">
        <v>713</v>
      </c>
      <c r="I2042" s="1" t="s">
        <v>714</v>
      </c>
      <c r="J2042" s="1" t="s">
        <v>9400</v>
      </c>
      <c r="K2042" s="1" t="s">
        <v>716</v>
      </c>
      <c r="L2042" s="1" t="s">
        <v>9401</v>
      </c>
      <c r="M2042" s="1" t="s">
        <v>718</v>
      </c>
    </row>
    <row r="2043" customFormat="false" ht="15" hidden="false" customHeight="false" outlineLevel="0" collapsed="false">
      <c r="A2043" s="1" t="s">
        <v>9402</v>
      </c>
      <c r="B2043" s="1" t="s">
        <v>9403</v>
      </c>
      <c r="C2043" s="1" t="s">
        <v>9404</v>
      </c>
      <c r="D2043" s="2" t="n">
        <v>37149</v>
      </c>
      <c r="E2043" s="1" t="s">
        <v>763</v>
      </c>
      <c r="F2043" s="1" t="s">
        <v>711</v>
      </c>
      <c r="G2043" s="1" t="s">
        <v>712</v>
      </c>
      <c r="H2043" s="1" t="s">
        <v>713</v>
      </c>
      <c r="I2043" s="1" t="s">
        <v>714</v>
      </c>
      <c r="J2043" s="1" t="s">
        <v>8511</v>
      </c>
      <c r="K2043" s="1" t="s">
        <v>9315</v>
      </c>
      <c r="L2043" s="1" t="s">
        <v>9405</v>
      </c>
      <c r="M2043" s="1" t="s">
        <v>718</v>
      </c>
    </row>
    <row r="2044" customFormat="false" ht="15" hidden="false" customHeight="false" outlineLevel="0" collapsed="false">
      <c r="A2044" s="1" t="s">
        <v>9406</v>
      </c>
      <c r="B2044" s="1" t="s">
        <v>9407</v>
      </c>
      <c r="C2044" s="1" t="s">
        <v>7686</v>
      </c>
      <c r="D2044" s="2" t="n">
        <v>37906</v>
      </c>
      <c r="E2044" s="1" t="s">
        <v>763</v>
      </c>
      <c r="F2044" s="1" t="s">
        <v>711</v>
      </c>
      <c r="G2044" s="1" t="s">
        <v>712</v>
      </c>
      <c r="H2044" s="1" t="s">
        <v>713</v>
      </c>
      <c r="I2044" s="1" t="s">
        <v>714</v>
      </c>
      <c r="J2044" s="1" t="s">
        <v>902</v>
      </c>
      <c r="K2044" s="1" t="s">
        <v>9408</v>
      </c>
      <c r="L2044" s="1" t="s">
        <v>9409</v>
      </c>
      <c r="M2044" s="1" t="s">
        <v>718</v>
      </c>
    </row>
    <row r="2045" customFormat="false" ht="15" hidden="false" customHeight="false" outlineLevel="0" collapsed="false">
      <c r="A2045" s="1" t="s">
        <v>9410</v>
      </c>
      <c r="B2045" s="1" t="s">
        <v>9411</v>
      </c>
      <c r="C2045" s="1" t="s">
        <v>1767</v>
      </c>
      <c r="D2045" s="2" t="n">
        <v>37950</v>
      </c>
      <c r="E2045" s="1" t="s">
        <v>710</v>
      </c>
      <c r="F2045" s="1" t="s">
        <v>711</v>
      </c>
      <c r="G2045" s="1" t="s">
        <v>722</v>
      </c>
      <c r="H2045" s="1" t="s">
        <v>713</v>
      </c>
      <c r="I2045" s="1" t="s">
        <v>714</v>
      </c>
      <c r="J2045" s="1" t="s">
        <v>9325</v>
      </c>
      <c r="K2045" s="1" t="s">
        <v>9412</v>
      </c>
      <c r="L2045" s="1" t="s">
        <v>1769</v>
      </c>
      <c r="M2045" s="1" t="s">
        <v>718</v>
      </c>
    </row>
    <row r="2046" customFormat="false" ht="15" hidden="false" customHeight="false" outlineLevel="0" collapsed="false">
      <c r="A2046" s="1" t="s">
        <v>9413</v>
      </c>
      <c r="B2046" s="1" t="s">
        <v>4594</v>
      </c>
      <c r="C2046" s="1" t="s">
        <v>9414</v>
      </c>
      <c r="D2046" s="2" t="n">
        <v>37960</v>
      </c>
      <c r="E2046" s="1" t="s">
        <v>710</v>
      </c>
      <c r="F2046" s="1" t="s">
        <v>711</v>
      </c>
      <c r="G2046" s="1" t="s">
        <v>722</v>
      </c>
      <c r="H2046" s="1" t="s">
        <v>713</v>
      </c>
      <c r="I2046" s="1" t="s">
        <v>714</v>
      </c>
      <c r="J2046" s="1" t="s">
        <v>9415</v>
      </c>
      <c r="K2046" s="1" t="s">
        <v>9416</v>
      </c>
      <c r="L2046" s="1" t="s">
        <v>9417</v>
      </c>
      <c r="M2046" s="1" t="s">
        <v>718</v>
      </c>
    </row>
    <row r="2047" customFormat="false" ht="15" hidden="false" customHeight="false" outlineLevel="0" collapsed="false">
      <c r="A2047" s="1" t="s">
        <v>9418</v>
      </c>
      <c r="B2047" s="1" t="s">
        <v>9419</v>
      </c>
      <c r="C2047" s="1" t="s">
        <v>9420</v>
      </c>
      <c r="D2047" s="2" t="n">
        <v>37688</v>
      </c>
      <c r="E2047" s="1" t="s">
        <v>763</v>
      </c>
      <c r="F2047" s="1" t="s">
        <v>711</v>
      </c>
      <c r="G2047" s="1" t="s">
        <v>712</v>
      </c>
      <c r="H2047" s="1" t="s">
        <v>713</v>
      </c>
      <c r="I2047" s="1" t="s">
        <v>714</v>
      </c>
      <c r="J2047" s="1" t="s">
        <v>9421</v>
      </c>
      <c r="K2047" s="1" t="s">
        <v>9422</v>
      </c>
      <c r="L2047" s="1" t="s">
        <v>9423</v>
      </c>
      <c r="M2047" s="1" t="s">
        <v>718</v>
      </c>
    </row>
    <row r="2048" customFormat="false" ht="15" hidden="false" customHeight="false" outlineLevel="0" collapsed="false">
      <c r="A2048" s="1" t="s">
        <v>9424</v>
      </c>
      <c r="B2048" s="1" t="s">
        <v>9425</v>
      </c>
      <c r="C2048" s="1" t="s">
        <v>9426</v>
      </c>
      <c r="D2048" s="2" t="n">
        <v>37882</v>
      </c>
      <c r="E2048" s="1" t="s">
        <v>763</v>
      </c>
      <c r="F2048" s="1" t="s">
        <v>711</v>
      </c>
      <c r="G2048" s="1" t="s">
        <v>722</v>
      </c>
      <c r="H2048" s="1" t="s">
        <v>713</v>
      </c>
      <c r="I2048" s="1" t="s">
        <v>714</v>
      </c>
      <c r="J2048" s="1" t="s">
        <v>9427</v>
      </c>
      <c r="K2048" s="1" t="s">
        <v>716</v>
      </c>
      <c r="L2048" s="1" t="s">
        <v>2201</v>
      </c>
      <c r="M2048" s="1" t="s">
        <v>718</v>
      </c>
    </row>
    <row r="2049" customFormat="false" ht="15" hidden="false" customHeight="false" outlineLevel="0" collapsed="false">
      <c r="A2049" s="1" t="s">
        <v>9428</v>
      </c>
      <c r="B2049" s="1" t="s">
        <v>9429</v>
      </c>
      <c r="C2049" s="1" t="s">
        <v>7822</v>
      </c>
      <c r="D2049" s="2" t="n">
        <v>37968</v>
      </c>
      <c r="E2049" s="1" t="s">
        <v>710</v>
      </c>
      <c r="F2049" s="1" t="s">
        <v>711</v>
      </c>
      <c r="G2049" s="1" t="s">
        <v>722</v>
      </c>
      <c r="H2049" s="1" t="s">
        <v>713</v>
      </c>
      <c r="I2049" s="1" t="s">
        <v>714</v>
      </c>
      <c r="J2049" s="1" t="s">
        <v>1244</v>
      </c>
      <c r="K2049" s="1" t="s">
        <v>9430</v>
      </c>
      <c r="L2049" s="1" t="s">
        <v>7824</v>
      </c>
      <c r="M2049" s="1" t="s">
        <v>718</v>
      </c>
    </row>
    <row r="2050" customFormat="false" ht="15" hidden="false" customHeight="false" outlineLevel="0" collapsed="false">
      <c r="A2050" s="1" t="s">
        <v>9431</v>
      </c>
      <c r="B2050" s="1" t="s">
        <v>7453</v>
      </c>
      <c r="C2050" s="1" t="s">
        <v>9432</v>
      </c>
      <c r="D2050" s="2" t="n">
        <v>37924</v>
      </c>
      <c r="E2050" s="1" t="s">
        <v>763</v>
      </c>
      <c r="F2050" s="1" t="s">
        <v>711</v>
      </c>
      <c r="G2050" s="1" t="s">
        <v>712</v>
      </c>
      <c r="H2050" s="1" t="s">
        <v>713</v>
      </c>
      <c r="I2050" s="1" t="s">
        <v>714</v>
      </c>
      <c r="J2050" s="1" t="s">
        <v>1244</v>
      </c>
      <c r="K2050" s="1" t="s">
        <v>9433</v>
      </c>
      <c r="L2050" s="1" t="s">
        <v>9434</v>
      </c>
      <c r="M2050" s="1" t="s">
        <v>718</v>
      </c>
    </row>
    <row r="2051" customFormat="false" ht="15" hidden="false" customHeight="false" outlineLevel="0" collapsed="false">
      <c r="A2051" s="1" t="s">
        <v>9435</v>
      </c>
      <c r="B2051" s="1" t="s">
        <v>9436</v>
      </c>
      <c r="C2051" s="1" t="s">
        <v>9437</v>
      </c>
      <c r="D2051" s="2" t="n">
        <v>37717</v>
      </c>
      <c r="E2051" s="1" t="s">
        <v>763</v>
      </c>
      <c r="F2051" s="1" t="s">
        <v>711</v>
      </c>
      <c r="G2051" s="1" t="s">
        <v>712</v>
      </c>
      <c r="H2051" s="1" t="s">
        <v>713</v>
      </c>
      <c r="I2051" s="1" t="s">
        <v>714</v>
      </c>
      <c r="J2051" s="1" t="s">
        <v>9427</v>
      </c>
      <c r="K2051" s="1" t="s">
        <v>9438</v>
      </c>
      <c r="L2051" s="1" t="s">
        <v>9439</v>
      </c>
      <c r="M2051" s="1" t="s">
        <v>718</v>
      </c>
    </row>
    <row r="2052" customFormat="false" ht="15" hidden="false" customHeight="false" outlineLevel="0" collapsed="false">
      <c r="A2052" s="1" t="s">
        <v>9440</v>
      </c>
      <c r="B2052" s="1" t="s">
        <v>9441</v>
      </c>
      <c r="C2052" s="1" t="s">
        <v>9442</v>
      </c>
      <c r="D2052" s="2" t="n">
        <v>37782</v>
      </c>
      <c r="E2052" s="1" t="s">
        <v>710</v>
      </c>
      <c r="F2052" s="1" t="s">
        <v>711</v>
      </c>
      <c r="G2052" s="1" t="s">
        <v>712</v>
      </c>
      <c r="H2052" s="1" t="s">
        <v>713</v>
      </c>
      <c r="I2052" s="1" t="s">
        <v>714</v>
      </c>
      <c r="J2052" s="1" t="s">
        <v>1431</v>
      </c>
      <c r="K2052" s="1" t="s">
        <v>9443</v>
      </c>
      <c r="L2052" s="1" t="s">
        <v>7829</v>
      </c>
      <c r="M2052" s="1" t="s">
        <v>718</v>
      </c>
    </row>
    <row r="2053" customFormat="false" ht="15" hidden="false" customHeight="false" outlineLevel="0" collapsed="false">
      <c r="A2053" s="1" t="s">
        <v>9444</v>
      </c>
      <c r="B2053" s="1" t="s">
        <v>9445</v>
      </c>
      <c r="C2053" s="1" t="s">
        <v>9446</v>
      </c>
      <c r="D2053" s="2" t="n">
        <v>37659</v>
      </c>
      <c r="E2053" s="1" t="s">
        <v>710</v>
      </c>
      <c r="F2053" s="1" t="s">
        <v>711</v>
      </c>
      <c r="G2053" s="1" t="s">
        <v>712</v>
      </c>
      <c r="H2053" s="1" t="s">
        <v>713</v>
      </c>
      <c r="I2053" s="1" t="s">
        <v>714</v>
      </c>
      <c r="J2053" s="1" t="s">
        <v>9447</v>
      </c>
      <c r="K2053" s="1" t="s">
        <v>9448</v>
      </c>
      <c r="L2053" s="1" t="s">
        <v>5709</v>
      </c>
      <c r="M2053" s="1" t="s">
        <v>718</v>
      </c>
    </row>
    <row r="2054" customFormat="false" ht="15" hidden="false" customHeight="false" outlineLevel="0" collapsed="false">
      <c r="A2054" s="1" t="s">
        <v>9449</v>
      </c>
      <c r="B2054" s="1" t="s">
        <v>9450</v>
      </c>
      <c r="C2054" s="1" t="s">
        <v>9414</v>
      </c>
      <c r="D2054" s="2" t="n">
        <v>37457</v>
      </c>
      <c r="E2054" s="1" t="s">
        <v>763</v>
      </c>
      <c r="F2054" s="1" t="s">
        <v>711</v>
      </c>
      <c r="G2054" s="1" t="s">
        <v>712</v>
      </c>
      <c r="H2054" s="1" t="s">
        <v>713</v>
      </c>
      <c r="I2054" s="1" t="s">
        <v>714</v>
      </c>
      <c r="J2054" s="1" t="s">
        <v>9451</v>
      </c>
      <c r="K2054" s="1" t="s">
        <v>9416</v>
      </c>
      <c r="L2054" s="1" t="s">
        <v>9417</v>
      </c>
      <c r="M2054" s="1" t="s">
        <v>718</v>
      </c>
    </row>
    <row r="2055" customFormat="false" ht="15" hidden="false" customHeight="false" outlineLevel="0" collapsed="false">
      <c r="A2055" s="1" t="s">
        <v>9452</v>
      </c>
      <c r="B2055" s="1" t="s">
        <v>900</v>
      </c>
      <c r="C2055" s="1" t="s">
        <v>6688</v>
      </c>
      <c r="D2055" s="2" t="n">
        <v>37730</v>
      </c>
      <c r="E2055" s="1" t="s">
        <v>710</v>
      </c>
      <c r="F2055" s="1" t="s">
        <v>711</v>
      </c>
      <c r="G2055" s="1" t="s">
        <v>722</v>
      </c>
      <c r="H2055" s="1" t="s">
        <v>713</v>
      </c>
      <c r="I2055" s="1" t="s">
        <v>714</v>
      </c>
      <c r="J2055" s="1" t="s">
        <v>821</v>
      </c>
      <c r="K2055" s="1" t="s">
        <v>9453</v>
      </c>
      <c r="L2055" s="1" t="s">
        <v>6690</v>
      </c>
      <c r="M2055" s="1" t="s">
        <v>718</v>
      </c>
    </row>
    <row r="2056" customFormat="false" ht="15" hidden="false" customHeight="false" outlineLevel="0" collapsed="false">
      <c r="A2056" s="1" t="s">
        <v>9454</v>
      </c>
      <c r="B2056" s="1" t="s">
        <v>9455</v>
      </c>
      <c r="C2056" s="1" t="s">
        <v>9456</v>
      </c>
      <c r="D2056" s="2" t="n">
        <v>37689</v>
      </c>
      <c r="E2056" s="1" t="s">
        <v>763</v>
      </c>
      <c r="F2056" s="1" t="s">
        <v>711</v>
      </c>
      <c r="G2056" s="1" t="s">
        <v>712</v>
      </c>
      <c r="H2056" s="1" t="s">
        <v>713</v>
      </c>
      <c r="I2056" s="1" t="s">
        <v>714</v>
      </c>
      <c r="J2056" s="1" t="s">
        <v>3438</v>
      </c>
      <c r="K2056" s="1" t="s">
        <v>9457</v>
      </c>
      <c r="L2056" s="1" t="s">
        <v>9458</v>
      </c>
      <c r="M2056" s="1" t="s">
        <v>718</v>
      </c>
    </row>
    <row r="2057" customFormat="false" ht="15" hidden="false" customHeight="false" outlineLevel="0" collapsed="false">
      <c r="A2057" s="1" t="s">
        <v>9459</v>
      </c>
      <c r="B2057" s="1" t="s">
        <v>9460</v>
      </c>
      <c r="C2057" s="1" t="s">
        <v>9461</v>
      </c>
      <c r="D2057" s="2" t="n">
        <v>38437</v>
      </c>
      <c r="E2057" s="1" t="s">
        <v>710</v>
      </c>
      <c r="F2057" s="1" t="s">
        <v>711</v>
      </c>
      <c r="G2057" s="1" t="s">
        <v>712</v>
      </c>
      <c r="H2057" s="1" t="s">
        <v>713</v>
      </c>
      <c r="I2057" s="1" t="s">
        <v>714</v>
      </c>
      <c r="J2057" s="1" t="s">
        <v>9462</v>
      </c>
      <c r="K2057" s="1" t="s">
        <v>716</v>
      </c>
      <c r="L2057" s="1" t="s">
        <v>9463</v>
      </c>
      <c r="M2057" s="1" t="s">
        <v>718</v>
      </c>
    </row>
    <row r="2058" customFormat="false" ht="15" hidden="false" customHeight="false" outlineLevel="0" collapsed="false">
      <c r="A2058" s="1" t="s">
        <v>9464</v>
      </c>
      <c r="B2058" s="1" t="s">
        <v>9465</v>
      </c>
      <c r="C2058" s="1" t="s">
        <v>6543</v>
      </c>
      <c r="D2058" s="2" t="n">
        <v>37790</v>
      </c>
      <c r="E2058" s="1" t="s">
        <v>763</v>
      </c>
      <c r="F2058" s="1" t="s">
        <v>711</v>
      </c>
      <c r="G2058" s="1" t="s">
        <v>722</v>
      </c>
      <c r="H2058" s="1" t="s">
        <v>713</v>
      </c>
      <c r="I2058" s="1" t="s">
        <v>714</v>
      </c>
      <c r="J2058" s="1" t="s">
        <v>9466</v>
      </c>
      <c r="K2058" s="1" t="s">
        <v>9467</v>
      </c>
      <c r="L2058" s="1" t="s">
        <v>6545</v>
      </c>
      <c r="M2058" s="1" t="s">
        <v>718</v>
      </c>
    </row>
    <row r="2059" customFormat="false" ht="15" hidden="false" customHeight="false" outlineLevel="0" collapsed="false">
      <c r="A2059" s="1" t="s">
        <v>9468</v>
      </c>
      <c r="B2059" s="1" t="s">
        <v>9469</v>
      </c>
      <c r="C2059" s="1" t="s">
        <v>739</v>
      </c>
      <c r="D2059" s="2" t="n">
        <v>37681</v>
      </c>
      <c r="E2059" s="1" t="s">
        <v>763</v>
      </c>
      <c r="F2059" s="1" t="s">
        <v>711</v>
      </c>
      <c r="G2059" s="1" t="s">
        <v>712</v>
      </c>
      <c r="H2059" s="1" t="s">
        <v>713</v>
      </c>
      <c r="I2059" s="1" t="s">
        <v>714</v>
      </c>
      <c r="J2059" s="1" t="s">
        <v>9470</v>
      </c>
      <c r="K2059" s="1" t="s">
        <v>9471</v>
      </c>
      <c r="L2059" s="1" t="s">
        <v>9472</v>
      </c>
      <c r="M2059" s="1" t="s">
        <v>718</v>
      </c>
    </row>
    <row r="2060" customFormat="false" ht="15" hidden="false" customHeight="false" outlineLevel="0" collapsed="false">
      <c r="A2060" s="1" t="s">
        <v>9473</v>
      </c>
      <c r="B2060" s="1" t="s">
        <v>9474</v>
      </c>
      <c r="C2060" s="1" t="s">
        <v>9475</v>
      </c>
      <c r="D2060" s="2" t="n">
        <v>37205</v>
      </c>
      <c r="E2060" s="1" t="s">
        <v>710</v>
      </c>
      <c r="F2060" s="1" t="s">
        <v>711</v>
      </c>
      <c r="G2060" s="1" t="s">
        <v>712</v>
      </c>
      <c r="H2060" s="1" t="s">
        <v>713</v>
      </c>
      <c r="I2060" s="1" t="s">
        <v>714</v>
      </c>
      <c r="J2060" s="1" t="s">
        <v>9476</v>
      </c>
      <c r="K2060" s="1" t="s">
        <v>9477</v>
      </c>
      <c r="L2060" s="1" t="s">
        <v>9478</v>
      </c>
      <c r="M2060" s="1" t="s">
        <v>718</v>
      </c>
    </row>
    <row r="2061" customFormat="false" ht="15" hidden="false" customHeight="false" outlineLevel="0" collapsed="false">
      <c r="A2061" s="1" t="s">
        <v>9479</v>
      </c>
      <c r="B2061" s="1" t="s">
        <v>9480</v>
      </c>
      <c r="C2061" s="1" t="s">
        <v>986</v>
      </c>
      <c r="D2061" s="2" t="n">
        <v>37898</v>
      </c>
      <c r="E2061" s="1" t="s">
        <v>763</v>
      </c>
      <c r="F2061" s="1" t="s">
        <v>711</v>
      </c>
      <c r="G2061" s="1" t="s">
        <v>712</v>
      </c>
      <c r="H2061" s="1" t="s">
        <v>713</v>
      </c>
      <c r="I2061" s="1" t="s">
        <v>714</v>
      </c>
      <c r="J2061" s="1" t="s">
        <v>1244</v>
      </c>
      <c r="K2061" s="1" t="s">
        <v>9481</v>
      </c>
      <c r="L2061" s="1" t="s">
        <v>9482</v>
      </c>
      <c r="M2061" s="1" t="s">
        <v>718</v>
      </c>
    </row>
    <row r="2062" customFormat="false" ht="15" hidden="false" customHeight="false" outlineLevel="0" collapsed="false">
      <c r="A2062" s="1" t="s">
        <v>9483</v>
      </c>
      <c r="B2062" s="1" t="s">
        <v>3544</v>
      </c>
      <c r="C2062" s="1" t="s">
        <v>9484</v>
      </c>
      <c r="D2062" s="2" t="n">
        <v>37968</v>
      </c>
      <c r="E2062" s="1" t="s">
        <v>710</v>
      </c>
      <c r="F2062" s="1" t="s">
        <v>711</v>
      </c>
      <c r="G2062" s="1" t="s">
        <v>722</v>
      </c>
      <c r="H2062" s="1" t="s">
        <v>713</v>
      </c>
      <c r="I2062" s="1" t="s">
        <v>714</v>
      </c>
      <c r="J2062" s="1" t="s">
        <v>2117</v>
      </c>
      <c r="K2062" s="1" t="s">
        <v>9485</v>
      </c>
      <c r="L2062" s="1" t="s">
        <v>9486</v>
      </c>
      <c r="M2062" s="1" t="s">
        <v>718</v>
      </c>
    </row>
    <row r="2063" customFormat="false" ht="15" hidden="false" customHeight="false" outlineLevel="0" collapsed="false">
      <c r="A2063" s="1" t="s">
        <v>9487</v>
      </c>
      <c r="B2063" s="1" t="s">
        <v>9488</v>
      </c>
      <c r="C2063" s="1" t="s">
        <v>9489</v>
      </c>
      <c r="D2063" s="2" t="n">
        <v>37696</v>
      </c>
      <c r="E2063" s="1" t="s">
        <v>763</v>
      </c>
      <c r="F2063" s="1" t="s">
        <v>711</v>
      </c>
      <c r="G2063" s="1" t="s">
        <v>722</v>
      </c>
      <c r="H2063" s="1" t="s">
        <v>713</v>
      </c>
      <c r="I2063" s="1" t="s">
        <v>714</v>
      </c>
      <c r="J2063" s="1" t="s">
        <v>821</v>
      </c>
      <c r="K2063" s="1" t="s">
        <v>9490</v>
      </c>
      <c r="L2063" s="1" t="s">
        <v>9491</v>
      </c>
      <c r="M2063" s="1" t="s">
        <v>718</v>
      </c>
    </row>
    <row r="2064" customFormat="false" ht="15" hidden="false" customHeight="false" outlineLevel="0" collapsed="false">
      <c r="A2064" s="1" t="s">
        <v>9492</v>
      </c>
      <c r="B2064" s="1" t="s">
        <v>9493</v>
      </c>
      <c r="C2064" s="1" t="s">
        <v>5894</v>
      </c>
      <c r="D2064" s="2" t="n">
        <v>37890</v>
      </c>
      <c r="E2064" s="1" t="s">
        <v>710</v>
      </c>
      <c r="F2064" s="1" t="s">
        <v>711</v>
      </c>
      <c r="G2064" s="1" t="s">
        <v>712</v>
      </c>
      <c r="H2064" s="1" t="s">
        <v>713</v>
      </c>
      <c r="I2064" s="1" t="s">
        <v>714</v>
      </c>
      <c r="J2064" s="1" t="s">
        <v>821</v>
      </c>
      <c r="K2064" s="1" t="s">
        <v>5896</v>
      </c>
      <c r="L2064" s="1" t="s">
        <v>5897</v>
      </c>
      <c r="M2064" s="1" t="s">
        <v>718</v>
      </c>
    </row>
    <row r="2065" customFormat="false" ht="15" hidden="false" customHeight="false" outlineLevel="0" collapsed="false">
      <c r="A2065" s="1" t="s">
        <v>9494</v>
      </c>
      <c r="B2065" s="1" t="s">
        <v>4242</v>
      </c>
      <c r="C2065" s="1" t="s">
        <v>4583</v>
      </c>
      <c r="D2065" s="2" t="n">
        <v>37503</v>
      </c>
      <c r="E2065" s="1" t="s">
        <v>710</v>
      </c>
      <c r="F2065" s="1" t="s">
        <v>711</v>
      </c>
      <c r="G2065" s="1" t="s">
        <v>722</v>
      </c>
      <c r="H2065" s="1" t="s">
        <v>713</v>
      </c>
      <c r="I2065" s="1" t="s">
        <v>714</v>
      </c>
      <c r="J2065" s="1" t="s">
        <v>9495</v>
      </c>
      <c r="K2065" s="1" t="s">
        <v>9496</v>
      </c>
      <c r="L2065" s="1" t="s">
        <v>2337</v>
      </c>
      <c r="M2065" s="1" t="s">
        <v>718</v>
      </c>
    </row>
    <row r="2066" customFormat="false" ht="15" hidden="false" customHeight="false" outlineLevel="0" collapsed="false">
      <c r="A2066" s="1" t="s">
        <v>9497</v>
      </c>
      <c r="B2066" s="1" t="s">
        <v>9498</v>
      </c>
      <c r="C2066" s="1" t="s">
        <v>739</v>
      </c>
      <c r="D2066" s="2" t="n">
        <v>37963</v>
      </c>
      <c r="E2066" s="1" t="s">
        <v>710</v>
      </c>
      <c r="F2066" s="1" t="s">
        <v>711</v>
      </c>
      <c r="G2066" s="1" t="s">
        <v>712</v>
      </c>
      <c r="H2066" s="1" t="s">
        <v>713</v>
      </c>
      <c r="I2066" s="1" t="s">
        <v>714</v>
      </c>
      <c r="J2066" s="1" t="s">
        <v>821</v>
      </c>
      <c r="K2066" s="1" t="s">
        <v>9499</v>
      </c>
      <c r="L2066" s="1" t="s">
        <v>7416</v>
      </c>
      <c r="M2066" s="1" t="s">
        <v>718</v>
      </c>
    </row>
    <row r="2067" customFormat="false" ht="15" hidden="false" customHeight="false" outlineLevel="0" collapsed="false">
      <c r="A2067" s="1" t="s">
        <v>9500</v>
      </c>
      <c r="B2067" s="1" t="s">
        <v>9501</v>
      </c>
      <c r="C2067" s="1" t="s">
        <v>1465</v>
      </c>
      <c r="D2067" s="2" t="n">
        <v>37836</v>
      </c>
      <c r="E2067" s="1" t="s">
        <v>763</v>
      </c>
      <c r="F2067" s="1" t="s">
        <v>711</v>
      </c>
      <c r="G2067" s="1" t="s">
        <v>722</v>
      </c>
      <c r="H2067" s="1" t="s">
        <v>713</v>
      </c>
      <c r="I2067" s="1" t="s">
        <v>714</v>
      </c>
      <c r="J2067" s="1" t="s">
        <v>1723</v>
      </c>
      <c r="K2067" s="1" t="s">
        <v>9502</v>
      </c>
      <c r="L2067" s="1" t="s">
        <v>1466</v>
      </c>
      <c r="M2067" s="1" t="s">
        <v>718</v>
      </c>
    </row>
    <row r="2068" customFormat="false" ht="15" hidden="false" customHeight="false" outlineLevel="0" collapsed="false">
      <c r="A2068" s="1" t="s">
        <v>9503</v>
      </c>
      <c r="B2068" s="1" t="s">
        <v>9498</v>
      </c>
      <c r="C2068" s="1" t="s">
        <v>3627</v>
      </c>
      <c r="D2068" s="2" t="n">
        <v>38104</v>
      </c>
      <c r="E2068" s="1" t="s">
        <v>710</v>
      </c>
      <c r="F2068" s="1" t="s">
        <v>711</v>
      </c>
      <c r="G2068" s="1" t="s">
        <v>712</v>
      </c>
      <c r="H2068" s="1" t="s">
        <v>713</v>
      </c>
      <c r="I2068" s="1" t="s">
        <v>714</v>
      </c>
      <c r="J2068" s="1" t="s">
        <v>9504</v>
      </c>
      <c r="K2068" s="1" t="s">
        <v>9505</v>
      </c>
      <c r="L2068" s="1" t="s">
        <v>3630</v>
      </c>
      <c r="M2068" s="1" t="s">
        <v>718</v>
      </c>
    </row>
    <row r="2069" customFormat="false" ht="15" hidden="false" customHeight="false" outlineLevel="0" collapsed="false">
      <c r="A2069" s="1" t="s">
        <v>9506</v>
      </c>
      <c r="B2069" s="1" t="s">
        <v>9507</v>
      </c>
      <c r="C2069" s="1" t="s">
        <v>7716</v>
      </c>
      <c r="D2069" s="2" t="n">
        <v>36747</v>
      </c>
      <c r="E2069" s="1" t="s">
        <v>710</v>
      </c>
      <c r="F2069" s="1" t="s">
        <v>711</v>
      </c>
      <c r="G2069" s="1" t="s">
        <v>722</v>
      </c>
      <c r="H2069" s="1" t="s">
        <v>713</v>
      </c>
      <c r="I2069" s="1" t="s">
        <v>714</v>
      </c>
      <c r="J2069" s="1" t="s">
        <v>1723</v>
      </c>
      <c r="K2069" s="1" t="s">
        <v>9508</v>
      </c>
      <c r="L2069" s="1" t="s">
        <v>7719</v>
      </c>
      <c r="M2069" s="1" t="s">
        <v>718</v>
      </c>
    </row>
    <row r="2070" customFormat="false" ht="15" hidden="false" customHeight="false" outlineLevel="0" collapsed="false">
      <c r="A2070" s="1" t="s">
        <v>9509</v>
      </c>
      <c r="B2070" s="1" t="s">
        <v>9510</v>
      </c>
      <c r="C2070" s="1" t="s">
        <v>9511</v>
      </c>
      <c r="D2070" s="2" t="n">
        <v>37836</v>
      </c>
      <c r="E2070" s="1" t="s">
        <v>763</v>
      </c>
      <c r="F2070" s="1" t="s">
        <v>711</v>
      </c>
      <c r="G2070" s="1" t="s">
        <v>712</v>
      </c>
      <c r="H2070" s="1" t="s">
        <v>713</v>
      </c>
      <c r="I2070" s="1" t="s">
        <v>714</v>
      </c>
      <c r="J2070" s="1" t="s">
        <v>4239</v>
      </c>
      <c r="K2070" s="1" t="s">
        <v>9512</v>
      </c>
      <c r="L2070" s="1" t="s">
        <v>9513</v>
      </c>
      <c r="M2070" s="1" t="s">
        <v>718</v>
      </c>
    </row>
    <row r="2071" customFormat="false" ht="15" hidden="false" customHeight="false" outlineLevel="0" collapsed="false">
      <c r="A2071" s="1" t="s">
        <v>9514</v>
      </c>
      <c r="B2071" s="1" t="s">
        <v>9515</v>
      </c>
      <c r="C2071" s="1" t="s">
        <v>9516</v>
      </c>
      <c r="D2071" s="2" t="n">
        <v>37978</v>
      </c>
      <c r="E2071" s="1" t="s">
        <v>763</v>
      </c>
      <c r="F2071" s="1" t="s">
        <v>711</v>
      </c>
      <c r="G2071" s="1" t="s">
        <v>712</v>
      </c>
      <c r="H2071" s="1" t="s">
        <v>713</v>
      </c>
      <c r="I2071" s="1" t="s">
        <v>714</v>
      </c>
      <c r="J2071" s="1" t="s">
        <v>2298</v>
      </c>
      <c r="K2071" s="1" t="s">
        <v>9517</v>
      </c>
      <c r="L2071" s="1" t="s">
        <v>4440</v>
      </c>
      <c r="M2071" s="1" t="s">
        <v>718</v>
      </c>
    </row>
    <row r="2072" customFormat="false" ht="15" hidden="false" customHeight="false" outlineLevel="0" collapsed="false">
      <c r="A2072" s="1" t="s">
        <v>9518</v>
      </c>
      <c r="B2072" s="1" t="s">
        <v>1416</v>
      </c>
      <c r="C2072" s="1" t="s">
        <v>9519</v>
      </c>
      <c r="D2072" s="2" t="n">
        <v>37739</v>
      </c>
      <c r="E2072" s="1" t="s">
        <v>710</v>
      </c>
      <c r="F2072" s="1" t="s">
        <v>711</v>
      </c>
      <c r="G2072" s="1" t="s">
        <v>712</v>
      </c>
      <c r="H2072" s="1" t="s">
        <v>713</v>
      </c>
      <c r="I2072" s="1" t="s">
        <v>714</v>
      </c>
      <c r="J2072" s="1" t="s">
        <v>9520</v>
      </c>
      <c r="K2072" s="1" t="s">
        <v>9521</v>
      </c>
      <c r="L2072" s="1" t="s">
        <v>9522</v>
      </c>
      <c r="M2072" s="1" t="s">
        <v>718</v>
      </c>
    </row>
    <row r="2073" customFormat="false" ht="15" hidden="false" customHeight="false" outlineLevel="0" collapsed="false">
      <c r="A2073" s="1" t="s">
        <v>9523</v>
      </c>
      <c r="B2073" s="1" t="s">
        <v>7071</v>
      </c>
      <c r="C2073" s="1" t="s">
        <v>7321</v>
      </c>
      <c r="D2073" s="2" t="n">
        <v>37887</v>
      </c>
      <c r="E2073" s="1" t="s">
        <v>763</v>
      </c>
      <c r="F2073" s="1" t="s">
        <v>711</v>
      </c>
      <c r="G2073" s="1" t="s">
        <v>722</v>
      </c>
      <c r="H2073" s="1" t="s">
        <v>713</v>
      </c>
      <c r="I2073" s="1" t="s">
        <v>714</v>
      </c>
      <c r="J2073" s="1" t="s">
        <v>9524</v>
      </c>
      <c r="K2073" s="1" t="s">
        <v>9525</v>
      </c>
      <c r="L2073" s="1" t="s">
        <v>9526</v>
      </c>
      <c r="M2073" s="1" t="s">
        <v>718</v>
      </c>
    </row>
    <row r="2074" customFormat="false" ht="15" hidden="false" customHeight="false" outlineLevel="0" collapsed="false">
      <c r="A2074" s="1" t="s">
        <v>9527</v>
      </c>
      <c r="B2074" s="1" t="s">
        <v>9528</v>
      </c>
      <c r="C2074" s="1" t="s">
        <v>869</v>
      </c>
      <c r="D2074" s="2" t="n">
        <v>37545</v>
      </c>
      <c r="E2074" s="1" t="s">
        <v>763</v>
      </c>
      <c r="F2074" s="1" t="s">
        <v>711</v>
      </c>
      <c r="G2074" s="1" t="s">
        <v>712</v>
      </c>
      <c r="H2074" s="1" t="s">
        <v>713</v>
      </c>
      <c r="I2074" s="1" t="s">
        <v>714</v>
      </c>
      <c r="J2074" s="1" t="s">
        <v>8847</v>
      </c>
      <c r="K2074" s="1" t="s">
        <v>9529</v>
      </c>
      <c r="L2074" s="1" t="s">
        <v>872</v>
      </c>
      <c r="M2074" s="1" t="s">
        <v>718</v>
      </c>
    </row>
    <row r="2075" customFormat="false" ht="15" hidden="false" customHeight="false" outlineLevel="0" collapsed="false">
      <c r="A2075" s="1" t="s">
        <v>9530</v>
      </c>
      <c r="B2075" s="1" t="s">
        <v>9531</v>
      </c>
      <c r="C2075" s="1" t="s">
        <v>4588</v>
      </c>
      <c r="D2075" s="2" t="n">
        <v>37949</v>
      </c>
      <c r="E2075" s="1" t="s">
        <v>763</v>
      </c>
      <c r="F2075" s="1" t="s">
        <v>711</v>
      </c>
      <c r="G2075" s="1" t="s">
        <v>712</v>
      </c>
      <c r="H2075" s="1" t="s">
        <v>713</v>
      </c>
      <c r="I2075" s="1" t="s">
        <v>714</v>
      </c>
      <c r="J2075" s="1" t="s">
        <v>9532</v>
      </c>
      <c r="K2075" s="1" t="s">
        <v>4589</v>
      </c>
      <c r="L2075" s="1" t="s">
        <v>4590</v>
      </c>
      <c r="M2075" s="1" t="s">
        <v>718</v>
      </c>
    </row>
    <row r="2076" customFormat="false" ht="15" hidden="false" customHeight="false" outlineLevel="0" collapsed="false">
      <c r="A2076" s="1" t="s">
        <v>9533</v>
      </c>
      <c r="B2076" s="1" t="s">
        <v>9534</v>
      </c>
      <c r="C2076" s="1" t="s">
        <v>2992</v>
      </c>
      <c r="D2076" s="2" t="n">
        <v>37941</v>
      </c>
      <c r="E2076" s="1" t="s">
        <v>763</v>
      </c>
      <c r="F2076" s="1" t="s">
        <v>711</v>
      </c>
      <c r="G2076" s="1" t="s">
        <v>712</v>
      </c>
      <c r="H2076" s="1" t="s">
        <v>713</v>
      </c>
      <c r="I2076" s="1" t="s">
        <v>714</v>
      </c>
      <c r="J2076" s="1" t="s">
        <v>6868</v>
      </c>
      <c r="K2076" s="1" t="s">
        <v>6797</v>
      </c>
      <c r="L2076" s="1" t="s">
        <v>9535</v>
      </c>
      <c r="M2076" s="1" t="s">
        <v>718</v>
      </c>
    </row>
    <row r="2077" customFormat="false" ht="15" hidden="false" customHeight="false" outlineLevel="0" collapsed="false">
      <c r="A2077" s="1" t="s">
        <v>9536</v>
      </c>
      <c r="B2077" s="1" t="s">
        <v>9537</v>
      </c>
      <c r="C2077" s="1" t="s">
        <v>1897</v>
      </c>
      <c r="D2077" s="2" t="n">
        <v>37693</v>
      </c>
      <c r="E2077" s="1" t="s">
        <v>763</v>
      </c>
      <c r="F2077" s="1" t="s">
        <v>711</v>
      </c>
      <c r="G2077" s="1" t="s">
        <v>722</v>
      </c>
      <c r="H2077" s="1" t="s">
        <v>713</v>
      </c>
      <c r="I2077" s="1" t="s">
        <v>714</v>
      </c>
      <c r="J2077" s="1" t="s">
        <v>1898</v>
      </c>
      <c r="K2077" s="1" t="s">
        <v>9538</v>
      </c>
      <c r="L2077" s="1" t="s">
        <v>1900</v>
      </c>
      <c r="M2077" s="1" t="s">
        <v>718</v>
      </c>
    </row>
    <row r="2078" customFormat="false" ht="15" hidden="false" customHeight="false" outlineLevel="0" collapsed="false">
      <c r="A2078" s="1" t="s">
        <v>9539</v>
      </c>
      <c r="B2078" s="1" t="s">
        <v>9540</v>
      </c>
      <c r="C2078" s="1" t="s">
        <v>750</v>
      </c>
      <c r="D2078" s="2" t="n">
        <v>36813</v>
      </c>
      <c r="E2078" s="1" t="s">
        <v>763</v>
      </c>
      <c r="F2078" s="1" t="s">
        <v>711</v>
      </c>
      <c r="G2078" s="1" t="s">
        <v>9541</v>
      </c>
      <c r="H2078" s="1" t="s">
        <v>713</v>
      </c>
      <c r="I2078" s="1" t="s">
        <v>714</v>
      </c>
      <c r="J2078" s="1" t="s">
        <v>9542</v>
      </c>
      <c r="K2078" s="1" t="s">
        <v>9543</v>
      </c>
      <c r="L2078" s="1" t="s">
        <v>9544</v>
      </c>
      <c r="M2078" s="1" t="s">
        <v>718</v>
      </c>
    </row>
    <row r="2079" customFormat="false" ht="15" hidden="false" customHeight="false" outlineLevel="0" collapsed="false">
      <c r="A2079" s="1" t="s">
        <v>9545</v>
      </c>
      <c r="B2079" s="1" t="s">
        <v>9546</v>
      </c>
      <c r="C2079" s="1" t="s">
        <v>9547</v>
      </c>
      <c r="D2079" s="2" t="n">
        <v>37826</v>
      </c>
      <c r="E2079" s="1" t="s">
        <v>763</v>
      </c>
      <c r="F2079" s="1" t="s">
        <v>711</v>
      </c>
      <c r="G2079" s="1" t="s">
        <v>712</v>
      </c>
      <c r="H2079" s="1" t="s">
        <v>713</v>
      </c>
      <c r="I2079" s="1" t="s">
        <v>714</v>
      </c>
      <c r="J2079" s="1" t="s">
        <v>3893</v>
      </c>
      <c r="K2079" s="1" t="s">
        <v>9548</v>
      </c>
      <c r="L2079" s="1" t="s">
        <v>1970</v>
      </c>
      <c r="M2079" s="1" t="s">
        <v>718</v>
      </c>
    </row>
    <row r="2080" customFormat="false" ht="15" hidden="false" customHeight="false" outlineLevel="0" collapsed="false">
      <c r="A2080" s="1" t="s">
        <v>9549</v>
      </c>
      <c r="B2080" s="1" t="s">
        <v>9550</v>
      </c>
      <c r="C2080" s="1" t="s">
        <v>9551</v>
      </c>
      <c r="D2080" s="2" t="n">
        <v>37143</v>
      </c>
      <c r="E2080" s="1" t="s">
        <v>763</v>
      </c>
      <c r="F2080" s="1" t="s">
        <v>711</v>
      </c>
      <c r="G2080" s="1" t="s">
        <v>712</v>
      </c>
      <c r="H2080" s="1" t="s">
        <v>713</v>
      </c>
      <c r="I2080" s="1" t="s">
        <v>714</v>
      </c>
      <c r="J2080" s="1" t="s">
        <v>9552</v>
      </c>
      <c r="K2080" s="1" t="s">
        <v>9553</v>
      </c>
      <c r="L2080" s="1" t="s">
        <v>9554</v>
      </c>
      <c r="M2080" s="1" t="s">
        <v>718</v>
      </c>
    </row>
    <row r="2081" customFormat="false" ht="15" hidden="false" customHeight="false" outlineLevel="0" collapsed="false">
      <c r="A2081" s="1" t="s">
        <v>9555</v>
      </c>
      <c r="B2081" s="1" t="s">
        <v>9556</v>
      </c>
      <c r="C2081" s="1" t="s">
        <v>9551</v>
      </c>
      <c r="D2081" s="2" t="n">
        <v>37643</v>
      </c>
      <c r="E2081" s="1" t="s">
        <v>763</v>
      </c>
      <c r="F2081" s="1" t="s">
        <v>711</v>
      </c>
      <c r="G2081" s="1" t="s">
        <v>722</v>
      </c>
      <c r="H2081" s="1" t="s">
        <v>713</v>
      </c>
      <c r="I2081" s="1" t="s">
        <v>714</v>
      </c>
      <c r="J2081" s="1" t="s">
        <v>9557</v>
      </c>
      <c r="K2081" s="1" t="s">
        <v>9553</v>
      </c>
      <c r="L2081" s="1" t="s">
        <v>9554</v>
      </c>
      <c r="M2081" s="1" t="s">
        <v>718</v>
      </c>
    </row>
    <row r="2082" customFormat="false" ht="15" hidden="false" customHeight="false" outlineLevel="0" collapsed="false">
      <c r="A2082" s="1" t="s">
        <v>9558</v>
      </c>
      <c r="B2082" s="1" t="s">
        <v>9559</v>
      </c>
      <c r="C2082" s="1" t="s">
        <v>6407</v>
      </c>
      <c r="D2082" s="2" t="n">
        <v>37987</v>
      </c>
      <c r="E2082" s="1" t="s">
        <v>710</v>
      </c>
      <c r="F2082" s="1" t="s">
        <v>711</v>
      </c>
      <c r="G2082" s="1" t="s">
        <v>712</v>
      </c>
      <c r="H2082" s="1" t="s">
        <v>713</v>
      </c>
      <c r="I2082" s="1" t="s">
        <v>714</v>
      </c>
      <c r="J2082" s="1" t="s">
        <v>1244</v>
      </c>
      <c r="K2082" s="1" t="s">
        <v>9560</v>
      </c>
      <c r="L2082" s="1" t="s">
        <v>5968</v>
      </c>
      <c r="M2082" s="1" t="s">
        <v>718</v>
      </c>
    </row>
    <row r="2083" customFormat="false" ht="15" hidden="false" customHeight="false" outlineLevel="0" collapsed="false">
      <c r="A2083" s="1" t="s">
        <v>9561</v>
      </c>
      <c r="B2083" s="1" t="s">
        <v>9562</v>
      </c>
      <c r="C2083" s="1" t="s">
        <v>9563</v>
      </c>
      <c r="D2083" s="2" t="n">
        <v>37731</v>
      </c>
      <c r="E2083" s="1" t="s">
        <v>763</v>
      </c>
      <c r="F2083" s="1" t="s">
        <v>711</v>
      </c>
      <c r="G2083" s="1" t="s">
        <v>712</v>
      </c>
      <c r="H2083" s="1" t="s">
        <v>713</v>
      </c>
      <c r="I2083" s="1" t="s">
        <v>714</v>
      </c>
      <c r="J2083" s="1" t="s">
        <v>1244</v>
      </c>
      <c r="K2083" s="1" t="s">
        <v>9564</v>
      </c>
      <c r="L2083" s="1" t="s">
        <v>9565</v>
      </c>
      <c r="M2083" s="1" t="s">
        <v>718</v>
      </c>
    </row>
    <row r="2084" customFormat="false" ht="15" hidden="false" customHeight="false" outlineLevel="0" collapsed="false">
      <c r="A2084" s="1" t="s">
        <v>9566</v>
      </c>
      <c r="B2084" s="1" t="s">
        <v>9567</v>
      </c>
      <c r="C2084" s="1" t="s">
        <v>7128</v>
      </c>
      <c r="D2084" s="2" t="n">
        <v>37664</v>
      </c>
      <c r="E2084" s="1" t="s">
        <v>710</v>
      </c>
      <c r="F2084" s="1" t="s">
        <v>711</v>
      </c>
      <c r="G2084" s="1" t="s">
        <v>712</v>
      </c>
      <c r="H2084" s="1" t="s">
        <v>713</v>
      </c>
      <c r="I2084" s="1" t="s">
        <v>714</v>
      </c>
      <c r="J2084" s="1" t="s">
        <v>9568</v>
      </c>
      <c r="K2084" s="1" t="s">
        <v>9569</v>
      </c>
      <c r="L2084" s="1" t="s">
        <v>7130</v>
      </c>
      <c r="M2084" s="1" t="s">
        <v>718</v>
      </c>
    </row>
    <row r="2085" customFormat="false" ht="15" hidden="false" customHeight="false" outlineLevel="0" collapsed="false">
      <c r="A2085" s="1" t="s">
        <v>9570</v>
      </c>
      <c r="B2085" s="1" t="s">
        <v>9571</v>
      </c>
      <c r="C2085" s="1" t="s">
        <v>1180</v>
      </c>
      <c r="D2085" s="2" t="n">
        <v>37583</v>
      </c>
      <c r="E2085" s="1" t="s">
        <v>763</v>
      </c>
      <c r="F2085" s="1" t="s">
        <v>711</v>
      </c>
      <c r="G2085" s="1" t="s">
        <v>722</v>
      </c>
      <c r="H2085" s="1" t="s">
        <v>713</v>
      </c>
      <c r="I2085" s="1" t="s">
        <v>714</v>
      </c>
      <c r="J2085" s="1" t="s">
        <v>1131</v>
      </c>
      <c r="K2085" s="1" t="s">
        <v>9572</v>
      </c>
      <c r="L2085" s="1" t="s">
        <v>9573</v>
      </c>
      <c r="M2085" s="1" t="s">
        <v>718</v>
      </c>
    </row>
    <row r="2086" customFormat="false" ht="15" hidden="false" customHeight="false" outlineLevel="0" collapsed="false">
      <c r="A2086" s="1" t="s">
        <v>9574</v>
      </c>
      <c r="B2086" s="1" t="s">
        <v>9575</v>
      </c>
      <c r="C2086" s="1" t="s">
        <v>9576</v>
      </c>
      <c r="D2086" s="2" t="n">
        <v>37722</v>
      </c>
      <c r="E2086" s="1" t="s">
        <v>710</v>
      </c>
      <c r="F2086" s="1" t="s">
        <v>711</v>
      </c>
      <c r="G2086" s="1" t="s">
        <v>722</v>
      </c>
      <c r="H2086" s="1" t="s">
        <v>713</v>
      </c>
      <c r="I2086" s="1" t="s">
        <v>714</v>
      </c>
      <c r="J2086" s="1" t="s">
        <v>9577</v>
      </c>
      <c r="K2086" s="1" t="s">
        <v>9578</v>
      </c>
      <c r="L2086" s="1" t="s">
        <v>9579</v>
      </c>
      <c r="M2086" s="1" t="s">
        <v>718</v>
      </c>
    </row>
    <row r="2087" customFormat="false" ht="15" hidden="false" customHeight="false" outlineLevel="0" collapsed="false">
      <c r="A2087" s="1" t="s">
        <v>9580</v>
      </c>
      <c r="B2087" s="1" t="s">
        <v>9581</v>
      </c>
      <c r="C2087" s="1" t="s">
        <v>9582</v>
      </c>
      <c r="D2087" s="2" t="n">
        <v>37629</v>
      </c>
      <c r="E2087" s="1" t="s">
        <v>710</v>
      </c>
      <c r="F2087" s="1" t="s">
        <v>711</v>
      </c>
      <c r="G2087" s="1" t="s">
        <v>712</v>
      </c>
      <c r="H2087" s="1" t="s">
        <v>713</v>
      </c>
      <c r="I2087" s="1" t="s">
        <v>714</v>
      </c>
      <c r="J2087" s="1" t="s">
        <v>7058</v>
      </c>
      <c r="K2087" s="1" t="s">
        <v>9583</v>
      </c>
      <c r="L2087" s="1" t="s">
        <v>9584</v>
      </c>
      <c r="M2087" s="1" t="s">
        <v>718</v>
      </c>
    </row>
    <row r="2088" customFormat="false" ht="15" hidden="false" customHeight="false" outlineLevel="0" collapsed="false">
      <c r="A2088" s="1" t="s">
        <v>9585</v>
      </c>
      <c r="B2088" s="1" t="s">
        <v>9586</v>
      </c>
      <c r="C2088" s="1" t="s">
        <v>9587</v>
      </c>
      <c r="D2088" s="2" t="n">
        <v>38054</v>
      </c>
      <c r="E2088" s="1" t="s">
        <v>763</v>
      </c>
      <c r="F2088" s="1" t="s">
        <v>711</v>
      </c>
      <c r="G2088" s="1" t="s">
        <v>1220</v>
      </c>
      <c r="H2088" s="1" t="s">
        <v>713</v>
      </c>
      <c r="I2088" s="1" t="s">
        <v>714</v>
      </c>
      <c r="J2088" s="1" t="s">
        <v>928</v>
      </c>
      <c r="K2088" s="1" t="s">
        <v>9588</v>
      </c>
      <c r="L2088" s="1" t="s">
        <v>9589</v>
      </c>
      <c r="M2088" s="1" t="s">
        <v>718</v>
      </c>
    </row>
    <row r="2089" customFormat="false" ht="15" hidden="false" customHeight="false" outlineLevel="0" collapsed="false">
      <c r="A2089" s="1" t="s">
        <v>9590</v>
      </c>
      <c r="B2089" s="1" t="s">
        <v>9385</v>
      </c>
      <c r="C2089" s="1" t="s">
        <v>7935</v>
      </c>
      <c r="D2089" s="2" t="n">
        <v>37958</v>
      </c>
      <c r="E2089" s="1" t="s">
        <v>710</v>
      </c>
      <c r="F2089" s="1" t="s">
        <v>711</v>
      </c>
      <c r="G2089" s="1" t="s">
        <v>712</v>
      </c>
      <c r="H2089" s="1" t="s">
        <v>713</v>
      </c>
      <c r="I2089" s="1" t="s">
        <v>714</v>
      </c>
      <c r="J2089" s="1" t="s">
        <v>9591</v>
      </c>
      <c r="K2089" s="1" t="s">
        <v>9592</v>
      </c>
      <c r="L2089" s="1" t="s">
        <v>9593</v>
      </c>
      <c r="M2089" s="1" t="s">
        <v>718</v>
      </c>
    </row>
    <row r="2090" customFormat="false" ht="15" hidden="false" customHeight="false" outlineLevel="0" collapsed="false">
      <c r="A2090" s="1" t="s">
        <v>9594</v>
      </c>
      <c r="B2090" s="1" t="s">
        <v>4219</v>
      </c>
      <c r="C2090" s="1" t="s">
        <v>9595</v>
      </c>
      <c r="D2090" s="2" t="n">
        <v>37965</v>
      </c>
      <c r="E2090" s="1" t="s">
        <v>710</v>
      </c>
      <c r="F2090" s="1" t="s">
        <v>711</v>
      </c>
      <c r="G2090" s="1" t="s">
        <v>712</v>
      </c>
      <c r="H2090" s="1" t="s">
        <v>713</v>
      </c>
      <c r="I2090" s="1" t="s">
        <v>714</v>
      </c>
      <c r="J2090" s="1" t="s">
        <v>1723</v>
      </c>
      <c r="K2090" s="1" t="s">
        <v>9592</v>
      </c>
      <c r="L2090" s="1" t="s">
        <v>9596</v>
      </c>
      <c r="M2090" s="1" t="s">
        <v>718</v>
      </c>
    </row>
    <row r="2091" customFormat="false" ht="15" hidden="false" customHeight="false" outlineLevel="0" collapsed="false">
      <c r="A2091" s="1" t="s">
        <v>9597</v>
      </c>
      <c r="B2091" s="1" t="s">
        <v>9598</v>
      </c>
      <c r="C2091" s="1" t="s">
        <v>1064</v>
      </c>
      <c r="D2091" s="2" t="n">
        <v>37868</v>
      </c>
      <c r="E2091" s="1" t="s">
        <v>763</v>
      </c>
      <c r="F2091" s="1" t="s">
        <v>711</v>
      </c>
      <c r="G2091" s="1" t="s">
        <v>712</v>
      </c>
      <c r="H2091" s="1" t="s">
        <v>713</v>
      </c>
      <c r="I2091" s="1" t="s">
        <v>714</v>
      </c>
      <c r="J2091" s="1" t="s">
        <v>1723</v>
      </c>
      <c r="K2091" s="1" t="s">
        <v>9599</v>
      </c>
      <c r="L2091" s="1" t="s">
        <v>1065</v>
      </c>
      <c r="M2091" s="1" t="s">
        <v>718</v>
      </c>
    </row>
    <row r="2092" customFormat="false" ht="15" hidden="false" customHeight="false" outlineLevel="0" collapsed="false">
      <c r="A2092" s="1" t="s">
        <v>9600</v>
      </c>
      <c r="B2092" s="1" t="s">
        <v>9601</v>
      </c>
      <c r="C2092" s="1" t="s">
        <v>1139</v>
      </c>
      <c r="D2092" s="2" t="n">
        <v>37867</v>
      </c>
      <c r="E2092" s="1" t="s">
        <v>710</v>
      </c>
      <c r="F2092" s="1" t="s">
        <v>711</v>
      </c>
      <c r="G2092" s="1" t="s">
        <v>712</v>
      </c>
      <c r="H2092" s="1" t="s">
        <v>713</v>
      </c>
      <c r="I2092" s="1" t="s">
        <v>714</v>
      </c>
      <c r="J2092" s="1" t="s">
        <v>3517</v>
      </c>
      <c r="K2092" s="1" t="s">
        <v>9602</v>
      </c>
      <c r="L2092" s="1" t="s">
        <v>8039</v>
      </c>
      <c r="M2092" s="1" t="s">
        <v>718</v>
      </c>
    </row>
    <row r="2093" customFormat="false" ht="15" hidden="false" customHeight="false" outlineLevel="0" collapsed="false">
      <c r="A2093" s="1" t="s">
        <v>9603</v>
      </c>
      <c r="B2093" s="1" t="s">
        <v>1913</v>
      </c>
      <c r="C2093" s="1" t="s">
        <v>1139</v>
      </c>
      <c r="D2093" s="2" t="n">
        <v>37867</v>
      </c>
      <c r="E2093" s="1" t="s">
        <v>710</v>
      </c>
      <c r="F2093" s="1" t="s">
        <v>711</v>
      </c>
      <c r="G2093" s="1" t="s">
        <v>712</v>
      </c>
      <c r="H2093" s="1" t="s">
        <v>713</v>
      </c>
      <c r="I2093" s="1" t="s">
        <v>714</v>
      </c>
      <c r="J2093" s="1" t="s">
        <v>3517</v>
      </c>
      <c r="K2093" s="1" t="s">
        <v>9604</v>
      </c>
      <c r="L2093" s="1" t="s">
        <v>8039</v>
      </c>
      <c r="M2093" s="1" t="s">
        <v>718</v>
      </c>
    </row>
    <row r="2094" customFormat="false" ht="15" hidden="false" customHeight="false" outlineLevel="0" collapsed="false">
      <c r="A2094" s="1" t="s">
        <v>9605</v>
      </c>
      <c r="B2094" s="1" t="s">
        <v>9606</v>
      </c>
      <c r="C2094" s="1" t="s">
        <v>2992</v>
      </c>
      <c r="D2094" s="2" t="n">
        <v>38093</v>
      </c>
      <c r="E2094" s="1" t="s">
        <v>710</v>
      </c>
      <c r="F2094" s="1" t="s">
        <v>711</v>
      </c>
      <c r="G2094" s="1" t="s">
        <v>712</v>
      </c>
      <c r="H2094" s="1" t="s">
        <v>713</v>
      </c>
      <c r="I2094" s="1" t="s">
        <v>714</v>
      </c>
      <c r="J2094" s="1" t="s">
        <v>5211</v>
      </c>
      <c r="K2094" s="1" t="s">
        <v>8636</v>
      </c>
      <c r="L2094" s="1" t="s">
        <v>8637</v>
      </c>
      <c r="M2094" s="1" t="s">
        <v>718</v>
      </c>
    </row>
    <row r="2095" customFormat="false" ht="15" hidden="false" customHeight="false" outlineLevel="0" collapsed="false">
      <c r="A2095" s="1" t="s">
        <v>9607</v>
      </c>
      <c r="B2095" s="1" t="s">
        <v>9608</v>
      </c>
      <c r="C2095" s="1" t="s">
        <v>9609</v>
      </c>
      <c r="D2095" s="2" t="n">
        <v>37950</v>
      </c>
      <c r="E2095" s="1" t="s">
        <v>763</v>
      </c>
      <c r="F2095" s="1" t="s">
        <v>711</v>
      </c>
      <c r="G2095" s="1" t="s">
        <v>722</v>
      </c>
      <c r="H2095" s="1" t="s">
        <v>713</v>
      </c>
      <c r="I2095" s="1" t="s">
        <v>714</v>
      </c>
      <c r="J2095" s="1" t="s">
        <v>1530</v>
      </c>
      <c r="K2095" s="1" t="s">
        <v>9610</v>
      </c>
      <c r="L2095" s="1" t="s">
        <v>6930</v>
      </c>
      <c r="M2095" s="1" t="s">
        <v>718</v>
      </c>
    </row>
    <row r="2096" customFormat="false" ht="15" hidden="false" customHeight="false" outlineLevel="0" collapsed="false">
      <c r="A2096" s="1" t="s">
        <v>9611</v>
      </c>
      <c r="B2096" s="1" t="s">
        <v>9612</v>
      </c>
      <c r="C2096" s="1" t="s">
        <v>9613</v>
      </c>
      <c r="D2096" s="2" t="n">
        <v>37871</v>
      </c>
      <c r="E2096" s="1" t="s">
        <v>763</v>
      </c>
      <c r="F2096" s="1" t="s">
        <v>711</v>
      </c>
      <c r="G2096" s="1" t="s">
        <v>712</v>
      </c>
      <c r="H2096" s="1" t="s">
        <v>713</v>
      </c>
      <c r="I2096" s="1" t="s">
        <v>714</v>
      </c>
      <c r="J2096" s="1" t="s">
        <v>9614</v>
      </c>
      <c r="K2096" s="1" t="s">
        <v>9615</v>
      </c>
      <c r="L2096" s="1" t="s">
        <v>9616</v>
      </c>
      <c r="M2096" s="1" t="s">
        <v>718</v>
      </c>
    </row>
    <row r="2097" customFormat="false" ht="15" hidden="false" customHeight="false" outlineLevel="0" collapsed="false">
      <c r="A2097" s="1" t="s">
        <v>9617</v>
      </c>
      <c r="B2097" s="1" t="s">
        <v>9618</v>
      </c>
      <c r="C2097" s="1" t="s">
        <v>9619</v>
      </c>
      <c r="D2097" s="2" t="n">
        <v>37847</v>
      </c>
      <c r="E2097" s="1" t="s">
        <v>710</v>
      </c>
      <c r="F2097" s="1" t="s">
        <v>711</v>
      </c>
      <c r="G2097" s="1" t="s">
        <v>722</v>
      </c>
      <c r="H2097" s="1" t="s">
        <v>713</v>
      </c>
      <c r="I2097" s="1" t="s">
        <v>714</v>
      </c>
      <c r="J2097" s="1" t="s">
        <v>1244</v>
      </c>
      <c r="K2097" s="1" t="s">
        <v>9620</v>
      </c>
      <c r="L2097" s="1" t="s">
        <v>5421</v>
      </c>
      <c r="M2097" s="1" t="s">
        <v>718</v>
      </c>
    </row>
    <row r="2098" customFormat="false" ht="15" hidden="false" customHeight="false" outlineLevel="0" collapsed="false">
      <c r="A2098" s="1" t="s">
        <v>9621</v>
      </c>
      <c r="B2098" s="1" t="s">
        <v>7651</v>
      </c>
      <c r="C2098" s="1" t="s">
        <v>9622</v>
      </c>
      <c r="D2098" s="2" t="n">
        <v>37999</v>
      </c>
      <c r="E2098" s="1" t="s">
        <v>710</v>
      </c>
      <c r="F2098" s="1" t="s">
        <v>711</v>
      </c>
      <c r="G2098" s="1" t="s">
        <v>712</v>
      </c>
      <c r="H2098" s="1" t="s">
        <v>713</v>
      </c>
      <c r="I2098" s="1" t="s">
        <v>714</v>
      </c>
      <c r="J2098" s="1" t="s">
        <v>1244</v>
      </c>
      <c r="K2098" s="1" t="s">
        <v>9623</v>
      </c>
      <c r="L2098" s="1" t="s">
        <v>9624</v>
      </c>
      <c r="M2098" s="1" t="s">
        <v>718</v>
      </c>
    </row>
    <row r="2099" customFormat="false" ht="15" hidden="false" customHeight="false" outlineLevel="0" collapsed="false">
      <c r="A2099" s="1" t="s">
        <v>9625</v>
      </c>
      <c r="B2099" s="1" t="s">
        <v>9626</v>
      </c>
      <c r="C2099" s="1" t="s">
        <v>9627</v>
      </c>
      <c r="D2099" s="2" t="n">
        <v>37182</v>
      </c>
      <c r="E2099" s="1" t="s">
        <v>710</v>
      </c>
      <c r="F2099" s="1" t="s">
        <v>711</v>
      </c>
      <c r="G2099" s="1" t="s">
        <v>722</v>
      </c>
      <c r="H2099" s="1" t="s">
        <v>713</v>
      </c>
      <c r="I2099" s="1" t="s">
        <v>714</v>
      </c>
      <c r="J2099" s="1" t="s">
        <v>9628</v>
      </c>
      <c r="K2099" s="1" t="s">
        <v>9629</v>
      </c>
      <c r="L2099" s="1" t="s">
        <v>9630</v>
      </c>
      <c r="M2099" s="1" t="s">
        <v>718</v>
      </c>
    </row>
    <row r="2100" customFormat="false" ht="15" hidden="false" customHeight="false" outlineLevel="0" collapsed="false">
      <c r="A2100" s="1" t="s">
        <v>9631</v>
      </c>
      <c r="B2100" s="1" t="s">
        <v>9632</v>
      </c>
      <c r="C2100" s="1" t="s">
        <v>1919</v>
      </c>
      <c r="D2100" s="2" t="n">
        <v>37567</v>
      </c>
      <c r="E2100" s="1" t="s">
        <v>710</v>
      </c>
      <c r="F2100" s="1" t="s">
        <v>711</v>
      </c>
      <c r="G2100" s="1" t="s">
        <v>722</v>
      </c>
      <c r="H2100" s="1" t="s">
        <v>713</v>
      </c>
      <c r="I2100" s="1" t="s">
        <v>714</v>
      </c>
      <c r="J2100" s="1" t="s">
        <v>1244</v>
      </c>
      <c r="K2100" s="1" t="s">
        <v>716</v>
      </c>
      <c r="L2100" s="1" t="s">
        <v>1920</v>
      </c>
      <c r="M2100" s="1" t="s">
        <v>718</v>
      </c>
    </row>
    <row r="2101" customFormat="false" ht="15" hidden="false" customHeight="false" outlineLevel="0" collapsed="false">
      <c r="A2101" s="1" t="s">
        <v>9633</v>
      </c>
      <c r="B2101" s="1" t="s">
        <v>9634</v>
      </c>
      <c r="C2101" s="1" t="s">
        <v>7181</v>
      </c>
      <c r="D2101" s="2" t="n">
        <v>37849</v>
      </c>
      <c r="E2101" s="1" t="s">
        <v>763</v>
      </c>
      <c r="F2101" s="1" t="s">
        <v>711</v>
      </c>
      <c r="G2101" s="1" t="s">
        <v>722</v>
      </c>
      <c r="H2101" s="1" t="s">
        <v>713</v>
      </c>
      <c r="I2101" s="1" t="s">
        <v>714</v>
      </c>
      <c r="J2101" s="1" t="s">
        <v>9635</v>
      </c>
      <c r="K2101" s="1" t="s">
        <v>9636</v>
      </c>
      <c r="L2101" s="1" t="s">
        <v>7182</v>
      </c>
      <c r="M2101" s="1" t="s">
        <v>718</v>
      </c>
    </row>
    <row r="2102" customFormat="false" ht="15" hidden="false" customHeight="false" outlineLevel="0" collapsed="false">
      <c r="A2102" s="1" t="s">
        <v>9637</v>
      </c>
      <c r="B2102" s="1" t="s">
        <v>9638</v>
      </c>
      <c r="C2102" s="1" t="s">
        <v>1139</v>
      </c>
      <c r="D2102" s="2" t="n">
        <v>37304</v>
      </c>
      <c r="E2102" s="1" t="s">
        <v>710</v>
      </c>
      <c r="F2102" s="1" t="s">
        <v>711</v>
      </c>
      <c r="G2102" s="1" t="s">
        <v>722</v>
      </c>
      <c r="H2102" s="1" t="s">
        <v>713</v>
      </c>
      <c r="I2102" s="1" t="s">
        <v>714</v>
      </c>
      <c r="J2102" s="1" t="s">
        <v>9639</v>
      </c>
      <c r="K2102" s="1" t="s">
        <v>9640</v>
      </c>
      <c r="L2102" s="1" t="s">
        <v>9641</v>
      </c>
      <c r="M2102" s="1" t="s">
        <v>718</v>
      </c>
    </row>
    <row r="2103" customFormat="false" ht="15" hidden="false" customHeight="false" outlineLevel="0" collapsed="false">
      <c r="A2103" s="1" t="s">
        <v>9642</v>
      </c>
      <c r="B2103" s="1" t="s">
        <v>9643</v>
      </c>
      <c r="C2103" s="1" t="s">
        <v>9644</v>
      </c>
      <c r="D2103" s="2" t="n">
        <v>38404</v>
      </c>
      <c r="E2103" s="1" t="s">
        <v>763</v>
      </c>
      <c r="F2103" s="1" t="s">
        <v>711</v>
      </c>
      <c r="G2103" s="1" t="s">
        <v>712</v>
      </c>
      <c r="H2103" s="1" t="s">
        <v>713</v>
      </c>
      <c r="I2103" s="1" t="s">
        <v>714</v>
      </c>
      <c r="J2103" s="1" t="s">
        <v>2889</v>
      </c>
      <c r="K2103" s="1" t="s">
        <v>716</v>
      </c>
      <c r="L2103" s="1" t="s">
        <v>9645</v>
      </c>
      <c r="M2103" s="1" t="s">
        <v>718</v>
      </c>
    </row>
    <row r="2104" customFormat="false" ht="15" hidden="false" customHeight="false" outlineLevel="0" collapsed="false">
      <c r="A2104" s="1" t="s">
        <v>9646</v>
      </c>
      <c r="B2104" s="1" t="s">
        <v>935</v>
      </c>
      <c r="C2104" s="1" t="s">
        <v>750</v>
      </c>
      <c r="D2104" s="2" t="n">
        <v>36494</v>
      </c>
      <c r="E2104" s="1" t="s">
        <v>710</v>
      </c>
      <c r="F2104" s="1" t="s">
        <v>711</v>
      </c>
      <c r="G2104" s="1" t="s">
        <v>712</v>
      </c>
      <c r="H2104" s="1" t="s">
        <v>713</v>
      </c>
      <c r="I2104" s="1" t="s">
        <v>714</v>
      </c>
      <c r="J2104" s="1" t="s">
        <v>9647</v>
      </c>
      <c r="K2104" s="1" t="s">
        <v>9648</v>
      </c>
      <c r="L2104" s="1" t="s">
        <v>5866</v>
      </c>
      <c r="M2104" s="1" t="s">
        <v>718</v>
      </c>
    </row>
    <row r="2105" customFormat="false" ht="15" hidden="false" customHeight="false" outlineLevel="0" collapsed="false">
      <c r="A2105" s="1" t="s">
        <v>9649</v>
      </c>
      <c r="B2105" s="1" t="s">
        <v>9650</v>
      </c>
      <c r="C2105" s="1" t="s">
        <v>9651</v>
      </c>
      <c r="D2105" s="2" t="n">
        <v>37582</v>
      </c>
      <c r="E2105" s="1" t="s">
        <v>763</v>
      </c>
      <c r="F2105" s="1" t="s">
        <v>711</v>
      </c>
      <c r="G2105" s="1" t="s">
        <v>712</v>
      </c>
      <c r="H2105" s="1" t="s">
        <v>713</v>
      </c>
      <c r="I2105" s="1" t="s">
        <v>714</v>
      </c>
      <c r="J2105" s="1" t="s">
        <v>9652</v>
      </c>
      <c r="K2105" s="1" t="s">
        <v>9653</v>
      </c>
      <c r="L2105" s="1" t="s">
        <v>9654</v>
      </c>
      <c r="M2105" s="1" t="s">
        <v>718</v>
      </c>
    </row>
    <row r="2106" customFormat="false" ht="15" hidden="false" customHeight="false" outlineLevel="0" collapsed="false">
      <c r="A2106" s="1" t="s">
        <v>9655</v>
      </c>
      <c r="B2106" s="1" t="s">
        <v>9656</v>
      </c>
      <c r="C2106" s="1" t="s">
        <v>2509</v>
      </c>
      <c r="D2106" s="2" t="n">
        <v>37847</v>
      </c>
      <c r="E2106" s="1" t="s">
        <v>710</v>
      </c>
      <c r="F2106" s="1" t="s">
        <v>711</v>
      </c>
      <c r="G2106" s="1" t="s">
        <v>712</v>
      </c>
      <c r="H2106" s="1" t="s">
        <v>713</v>
      </c>
      <c r="I2106" s="1" t="s">
        <v>714</v>
      </c>
      <c r="J2106" s="1" t="s">
        <v>9657</v>
      </c>
      <c r="K2106" s="1" t="s">
        <v>9658</v>
      </c>
      <c r="L2106" s="1" t="s">
        <v>2511</v>
      </c>
      <c r="M2106" s="1" t="s">
        <v>718</v>
      </c>
    </row>
    <row r="2107" customFormat="false" ht="15" hidden="false" customHeight="false" outlineLevel="0" collapsed="false">
      <c r="A2107" s="1" t="s">
        <v>9659</v>
      </c>
      <c r="B2107" s="1" t="s">
        <v>9660</v>
      </c>
      <c r="C2107" s="1" t="s">
        <v>9661</v>
      </c>
      <c r="D2107" s="2" t="n">
        <v>37918</v>
      </c>
      <c r="E2107" s="1" t="s">
        <v>710</v>
      </c>
      <c r="F2107" s="1" t="s">
        <v>711</v>
      </c>
      <c r="G2107" s="1" t="s">
        <v>712</v>
      </c>
      <c r="H2107" s="1" t="s">
        <v>713</v>
      </c>
      <c r="I2107" s="1" t="s">
        <v>714</v>
      </c>
      <c r="J2107" s="1" t="s">
        <v>821</v>
      </c>
      <c r="K2107" s="1" t="s">
        <v>9662</v>
      </c>
      <c r="L2107" s="1" t="s">
        <v>9663</v>
      </c>
      <c r="M2107" s="1" t="s">
        <v>718</v>
      </c>
    </row>
    <row r="2108" customFormat="false" ht="15" hidden="false" customHeight="false" outlineLevel="0" collapsed="false">
      <c r="A2108" s="1" t="s">
        <v>9664</v>
      </c>
      <c r="B2108" s="1" t="s">
        <v>9665</v>
      </c>
      <c r="C2108" s="1" t="s">
        <v>7473</v>
      </c>
      <c r="D2108" s="2" t="n">
        <v>37711</v>
      </c>
      <c r="E2108" s="1" t="s">
        <v>710</v>
      </c>
      <c r="F2108" s="1" t="s">
        <v>711</v>
      </c>
      <c r="G2108" s="1" t="s">
        <v>722</v>
      </c>
      <c r="H2108" s="1" t="s">
        <v>713</v>
      </c>
      <c r="I2108" s="1" t="s">
        <v>714</v>
      </c>
      <c r="J2108" s="1" t="s">
        <v>9666</v>
      </c>
      <c r="K2108" s="1" t="s">
        <v>9667</v>
      </c>
      <c r="L2108" s="1" t="s">
        <v>1792</v>
      </c>
      <c r="M2108" s="1" t="s">
        <v>718</v>
      </c>
    </row>
    <row r="2109" customFormat="false" ht="15" hidden="false" customHeight="false" outlineLevel="0" collapsed="false">
      <c r="A2109" s="1" t="s">
        <v>9668</v>
      </c>
      <c r="B2109" s="1" t="s">
        <v>9669</v>
      </c>
      <c r="C2109" s="1" t="s">
        <v>3377</v>
      </c>
      <c r="D2109" s="2" t="n">
        <v>36897</v>
      </c>
      <c r="E2109" s="1" t="s">
        <v>710</v>
      </c>
      <c r="F2109" s="1" t="s">
        <v>711</v>
      </c>
      <c r="G2109" s="1" t="s">
        <v>712</v>
      </c>
      <c r="H2109" s="1" t="s">
        <v>713</v>
      </c>
      <c r="I2109" s="1" t="s">
        <v>714</v>
      </c>
      <c r="J2109" s="1" t="s">
        <v>9670</v>
      </c>
      <c r="K2109" s="1" t="s">
        <v>9671</v>
      </c>
      <c r="L2109" s="1" t="s">
        <v>3380</v>
      </c>
      <c r="M2109" s="1" t="s">
        <v>718</v>
      </c>
    </row>
    <row r="2110" customFormat="false" ht="15" hidden="false" customHeight="false" outlineLevel="0" collapsed="false">
      <c r="A2110" s="1" t="s">
        <v>9672</v>
      </c>
      <c r="B2110" s="1" t="s">
        <v>9673</v>
      </c>
      <c r="C2110" s="1" t="s">
        <v>6683</v>
      </c>
      <c r="D2110" s="2" t="n">
        <v>37774</v>
      </c>
      <c r="E2110" s="1" t="s">
        <v>763</v>
      </c>
      <c r="F2110" s="1" t="s">
        <v>711</v>
      </c>
      <c r="G2110" s="1" t="s">
        <v>722</v>
      </c>
      <c r="H2110" s="1" t="s">
        <v>713</v>
      </c>
      <c r="I2110" s="1" t="s">
        <v>714</v>
      </c>
      <c r="J2110" s="1" t="s">
        <v>9674</v>
      </c>
      <c r="K2110" s="1" t="s">
        <v>9675</v>
      </c>
      <c r="L2110" s="1" t="s">
        <v>9676</v>
      </c>
      <c r="M2110" s="1" t="s">
        <v>718</v>
      </c>
    </row>
    <row r="2111" customFormat="false" ht="15" hidden="false" customHeight="false" outlineLevel="0" collapsed="false">
      <c r="A2111" s="1" t="s">
        <v>9677</v>
      </c>
      <c r="B2111" s="1" t="s">
        <v>4028</v>
      </c>
      <c r="C2111" s="1" t="s">
        <v>9678</v>
      </c>
      <c r="D2111" s="2" t="n">
        <v>37842</v>
      </c>
      <c r="E2111" s="1" t="s">
        <v>710</v>
      </c>
      <c r="F2111" s="1" t="s">
        <v>711</v>
      </c>
      <c r="G2111" s="1" t="s">
        <v>712</v>
      </c>
      <c r="H2111" s="1" t="s">
        <v>713</v>
      </c>
      <c r="I2111" s="1" t="s">
        <v>714</v>
      </c>
      <c r="J2111" s="1" t="s">
        <v>928</v>
      </c>
      <c r="K2111" s="1" t="s">
        <v>9679</v>
      </c>
      <c r="L2111" s="1" t="s">
        <v>9680</v>
      </c>
      <c r="M2111" s="1" t="s">
        <v>718</v>
      </c>
    </row>
    <row r="2112" customFormat="false" ht="15" hidden="false" customHeight="false" outlineLevel="0" collapsed="false">
      <c r="A2112" s="1" t="s">
        <v>9681</v>
      </c>
      <c r="B2112" s="1" t="s">
        <v>9682</v>
      </c>
      <c r="C2112" s="1" t="s">
        <v>3619</v>
      </c>
      <c r="D2112" s="2" t="n">
        <v>38044</v>
      </c>
      <c r="E2112" s="1" t="s">
        <v>763</v>
      </c>
      <c r="F2112" s="1" t="s">
        <v>711</v>
      </c>
      <c r="G2112" s="1" t="s">
        <v>712</v>
      </c>
      <c r="H2112" s="1" t="s">
        <v>713</v>
      </c>
      <c r="I2112" s="1" t="s">
        <v>714</v>
      </c>
      <c r="J2112" s="1" t="s">
        <v>9683</v>
      </c>
      <c r="K2112" s="1" t="s">
        <v>9684</v>
      </c>
      <c r="L2112" s="1" t="s">
        <v>3622</v>
      </c>
      <c r="M2112" s="1" t="s">
        <v>718</v>
      </c>
    </row>
    <row r="2113" customFormat="false" ht="15" hidden="false" customHeight="false" outlineLevel="0" collapsed="false">
      <c r="A2113" s="1" t="s">
        <v>9685</v>
      </c>
      <c r="B2113" s="1" t="s">
        <v>3432</v>
      </c>
      <c r="C2113" s="1" t="s">
        <v>2121</v>
      </c>
      <c r="D2113" s="2" t="n">
        <v>38035</v>
      </c>
      <c r="E2113" s="1" t="s">
        <v>710</v>
      </c>
      <c r="F2113" s="1" t="s">
        <v>711</v>
      </c>
      <c r="G2113" s="1" t="s">
        <v>712</v>
      </c>
      <c r="H2113" s="1" t="s">
        <v>713</v>
      </c>
      <c r="I2113" s="1" t="s">
        <v>714</v>
      </c>
      <c r="J2113" s="1" t="s">
        <v>1244</v>
      </c>
      <c r="K2113" s="1" t="s">
        <v>9686</v>
      </c>
      <c r="L2113" s="1" t="s">
        <v>2920</v>
      </c>
      <c r="M2113" s="1" t="s">
        <v>718</v>
      </c>
    </row>
    <row r="2114" customFormat="false" ht="15" hidden="false" customHeight="false" outlineLevel="0" collapsed="false">
      <c r="A2114" s="1" t="s">
        <v>9687</v>
      </c>
      <c r="B2114" s="1" t="s">
        <v>4017</v>
      </c>
      <c r="C2114" s="1" t="s">
        <v>2121</v>
      </c>
      <c r="D2114" s="2" t="n">
        <v>36754</v>
      </c>
      <c r="E2114" s="1" t="s">
        <v>710</v>
      </c>
      <c r="F2114" s="1" t="s">
        <v>711</v>
      </c>
      <c r="G2114" s="1" t="s">
        <v>712</v>
      </c>
      <c r="H2114" s="1" t="s">
        <v>713</v>
      </c>
      <c r="I2114" s="1" t="s">
        <v>714</v>
      </c>
      <c r="J2114" s="1" t="s">
        <v>9688</v>
      </c>
      <c r="K2114" s="1" t="s">
        <v>9689</v>
      </c>
      <c r="L2114" s="1" t="s">
        <v>9690</v>
      </c>
      <c r="M2114" s="1" t="s">
        <v>718</v>
      </c>
    </row>
    <row r="2115" customFormat="false" ht="15" hidden="false" customHeight="false" outlineLevel="0" collapsed="false">
      <c r="A2115" s="1" t="s">
        <v>9691</v>
      </c>
      <c r="B2115" s="1" t="s">
        <v>9692</v>
      </c>
      <c r="C2115" s="1" t="s">
        <v>9693</v>
      </c>
      <c r="D2115" s="2" t="n">
        <v>38061</v>
      </c>
      <c r="E2115" s="1" t="s">
        <v>710</v>
      </c>
      <c r="F2115" s="1" t="s">
        <v>711</v>
      </c>
      <c r="G2115" s="1" t="s">
        <v>712</v>
      </c>
      <c r="H2115" s="1" t="s">
        <v>713</v>
      </c>
      <c r="I2115" s="1" t="s">
        <v>714</v>
      </c>
      <c r="J2115" s="1" t="s">
        <v>9694</v>
      </c>
      <c r="K2115" s="1" t="s">
        <v>9695</v>
      </c>
      <c r="L2115" s="1" t="s">
        <v>9696</v>
      </c>
      <c r="M2115" s="1" t="s">
        <v>718</v>
      </c>
    </row>
    <row r="2116" customFormat="false" ht="15" hidden="false" customHeight="false" outlineLevel="0" collapsed="false">
      <c r="A2116" s="1" t="s">
        <v>9697</v>
      </c>
      <c r="B2116" s="1" t="s">
        <v>9698</v>
      </c>
      <c r="C2116" s="1" t="s">
        <v>9699</v>
      </c>
      <c r="D2116" s="2" t="n">
        <v>37787</v>
      </c>
      <c r="E2116" s="1" t="s">
        <v>763</v>
      </c>
      <c r="F2116" s="1" t="s">
        <v>711</v>
      </c>
      <c r="G2116" s="1" t="s">
        <v>712</v>
      </c>
      <c r="H2116" s="1" t="s">
        <v>713</v>
      </c>
      <c r="I2116" s="1" t="s">
        <v>714</v>
      </c>
      <c r="J2116" s="1" t="s">
        <v>1530</v>
      </c>
      <c r="K2116" s="1" t="s">
        <v>9700</v>
      </c>
      <c r="L2116" s="1" t="s">
        <v>9701</v>
      </c>
      <c r="M2116" s="1" t="s">
        <v>718</v>
      </c>
    </row>
    <row r="2117" customFormat="false" ht="15" hidden="false" customHeight="false" outlineLevel="0" collapsed="false">
      <c r="A2117" s="1" t="s">
        <v>9702</v>
      </c>
      <c r="B2117" s="1" t="s">
        <v>921</v>
      </c>
      <c r="C2117" s="1" t="s">
        <v>9703</v>
      </c>
      <c r="D2117" s="2" t="n">
        <v>37906</v>
      </c>
      <c r="E2117" s="1" t="s">
        <v>710</v>
      </c>
      <c r="F2117" s="1" t="s">
        <v>711</v>
      </c>
      <c r="G2117" s="1" t="s">
        <v>712</v>
      </c>
      <c r="H2117" s="1" t="s">
        <v>713</v>
      </c>
      <c r="I2117" s="1" t="s">
        <v>714</v>
      </c>
      <c r="J2117" s="1" t="s">
        <v>9704</v>
      </c>
      <c r="K2117" s="1" t="s">
        <v>9705</v>
      </c>
      <c r="L2117" s="1" t="s">
        <v>9706</v>
      </c>
      <c r="M2117" s="1" t="s">
        <v>718</v>
      </c>
    </row>
    <row r="2118" customFormat="false" ht="15" hidden="false" customHeight="false" outlineLevel="0" collapsed="false">
      <c r="A2118" s="1" t="s">
        <v>9707</v>
      </c>
      <c r="B2118" s="1" t="s">
        <v>9708</v>
      </c>
      <c r="C2118" s="1" t="s">
        <v>1185</v>
      </c>
      <c r="D2118" s="2" t="n">
        <v>37710</v>
      </c>
      <c r="E2118" s="1" t="s">
        <v>763</v>
      </c>
      <c r="F2118" s="1" t="s">
        <v>711</v>
      </c>
      <c r="G2118" s="1" t="s">
        <v>712</v>
      </c>
      <c r="H2118" s="1" t="s">
        <v>713</v>
      </c>
      <c r="I2118" s="1" t="s">
        <v>714</v>
      </c>
      <c r="J2118" s="1" t="s">
        <v>1723</v>
      </c>
      <c r="K2118" s="1" t="s">
        <v>9709</v>
      </c>
      <c r="L2118" s="1" t="s">
        <v>1308</v>
      </c>
      <c r="M2118" s="1" t="s">
        <v>718</v>
      </c>
    </row>
    <row r="2119" customFormat="false" ht="15" hidden="false" customHeight="false" outlineLevel="0" collapsed="false">
      <c r="A2119" s="1" t="s">
        <v>9710</v>
      </c>
      <c r="B2119" s="1" t="s">
        <v>9711</v>
      </c>
      <c r="C2119" s="1" t="s">
        <v>9712</v>
      </c>
      <c r="D2119" s="2" t="n">
        <v>37792</v>
      </c>
      <c r="E2119" s="1" t="s">
        <v>763</v>
      </c>
      <c r="F2119" s="1" t="s">
        <v>711</v>
      </c>
      <c r="G2119" s="1" t="s">
        <v>722</v>
      </c>
      <c r="H2119" s="1" t="s">
        <v>713</v>
      </c>
      <c r="I2119" s="1" t="s">
        <v>714</v>
      </c>
      <c r="J2119" s="1" t="s">
        <v>9713</v>
      </c>
      <c r="K2119" s="1" t="s">
        <v>716</v>
      </c>
      <c r="L2119" s="1" t="s">
        <v>3002</v>
      </c>
      <c r="M2119" s="1" t="s">
        <v>718</v>
      </c>
    </row>
    <row r="2120" customFormat="false" ht="15" hidden="false" customHeight="false" outlineLevel="0" collapsed="false">
      <c r="A2120" s="1" t="s">
        <v>9714</v>
      </c>
      <c r="B2120" s="1" t="s">
        <v>9715</v>
      </c>
      <c r="C2120" s="1" t="s">
        <v>7003</v>
      </c>
      <c r="D2120" s="2" t="n">
        <v>37629</v>
      </c>
      <c r="E2120" s="1" t="s">
        <v>710</v>
      </c>
      <c r="F2120" s="1" t="s">
        <v>711</v>
      </c>
      <c r="G2120" s="1" t="s">
        <v>722</v>
      </c>
      <c r="H2120" s="1" t="s">
        <v>713</v>
      </c>
      <c r="I2120" s="1" t="s">
        <v>714</v>
      </c>
      <c r="J2120" s="1" t="s">
        <v>1723</v>
      </c>
      <c r="K2120" s="1" t="s">
        <v>9716</v>
      </c>
      <c r="L2120" s="1" t="s">
        <v>9717</v>
      </c>
      <c r="M2120" s="1" t="s">
        <v>718</v>
      </c>
    </row>
    <row r="2121" customFormat="false" ht="15" hidden="false" customHeight="false" outlineLevel="0" collapsed="false">
      <c r="A2121" s="1" t="s">
        <v>9718</v>
      </c>
      <c r="B2121" s="1" t="s">
        <v>9719</v>
      </c>
      <c r="C2121" s="1" t="s">
        <v>9720</v>
      </c>
      <c r="D2121" s="2" t="n">
        <v>36233</v>
      </c>
      <c r="E2121" s="1" t="s">
        <v>710</v>
      </c>
      <c r="F2121" s="1" t="s">
        <v>711</v>
      </c>
      <c r="G2121" s="1" t="s">
        <v>722</v>
      </c>
      <c r="H2121" s="1" t="s">
        <v>713</v>
      </c>
      <c r="I2121" s="1" t="s">
        <v>714</v>
      </c>
      <c r="J2121" s="1" t="s">
        <v>9721</v>
      </c>
      <c r="K2121" s="1" t="s">
        <v>9722</v>
      </c>
      <c r="L2121" s="1" t="s">
        <v>9723</v>
      </c>
      <c r="M2121" s="1" t="s">
        <v>718</v>
      </c>
    </row>
    <row r="2122" customFormat="false" ht="15" hidden="false" customHeight="false" outlineLevel="0" collapsed="false">
      <c r="A2122" s="1" t="s">
        <v>9724</v>
      </c>
      <c r="B2122" s="1" t="s">
        <v>9725</v>
      </c>
      <c r="C2122" s="1" t="s">
        <v>4605</v>
      </c>
      <c r="D2122" s="2" t="n">
        <v>37752</v>
      </c>
      <c r="E2122" s="1" t="s">
        <v>763</v>
      </c>
      <c r="F2122" s="1" t="s">
        <v>711</v>
      </c>
      <c r="G2122" s="1" t="s">
        <v>722</v>
      </c>
      <c r="H2122" s="1" t="s">
        <v>713</v>
      </c>
      <c r="I2122" s="1" t="s">
        <v>714</v>
      </c>
      <c r="J2122" s="1" t="s">
        <v>1723</v>
      </c>
      <c r="K2122" s="1" t="s">
        <v>9726</v>
      </c>
      <c r="L2122" s="1" t="s">
        <v>4607</v>
      </c>
      <c r="M2122" s="1" t="s">
        <v>718</v>
      </c>
    </row>
    <row r="2123" customFormat="false" ht="15" hidden="false" customHeight="false" outlineLevel="0" collapsed="false">
      <c r="A2123" s="1" t="s">
        <v>9727</v>
      </c>
      <c r="B2123" s="1" t="s">
        <v>9728</v>
      </c>
      <c r="C2123" s="1" t="s">
        <v>5165</v>
      </c>
      <c r="D2123" s="2" t="n">
        <v>37404</v>
      </c>
      <c r="E2123" s="1" t="s">
        <v>710</v>
      </c>
      <c r="F2123" s="1" t="s">
        <v>711</v>
      </c>
      <c r="G2123" s="1" t="s">
        <v>712</v>
      </c>
      <c r="H2123" s="1" t="s">
        <v>713</v>
      </c>
      <c r="I2123" s="1" t="s">
        <v>714</v>
      </c>
      <c r="J2123" s="1" t="s">
        <v>9729</v>
      </c>
      <c r="K2123" s="1" t="s">
        <v>9730</v>
      </c>
      <c r="L2123" s="1" t="s">
        <v>9616</v>
      </c>
      <c r="M2123" s="1" t="s">
        <v>718</v>
      </c>
    </row>
    <row r="2124" customFormat="false" ht="15" hidden="false" customHeight="false" outlineLevel="0" collapsed="false">
      <c r="A2124" s="1" t="s">
        <v>9731</v>
      </c>
      <c r="B2124" s="1" t="s">
        <v>9732</v>
      </c>
      <c r="C2124" s="1" t="s">
        <v>739</v>
      </c>
      <c r="D2124" s="2" t="n">
        <v>37841</v>
      </c>
      <c r="E2124" s="1" t="s">
        <v>763</v>
      </c>
      <c r="F2124" s="1" t="s">
        <v>711</v>
      </c>
      <c r="G2124" s="1" t="s">
        <v>1220</v>
      </c>
      <c r="H2124" s="1" t="s">
        <v>713</v>
      </c>
      <c r="I2124" s="1" t="s">
        <v>714</v>
      </c>
      <c r="J2124" s="1" t="s">
        <v>9733</v>
      </c>
      <c r="K2124" s="1" t="s">
        <v>9734</v>
      </c>
      <c r="L2124" s="1" t="s">
        <v>979</v>
      </c>
      <c r="M2124" s="1" t="s">
        <v>718</v>
      </c>
    </row>
    <row r="2125" customFormat="false" ht="15" hidden="false" customHeight="false" outlineLevel="0" collapsed="false">
      <c r="A2125" s="1" t="s">
        <v>9735</v>
      </c>
      <c r="B2125" s="1" t="s">
        <v>9736</v>
      </c>
      <c r="C2125" s="1" t="s">
        <v>6717</v>
      </c>
      <c r="D2125" s="2" t="n">
        <v>33812</v>
      </c>
      <c r="E2125" s="1" t="s">
        <v>763</v>
      </c>
      <c r="F2125" s="1" t="s">
        <v>711</v>
      </c>
      <c r="G2125" s="1" t="s">
        <v>712</v>
      </c>
      <c r="H2125" s="1" t="s">
        <v>713</v>
      </c>
      <c r="I2125" s="1" t="s">
        <v>714</v>
      </c>
      <c r="J2125" s="1" t="s">
        <v>9737</v>
      </c>
      <c r="K2125" s="1" t="s">
        <v>9738</v>
      </c>
      <c r="L2125" s="1" t="s">
        <v>1418</v>
      </c>
      <c r="M2125" s="1" t="s">
        <v>718</v>
      </c>
    </row>
    <row r="2126" customFormat="false" ht="15" hidden="false" customHeight="false" outlineLevel="0" collapsed="false">
      <c r="A2126" s="1" t="s">
        <v>9739</v>
      </c>
      <c r="B2126" s="1" t="s">
        <v>9740</v>
      </c>
      <c r="C2126" s="1" t="s">
        <v>9741</v>
      </c>
      <c r="D2126" s="2" t="n">
        <v>27096</v>
      </c>
      <c r="E2126" s="1" t="s">
        <v>763</v>
      </c>
      <c r="F2126" s="1" t="s">
        <v>711</v>
      </c>
      <c r="G2126" s="1" t="s">
        <v>722</v>
      </c>
      <c r="H2126" s="1" t="s">
        <v>713</v>
      </c>
      <c r="I2126" s="1" t="s">
        <v>714</v>
      </c>
      <c r="J2126" s="1" t="s">
        <v>716</v>
      </c>
      <c r="K2126" s="1" t="s">
        <v>716</v>
      </c>
      <c r="L2126" s="1" t="s">
        <v>1418</v>
      </c>
      <c r="M2126" s="1" t="s">
        <v>718</v>
      </c>
    </row>
    <row r="2127" customFormat="false" ht="15" hidden="false" customHeight="false" outlineLevel="0" collapsed="false">
      <c r="A2127" s="1" t="s">
        <v>9742</v>
      </c>
      <c r="B2127" s="1" t="s">
        <v>9743</v>
      </c>
      <c r="C2127" s="1" t="s">
        <v>9744</v>
      </c>
      <c r="D2127" s="2" t="n">
        <v>37866</v>
      </c>
      <c r="E2127" s="1" t="s">
        <v>763</v>
      </c>
      <c r="F2127" s="1" t="s">
        <v>711</v>
      </c>
      <c r="G2127" s="1" t="s">
        <v>722</v>
      </c>
      <c r="H2127" s="1" t="s">
        <v>713</v>
      </c>
      <c r="I2127" s="1" t="s">
        <v>714</v>
      </c>
      <c r="J2127" s="1" t="s">
        <v>2621</v>
      </c>
      <c r="K2127" s="1" t="s">
        <v>9745</v>
      </c>
      <c r="L2127" s="1" t="s">
        <v>9746</v>
      </c>
      <c r="M2127" s="1" t="s">
        <v>718</v>
      </c>
    </row>
    <row r="2128" customFormat="false" ht="15" hidden="false" customHeight="false" outlineLevel="0" collapsed="false">
      <c r="A2128" s="1" t="s">
        <v>9747</v>
      </c>
      <c r="B2128" s="1" t="s">
        <v>9748</v>
      </c>
      <c r="C2128" s="1" t="s">
        <v>1421</v>
      </c>
      <c r="D2128" s="2" t="n">
        <v>37699</v>
      </c>
      <c r="E2128" s="1" t="s">
        <v>763</v>
      </c>
      <c r="F2128" s="1" t="s">
        <v>711</v>
      </c>
      <c r="G2128" s="1" t="s">
        <v>775</v>
      </c>
      <c r="H2128" s="1" t="s">
        <v>713</v>
      </c>
      <c r="I2128" s="1" t="s">
        <v>714</v>
      </c>
      <c r="J2128" s="1" t="s">
        <v>928</v>
      </c>
      <c r="K2128" s="1" t="s">
        <v>9749</v>
      </c>
      <c r="L2128" s="1" t="s">
        <v>1423</v>
      </c>
      <c r="M2128" s="1" t="s">
        <v>718</v>
      </c>
    </row>
    <row r="2129" customFormat="false" ht="15" hidden="false" customHeight="false" outlineLevel="0" collapsed="false">
      <c r="A2129" s="1" t="s">
        <v>9750</v>
      </c>
      <c r="B2129" s="1" t="s">
        <v>9751</v>
      </c>
      <c r="C2129" s="1" t="s">
        <v>9752</v>
      </c>
      <c r="D2129" s="2" t="n">
        <v>37279</v>
      </c>
      <c r="E2129" s="1" t="s">
        <v>710</v>
      </c>
      <c r="F2129" s="1" t="s">
        <v>711</v>
      </c>
      <c r="G2129" s="1" t="s">
        <v>712</v>
      </c>
      <c r="H2129" s="1" t="s">
        <v>713</v>
      </c>
      <c r="I2129" s="1" t="s">
        <v>714</v>
      </c>
      <c r="J2129" s="1" t="s">
        <v>4756</v>
      </c>
      <c r="K2129" s="1" t="s">
        <v>9753</v>
      </c>
      <c r="L2129" s="1" t="s">
        <v>9754</v>
      </c>
      <c r="M2129" s="1" t="s">
        <v>718</v>
      </c>
    </row>
    <row r="2130" customFormat="false" ht="15" hidden="false" customHeight="false" outlineLevel="0" collapsed="false">
      <c r="A2130" s="1" t="s">
        <v>9755</v>
      </c>
      <c r="B2130" s="1" t="s">
        <v>9756</v>
      </c>
      <c r="C2130" s="1" t="s">
        <v>8243</v>
      </c>
      <c r="D2130" s="2" t="n">
        <v>37934</v>
      </c>
      <c r="E2130" s="1" t="s">
        <v>763</v>
      </c>
      <c r="F2130" s="1" t="s">
        <v>711</v>
      </c>
      <c r="G2130" s="1" t="s">
        <v>722</v>
      </c>
      <c r="H2130" s="1" t="s">
        <v>713</v>
      </c>
      <c r="I2130" s="1" t="s">
        <v>714</v>
      </c>
      <c r="J2130" s="1" t="s">
        <v>9757</v>
      </c>
      <c r="K2130" s="1" t="s">
        <v>9758</v>
      </c>
      <c r="L2130" s="1" t="s">
        <v>8244</v>
      </c>
      <c r="M2130" s="1" t="s">
        <v>718</v>
      </c>
    </row>
    <row r="2131" customFormat="false" ht="15" hidden="false" customHeight="false" outlineLevel="0" collapsed="false">
      <c r="A2131" s="1" t="s">
        <v>9759</v>
      </c>
      <c r="B2131" s="1" t="s">
        <v>935</v>
      </c>
      <c r="C2131" s="1" t="s">
        <v>9760</v>
      </c>
      <c r="D2131" s="2" t="n">
        <v>37939</v>
      </c>
      <c r="E2131" s="1" t="s">
        <v>710</v>
      </c>
      <c r="F2131" s="1" t="s">
        <v>711</v>
      </c>
      <c r="G2131" s="1" t="s">
        <v>712</v>
      </c>
      <c r="H2131" s="1" t="s">
        <v>713</v>
      </c>
      <c r="I2131" s="1" t="s">
        <v>714</v>
      </c>
      <c r="J2131" s="1" t="s">
        <v>9761</v>
      </c>
      <c r="K2131" s="1" t="s">
        <v>9762</v>
      </c>
      <c r="L2131" s="1" t="s">
        <v>9763</v>
      </c>
      <c r="M2131" s="1" t="s">
        <v>718</v>
      </c>
    </row>
    <row r="2132" customFormat="false" ht="15" hidden="false" customHeight="false" outlineLevel="0" collapsed="false">
      <c r="A2132" s="1" t="s">
        <v>9764</v>
      </c>
      <c r="B2132" s="1" t="s">
        <v>9765</v>
      </c>
      <c r="C2132" s="1" t="s">
        <v>9766</v>
      </c>
      <c r="D2132" s="2" t="n">
        <v>37865</v>
      </c>
      <c r="E2132" s="1" t="s">
        <v>710</v>
      </c>
      <c r="F2132" s="1" t="s">
        <v>711</v>
      </c>
      <c r="G2132" s="1" t="s">
        <v>9767</v>
      </c>
      <c r="H2132" s="1" t="s">
        <v>713</v>
      </c>
      <c r="I2132" s="1" t="s">
        <v>714</v>
      </c>
      <c r="J2132" s="1" t="s">
        <v>2564</v>
      </c>
      <c r="K2132" s="1" t="s">
        <v>9768</v>
      </c>
      <c r="L2132" s="1" t="s">
        <v>9769</v>
      </c>
      <c r="M2132" s="1" t="s">
        <v>718</v>
      </c>
    </row>
    <row r="2133" customFormat="false" ht="15" hidden="false" customHeight="false" outlineLevel="0" collapsed="false">
      <c r="A2133" s="1" t="s">
        <v>9770</v>
      </c>
      <c r="B2133" s="1" t="s">
        <v>981</v>
      </c>
      <c r="C2133" s="1" t="s">
        <v>1086</v>
      </c>
      <c r="D2133" s="2" t="n">
        <v>33546</v>
      </c>
      <c r="E2133" s="1" t="s">
        <v>710</v>
      </c>
      <c r="F2133" s="1" t="s">
        <v>711</v>
      </c>
      <c r="G2133" s="1" t="s">
        <v>712</v>
      </c>
      <c r="H2133" s="1" t="s">
        <v>713</v>
      </c>
      <c r="I2133" s="1" t="s">
        <v>714</v>
      </c>
      <c r="J2133" s="1" t="s">
        <v>7653</v>
      </c>
      <c r="K2133" s="1" t="s">
        <v>7653</v>
      </c>
      <c r="L2133" s="1" t="s">
        <v>1418</v>
      </c>
      <c r="M2133" s="1" t="s">
        <v>718</v>
      </c>
    </row>
    <row r="2134" customFormat="false" ht="15" hidden="false" customHeight="false" outlineLevel="0" collapsed="false">
      <c r="A2134" s="1" t="s">
        <v>9771</v>
      </c>
      <c r="B2134" s="1" t="s">
        <v>3194</v>
      </c>
      <c r="C2134" s="1" t="s">
        <v>9772</v>
      </c>
      <c r="D2134" s="2" t="n">
        <v>35840</v>
      </c>
      <c r="E2134" s="1" t="s">
        <v>710</v>
      </c>
      <c r="F2134" s="1" t="s">
        <v>711</v>
      </c>
      <c r="G2134" s="1" t="s">
        <v>712</v>
      </c>
      <c r="H2134" s="1" t="s">
        <v>713</v>
      </c>
      <c r="I2134" s="1" t="s">
        <v>714</v>
      </c>
      <c r="J2134" s="1" t="s">
        <v>7653</v>
      </c>
      <c r="K2134" s="1" t="s">
        <v>7653</v>
      </c>
      <c r="L2134" s="1" t="s">
        <v>1418</v>
      </c>
      <c r="M2134" s="1" t="s">
        <v>718</v>
      </c>
    </row>
    <row r="2135" customFormat="false" ht="15" hidden="false" customHeight="false" outlineLevel="0" collapsed="false">
      <c r="A2135" s="1" t="s">
        <v>9773</v>
      </c>
      <c r="B2135" s="1" t="s">
        <v>9774</v>
      </c>
      <c r="C2135" s="1" t="s">
        <v>9775</v>
      </c>
      <c r="D2135" s="2" t="n">
        <v>37873</v>
      </c>
      <c r="E2135" s="1" t="s">
        <v>710</v>
      </c>
      <c r="F2135" s="1" t="s">
        <v>711</v>
      </c>
      <c r="G2135" s="1" t="s">
        <v>712</v>
      </c>
      <c r="H2135" s="1" t="s">
        <v>713</v>
      </c>
      <c r="I2135" s="1" t="s">
        <v>714</v>
      </c>
      <c r="J2135" s="1" t="s">
        <v>805</v>
      </c>
      <c r="K2135" s="1" t="s">
        <v>9776</v>
      </c>
      <c r="L2135" s="1" t="s">
        <v>2710</v>
      </c>
      <c r="M2135" s="1" t="s">
        <v>718</v>
      </c>
    </row>
    <row r="2136" customFormat="false" ht="15" hidden="false" customHeight="false" outlineLevel="0" collapsed="false">
      <c r="A2136" s="1" t="s">
        <v>9777</v>
      </c>
      <c r="B2136" s="1" t="s">
        <v>9778</v>
      </c>
      <c r="C2136" s="1" t="s">
        <v>1049</v>
      </c>
      <c r="D2136" s="2" t="n">
        <v>38294</v>
      </c>
      <c r="E2136" s="1" t="s">
        <v>763</v>
      </c>
      <c r="F2136" s="1" t="s">
        <v>711</v>
      </c>
      <c r="G2136" s="1" t="s">
        <v>712</v>
      </c>
      <c r="H2136" s="1" t="s">
        <v>713</v>
      </c>
      <c r="I2136" s="1" t="s">
        <v>714</v>
      </c>
      <c r="J2136" s="1" t="s">
        <v>1723</v>
      </c>
      <c r="K2136" s="1" t="s">
        <v>9779</v>
      </c>
      <c r="L2136" s="1" t="s">
        <v>9780</v>
      </c>
      <c r="M2136" s="1" t="s">
        <v>718</v>
      </c>
    </row>
    <row r="2137" customFormat="false" ht="15" hidden="false" customHeight="false" outlineLevel="0" collapsed="false">
      <c r="A2137" s="1" t="s">
        <v>9781</v>
      </c>
      <c r="B2137" s="1" t="s">
        <v>9782</v>
      </c>
      <c r="C2137" s="1" t="s">
        <v>9783</v>
      </c>
      <c r="D2137" s="2" t="n">
        <v>36792</v>
      </c>
      <c r="E2137" s="1" t="s">
        <v>710</v>
      </c>
      <c r="F2137" s="1" t="s">
        <v>711</v>
      </c>
      <c r="G2137" s="1" t="s">
        <v>1220</v>
      </c>
      <c r="H2137" s="1" t="s">
        <v>713</v>
      </c>
      <c r="I2137" s="1" t="s">
        <v>714</v>
      </c>
      <c r="J2137" s="1" t="s">
        <v>1723</v>
      </c>
      <c r="K2137" s="1" t="s">
        <v>9784</v>
      </c>
      <c r="L2137" s="1" t="s">
        <v>2284</v>
      </c>
      <c r="M2137" s="1" t="s">
        <v>718</v>
      </c>
    </row>
    <row r="2138" customFormat="false" ht="15" hidden="false" customHeight="false" outlineLevel="0" collapsed="false">
      <c r="A2138" s="1" t="s">
        <v>9785</v>
      </c>
      <c r="B2138" s="1" t="s">
        <v>1902</v>
      </c>
      <c r="C2138" s="1" t="s">
        <v>2081</v>
      </c>
      <c r="D2138" s="2" t="n">
        <v>37995</v>
      </c>
      <c r="E2138" s="1" t="s">
        <v>763</v>
      </c>
      <c r="F2138" s="1" t="s">
        <v>711</v>
      </c>
      <c r="G2138" s="1" t="s">
        <v>712</v>
      </c>
      <c r="H2138" s="1" t="s">
        <v>713</v>
      </c>
      <c r="I2138" s="1" t="s">
        <v>714</v>
      </c>
      <c r="J2138" s="1" t="s">
        <v>5767</v>
      </c>
      <c r="K2138" s="1" t="s">
        <v>9786</v>
      </c>
      <c r="L2138" s="1" t="s">
        <v>2086</v>
      </c>
      <c r="M2138" s="1" t="s">
        <v>718</v>
      </c>
    </row>
    <row r="2139" customFormat="false" ht="15" hidden="false" customHeight="false" outlineLevel="0" collapsed="false">
      <c r="A2139" s="1" t="s">
        <v>9787</v>
      </c>
      <c r="B2139" s="1" t="s">
        <v>9788</v>
      </c>
      <c r="C2139" s="1" t="s">
        <v>4162</v>
      </c>
      <c r="D2139" s="2" t="n">
        <v>37340</v>
      </c>
      <c r="E2139" s="1" t="s">
        <v>763</v>
      </c>
      <c r="F2139" s="1" t="s">
        <v>711</v>
      </c>
      <c r="G2139" s="1" t="s">
        <v>722</v>
      </c>
      <c r="H2139" s="1" t="s">
        <v>713</v>
      </c>
      <c r="I2139" s="1" t="s">
        <v>714</v>
      </c>
      <c r="J2139" s="1" t="s">
        <v>9789</v>
      </c>
      <c r="K2139" s="1" t="s">
        <v>9790</v>
      </c>
      <c r="L2139" s="1" t="s">
        <v>6003</v>
      </c>
      <c r="M2139" s="1" t="s">
        <v>718</v>
      </c>
    </row>
    <row r="2140" customFormat="false" ht="15" hidden="false" customHeight="false" outlineLevel="0" collapsed="false">
      <c r="A2140" s="1" t="s">
        <v>9791</v>
      </c>
      <c r="B2140" s="1" t="s">
        <v>3117</v>
      </c>
      <c r="C2140" s="1" t="s">
        <v>9792</v>
      </c>
      <c r="D2140" s="2" t="n">
        <v>37640</v>
      </c>
      <c r="E2140" s="1" t="s">
        <v>763</v>
      </c>
      <c r="F2140" s="1" t="s">
        <v>711</v>
      </c>
      <c r="G2140" s="1" t="s">
        <v>712</v>
      </c>
      <c r="H2140" s="1" t="s">
        <v>713</v>
      </c>
      <c r="I2140" s="1" t="s">
        <v>714</v>
      </c>
      <c r="J2140" s="1" t="s">
        <v>1114</v>
      </c>
      <c r="K2140" s="1" t="s">
        <v>9793</v>
      </c>
      <c r="L2140" s="1" t="s">
        <v>1314</v>
      </c>
      <c r="M2140" s="1" t="s">
        <v>718</v>
      </c>
    </row>
    <row r="2141" customFormat="false" ht="15" hidden="false" customHeight="false" outlineLevel="0" collapsed="false">
      <c r="A2141" s="1" t="s">
        <v>9794</v>
      </c>
      <c r="B2141" s="1" t="s">
        <v>2548</v>
      </c>
      <c r="C2141" s="1" t="s">
        <v>9792</v>
      </c>
      <c r="D2141" s="2" t="n">
        <v>37187</v>
      </c>
      <c r="E2141" s="1" t="s">
        <v>763</v>
      </c>
      <c r="F2141" s="1" t="s">
        <v>711</v>
      </c>
      <c r="G2141" s="1" t="s">
        <v>712</v>
      </c>
      <c r="H2141" s="1" t="s">
        <v>713</v>
      </c>
      <c r="I2141" s="1" t="s">
        <v>714</v>
      </c>
      <c r="J2141" s="1" t="s">
        <v>1114</v>
      </c>
      <c r="K2141" s="1" t="s">
        <v>9793</v>
      </c>
      <c r="L2141" s="1" t="s">
        <v>1314</v>
      </c>
      <c r="M2141" s="1" t="s">
        <v>718</v>
      </c>
    </row>
    <row r="2142" customFormat="false" ht="15" hidden="false" customHeight="false" outlineLevel="0" collapsed="false">
      <c r="A2142" s="1" t="s">
        <v>9795</v>
      </c>
      <c r="B2142" s="1" t="s">
        <v>9796</v>
      </c>
      <c r="C2142" s="1" t="s">
        <v>9797</v>
      </c>
      <c r="D2142" s="2" t="n">
        <v>37962</v>
      </c>
      <c r="E2142" s="1" t="s">
        <v>763</v>
      </c>
      <c r="F2142" s="1" t="s">
        <v>711</v>
      </c>
      <c r="G2142" s="1" t="s">
        <v>722</v>
      </c>
      <c r="H2142" s="1" t="s">
        <v>713</v>
      </c>
      <c r="I2142" s="1" t="s">
        <v>714</v>
      </c>
      <c r="J2142" s="1" t="s">
        <v>9798</v>
      </c>
      <c r="K2142" s="1" t="s">
        <v>9799</v>
      </c>
      <c r="L2142" s="1" t="s">
        <v>9800</v>
      </c>
      <c r="M2142" s="1" t="s">
        <v>718</v>
      </c>
    </row>
    <row r="2143" customFormat="false" ht="15" hidden="false" customHeight="false" outlineLevel="0" collapsed="false">
      <c r="A2143" s="1" t="s">
        <v>9801</v>
      </c>
      <c r="B2143" s="1" t="s">
        <v>9802</v>
      </c>
      <c r="C2143" s="1" t="s">
        <v>5872</v>
      </c>
      <c r="D2143" s="2" t="n">
        <v>37887</v>
      </c>
      <c r="E2143" s="1" t="s">
        <v>763</v>
      </c>
      <c r="F2143" s="1" t="s">
        <v>711</v>
      </c>
      <c r="G2143" s="1" t="s">
        <v>712</v>
      </c>
      <c r="H2143" s="1" t="s">
        <v>713</v>
      </c>
      <c r="I2143" s="1" t="s">
        <v>714</v>
      </c>
      <c r="J2143" s="1" t="s">
        <v>1431</v>
      </c>
      <c r="K2143" s="1" t="s">
        <v>9803</v>
      </c>
      <c r="L2143" s="1" t="s">
        <v>9804</v>
      </c>
      <c r="M2143" s="1" t="s">
        <v>718</v>
      </c>
    </row>
    <row r="2144" customFormat="false" ht="15" hidden="false" customHeight="false" outlineLevel="0" collapsed="false">
      <c r="A2144" s="1" t="s">
        <v>9805</v>
      </c>
      <c r="B2144" s="1" t="s">
        <v>9806</v>
      </c>
      <c r="C2144" s="1" t="s">
        <v>9807</v>
      </c>
      <c r="D2144" s="2" t="n">
        <v>37363</v>
      </c>
      <c r="E2144" s="1" t="s">
        <v>763</v>
      </c>
      <c r="F2144" s="1" t="s">
        <v>711</v>
      </c>
      <c r="G2144" s="1" t="s">
        <v>722</v>
      </c>
      <c r="H2144" s="1" t="s">
        <v>713</v>
      </c>
      <c r="I2144" s="1" t="s">
        <v>714</v>
      </c>
      <c r="J2144" s="1" t="s">
        <v>5805</v>
      </c>
      <c r="K2144" s="1" t="s">
        <v>9808</v>
      </c>
      <c r="L2144" s="1" t="s">
        <v>9809</v>
      </c>
      <c r="M2144" s="1" t="s">
        <v>718</v>
      </c>
    </row>
    <row r="2145" customFormat="false" ht="15" hidden="false" customHeight="false" outlineLevel="0" collapsed="false">
      <c r="A2145" s="1" t="s">
        <v>9810</v>
      </c>
      <c r="B2145" s="1" t="s">
        <v>9811</v>
      </c>
      <c r="C2145" s="1" t="s">
        <v>789</v>
      </c>
      <c r="D2145" s="2" t="n">
        <v>37206</v>
      </c>
      <c r="E2145" s="1" t="s">
        <v>710</v>
      </c>
      <c r="F2145" s="1" t="s">
        <v>711</v>
      </c>
      <c r="G2145" s="1" t="s">
        <v>722</v>
      </c>
      <c r="H2145" s="1" t="s">
        <v>713</v>
      </c>
      <c r="I2145" s="1" t="s">
        <v>714</v>
      </c>
      <c r="J2145" s="1" t="s">
        <v>7543</v>
      </c>
      <c r="K2145" s="1" t="s">
        <v>9812</v>
      </c>
      <c r="L2145" s="1" t="s">
        <v>792</v>
      </c>
      <c r="M2145" s="1" t="s">
        <v>718</v>
      </c>
    </row>
    <row r="2146" customFormat="false" ht="15" hidden="false" customHeight="false" outlineLevel="0" collapsed="false">
      <c r="A2146" s="1" t="s">
        <v>9813</v>
      </c>
      <c r="B2146" s="1" t="s">
        <v>4336</v>
      </c>
      <c r="C2146" s="1" t="s">
        <v>2006</v>
      </c>
      <c r="D2146" s="2" t="n">
        <v>37857</v>
      </c>
      <c r="E2146" s="1" t="s">
        <v>710</v>
      </c>
      <c r="F2146" s="1" t="s">
        <v>711</v>
      </c>
      <c r="G2146" s="1" t="s">
        <v>712</v>
      </c>
      <c r="H2146" s="1" t="s">
        <v>713</v>
      </c>
      <c r="I2146" s="1" t="s">
        <v>714</v>
      </c>
      <c r="J2146" s="1" t="s">
        <v>978</v>
      </c>
      <c r="K2146" s="1" t="s">
        <v>9814</v>
      </c>
      <c r="L2146" s="1" t="s">
        <v>9815</v>
      </c>
      <c r="M2146" s="1" t="s">
        <v>718</v>
      </c>
    </row>
    <row r="2147" customFormat="false" ht="15" hidden="false" customHeight="false" outlineLevel="0" collapsed="false">
      <c r="A2147" s="1" t="s">
        <v>9816</v>
      </c>
      <c r="B2147" s="1" t="s">
        <v>9817</v>
      </c>
      <c r="C2147" s="1" t="s">
        <v>8333</v>
      </c>
      <c r="D2147" s="2" t="n">
        <v>37917</v>
      </c>
      <c r="E2147" s="1" t="s">
        <v>763</v>
      </c>
      <c r="F2147" s="1" t="s">
        <v>711</v>
      </c>
      <c r="G2147" s="1" t="s">
        <v>722</v>
      </c>
      <c r="H2147" s="1" t="s">
        <v>713</v>
      </c>
      <c r="I2147" s="1" t="s">
        <v>714</v>
      </c>
      <c r="J2147" s="1" t="s">
        <v>9818</v>
      </c>
      <c r="K2147" s="1" t="s">
        <v>9819</v>
      </c>
      <c r="L2147" s="1" t="s">
        <v>8336</v>
      </c>
      <c r="M2147" s="1" t="s">
        <v>718</v>
      </c>
    </row>
    <row r="2148" customFormat="false" ht="15" hidden="false" customHeight="false" outlineLevel="0" collapsed="false">
      <c r="A2148" s="1" t="s">
        <v>9820</v>
      </c>
      <c r="B2148" s="1" t="s">
        <v>9821</v>
      </c>
      <c r="C2148" s="1" t="s">
        <v>9822</v>
      </c>
      <c r="D2148" s="2" t="n">
        <v>37919</v>
      </c>
      <c r="E2148" s="1" t="s">
        <v>763</v>
      </c>
      <c r="F2148" s="1" t="s">
        <v>711</v>
      </c>
      <c r="G2148" s="1" t="s">
        <v>722</v>
      </c>
      <c r="H2148" s="1" t="s">
        <v>713</v>
      </c>
      <c r="I2148" s="1" t="s">
        <v>714</v>
      </c>
      <c r="J2148" s="1" t="s">
        <v>9818</v>
      </c>
      <c r="K2148" s="1" t="s">
        <v>9819</v>
      </c>
      <c r="L2148" s="1" t="s">
        <v>8336</v>
      </c>
      <c r="M2148" s="1" t="s">
        <v>718</v>
      </c>
    </row>
    <row r="2149" customFormat="false" ht="15" hidden="false" customHeight="false" outlineLevel="0" collapsed="false">
      <c r="A2149" s="1" t="s">
        <v>9823</v>
      </c>
      <c r="B2149" s="1" t="s">
        <v>9824</v>
      </c>
      <c r="C2149" s="1" t="s">
        <v>4197</v>
      </c>
      <c r="D2149" s="2" t="n">
        <v>37345</v>
      </c>
      <c r="E2149" s="1" t="s">
        <v>763</v>
      </c>
      <c r="F2149" s="1" t="s">
        <v>711</v>
      </c>
      <c r="G2149" s="1" t="s">
        <v>722</v>
      </c>
      <c r="H2149" s="1" t="s">
        <v>713</v>
      </c>
      <c r="I2149" s="1" t="s">
        <v>714</v>
      </c>
      <c r="J2149" s="1" t="s">
        <v>859</v>
      </c>
      <c r="K2149" s="1" t="s">
        <v>9825</v>
      </c>
      <c r="L2149" s="1" t="s">
        <v>8663</v>
      </c>
      <c r="M2149" s="1" t="s">
        <v>718</v>
      </c>
    </row>
    <row r="2150" customFormat="false" ht="15" hidden="false" customHeight="false" outlineLevel="0" collapsed="false">
      <c r="A2150" s="1" t="s">
        <v>9826</v>
      </c>
      <c r="B2150" s="1" t="s">
        <v>9827</v>
      </c>
      <c r="C2150" s="1" t="s">
        <v>5792</v>
      </c>
      <c r="D2150" s="2" t="n">
        <v>37272</v>
      </c>
      <c r="E2150" s="1" t="s">
        <v>763</v>
      </c>
      <c r="F2150" s="1" t="s">
        <v>711</v>
      </c>
      <c r="G2150" s="1" t="s">
        <v>722</v>
      </c>
      <c r="H2150" s="1" t="s">
        <v>713</v>
      </c>
      <c r="I2150" s="1" t="s">
        <v>714</v>
      </c>
      <c r="J2150" s="1" t="s">
        <v>9828</v>
      </c>
      <c r="K2150" s="1" t="s">
        <v>9829</v>
      </c>
      <c r="L2150" s="1" t="s">
        <v>5794</v>
      </c>
      <c r="M2150" s="1" t="s">
        <v>718</v>
      </c>
    </row>
    <row r="2151" customFormat="false" ht="15" hidden="false" customHeight="false" outlineLevel="0" collapsed="false">
      <c r="A2151" s="1" t="s">
        <v>9830</v>
      </c>
      <c r="B2151" s="1" t="s">
        <v>9831</v>
      </c>
      <c r="C2151" s="1" t="s">
        <v>9832</v>
      </c>
      <c r="D2151" s="2" t="n">
        <v>37733</v>
      </c>
      <c r="E2151" s="1" t="s">
        <v>763</v>
      </c>
      <c r="F2151" s="1" t="s">
        <v>711</v>
      </c>
      <c r="G2151" s="1" t="s">
        <v>722</v>
      </c>
      <c r="H2151" s="1" t="s">
        <v>713</v>
      </c>
      <c r="I2151" s="1" t="s">
        <v>714</v>
      </c>
      <c r="J2151" s="1" t="s">
        <v>2000</v>
      </c>
      <c r="K2151" s="1" t="s">
        <v>9833</v>
      </c>
      <c r="L2151" s="1" t="s">
        <v>1483</v>
      </c>
      <c r="M2151" s="1" t="s">
        <v>718</v>
      </c>
    </row>
    <row r="2152" customFormat="false" ht="15" hidden="false" customHeight="false" outlineLevel="0" collapsed="false">
      <c r="A2152" s="1" t="s">
        <v>9834</v>
      </c>
      <c r="B2152" s="1" t="s">
        <v>9835</v>
      </c>
      <c r="C2152" s="1" t="s">
        <v>1234</v>
      </c>
      <c r="D2152" s="2" t="n">
        <v>37445</v>
      </c>
      <c r="E2152" s="1" t="s">
        <v>710</v>
      </c>
      <c r="F2152" s="1" t="s">
        <v>711</v>
      </c>
      <c r="G2152" s="1" t="s">
        <v>722</v>
      </c>
      <c r="H2152" s="1" t="s">
        <v>713</v>
      </c>
      <c r="I2152" s="1" t="s">
        <v>714</v>
      </c>
      <c r="J2152" s="1" t="s">
        <v>928</v>
      </c>
      <c r="K2152" s="1" t="s">
        <v>7653</v>
      </c>
      <c r="L2152" s="1" t="s">
        <v>9836</v>
      </c>
      <c r="M2152" s="1" t="s">
        <v>718</v>
      </c>
    </row>
    <row r="2153" customFormat="false" ht="15" hidden="false" customHeight="false" outlineLevel="0" collapsed="false">
      <c r="A2153" s="1" t="s">
        <v>9837</v>
      </c>
      <c r="B2153" s="1" t="s">
        <v>9838</v>
      </c>
      <c r="C2153" s="1" t="s">
        <v>9839</v>
      </c>
      <c r="D2153" s="2" t="n">
        <v>37702</v>
      </c>
      <c r="E2153" s="1" t="s">
        <v>710</v>
      </c>
      <c r="F2153" s="1" t="s">
        <v>711</v>
      </c>
      <c r="G2153" s="1" t="s">
        <v>712</v>
      </c>
      <c r="H2153" s="1" t="s">
        <v>713</v>
      </c>
      <c r="I2153" s="1" t="s">
        <v>714</v>
      </c>
      <c r="J2153" s="1" t="s">
        <v>838</v>
      </c>
      <c r="K2153" s="1" t="s">
        <v>9840</v>
      </c>
      <c r="L2153" s="1" t="s">
        <v>9841</v>
      </c>
      <c r="M2153" s="1" t="s">
        <v>718</v>
      </c>
    </row>
    <row r="2154" customFormat="false" ht="15" hidden="false" customHeight="false" outlineLevel="0" collapsed="false">
      <c r="A2154" s="1" t="s">
        <v>9842</v>
      </c>
      <c r="B2154" s="1" t="s">
        <v>957</v>
      </c>
      <c r="C2154" s="1" t="s">
        <v>9843</v>
      </c>
      <c r="D2154" s="2" t="n">
        <v>37958</v>
      </c>
      <c r="E2154" s="1" t="s">
        <v>710</v>
      </c>
      <c r="F2154" s="1" t="s">
        <v>711</v>
      </c>
      <c r="G2154" s="1" t="s">
        <v>712</v>
      </c>
      <c r="H2154" s="1" t="s">
        <v>713</v>
      </c>
      <c r="I2154" s="1" t="s">
        <v>714</v>
      </c>
      <c r="J2154" s="1" t="s">
        <v>4239</v>
      </c>
      <c r="K2154" s="1" t="s">
        <v>9844</v>
      </c>
      <c r="L2154" s="1" t="s">
        <v>1308</v>
      </c>
      <c r="M2154" s="1" t="s">
        <v>718</v>
      </c>
    </row>
    <row r="2155" customFormat="false" ht="15" hidden="false" customHeight="false" outlineLevel="0" collapsed="false">
      <c r="A2155" s="1" t="s">
        <v>9845</v>
      </c>
      <c r="B2155" s="1" t="s">
        <v>9846</v>
      </c>
      <c r="C2155" s="1" t="s">
        <v>9847</v>
      </c>
      <c r="D2155" s="2" t="n">
        <v>37863</v>
      </c>
      <c r="E2155" s="1" t="s">
        <v>763</v>
      </c>
      <c r="F2155" s="1" t="s">
        <v>711</v>
      </c>
      <c r="G2155" s="1" t="s">
        <v>712</v>
      </c>
      <c r="H2155" s="1" t="s">
        <v>713</v>
      </c>
      <c r="I2155" s="1" t="s">
        <v>714</v>
      </c>
      <c r="J2155" s="1" t="s">
        <v>2621</v>
      </c>
      <c r="K2155" s="1" t="s">
        <v>9848</v>
      </c>
      <c r="L2155" s="1" t="s">
        <v>9849</v>
      </c>
      <c r="M2155" s="1" t="s">
        <v>718</v>
      </c>
    </row>
    <row r="2156" customFormat="false" ht="15" hidden="false" customHeight="false" outlineLevel="0" collapsed="false">
      <c r="A2156" s="1" t="s">
        <v>9850</v>
      </c>
      <c r="B2156" s="1" t="s">
        <v>9851</v>
      </c>
      <c r="C2156" s="1" t="s">
        <v>2632</v>
      </c>
      <c r="D2156" s="2" t="n">
        <v>37848</v>
      </c>
      <c r="E2156" s="1" t="s">
        <v>763</v>
      </c>
      <c r="F2156" s="1" t="s">
        <v>711</v>
      </c>
      <c r="G2156" s="1" t="s">
        <v>722</v>
      </c>
      <c r="H2156" s="1" t="s">
        <v>713</v>
      </c>
      <c r="I2156" s="1" t="s">
        <v>714</v>
      </c>
      <c r="J2156" s="1" t="s">
        <v>6290</v>
      </c>
      <c r="K2156" s="1" t="s">
        <v>9852</v>
      </c>
      <c r="L2156" s="1" t="s">
        <v>9853</v>
      </c>
      <c r="M2156" s="1" t="s">
        <v>718</v>
      </c>
    </row>
    <row r="2157" customFormat="false" ht="15" hidden="false" customHeight="false" outlineLevel="0" collapsed="false">
      <c r="A2157" s="1" t="s">
        <v>9854</v>
      </c>
      <c r="B2157" s="1" t="s">
        <v>6682</v>
      </c>
      <c r="C2157" s="1" t="s">
        <v>1117</v>
      </c>
      <c r="D2157" s="2" t="n">
        <v>36810</v>
      </c>
      <c r="E2157" s="1" t="s">
        <v>763</v>
      </c>
      <c r="F2157" s="1" t="s">
        <v>711</v>
      </c>
      <c r="G2157" s="1" t="s">
        <v>722</v>
      </c>
      <c r="H2157" s="1" t="s">
        <v>713</v>
      </c>
      <c r="I2157" s="1" t="s">
        <v>714</v>
      </c>
      <c r="J2157" s="1" t="s">
        <v>1149</v>
      </c>
      <c r="K2157" s="1" t="s">
        <v>7653</v>
      </c>
      <c r="L2157" s="1" t="s">
        <v>9855</v>
      </c>
      <c r="M2157" s="1" t="s">
        <v>718</v>
      </c>
    </row>
    <row r="2158" customFormat="false" ht="15" hidden="false" customHeight="false" outlineLevel="0" collapsed="false">
      <c r="A2158" s="1" t="s">
        <v>9856</v>
      </c>
      <c r="B2158" s="1" t="s">
        <v>7662</v>
      </c>
      <c r="C2158" s="1" t="s">
        <v>6314</v>
      </c>
      <c r="D2158" s="2" t="n">
        <v>37781</v>
      </c>
      <c r="E2158" s="1" t="s">
        <v>763</v>
      </c>
      <c r="F2158" s="1" t="s">
        <v>711</v>
      </c>
      <c r="G2158" s="1" t="s">
        <v>722</v>
      </c>
      <c r="H2158" s="1" t="s">
        <v>713</v>
      </c>
      <c r="I2158" s="1" t="s">
        <v>714</v>
      </c>
      <c r="J2158" s="1" t="s">
        <v>1530</v>
      </c>
      <c r="K2158" s="1" t="s">
        <v>9857</v>
      </c>
      <c r="L2158" s="1" t="s">
        <v>6315</v>
      </c>
      <c r="M2158" s="1" t="s">
        <v>718</v>
      </c>
    </row>
    <row r="2159" customFormat="false" ht="15" hidden="false" customHeight="false" outlineLevel="0" collapsed="false">
      <c r="A2159" s="1" t="s">
        <v>9858</v>
      </c>
      <c r="B2159" s="1" t="s">
        <v>9859</v>
      </c>
      <c r="C2159" s="1" t="s">
        <v>9860</v>
      </c>
      <c r="D2159" s="2" t="n">
        <v>37712</v>
      </c>
      <c r="E2159" s="1" t="s">
        <v>763</v>
      </c>
      <c r="F2159" s="1" t="s">
        <v>711</v>
      </c>
      <c r="G2159" s="1" t="s">
        <v>3975</v>
      </c>
      <c r="H2159" s="1" t="s">
        <v>713</v>
      </c>
      <c r="I2159" s="1" t="s">
        <v>714</v>
      </c>
      <c r="J2159" s="1" t="s">
        <v>3517</v>
      </c>
      <c r="K2159" s="1" t="s">
        <v>9861</v>
      </c>
      <c r="L2159" s="1" t="s">
        <v>9862</v>
      </c>
      <c r="M2159" s="1" t="s">
        <v>718</v>
      </c>
    </row>
    <row r="2160" customFormat="false" ht="15" hidden="false" customHeight="false" outlineLevel="0" collapsed="false">
      <c r="A2160" s="1" t="s">
        <v>9863</v>
      </c>
      <c r="B2160" s="1" t="s">
        <v>9864</v>
      </c>
      <c r="C2160" s="1" t="s">
        <v>963</v>
      </c>
      <c r="D2160" s="2" t="n">
        <v>36827</v>
      </c>
      <c r="E2160" s="1" t="s">
        <v>710</v>
      </c>
      <c r="F2160" s="1" t="s">
        <v>711</v>
      </c>
      <c r="G2160" s="1" t="s">
        <v>9865</v>
      </c>
      <c r="H2160" s="1" t="s">
        <v>713</v>
      </c>
      <c r="I2160" s="1" t="s">
        <v>714</v>
      </c>
      <c r="J2160" s="1" t="s">
        <v>1244</v>
      </c>
      <c r="K2160" s="1" t="s">
        <v>7653</v>
      </c>
      <c r="L2160" s="1" t="s">
        <v>9866</v>
      </c>
      <c r="M2160" s="1" t="s">
        <v>718</v>
      </c>
    </row>
    <row r="2161" customFormat="false" ht="15" hidden="false" customHeight="false" outlineLevel="0" collapsed="false">
      <c r="A2161" s="1" t="s">
        <v>9867</v>
      </c>
      <c r="B2161" s="1" t="s">
        <v>9868</v>
      </c>
      <c r="C2161" s="1" t="s">
        <v>6809</v>
      </c>
      <c r="D2161" s="2" t="n">
        <v>37834</v>
      </c>
      <c r="E2161" s="1" t="s">
        <v>710</v>
      </c>
      <c r="F2161" s="1" t="s">
        <v>711</v>
      </c>
      <c r="G2161" s="1" t="s">
        <v>722</v>
      </c>
      <c r="H2161" s="1" t="s">
        <v>713</v>
      </c>
      <c r="I2161" s="1" t="s">
        <v>714</v>
      </c>
      <c r="J2161" s="1" t="s">
        <v>838</v>
      </c>
      <c r="K2161" s="1" t="s">
        <v>7653</v>
      </c>
      <c r="L2161" s="1" t="s">
        <v>5780</v>
      </c>
      <c r="M2161" s="1" t="s">
        <v>718</v>
      </c>
    </row>
    <row r="2162" customFormat="false" ht="15" hidden="false" customHeight="false" outlineLevel="0" collapsed="false">
      <c r="A2162" s="1" t="s">
        <v>9869</v>
      </c>
      <c r="B2162" s="1" t="s">
        <v>1490</v>
      </c>
      <c r="C2162" s="1" t="s">
        <v>3688</v>
      </c>
      <c r="D2162" s="2" t="n">
        <v>37963</v>
      </c>
      <c r="E2162" s="1" t="s">
        <v>710</v>
      </c>
      <c r="F2162" s="1" t="s">
        <v>711</v>
      </c>
      <c r="G2162" s="1" t="s">
        <v>712</v>
      </c>
      <c r="H2162" s="1" t="s">
        <v>713</v>
      </c>
      <c r="I2162" s="1" t="s">
        <v>714</v>
      </c>
      <c r="J2162" s="1" t="s">
        <v>9870</v>
      </c>
      <c r="K2162" s="1" t="s">
        <v>9871</v>
      </c>
      <c r="L2162" s="1" t="s">
        <v>3690</v>
      </c>
      <c r="M2162" s="1" t="s">
        <v>718</v>
      </c>
    </row>
    <row r="2163" customFormat="false" ht="15" hidden="false" customHeight="false" outlineLevel="0" collapsed="false">
      <c r="A2163" s="1" t="s">
        <v>9872</v>
      </c>
      <c r="B2163" s="1" t="s">
        <v>9873</v>
      </c>
      <c r="C2163" s="1" t="s">
        <v>9874</v>
      </c>
      <c r="D2163" s="2" t="n">
        <v>37981</v>
      </c>
      <c r="E2163" s="1" t="s">
        <v>710</v>
      </c>
      <c r="F2163" s="1" t="s">
        <v>711</v>
      </c>
      <c r="G2163" s="1" t="s">
        <v>712</v>
      </c>
      <c r="H2163" s="1" t="s">
        <v>713</v>
      </c>
      <c r="I2163" s="1" t="s">
        <v>714</v>
      </c>
      <c r="J2163" s="1" t="s">
        <v>9875</v>
      </c>
      <c r="K2163" s="1" t="s">
        <v>9876</v>
      </c>
      <c r="L2163" s="1" t="s">
        <v>9877</v>
      </c>
      <c r="M2163" s="1" t="s">
        <v>718</v>
      </c>
    </row>
    <row r="2164" customFormat="false" ht="15" hidden="false" customHeight="false" outlineLevel="0" collapsed="false">
      <c r="A2164" s="1" t="s">
        <v>9878</v>
      </c>
      <c r="B2164" s="1" t="s">
        <v>9879</v>
      </c>
      <c r="C2164" s="1" t="s">
        <v>1403</v>
      </c>
      <c r="D2164" s="2" t="n">
        <v>37709</v>
      </c>
      <c r="E2164" s="1" t="s">
        <v>710</v>
      </c>
      <c r="F2164" s="1" t="s">
        <v>711</v>
      </c>
      <c r="G2164" s="1" t="s">
        <v>712</v>
      </c>
      <c r="H2164" s="1" t="s">
        <v>713</v>
      </c>
      <c r="I2164" s="1" t="s">
        <v>714</v>
      </c>
      <c r="J2164" s="1" t="s">
        <v>821</v>
      </c>
      <c r="K2164" s="1" t="s">
        <v>9880</v>
      </c>
      <c r="L2164" s="1" t="s">
        <v>1405</v>
      </c>
      <c r="M2164" s="1" t="s">
        <v>718</v>
      </c>
    </row>
    <row r="2165" customFormat="false" ht="15" hidden="false" customHeight="false" outlineLevel="0" collapsed="false">
      <c r="A2165" s="1" t="s">
        <v>9881</v>
      </c>
      <c r="B2165" s="1" t="s">
        <v>900</v>
      </c>
      <c r="C2165" s="1" t="s">
        <v>9882</v>
      </c>
      <c r="D2165" s="2" t="n">
        <v>37709</v>
      </c>
      <c r="E2165" s="1" t="s">
        <v>710</v>
      </c>
      <c r="F2165" s="1" t="s">
        <v>711</v>
      </c>
      <c r="G2165" s="1" t="s">
        <v>1220</v>
      </c>
      <c r="H2165" s="1" t="s">
        <v>713</v>
      </c>
      <c r="I2165" s="1" t="s">
        <v>714</v>
      </c>
      <c r="J2165" s="1" t="s">
        <v>2564</v>
      </c>
      <c r="K2165" s="1" t="s">
        <v>9883</v>
      </c>
      <c r="L2165" s="1" t="s">
        <v>9884</v>
      </c>
      <c r="M2165" s="1" t="s">
        <v>718</v>
      </c>
    </row>
    <row r="2166" customFormat="false" ht="15" hidden="false" customHeight="false" outlineLevel="0" collapsed="false">
      <c r="A2166" s="1" t="s">
        <v>9885</v>
      </c>
      <c r="B2166" s="1" t="s">
        <v>9886</v>
      </c>
      <c r="C2166" s="1" t="s">
        <v>9551</v>
      </c>
      <c r="D2166" s="2" t="n">
        <v>37907</v>
      </c>
      <c r="E2166" s="1" t="s">
        <v>763</v>
      </c>
      <c r="F2166" s="1" t="s">
        <v>711</v>
      </c>
      <c r="G2166" s="1" t="s">
        <v>712</v>
      </c>
      <c r="H2166" s="1" t="s">
        <v>713</v>
      </c>
      <c r="I2166" s="1" t="s">
        <v>714</v>
      </c>
      <c r="J2166" s="1" t="s">
        <v>1244</v>
      </c>
      <c r="K2166" s="1" t="s">
        <v>9887</v>
      </c>
      <c r="L2166" s="1" t="s">
        <v>5998</v>
      </c>
      <c r="M2166" s="1" t="s">
        <v>718</v>
      </c>
    </row>
    <row r="2167" customFormat="false" ht="15" hidden="false" customHeight="false" outlineLevel="0" collapsed="false">
      <c r="A2167" s="1" t="s">
        <v>9888</v>
      </c>
      <c r="B2167" s="1" t="s">
        <v>6896</v>
      </c>
      <c r="C2167" s="1" t="s">
        <v>7062</v>
      </c>
      <c r="D2167" s="2" t="n">
        <v>37643</v>
      </c>
      <c r="E2167" s="1" t="s">
        <v>763</v>
      </c>
      <c r="F2167" s="1" t="s">
        <v>711</v>
      </c>
      <c r="G2167" s="1" t="s">
        <v>722</v>
      </c>
      <c r="H2167" s="1" t="s">
        <v>713</v>
      </c>
      <c r="I2167" s="1" t="s">
        <v>714</v>
      </c>
      <c r="J2167" s="1" t="s">
        <v>1149</v>
      </c>
      <c r="K2167" s="1" t="s">
        <v>7064</v>
      </c>
      <c r="L2167" s="1" t="s">
        <v>5224</v>
      </c>
      <c r="M2167" s="1" t="s">
        <v>718</v>
      </c>
    </row>
    <row r="2168" customFormat="false" ht="15" hidden="false" customHeight="false" outlineLevel="0" collapsed="false">
      <c r="A2168" s="1" t="s">
        <v>9889</v>
      </c>
      <c r="B2168" s="1" t="s">
        <v>900</v>
      </c>
      <c r="C2168" s="1" t="s">
        <v>9890</v>
      </c>
      <c r="D2168" s="2" t="n">
        <v>36984</v>
      </c>
      <c r="E2168" s="1" t="s">
        <v>710</v>
      </c>
      <c r="F2168" s="1" t="s">
        <v>711</v>
      </c>
      <c r="G2168" s="1" t="s">
        <v>722</v>
      </c>
      <c r="H2168" s="1" t="s">
        <v>713</v>
      </c>
      <c r="I2168" s="1" t="s">
        <v>714</v>
      </c>
      <c r="J2168" s="1" t="s">
        <v>9891</v>
      </c>
      <c r="K2168" s="1" t="s">
        <v>9892</v>
      </c>
      <c r="L2168" s="1" t="s">
        <v>4152</v>
      </c>
      <c r="M2168" s="1" t="s">
        <v>718</v>
      </c>
    </row>
    <row r="2169" customFormat="false" ht="15" hidden="false" customHeight="false" outlineLevel="0" collapsed="false">
      <c r="A2169" s="1" t="s">
        <v>9893</v>
      </c>
      <c r="B2169" s="1" t="s">
        <v>9638</v>
      </c>
      <c r="C2169" s="1" t="s">
        <v>1633</v>
      </c>
      <c r="D2169" s="2" t="n">
        <v>37771</v>
      </c>
      <c r="E2169" s="1" t="s">
        <v>710</v>
      </c>
      <c r="F2169" s="1" t="s">
        <v>711</v>
      </c>
      <c r="G2169" s="1" t="s">
        <v>712</v>
      </c>
      <c r="H2169" s="1" t="s">
        <v>713</v>
      </c>
      <c r="I2169" s="1" t="s">
        <v>714</v>
      </c>
      <c r="J2169" s="1" t="s">
        <v>740</v>
      </c>
      <c r="K2169" s="1" t="s">
        <v>9894</v>
      </c>
      <c r="L2169" s="1" t="s">
        <v>1634</v>
      </c>
      <c r="M2169" s="1" t="s">
        <v>718</v>
      </c>
    </row>
    <row r="2170" customFormat="false" ht="15" hidden="false" customHeight="false" outlineLevel="0" collapsed="false">
      <c r="A2170" s="1" t="s">
        <v>9895</v>
      </c>
      <c r="B2170" s="1" t="s">
        <v>9896</v>
      </c>
      <c r="C2170" s="1" t="s">
        <v>7473</v>
      </c>
      <c r="D2170" s="2" t="n">
        <v>37808</v>
      </c>
      <c r="E2170" s="1" t="s">
        <v>763</v>
      </c>
      <c r="F2170" s="1" t="s">
        <v>711</v>
      </c>
      <c r="G2170" s="1" t="s">
        <v>712</v>
      </c>
      <c r="H2170" s="1" t="s">
        <v>713</v>
      </c>
      <c r="I2170" s="1" t="s">
        <v>714</v>
      </c>
      <c r="J2170" s="1" t="s">
        <v>751</v>
      </c>
      <c r="K2170" s="1" t="s">
        <v>9897</v>
      </c>
      <c r="L2170" s="1" t="s">
        <v>9898</v>
      </c>
      <c r="M2170" s="1" t="s">
        <v>718</v>
      </c>
    </row>
    <row r="2171" customFormat="false" ht="15" hidden="false" customHeight="false" outlineLevel="0" collapsed="false">
      <c r="A2171" s="1" t="s">
        <v>9899</v>
      </c>
      <c r="B2171" s="1" t="s">
        <v>9900</v>
      </c>
      <c r="C2171" s="1" t="s">
        <v>2058</v>
      </c>
      <c r="D2171" s="2" t="n">
        <v>36978</v>
      </c>
      <c r="E2171" s="1" t="s">
        <v>710</v>
      </c>
      <c r="F2171" s="1" t="s">
        <v>711</v>
      </c>
      <c r="G2171" s="1" t="s">
        <v>722</v>
      </c>
      <c r="H2171" s="1" t="s">
        <v>713</v>
      </c>
      <c r="I2171" s="1" t="s">
        <v>714</v>
      </c>
      <c r="J2171" s="1" t="s">
        <v>740</v>
      </c>
      <c r="K2171" s="1" t="s">
        <v>9901</v>
      </c>
      <c r="L2171" s="1" t="s">
        <v>2059</v>
      </c>
      <c r="M2171" s="1" t="s">
        <v>718</v>
      </c>
    </row>
    <row r="2172" customFormat="false" ht="15" hidden="false" customHeight="false" outlineLevel="0" collapsed="false">
      <c r="A2172" s="1" t="s">
        <v>9902</v>
      </c>
      <c r="B2172" s="1" t="s">
        <v>9903</v>
      </c>
      <c r="C2172" s="1" t="s">
        <v>2588</v>
      </c>
      <c r="D2172" s="2" t="n">
        <v>37953</v>
      </c>
      <c r="E2172" s="1" t="s">
        <v>763</v>
      </c>
      <c r="F2172" s="1" t="s">
        <v>711</v>
      </c>
      <c r="G2172" s="1" t="s">
        <v>712</v>
      </c>
      <c r="H2172" s="1" t="s">
        <v>713</v>
      </c>
      <c r="I2172" s="1" t="s">
        <v>714</v>
      </c>
      <c r="J2172" s="1" t="s">
        <v>838</v>
      </c>
      <c r="K2172" s="1" t="s">
        <v>9904</v>
      </c>
      <c r="L2172" s="1" t="s">
        <v>2590</v>
      </c>
      <c r="M2172" s="1" t="s">
        <v>718</v>
      </c>
    </row>
    <row r="2173" customFormat="false" ht="15" hidden="false" customHeight="false" outlineLevel="0" collapsed="false">
      <c r="A2173" s="1" t="s">
        <v>9905</v>
      </c>
      <c r="B2173" s="1" t="s">
        <v>9906</v>
      </c>
      <c r="C2173" s="1" t="s">
        <v>6818</v>
      </c>
      <c r="D2173" s="2" t="n">
        <v>37479</v>
      </c>
      <c r="E2173" s="1" t="s">
        <v>763</v>
      </c>
      <c r="F2173" s="1" t="s">
        <v>711</v>
      </c>
      <c r="G2173" s="1" t="s">
        <v>722</v>
      </c>
      <c r="H2173" s="1" t="s">
        <v>713</v>
      </c>
      <c r="I2173" s="1" t="s">
        <v>714</v>
      </c>
      <c r="J2173" s="1" t="s">
        <v>3517</v>
      </c>
      <c r="K2173" s="1" t="s">
        <v>9907</v>
      </c>
      <c r="L2173" s="1" t="s">
        <v>9908</v>
      </c>
      <c r="M2173" s="1" t="s">
        <v>718</v>
      </c>
    </row>
    <row r="2174" customFormat="false" ht="15" hidden="false" customHeight="false" outlineLevel="0" collapsed="false">
      <c r="A2174" s="1" t="s">
        <v>9909</v>
      </c>
      <c r="B2174" s="1" t="s">
        <v>3075</v>
      </c>
      <c r="C2174" s="1" t="s">
        <v>9910</v>
      </c>
      <c r="D2174" s="2" t="n">
        <v>36812</v>
      </c>
      <c r="E2174" s="1" t="s">
        <v>763</v>
      </c>
      <c r="F2174" s="1" t="s">
        <v>711</v>
      </c>
      <c r="G2174" s="1" t="s">
        <v>712</v>
      </c>
      <c r="H2174" s="1" t="s">
        <v>713</v>
      </c>
      <c r="I2174" s="1" t="s">
        <v>714</v>
      </c>
      <c r="J2174" s="1" t="s">
        <v>3517</v>
      </c>
      <c r="K2174" s="1" t="s">
        <v>9907</v>
      </c>
      <c r="L2174" s="1" t="s">
        <v>9908</v>
      </c>
      <c r="M2174" s="1" t="s">
        <v>718</v>
      </c>
    </row>
    <row r="2175" customFormat="false" ht="15" hidden="false" customHeight="false" outlineLevel="0" collapsed="false">
      <c r="A2175" s="1" t="s">
        <v>9911</v>
      </c>
      <c r="B2175" s="1" t="s">
        <v>1657</v>
      </c>
      <c r="C2175" s="1" t="s">
        <v>2345</v>
      </c>
      <c r="D2175" s="2" t="n">
        <v>37642</v>
      </c>
      <c r="E2175" s="1" t="s">
        <v>710</v>
      </c>
      <c r="F2175" s="1" t="s">
        <v>711</v>
      </c>
      <c r="G2175" s="1" t="s">
        <v>712</v>
      </c>
      <c r="H2175" s="1" t="s">
        <v>713</v>
      </c>
      <c r="I2175" s="1" t="s">
        <v>714</v>
      </c>
      <c r="J2175" s="1" t="s">
        <v>1149</v>
      </c>
      <c r="K2175" s="1" t="s">
        <v>7653</v>
      </c>
      <c r="L2175" s="1" t="s">
        <v>2347</v>
      </c>
      <c r="M2175" s="1" t="s">
        <v>718</v>
      </c>
    </row>
    <row r="2176" customFormat="false" ht="15" hidden="false" customHeight="false" outlineLevel="0" collapsed="false">
      <c r="A2176" s="1" t="s">
        <v>9912</v>
      </c>
      <c r="B2176" s="1" t="s">
        <v>9913</v>
      </c>
      <c r="C2176" s="1" t="s">
        <v>1366</v>
      </c>
      <c r="D2176" s="2" t="n">
        <v>37491</v>
      </c>
      <c r="E2176" s="1" t="s">
        <v>763</v>
      </c>
      <c r="F2176" s="1" t="s">
        <v>711</v>
      </c>
      <c r="G2176" s="1" t="s">
        <v>722</v>
      </c>
      <c r="H2176" s="1" t="s">
        <v>713</v>
      </c>
      <c r="I2176" s="1" t="s">
        <v>714</v>
      </c>
      <c r="J2176" s="1" t="s">
        <v>9914</v>
      </c>
      <c r="K2176" s="1" t="s">
        <v>9915</v>
      </c>
      <c r="L2176" s="1" t="s">
        <v>1368</v>
      </c>
      <c r="M2176" s="1" t="s">
        <v>718</v>
      </c>
    </row>
    <row r="2177" customFormat="false" ht="15" hidden="false" customHeight="false" outlineLevel="0" collapsed="false">
      <c r="A2177" s="1" t="s">
        <v>9916</v>
      </c>
      <c r="B2177" s="1" t="s">
        <v>9917</v>
      </c>
      <c r="C2177" s="1" t="s">
        <v>1606</v>
      </c>
      <c r="D2177" s="2" t="n">
        <v>38186</v>
      </c>
      <c r="E2177" s="1" t="s">
        <v>763</v>
      </c>
      <c r="F2177" s="1" t="s">
        <v>711</v>
      </c>
      <c r="G2177" s="1" t="s">
        <v>722</v>
      </c>
      <c r="H2177" s="1" t="s">
        <v>713</v>
      </c>
      <c r="I2177" s="1" t="s">
        <v>714</v>
      </c>
      <c r="J2177" s="1" t="s">
        <v>9891</v>
      </c>
      <c r="K2177" s="1" t="s">
        <v>9918</v>
      </c>
      <c r="L2177" s="1" t="s">
        <v>1607</v>
      </c>
      <c r="M2177" s="1" t="s">
        <v>718</v>
      </c>
    </row>
    <row r="2178" customFormat="false" ht="15" hidden="false" customHeight="false" outlineLevel="0" collapsed="false">
      <c r="A2178" s="1" t="s">
        <v>9919</v>
      </c>
      <c r="B2178" s="1" t="s">
        <v>9920</v>
      </c>
      <c r="C2178" s="1" t="s">
        <v>2121</v>
      </c>
      <c r="D2178" s="2" t="n">
        <v>37767</v>
      </c>
      <c r="E2178" s="1" t="s">
        <v>710</v>
      </c>
      <c r="F2178" s="1" t="s">
        <v>711</v>
      </c>
      <c r="G2178" s="1" t="s">
        <v>722</v>
      </c>
      <c r="H2178" s="1" t="s">
        <v>713</v>
      </c>
      <c r="I2178" s="1" t="s">
        <v>714</v>
      </c>
      <c r="J2178" s="1" t="s">
        <v>7543</v>
      </c>
      <c r="K2178" s="1" t="s">
        <v>9921</v>
      </c>
      <c r="L2178" s="1" t="s">
        <v>7069</v>
      </c>
      <c r="M2178" s="1" t="s">
        <v>718</v>
      </c>
    </row>
    <row r="2179" customFormat="false" ht="15" hidden="false" customHeight="false" outlineLevel="0" collapsed="false">
      <c r="A2179" s="1" t="s">
        <v>9922</v>
      </c>
      <c r="B2179" s="1" t="s">
        <v>9923</v>
      </c>
      <c r="C2179" s="1" t="s">
        <v>9924</v>
      </c>
      <c r="D2179" s="2" t="n">
        <v>37626</v>
      </c>
      <c r="E2179" s="1" t="s">
        <v>763</v>
      </c>
      <c r="F2179" s="1" t="s">
        <v>711</v>
      </c>
      <c r="G2179" s="1" t="s">
        <v>712</v>
      </c>
      <c r="H2179" s="1" t="s">
        <v>713</v>
      </c>
      <c r="I2179" s="1" t="s">
        <v>714</v>
      </c>
      <c r="J2179" s="1" t="s">
        <v>9891</v>
      </c>
      <c r="K2179" s="1" t="s">
        <v>9925</v>
      </c>
      <c r="L2179" s="1" t="s">
        <v>9926</v>
      </c>
      <c r="M2179" s="1" t="s">
        <v>718</v>
      </c>
    </row>
    <row r="2180" customFormat="false" ht="15" hidden="false" customHeight="false" outlineLevel="0" collapsed="false">
      <c r="A2180" s="1" t="s">
        <v>9927</v>
      </c>
      <c r="B2180" s="1" t="s">
        <v>8229</v>
      </c>
      <c r="C2180" s="1" t="s">
        <v>9928</v>
      </c>
      <c r="D2180" s="2" t="n">
        <v>37957</v>
      </c>
      <c r="E2180" s="1" t="s">
        <v>710</v>
      </c>
      <c r="F2180" s="1" t="s">
        <v>711</v>
      </c>
      <c r="G2180" s="1" t="s">
        <v>712</v>
      </c>
      <c r="H2180" s="1" t="s">
        <v>713</v>
      </c>
      <c r="I2180" s="1" t="s">
        <v>714</v>
      </c>
      <c r="J2180" s="1" t="s">
        <v>4239</v>
      </c>
      <c r="K2180" s="1" t="s">
        <v>9929</v>
      </c>
      <c r="L2180" s="1" t="s">
        <v>9930</v>
      </c>
      <c r="M2180" s="1" t="s">
        <v>718</v>
      </c>
    </row>
    <row r="2181" customFormat="false" ht="15" hidden="false" customHeight="false" outlineLevel="0" collapsed="false">
      <c r="A2181" s="1" t="s">
        <v>9931</v>
      </c>
      <c r="B2181" s="1" t="s">
        <v>9932</v>
      </c>
      <c r="C2181" s="1" t="s">
        <v>3501</v>
      </c>
      <c r="D2181" s="2" t="n">
        <v>37688</v>
      </c>
      <c r="E2181" s="1" t="s">
        <v>763</v>
      </c>
      <c r="F2181" s="1" t="s">
        <v>711</v>
      </c>
      <c r="G2181" s="1" t="s">
        <v>722</v>
      </c>
      <c r="H2181" s="1" t="s">
        <v>713</v>
      </c>
      <c r="I2181" s="1" t="s">
        <v>714</v>
      </c>
      <c r="J2181" s="1" t="s">
        <v>9891</v>
      </c>
      <c r="K2181" s="1" t="s">
        <v>7653</v>
      </c>
      <c r="L2181" s="1" t="s">
        <v>3504</v>
      </c>
      <c r="M2181" s="1" t="s">
        <v>718</v>
      </c>
    </row>
    <row r="2182" customFormat="false" ht="15" hidden="false" customHeight="false" outlineLevel="0" collapsed="false">
      <c r="A2182" s="1" t="s">
        <v>9933</v>
      </c>
      <c r="B2182" s="1" t="s">
        <v>9934</v>
      </c>
      <c r="C2182" s="1" t="s">
        <v>6972</v>
      </c>
      <c r="D2182" s="2" t="n">
        <v>37365</v>
      </c>
      <c r="E2182" s="1" t="s">
        <v>710</v>
      </c>
      <c r="F2182" s="1" t="s">
        <v>711</v>
      </c>
      <c r="G2182" s="1" t="s">
        <v>712</v>
      </c>
      <c r="H2182" s="1" t="s">
        <v>713</v>
      </c>
      <c r="I2182" s="1" t="s">
        <v>714</v>
      </c>
      <c r="J2182" s="1" t="s">
        <v>1431</v>
      </c>
      <c r="K2182" s="1" t="s">
        <v>9935</v>
      </c>
      <c r="L2182" s="1" t="s">
        <v>9936</v>
      </c>
      <c r="M2182" s="1" t="s">
        <v>718</v>
      </c>
    </row>
    <row r="2183" customFormat="false" ht="15" hidden="false" customHeight="false" outlineLevel="0" collapsed="false">
      <c r="A2183" s="1" t="s">
        <v>9937</v>
      </c>
      <c r="B2183" s="1" t="s">
        <v>9938</v>
      </c>
      <c r="C2183" s="1" t="s">
        <v>3200</v>
      </c>
      <c r="D2183" s="2" t="n">
        <v>36994</v>
      </c>
      <c r="E2183" s="1" t="s">
        <v>710</v>
      </c>
      <c r="F2183" s="1" t="s">
        <v>711</v>
      </c>
      <c r="G2183" s="1" t="s">
        <v>722</v>
      </c>
      <c r="H2183" s="1" t="s">
        <v>713</v>
      </c>
      <c r="I2183" s="1" t="s">
        <v>714</v>
      </c>
      <c r="J2183" s="1" t="s">
        <v>1244</v>
      </c>
      <c r="K2183" s="1" t="s">
        <v>7653</v>
      </c>
      <c r="L2183" s="1" t="s">
        <v>6065</v>
      </c>
      <c r="M2183" s="1" t="s">
        <v>718</v>
      </c>
    </row>
    <row r="2184" customFormat="false" ht="15" hidden="false" customHeight="false" outlineLevel="0" collapsed="false">
      <c r="A2184" s="1" t="s">
        <v>9939</v>
      </c>
      <c r="B2184" s="1" t="s">
        <v>9940</v>
      </c>
      <c r="C2184" s="1" t="s">
        <v>9941</v>
      </c>
      <c r="D2184" s="2" t="n">
        <v>37624</v>
      </c>
      <c r="E2184" s="1" t="s">
        <v>763</v>
      </c>
      <c r="F2184" s="1" t="s">
        <v>711</v>
      </c>
      <c r="G2184" s="1" t="s">
        <v>775</v>
      </c>
      <c r="H2184" s="1" t="s">
        <v>713</v>
      </c>
      <c r="I2184" s="1" t="s">
        <v>714</v>
      </c>
      <c r="J2184" s="1" t="s">
        <v>1723</v>
      </c>
      <c r="K2184" s="1" t="s">
        <v>9942</v>
      </c>
      <c r="L2184" s="1" t="s">
        <v>9943</v>
      </c>
      <c r="M2184" s="1" t="s">
        <v>718</v>
      </c>
    </row>
    <row r="2185" customFormat="false" ht="15" hidden="false" customHeight="false" outlineLevel="0" collapsed="false">
      <c r="A2185" s="1" t="s">
        <v>9944</v>
      </c>
      <c r="B2185" s="1" t="s">
        <v>9945</v>
      </c>
      <c r="C2185" s="1" t="s">
        <v>779</v>
      </c>
      <c r="D2185" s="2" t="n">
        <v>37848</v>
      </c>
      <c r="E2185" s="1" t="s">
        <v>710</v>
      </c>
      <c r="F2185" s="1" t="s">
        <v>711</v>
      </c>
      <c r="G2185" s="1" t="s">
        <v>712</v>
      </c>
      <c r="H2185" s="1" t="s">
        <v>713</v>
      </c>
      <c r="I2185" s="1" t="s">
        <v>714</v>
      </c>
      <c r="J2185" s="1" t="s">
        <v>2000</v>
      </c>
      <c r="K2185" s="1" t="s">
        <v>8425</v>
      </c>
      <c r="L2185" s="1" t="s">
        <v>782</v>
      </c>
      <c r="M2185" s="1" t="s">
        <v>718</v>
      </c>
    </row>
    <row r="2186" customFormat="false" ht="15" hidden="false" customHeight="false" outlineLevel="0" collapsed="false">
      <c r="A2186" s="1" t="s">
        <v>9946</v>
      </c>
      <c r="B2186" s="1" t="s">
        <v>9947</v>
      </c>
      <c r="C2186" s="1" t="s">
        <v>1722</v>
      </c>
      <c r="D2186" s="2" t="n">
        <v>37516</v>
      </c>
      <c r="E2186" s="1" t="s">
        <v>763</v>
      </c>
      <c r="F2186" s="1" t="s">
        <v>711</v>
      </c>
      <c r="G2186" s="1" t="s">
        <v>712</v>
      </c>
      <c r="H2186" s="1" t="s">
        <v>713</v>
      </c>
      <c r="I2186" s="1" t="s">
        <v>714</v>
      </c>
      <c r="J2186" s="1" t="s">
        <v>9451</v>
      </c>
      <c r="K2186" s="1" t="s">
        <v>9948</v>
      </c>
      <c r="L2186" s="1" t="s">
        <v>1724</v>
      </c>
      <c r="M2186" s="1" t="s">
        <v>718</v>
      </c>
    </row>
    <row r="2187" customFormat="false" ht="15" hidden="false" customHeight="false" outlineLevel="0" collapsed="false">
      <c r="A2187" s="1" t="s">
        <v>9949</v>
      </c>
      <c r="B2187" s="1" t="s">
        <v>1814</v>
      </c>
      <c r="C2187" s="1" t="s">
        <v>9950</v>
      </c>
      <c r="D2187" s="2" t="n">
        <v>37855</v>
      </c>
      <c r="E2187" s="1" t="s">
        <v>710</v>
      </c>
      <c r="F2187" s="1" t="s">
        <v>711</v>
      </c>
      <c r="G2187" s="1" t="s">
        <v>712</v>
      </c>
      <c r="H2187" s="1" t="s">
        <v>713</v>
      </c>
      <c r="I2187" s="1" t="s">
        <v>714</v>
      </c>
      <c r="J2187" s="1" t="s">
        <v>821</v>
      </c>
      <c r="K2187" s="1" t="s">
        <v>9951</v>
      </c>
      <c r="L2187" s="1" t="s">
        <v>9952</v>
      </c>
      <c r="M2187" s="1" t="s">
        <v>718</v>
      </c>
    </row>
    <row r="2188" customFormat="false" ht="15" hidden="false" customHeight="false" outlineLevel="0" collapsed="false">
      <c r="A2188" s="1" t="s">
        <v>9953</v>
      </c>
      <c r="B2188" s="1" t="s">
        <v>9954</v>
      </c>
      <c r="C2188" s="1" t="s">
        <v>9955</v>
      </c>
      <c r="D2188" s="2" t="n">
        <v>37652</v>
      </c>
      <c r="E2188" s="1" t="s">
        <v>763</v>
      </c>
      <c r="F2188" s="1" t="s">
        <v>711</v>
      </c>
      <c r="G2188" s="1" t="s">
        <v>712</v>
      </c>
      <c r="H2188" s="1" t="s">
        <v>713</v>
      </c>
      <c r="I2188" s="1" t="s">
        <v>714</v>
      </c>
      <c r="J2188" s="1" t="s">
        <v>4239</v>
      </c>
      <c r="K2188" s="1" t="s">
        <v>9956</v>
      </c>
      <c r="L2188" s="1" t="s">
        <v>9957</v>
      </c>
      <c r="M2188" s="1" t="s">
        <v>718</v>
      </c>
    </row>
    <row r="2189" customFormat="false" ht="15" hidden="false" customHeight="false" outlineLevel="0" collapsed="false">
      <c r="A2189" s="1" t="s">
        <v>9958</v>
      </c>
      <c r="B2189" s="1" t="s">
        <v>7651</v>
      </c>
      <c r="C2189" s="1" t="s">
        <v>1903</v>
      </c>
      <c r="D2189" s="2" t="n">
        <v>37930</v>
      </c>
      <c r="E2189" s="1" t="s">
        <v>710</v>
      </c>
      <c r="F2189" s="1" t="s">
        <v>711</v>
      </c>
      <c r="G2189" s="1" t="s">
        <v>722</v>
      </c>
      <c r="H2189" s="1" t="s">
        <v>713</v>
      </c>
      <c r="I2189" s="1" t="s">
        <v>714</v>
      </c>
      <c r="J2189" s="1" t="s">
        <v>4239</v>
      </c>
      <c r="K2189" s="1" t="s">
        <v>9959</v>
      </c>
      <c r="L2189" s="1" t="s">
        <v>1905</v>
      </c>
      <c r="M2189" s="1" t="s">
        <v>718</v>
      </c>
    </row>
    <row r="2190" customFormat="false" ht="15" hidden="false" customHeight="false" outlineLevel="0" collapsed="false">
      <c r="A2190" s="1" t="s">
        <v>9960</v>
      </c>
      <c r="B2190" s="1" t="s">
        <v>9961</v>
      </c>
      <c r="C2190" s="1" t="s">
        <v>9962</v>
      </c>
      <c r="D2190" s="2" t="n">
        <v>37804</v>
      </c>
      <c r="E2190" s="1" t="s">
        <v>763</v>
      </c>
      <c r="F2190" s="1" t="s">
        <v>711</v>
      </c>
      <c r="G2190" s="1" t="s">
        <v>712</v>
      </c>
      <c r="H2190" s="1" t="s">
        <v>713</v>
      </c>
      <c r="I2190" s="1" t="s">
        <v>714</v>
      </c>
      <c r="J2190" s="1" t="s">
        <v>740</v>
      </c>
      <c r="K2190" s="1" t="s">
        <v>9963</v>
      </c>
      <c r="L2190" s="1" t="s">
        <v>9964</v>
      </c>
      <c r="M2190" s="1" t="s">
        <v>718</v>
      </c>
    </row>
    <row r="2191" customFormat="false" ht="15" hidden="false" customHeight="false" outlineLevel="0" collapsed="false">
      <c r="A2191" s="1" t="s">
        <v>9965</v>
      </c>
      <c r="B2191" s="1" t="s">
        <v>6334</v>
      </c>
      <c r="C2191" s="1" t="s">
        <v>2006</v>
      </c>
      <c r="D2191" s="2" t="n">
        <v>37940</v>
      </c>
      <c r="E2191" s="1" t="s">
        <v>710</v>
      </c>
      <c r="F2191" s="1" t="s">
        <v>711</v>
      </c>
      <c r="G2191" s="1" t="s">
        <v>722</v>
      </c>
      <c r="H2191" s="1" t="s">
        <v>713</v>
      </c>
      <c r="I2191" s="1" t="s">
        <v>714</v>
      </c>
      <c r="J2191" s="1" t="s">
        <v>4239</v>
      </c>
      <c r="K2191" s="1" t="s">
        <v>7653</v>
      </c>
      <c r="L2191" s="1" t="s">
        <v>9966</v>
      </c>
      <c r="M2191" s="1" t="s">
        <v>718</v>
      </c>
    </row>
    <row r="2192" customFormat="false" ht="15" hidden="false" customHeight="false" outlineLevel="0" collapsed="false">
      <c r="A2192" s="1" t="s">
        <v>9967</v>
      </c>
      <c r="B2192" s="1" t="s">
        <v>9968</v>
      </c>
      <c r="C2192" s="1" t="s">
        <v>3974</v>
      </c>
      <c r="D2192" s="2" t="n">
        <v>37698</v>
      </c>
      <c r="E2192" s="1" t="s">
        <v>710</v>
      </c>
      <c r="F2192" s="1" t="s">
        <v>711</v>
      </c>
      <c r="G2192" s="1" t="s">
        <v>722</v>
      </c>
      <c r="H2192" s="1" t="s">
        <v>713</v>
      </c>
      <c r="I2192" s="1" t="s">
        <v>714</v>
      </c>
      <c r="J2192" s="1" t="s">
        <v>3534</v>
      </c>
      <c r="K2192" s="1" t="s">
        <v>9969</v>
      </c>
      <c r="L2192" s="1" t="s">
        <v>5552</v>
      </c>
      <c r="M2192" s="1" t="s">
        <v>718</v>
      </c>
    </row>
    <row r="2193" customFormat="false" ht="15" hidden="false" customHeight="false" outlineLevel="0" collapsed="false">
      <c r="A2193" s="1" t="s">
        <v>9970</v>
      </c>
      <c r="B2193" s="1" t="s">
        <v>9971</v>
      </c>
      <c r="C2193" s="1" t="s">
        <v>9972</v>
      </c>
      <c r="D2193" s="2" t="n">
        <v>37851</v>
      </c>
      <c r="E2193" s="1" t="s">
        <v>763</v>
      </c>
      <c r="F2193" s="1" t="s">
        <v>711</v>
      </c>
      <c r="G2193" s="1" t="s">
        <v>712</v>
      </c>
      <c r="H2193" s="1" t="s">
        <v>713</v>
      </c>
      <c r="I2193" s="1" t="s">
        <v>714</v>
      </c>
      <c r="J2193" s="1" t="s">
        <v>1244</v>
      </c>
      <c r="K2193" s="1" t="s">
        <v>9973</v>
      </c>
      <c r="L2193" s="1" t="s">
        <v>2953</v>
      </c>
      <c r="M2193" s="1" t="s">
        <v>718</v>
      </c>
    </row>
    <row r="2194" customFormat="false" ht="15" hidden="false" customHeight="false" outlineLevel="0" collapsed="false">
      <c r="A2194" s="1" t="s">
        <v>9974</v>
      </c>
      <c r="B2194" s="1" t="s">
        <v>9975</v>
      </c>
      <c r="C2194" s="1" t="s">
        <v>3354</v>
      </c>
      <c r="D2194" s="2" t="n">
        <v>37649</v>
      </c>
      <c r="E2194" s="1" t="s">
        <v>710</v>
      </c>
      <c r="F2194" s="1" t="s">
        <v>711</v>
      </c>
      <c r="G2194" s="1" t="s">
        <v>722</v>
      </c>
      <c r="H2194" s="1" t="s">
        <v>713</v>
      </c>
      <c r="I2194" s="1" t="s">
        <v>714</v>
      </c>
      <c r="J2194" s="1" t="s">
        <v>9976</v>
      </c>
      <c r="K2194" s="1" t="s">
        <v>9977</v>
      </c>
      <c r="L2194" s="1" t="s">
        <v>3357</v>
      </c>
      <c r="M2194" s="1" t="s">
        <v>718</v>
      </c>
    </row>
    <row r="2195" customFormat="false" ht="15" hidden="false" customHeight="false" outlineLevel="0" collapsed="false">
      <c r="A2195" s="1" t="s">
        <v>9978</v>
      </c>
      <c r="B2195" s="1" t="s">
        <v>9979</v>
      </c>
      <c r="C2195" s="1" t="s">
        <v>9980</v>
      </c>
      <c r="D2195" s="2" t="n">
        <v>37907</v>
      </c>
      <c r="E2195" s="1" t="s">
        <v>763</v>
      </c>
      <c r="F2195" s="1" t="s">
        <v>711</v>
      </c>
      <c r="G2195" s="1" t="s">
        <v>712</v>
      </c>
      <c r="H2195" s="1" t="s">
        <v>713</v>
      </c>
      <c r="I2195" s="1" t="s">
        <v>714</v>
      </c>
      <c r="J2195" s="1" t="s">
        <v>715</v>
      </c>
      <c r="K2195" s="1" t="s">
        <v>9981</v>
      </c>
      <c r="L2195" s="1" t="s">
        <v>9982</v>
      </c>
      <c r="M2195" s="1" t="s">
        <v>718</v>
      </c>
    </row>
    <row r="2196" customFormat="false" ht="15" hidden="false" customHeight="false" outlineLevel="0" collapsed="false">
      <c r="A2196" s="1" t="s">
        <v>9983</v>
      </c>
      <c r="B2196" s="1" t="s">
        <v>1490</v>
      </c>
      <c r="C2196" s="1" t="s">
        <v>3545</v>
      </c>
      <c r="D2196" s="2" t="n">
        <v>37707</v>
      </c>
      <c r="E2196" s="1" t="s">
        <v>710</v>
      </c>
      <c r="F2196" s="1" t="s">
        <v>711</v>
      </c>
      <c r="G2196" s="1" t="s">
        <v>722</v>
      </c>
      <c r="H2196" s="1" t="s">
        <v>713</v>
      </c>
      <c r="I2196" s="1" t="s">
        <v>714</v>
      </c>
      <c r="J2196" s="1" t="s">
        <v>1390</v>
      </c>
      <c r="K2196" s="1" t="s">
        <v>7423</v>
      </c>
      <c r="L2196" s="1" t="s">
        <v>7424</v>
      </c>
      <c r="M2196" s="1" t="s">
        <v>718</v>
      </c>
    </row>
    <row r="2197" customFormat="false" ht="15" hidden="false" customHeight="false" outlineLevel="0" collapsed="false">
      <c r="A2197" s="1" t="s">
        <v>9984</v>
      </c>
      <c r="B2197" s="1" t="s">
        <v>9985</v>
      </c>
      <c r="C2197" s="1" t="s">
        <v>733</v>
      </c>
      <c r="D2197" s="2" t="n">
        <v>37792</v>
      </c>
      <c r="E2197" s="1" t="s">
        <v>710</v>
      </c>
      <c r="F2197" s="1" t="s">
        <v>711</v>
      </c>
      <c r="G2197" s="1" t="s">
        <v>712</v>
      </c>
      <c r="H2197" s="1" t="s">
        <v>713</v>
      </c>
      <c r="I2197" s="1" t="s">
        <v>714</v>
      </c>
      <c r="J2197" s="1" t="s">
        <v>870</v>
      </c>
      <c r="K2197" s="1" t="s">
        <v>7653</v>
      </c>
      <c r="L2197" s="1" t="s">
        <v>736</v>
      </c>
      <c r="M2197" s="1" t="s">
        <v>718</v>
      </c>
    </row>
    <row r="2198" customFormat="false" ht="15" hidden="false" customHeight="false" outlineLevel="0" collapsed="false">
      <c r="A2198" s="1" t="s">
        <v>9986</v>
      </c>
      <c r="B2198" s="1" t="s">
        <v>1668</v>
      </c>
      <c r="C2198" s="1" t="s">
        <v>1810</v>
      </c>
      <c r="D2198" s="2" t="n">
        <v>37961</v>
      </c>
      <c r="E2198" s="1" t="s">
        <v>710</v>
      </c>
      <c r="F2198" s="1" t="s">
        <v>711</v>
      </c>
      <c r="G2198" s="1" t="s">
        <v>722</v>
      </c>
      <c r="H2198" s="1" t="s">
        <v>713</v>
      </c>
      <c r="I2198" s="1" t="s">
        <v>714</v>
      </c>
      <c r="J2198" s="1" t="s">
        <v>740</v>
      </c>
      <c r="K2198" s="1" t="s">
        <v>9987</v>
      </c>
      <c r="L2198" s="1" t="s">
        <v>1812</v>
      </c>
      <c r="M2198" s="1" t="s">
        <v>718</v>
      </c>
    </row>
    <row r="2199" customFormat="false" ht="15" hidden="false" customHeight="false" outlineLevel="0" collapsed="false">
      <c r="A2199" s="1" t="s">
        <v>9988</v>
      </c>
      <c r="B2199" s="1" t="s">
        <v>9989</v>
      </c>
      <c r="C2199" s="1" t="s">
        <v>9990</v>
      </c>
      <c r="D2199" s="2" t="n">
        <v>37188</v>
      </c>
      <c r="E2199" s="1" t="s">
        <v>710</v>
      </c>
      <c r="F2199" s="1" t="s">
        <v>711</v>
      </c>
      <c r="G2199" s="1" t="s">
        <v>712</v>
      </c>
      <c r="H2199" s="1" t="s">
        <v>713</v>
      </c>
      <c r="I2199" s="1" t="s">
        <v>714</v>
      </c>
      <c r="J2199" s="1" t="s">
        <v>928</v>
      </c>
      <c r="K2199" s="1" t="s">
        <v>9991</v>
      </c>
      <c r="L2199" s="1" t="s">
        <v>9992</v>
      </c>
      <c r="M2199" s="1" t="s">
        <v>718</v>
      </c>
    </row>
    <row r="2200" customFormat="false" ht="15" hidden="false" customHeight="false" outlineLevel="0" collapsed="false">
      <c r="A2200" s="1" t="s">
        <v>9993</v>
      </c>
      <c r="B2200" s="1" t="s">
        <v>9994</v>
      </c>
      <c r="C2200" s="1" t="s">
        <v>6742</v>
      </c>
      <c r="D2200" s="2" t="n">
        <v>37797</v>
      </c>
      <c r="E2200" s="1" t="s">
        <v>710</v>
      </c>
      <c r="F2200" s="1" t="s">
        <v>711</v>
      </c>
      <c r="G2200" s="1" t="s">
        <v>722</v>
      </c>
      <c r="H2200" s="1" t="s">
        <v>713</v>
      </c>
      <c r="I2200" s="1" t="s">
        <v>714</v>
      </c>
      <c r="J2200" s="1" t="s">
        <v>880</v>
      </c>
      <c r="K2200" s="1" t="s">
        <v>6744</v>
      </c>
      <c r="L2200" s="1" t="s">
        <v>7527</v>
      </c>
      <c r="M2200" s="1" t="s">
        <v>718</v>
      </c>
    </row>
    <row r="2201" customFormat="false" ht="15" hidden="false" customHeight="false" outlineLevel="0" collapsed="false">
      <c r="A2201" s="1" t="s">
        <v>9995</v>
      </c>
      <c r="B2201" s="1" t="s">
        <v>1503</v>
      </c>
      <c r="C2201" s="1" t="s">
        <v>8179</v>
      </c>
      <c r="D2201" s="2" t="n">
        <v>38207</v>
      </c>
      <c r="E2201" s="1" t="s">
        <v>710</v>
      </c>
      <c r="F2201" s="1" t="s">
        <v>711</v>
      </c>
      <c r="G2201" s="1" t="s">
        <v>712</v>
      </c>
      <c r="H2201" s="1" t="s">
        <v>713</v>
      </c>
      <c r="I2201" s="1" t="s">
        <v>714</v>
      </c>
      <c r="J2201" s="1" t="s">
        <v>928</v>
      </c>
      <c r="K2201" s="1" t="s">
        <v>8181</v>
      </c>
      <c r="L2201" s="1" t="s">
        <v>8182</v>
      </c>
      <c r="M2201" s="1" t="s">
        <v>718</v>
      </c>
    </row>
    <row r="2202" customFormat="false" ht="15" hidden="false" customHeight="false" outlineLevel="0" collapsed="false">
      <c r="A2202" s="1" t="s">
        <v>9996</v>
      </c>
      <c r="B2202" s="1" t="s">
        <v>921</v>
      </c>
      <c r="C2202" s="1" t="s">
        <v>4068</v>
      </c>
      <c r="D2202" s="2" t="n">
        <v>37670</v>
      </c>
      <c r="E2202" s="1" t="s">
        <v>710</v>
      </c>
      <c r="F2202" s="1" t="s">
        <v>711</v>
      </c>
      <c r="G2202" s="1" t="s">
        <v>712</v>
      </c>
      <c r="H2202" s="1" t="s">
        <v>713</v>
      </c>
      <c r="I2202" s="1" t="s">
        <v>714</v>
      </c>
      <c r="J2202" s="1" t="s">
        <v>751</v>
      </c>
      <c r="K2202" s="1" t="s">
        <v>9997</v>
      </c>
      <c r="L2202" s="1" t="s">
        <v>4070</v>
      </c>
      <c r="M2202" s="1" t="s">
        <v>718</v>
      </c>
    </row>
    <row r="2203" customFormat="false" ht="15" hidden="false" customHeight="false" outlineLevel="0" collapsed="false">
      <c r="A2203" s="1" t="s">
        <v>9998</v>
      </c>
      <c r="B2203" s="1" t="s">
        <v>9999</v>
      </c>
      <c r="C2203" s="1" t="s">
        <v>10000</v>
      </c>
      <c r="D2203" s="2" t="n">
        <v>37770</v>
      </c>
      <c r="E2203" s="1" t="s">
        <v>710</v>
      </c>
      <c r="F2203" s="1" t="s">
        <v>711</v>
      </c>
      <c r="G2203" s="1" t="s">
        <v>722</v>
      </c>
      <c r="H2203" s="1" t="s">
        <v>713</v>
      </c>
      <c r="I2203" s="1" t="s">
        <v>714</v>
      </c>
      <c r="J2203" s="1" t="s">
        <v>978</v>
      </c>
      <c r="K2203" s="1" t="s">
        <v>10001</v>
      </c>
      <c r="L2203" s="1" t="s">
        <v>10002</v>
      </c>
      <c r="M2203" s="1" t="s">
        <v>718</v>
      </c>
    </row>
    <row r="2204" customFormat="false" ht="15" hidden="false" customHeight="false" outlineLevel="0" collapsed="false">
      <c r="A2204" s="1" t="s">
        <v>10003</v>
      </c>
      <c r="B2204" s="1" t="s">
        <v>10004</v>
      </c>
      <c r="C2204" s="1" t="s">
        <v>2149</v>
      </c>
      <c r="D2204" s="2" t="n">
        <v>37981</v>
      </c>
      <c r="E2204" s="1" t="s">
        <v>710</v>
      </c>
      <c r="F2204" s="1" t="s">
        <v>711</v>
      </c>
      <c r="G2204" s="1" t="s">
        <v>1220</v>
      </c>
      <c r="H2204" s="1" t="s">
        <v>713</v>
      </c>
      <c r="I2204" s="1" t="s">
        <v>714</v>
      </c>
      <c r="J2204" s="1" t="s">
        <v>3171</v>
      </c>
      <c r="K2204" s="1" t="s">
        <v>10005</v>
      </c>
      <c r="L2204" s="1" t="s">
        <v>2152</v>
      </c>
      <c r="M2204" s="1" t="s">
        <v>718</v>
      </c>
    </row>
    <row r="2205" customFormat="false" ht="15" hidden="false" customHeight="false" outlineLevel="0" collapsed="false">
      <c r="A2205" s="1" t="s">
        <v>10006</v>
      </c>
      <c r="B2205" s="1" t="s">
        <v>10007</v>
      </c>
      <c r="C2205" s="1" t="s">
        <v>1202</v>
      </c>
      <c r="D2205" s="2" t="n">
        <v>37827</v>
      </c>
      <c r="E2205" s="1" t="s">
        <v>710</v>
      </c>
      <c r="F2205" s="1" t="s">
        <v>711</v>
      </c>
      <c r="G2205" s="1" t="s">
        <v>722</v>
      </c>
      <c r="H2205" s="1" t="s">
        <v>713</v>
      </c>
      <c r="I2205" s="1" t="s">
        <v>714</v>
      </c>
      <c r="J2205" s="1" t="s">
        <v>3171</v>
      </c>
      <c r="K2205" s="1" t="s">
        <v>10008</v>
      </c>
      <c r="L2205" s="1" t="s">
        <v>1203</v>
      </c>
      <c r="M2205" s="1" t="s">
        <v>718</v>
      </c>
    </row>
    <row r="2206" customFormat="false" ht="15" hidden="false" customHeight="false" outlineLevel="0" collapsed="false">
      <c r="A2206" s="1" t="s">
        <v>10009</v>
      </c>
      <c r="B2206" s="1" t="s">
        <v>841</v>
      </c>
      <c r="C2206" s="1" t="s">
        <v>10010</v>
      </c>
      <c r="D2206" s="2" t="n">
        <v>37374</v>
      </c>
      <c r="E2206" s="1" t="s">
        <v>710</v>
      </c>
      <c r="F2206" s="1" t="s">
        <v>711</v>
      </c>
      <c r="G2206" s="1" t="s">
        <v>712</v>
      </c>
      <c r="H2206" s="1" t="s">
        <v>713</v>
      </c>
      <c r="I2206" s="1" t="s">
        <v>714</v>
      </c>
      <c r="J2206" s="1" t="s">
        <v>1723</v>
      </c>
      <c r="K2206" s="1" t="s">
        <v>7653</v>
      </c>
      <c r="L2206" s="1" t="s">
        <v>782</v>
      </c>
      <c r="M2206" s="1" t="s">
        <v>718</v>
      </c>
    </row>
    <row r="2207" customFormat="false" ht="15" hidden="false" customHeight="false" outlineLevel="0" collapsed="false">
      <c r="A2207" s="1" t="s">
        <v>10011</v>
      </c>
      <c r="B2207" s="1" t="s">
        <v>5070</v>
      </c>
      <c r="C2207" s="1" t="s">
        <v>1615</v>
      </c>
      <c r="D2207" s="2" t="n">
        <v>37853</v>
      </c>
      <c r="E2207" s="1" t="s">
        <v>710</v>
      </c>
      <c r="F2207" s="1" t="s">
        <v>711</v>
      </c>
      <c r="G2207" s="1" t="s">
        <v>712</v>
      </c>
      <c r="H2207" s="1" t="s">
        <v>713</v>
      </c>
      <c r="I2207" s="1" t="s">
        <v>714</v>
      </c>
      <c r="J2207" s="1" t="s">
        <v>5117</v>
      </c>
      <c r="K2207" s="1" t="s">
        <v>10012</v>
      </c>
      <c r="L2207" s="1" t="s">
        <v>1616</v>
      </c>
      <c r="M2207" s="1" t="s">
        <v>718</v>
      </c>
    </row>
    <row r="2208" customFormat="false" ht="15" hidden="false" customHeight="false" outlineLevel="0" collapsed="false">
      <c r="A2208" s="1" t="s">
        <v>10013</v>
      </c>
      <c r="B2208" s="1" t="s">
        <v>10014</v>
      </c>
      <c r="C2208" s="1" t="s">
        <v>10015</v>
      </c>
      <c r="D2208" s="2" t="n">
        <v>37821</v>
      </c>
      <c r="E2208" s="1" t="s">
        <v>763</v>
      </c>
      <c r="F2208" s="1" t="s">
        <v>711</v>
      </c>
      <c r="G2208" s="1" t="s">
        <v>712</v>
      </c>
      <c r="H2208" s="1" t="s">
        <v>713</v>
      </c>
      <c r="I2208" s="1" t="s">
        <v>714</v>
      </c>
      <c r="J2208" s="1" t="s">
        <v>5117</v>
      </c>
      <c r="K2208" s="1" t="s">
        <v>10016</v>
      </c>
      <c r="L2208" s="1" t="s">
        <v>10017</v>
      </c>
      <c r="M2208" s="1" t="s">
        <v>718</v>
      </c>
    </row>
    <row r="2209" customFormat="false" ht="15" hidden="false" customHeight="false" outlineLevel="0" collapsed="false">
      <c r="A2209" s="1" t="s">
        <v>10018</v>
      </c>
      <c r="B2209" s="1" t="s">
        <v>10019</v>
      </c>
      <c r="C2209" s="1" t="s">
        <v>10020</v>
      </c>
      <c r="D2209" s="2" t="n">
        <v>37259</v>
      </c>
      <c r="E2209" s="1" t="s">
        <v>710</v>
      </c>
      <c r="F2209" s="1" t="s">
        <v>711</v>
      </c>
      <c r="G2209" s="1" t="s">
        <v>712</v>
      </c>
      <c r="H2209" s="1" t="s">
        <v>713</v>
      </c>
      <c r="I2209" s="1" t="s">
        <v>714</v>
      </c>
      <c r="J2209" s="1" t="s">
        <v>978</v>
      </c>
      <c r="K2209" s="1" t="s">
        <v>10021</v>
      </c>
      <c r="L2209" s="1" t="s">
        <v>4841</v>
      </c>
      <c r="M2209" s="1" t="s">
        <v>718</v>
      </c>
    </row>
    <row r="2210" customFormat="false" ht="15" hidden="false" customHeight="false" outlineLevel="0" collapsed="false">
      <c r="A2210" s="1" t="s">
        <v>10022</v>
      </c>
      <c r="B2210" s="1" t="s">
        <v>10023</v>
      </c>
      <c r="C2210" s="1" t="s">
        <v>10020</v>
      </c>
      <c r="D2210" s="2" t="n">
        <v>37948</v>
      </c>
      <c r="E2210" s="1" t="s">
        <v>710</v>
      </c>
      <c r="F2210" s="1" t="s">
        <v>711</v>
      </c>
      <c r="G2210" s="1" t="s">
        <v>722</v>
      </c>
      <c r="H2210" s="1" t="s">
        <v>713</v>
      </c>
      <c r="I2210" s="1" t="s">
        <v>714</v>
      </c>
      <c r="J2210" s="1" t="s">
        <v>978</v>
      </c>
      <c r="K2210" s="1" t="s">
        <v>10021</v>
      </c>
      <c r="L2210" s="1" t="s">
        <v>4841</v>
      </c>
      <c r="M2210" s="1" t="s">
        <v>718</v>
      </c>
    </row>
    <row r="2211" customFormat="false" ht="15" hidden="false" customHeight="false" outlineLevel="0" collapsed="false">
      <c r="A2211" s="1" t="s">
        <v>10024</v>
      </c>
      <c r="B2211" s="1" t="s">
        <v>3544</v>
      </c>
      <c r="C2211" s="1" t="s">
        <v>5177</v>
      </c>
      <c r="D2211" s="2" t="n">
        <v>35660</v>
      </c>
      <c r="E2211" s="1" t="s">
        <v>710</v>
      </c>
      <c r="F2211" s="1" t="s">
        <v>711</v>
      </c>
      <c r="G2211" s="1" t="s">
        <v>712</v>
      </c>
      <c r="H2211" s="1" t="s">
        <v>713</v>
      </c>
      <c r="I2211" s="1" t="s">
        <v>714</v>
      </c>
      <c r="J2211" s="1" t="s">
        <v>10025</v>
      </c>
      <c r="K2211" s="1" t="s">
        <v>10026</v>
      </c>
      <c r="L2211" s="1" t="s">
        <v>10027</v>
      </c>
      <c r="M2211" s="1" t="s">
        <v>718</v>
      </c>
    </row>
    <row r="2212" customFormat="false" ht="15" hidden="false" customHeight="false" outlineLevel="0" collapsed="false">
      <c r="A2212" s="1" t="s">
        <v>10028</v>
      </c>
      <c r="B2212" s="1" t="s">
        <v>10029</v>
      </c>
      <c r="C2212" s="1" t="s">
        <v>10030</v>
      </c>
      <c r="D2212" s="2" t="n">
        <v>36279</v>
      </c>
      <c r="E2212" s="1" t="s">
        <v>763</v>
      </c>
      <c r="F2212" s="1" t="s">
        <v>711</v>
      </c>
      <c r="G2212" s="1" t="s">
        <v>712</v>
      </c>
      <c r="H2212" s="1" t="s">
        <v>713</v>
      </c>
      <c r="I2212" s="1" t="s">
        <v>714</v>
      </c>
      <c r="J2212" s="1" t="s">
        <v>10031</v>
      </c>
      <c r="K2212" s="1" t="s">
        <v>10032</v>
      </c>
      <c r="L2212" s="1" t="s">
        <v>10033</v>
      </c>
      <c r="M2212" s="1" t="s">
        <v>718</v>
      </c>
    </row>
    <row r="2213" customFormat="false" ht="15" hidden="false" customHeight="false" outlineLevel="0" collapsed="false">
      <c r="A2213" s="1" t="s">
        <v>10034</v>
      </c>
      <c r="B2213" s="1" t="s">
        <v>10035</v>
      </c>
      <c r="C2213" s="1" t="s">
        <v>7496</v>
      </c>
      <c r="D2213" s="2" t="n">
        <v>37139</v>
      </c>
      <c r="E2213" s="1" t="s">
        <v>763</v>
      </c>
      <c r="F2213" s="1" t="s">
        <v>711</v>
      </c>
      <c r="G2213" s="1" t="s">
        <v>712</v>
      </c>
      <c r="H2213" s="1" t="s">
        <v>713</v>
      </c>
      <c r="I2213" s="1" t="s">
        <v>714</v>
      </c>
      <c r="J2213" s="1" t="s">
        <v>1544</v>
      </c>
      <c r="K2213" s="1" t="s">
        <v>7653</v>
      </c>
      <c r="L2213" s="1" t="s">
        <v>10036</v>
      </c>
      <c r="M2213" s="1" t="s">
        <v>718</v>
      </c>
    </row>
    <row r="2214" customFormat="false" ht="15" hidden="false" customHeight="false" outlineLevel="0" collapsed="false">
      <c r="A2214" s="1" t="s">
        <v>10037</v>
      </c>
      <c r="B2214" s="1" t="s">
        <v>10038</v>
      </c>
      <c r="C2214" s="1" t="s">
        <v>10039</v>
      </c>
      <c r="D2214" s="2" t="n">
        <v>36783</v>
      </c>
      <c r="E2214" s="1" t="s">
        <v>710</v>
      </c>
      <c r="F2214" s="1" t="s">
        <v>711</v>
      </c>
      <c r="G2214" s="1" t="s">
        <v>722</v>
      </c>
      <c r="H2214" s="1" t="s">
        <v>713</v>
      </c>
      <c r="I2214" s="1" t="s">
        <v>714</v>
      </c>
      <c r="J2214" s="1" t="s">
        <v>10040</v>
      </c>
      <c r="K2214" s="1" t="s">
        <v>10041</v>
      </c>
      <c r="L2214" s="1" t="s">
        <v>10042</v>
      </c>
      <c r="M2214" s="1" t="s">
        <v>718</v>
      </c>
    </row>
    <row r="2215" customFormat="false" ht="15" hidden="false" customHeight="false" outlineLevel="0" collapsed="false">
      <c r="A2215" s="1" t="s">
        <v>10043</v>
      </c>
      <c r="B2215" s="1" t="s">
        <v>10044</v>
      </c>
      <c r="C2215" s="1" t="s">
        <v>10045</v>
      </c>
      <c r="D2215" s="2" t="n">
        <v>36473</v>
      </c>
      <c r="E2215" s="1" t="s">
        <v>710</v>
      </c>
      <c r="F2215" s="1" t="s">
        <v>711</v>
      </c>
      <c r="G2215" s="1" t="s">
        <v>722</v>
      </c>
      <c r="H2215" s="1" t="s">
        <v>713</v>
      </c>
      <c r="I2215" s="1" t="s">
        <v>714</v>
      </c>
      <c r="J2215" s="1" t="s">
        <v>1244</v>
      </c>
      <c r="K2215" s="1" t="s">
        <v>10046</v>
      </c>
      <c r="L2215" s="1" t="s">
        <v>7824</v>
      </c>
      <c r="M2215" s="1" t="s">
        <v>718</v>
      </c>
    </row>
    <row r="2216" customFormat="false" ht="15" hidden="false" customHeight="false" outlineLevel="0" collapsed="false">
      <c r="A2216" s="1" t="s">
        <v>10047</v>
      </c>
      <c r="B2216" s="1" t="s">
        <v>10048</v>
      </c>
      <c r="C2216" s="1" t="s">
        <v>7020</v>
      </c>
      <c r="D2216" s="2" t="n">
        <v>37796</v>
      </c>
      <c r="E2216" s="1" t="s">
        <v>763</v>
      </c>
      <c r="F2216" s="1" t="s">
        <v>711</v>
      </c>
      <c r="G2216" s="1" t="s">
        <v>2997</v>
      </c>
      <c r="H2216" s="1" t="s">
        <v>713</v>
      </c>
      <c r="I2216" s="1" t="s">
        <v>714</v>
      </c>
      <c r="J2216" s="1" t="s">
        <v>2997</v>
      </c>
      <c r="K2216" s="1" t="s">
        <v>10049</v>
      </c>
      <c r="L2216" s="1" t="s">
        <v>7023</v>
      </c>
      <c r="M2216" s="1" t="s">
        <v>718</v>
      </c>
    </row>
    <row r="2217" customFormat="false" ht="15" hidden="false" customHeight="false" outlineLevel="0" collapsed="false">
      <c r="A2217" s="1" t="s">
        <v>10050</v>
      </c>
      <c r="B2217" s="1" t="s">
        <v>10051</v>
      </c>
      <c r="C2217" s="1" t="s">
        <v>10052</v>
      </c>
      <c r="D2217" s="2" t="n">
        <v>37756</v>
      </c>
      <c r="E2217" s="1" t="s">
        <v>763</v>
      </c>
      <c r="F2217" s="1" t="s">
        <v>711</v>
      </c>
      <c r="G2217" s="1" t="s">
        <v>722</v>
      </c>
      <c r="H2217" s="1" t="s">
        <v>713</v>
      </c>
      <c r="I2217" s="1" t="s">
        <v>714</v>
      </c>
      <c r="J2217" s="1" t="s">
        <v>1445</v>
      </c>
      <c r="K2217" s="1" t="s">
        <v>7653</v>
      </c>
      <c r="L2217" s="1" t="s">
        <v>10053</v>
      </c>
      <c r="M2217" s="1" t="s">
        <v>718</v>
      </c>
    </row>
    <row r="2218" customFormat="false" ht="15" hidden="false" customHeight="false" outlineLevel="0" collapsed="false">
      <c r="A2218" s="1" t="s">
        <v>10054</v>
      </c>
      <c r="B2218" s="1" t="s">
        <v>10055</v>
      </c>
      <c r="C2218" s="1" t="s">
        <v>5996</v>
      </c>
      <c r="D2218" s="2" t="n">
        <v>37615</v>
      </c>
      <c r="E2218" s="1" t="s">
        <v>763</v>
      </c>
      <c r="F2218" s="1" t="s">
        <v>711</v>
      </c>
      <c r="G2218" s="1" t="s">
        <v>712</v>
      </c>
      <c r="H2218" s="1" t="s">
        <v>713</v>
      </c>
      <c r="I2218" s="1" t="s">
        <v>714</v>
      </c>
      <c r="J2218" s="1" t="s">
        <v>10056</v>
      </c>
      <c r="K2218" s="1" t="s">
        <v>7653</v>
      </c>
      <c r="L2218" s="1" t="s">
        <v>10057</v>
      </c>
      <c r="M2218" s="1" t="s">
        <v>718</v>
      </c>
    </row>
    <row r="2219" customFormat="false" ht="15" hidden="false" customHeight="false" outlineLevel="0" collapsed="false">
      <c r="A2219" s="1" t="s">
        <v>10058</v>
      </c>
      <c r="B2219" s="1" t="s">
        <v>10059</v>
      </c>
      <c r="C2219" s="1" t="s">
        <v>10060</v>
      </c>
      <c r="D2219" s="2" t="n">
        <v>37712</v>
      </c>
      <c r="E2219" s="1" t="s">
        <v>763</v>
      </c>
      <c r="F2219" s="1" t="s">
        <v>711</v>
      </c>
      <c r="G2219" s="1" t="s">
        <v>7695</v>
      </c>
      <c r="H2219" s="1" t="s">
        <v>713</v>
      </c>
      <c r="I2219" s="1" t="s">
        <v>714</v>
      </c>
      <c r="J2219" s="1" t="s">
        <v>859</v>
      </c>
      <c r="K2219" s="1" t="s">
        <v>7653</v>
      </c>
      <c r="L2219" s="1" t="s">
        <v>10061</v>
      </c>
      <c r="M2219" s="1" t="s">
        <v>718</v>
      </c>
    </row>
    <row r="2220" customFormat="false" ht="15" hidden="false" customHeight="false" outlineLevel="0" collapsed="false">
      <c r="A2220" s="1" t="s">
        <v>10062</v>
      </c>
      <c r="B2220" s="1" t="s">
        <v>10063</v>
      </c>
      <c r="C2220" s="1" t="s">
        <v>10064</v>
      </c>
      <c r="D2220" s="2" t="n">
        <v>37657</v>
      </c>
      <c r="E2220" s="1" t="s">
        <v>763</v>
      </c>
      <c r="F2220" s="1" t="s">
        <v>711</v>
      </c>
      <c r="G2220" s="1" t="s">
        <v>722</v>
      </c>
      <c r="H2220" s="1" t="s">
        <v>713</v>
      </c>
      <c r="I2220" s="1" t="s">
        <v>714</v>
      </c>
      <c r="J2220" s="1" t="s">
        <v>10065</v>
      </c>
      <c r="K2220" s="1" t="s">
        <v>7653</v>
      </c>
      <c r="L2220" s="1" t="s">
        <v>1655</v>
      </c>
      <c r="M2220" s="1" t="s">
        <v>718</v>
      </c>
    </row>
    <row r="2221" customFormat="false" ht="15" hidden="false" customHeight="false" outlineLevel="0" collapsed="false">
      <c r="A2221" s="1" t="s">
        <v>10066</v>
      </c>
      <c r="B2221" s="1" t="s">
        <v>10067</v>
      </c>
      <c r="C2221" s="1" t="s">
        <v>750</v>
      </c>
      <c r="D2221" s="2" t="n">
        <v>37632</v>
      </c>
      <c r="E2221" s="1" t="s">
        <v>710</v>
      </c>
      <c r="F2221" s="1" t="s">
        <v>711</v>
      </c>
      <c r="G2221" s="1" t="s">
        <v>722</v>
      </c>
      <c r="H2221" s="1" t="s">
        <v>713</v>
      </c>
      <c r="I2221" s="1" t="s">
        <v>714</v>
      </c>
      <c r="J2221" s="1" t="s">
        <v>1898</v>
      </c>
      <c r="K2221" s="1" t="s">
        <v>7653</v>
      </c>
      <c r="L2221" s="1" t="s">
        <v>2254</v>
      </c>
      <c r="M2221" s="1" t="s">
        <v>718</v>
      </c>
    </row>
    <row r="2222" customFormat="false" ht="15" hidden="false" customHeight="false" outlineLevel="0" collapsed="false">
      <c r="A2222" s="1" t="s">
        <v>10068</v>
      </c>
      <c r="B2222" s="1" t="s">
        <v>10069</v>
      </c>
      <c r="C2222" s="1" t="s">
        <v>10070</v>
      </c>
      <c r="D2222" s="2" t="n">
        <v>36686</v>
      </c>
      <c r="E2222" s="1" t="s">
        <v>710</v>
      </c>
      <c r="F2222" s="1" t="s">
        <v>711</v>
      </c>
      <c r="G2222" s="1" t="s">
        <v>712</v>
      </c>
      <c r="H2222" s="1" t="s">
        <v>713</v>
      </c>
      <c r="I2222" s="1" t="s">
        <v>714</v>
      </c>
      <c r="J2222" s="1" t="s">
        <v>10071</v>
      </c>
      <c r="K2222" s="1" t="s">
        <v>10072</v>
      </c>
      <c r="L2222" s="1" t="s">
        <v>10073</v>
      </c>
      <c r="M2222" s="1" t="s">
        <v>718</v>
      </c>
    </row>
    <row r="2223" customFormat="false" ht="15" hidden="false" customHeight="false" outlineLevel="0" collapsed="false">
      <c r="A2223" s="1" t="s">
        <v>10074</v>
      </c>
      <c r="B2223" s="1" t="s">
        <v>1636</v>
      </c>
      <c r="C2223" s="1" t="s">
        <v>10075</v>
      </c>
      <c r="D2223" s="2" t="n">
        <v>36375</v>
      </c>
      <c r="E2223" s="1" t="s">
        <v>710</v>
      </c>
      <c r="F2223" s="1" t="s">
        <v>711</v>
      </c>
      <c r="G2223" s="1" t="s">
        <v>712</v>
      </c>
      <c r="H2223" s="1" t="s">
        <v>713</v>
      </c>
      <c r="I2223" s="1" t="s">
        <v>714</v>
      </c>
      <c r="J2223" s="1" t="s">
        <v>715</v>
      </c>
      <c r="K2223" s="1" t="s">
        <v>10076</v>
      </c>
      <c r="L2223" s="1" t="s">
        <v>10077</v>
      </c>
      <c r="M2223" s="1" t="s">
        <v>718</v>
      </c>
    </row>
    <row r="2224" customFormat="false" ht="15" hidden="false" customHeight="false" outlineLevel="0" collapsed="false">
      <c r="A2224" s="1" t="s">
        <v>10078</v>
      </c>
      <c r="B2224" s="1" t="s">
        <v>10079</v>
      </c>
      <c r="C2224" s="1" t="s">
        <v>10080</v>
      </c>
      <c r="D2224" s="2" t="n">
        <v>37262</v>
      </c>
      <c r="E2224" s="1" t="s">
        <v>763</v>
      </c>
      <c r="F2224" s="1" t="s">
        <v>711</v>
      </c>
      <c r="G2224" s="1" t="s">
        <v>712</v>
      </c>
      <c r="H2224" s="1" t="s">
        <v>713</v>
      </c>
      <c r="I2224" s="1" t="s">
        <v>714</v>
      </c>
      <c r="J2224" s="1" t="s">
        <v>1530</v>
      </c>
      <c r="K2224" s="1" t="s">
        <v>10081</v>
      </c>
      <c r="L2224" s="1" t="s">
        <v>10082</v>
      </c>
      <c r="M2224" s="1" t="s">
        <v>718</v>
      </c>
    </row>
    <row r="2225" customFormat="false" ht="15" hidden="false" customHeight="false" outlineLevel="0" collapsed="false">
      <c r="A2225" s="1" t="s">
        <v>10083</v>
      </c>
      <c r="B2225" s="1" t="s">
        <v>10084</v>
      </c>
      <c r="C2225" s="1" t="s">
        <v>756</v>
      </c>
      <c r="D2225" s="2" t="n">
        <v>35860</v>
      </c>
      <c r="E2225" s="1" t="s">
        <v>763</v>
      </c>
      <c r="F2225" s="1" t="s">
        <v>711</v>
      </c>
      <c r="G2225" s="1" t="s">
        <v>722</v>
      </c>
      <c r="H2225" s="1" t="s">
        <v>713</v>
      </c>
      <c r="I2225" s="1" t="s">
        <v>714</v>
      </c>
      <c r="J2225" s="1" t="s">
        <v>751</v>
      </c>
      <c r="K2225" s="1" t="s">
        <v>9057</v>
      </c>
      <c r="L2225" s="1" t="s">
        <v>9058</v>
      </c>
      <c r="M2225" s="1" t="s">
        <v>718</v>
      </c>
    </row>
    <row r="2226" customFormat="false" ht="15" hidden="false" customHeight="false" outlineLevel="0" collapsed="false">
      <c r="A2226" s="1" t="s">
        <v>10085</v>
      </c>
      <c r="B2226" s="1" t="s">
        <v>10086</v>
      </c>
      <c r="C2226" s="1" t="s">
        <v>1637</v>
      </c>
      <c r="D2226" s="2" t="n">
        <v>36697</v>
      </c>
      <c r="E2226" s="1" t="s">
        <v>763</v>
      </c>
      <c r="F2226" s="1" t="s">
        <v>711</v>
      </c>
      <c r="G2226" s="1" t="s">
        <v>712</v>
      </c>
      <c r="H2226" s="1" t="s">
        <v>713</v>
      </c>
      <c r="I2226" s="1" t="s">
        <v>714</v>
      </c>
      <c r="J2226" s="1" t="s">
        <v>1445</v>
      </c>
      <c r="K2226" s="1" t="s">
        <v>10087</v>
      </c>
      <c r="L2226" s="1" t="s">
        <v>1638</v>
      </c>
      <c r="M2226" s="1" t="s">
        <v>718</v>
      </c>
    </row>
    <row r="2227" customFormat="false" ht="15" hidden="false" customHeight="false" outlineLevel="0" collapsed="false">
      <c r="A2227" s="1" t="s">
        <v>10088</v>
      </c>
      <c r="B2227" s="1" t="s">
        <v>10089</v>
      </c>
      <c r="C2227" s="1" t="s">
        <v>10090</v>
      </c>
      <c r="D2227" s="2" t="n">
        <v>36588</v>
      </c>
      <c r="E2227" s="1" t="s">
        <v>710</v>
      </c>
      <c r="F2227" s="1" t="s">
        <v>711</v>
      </c>
      <c r="G2227" s="1" t="s">
        <v>722</v>
      </c>
      <c r="H2227" s="1" t="s">
        <v>713</v>
      </c>
      <c r="I2227" s="1" t="s">
        <v>714</v>
      </c>
      <c r="J2227" s="1" t="s">
        <v>978</v>
      </c>
      <c r="K2227" s="1" t="s">
        <v>10091</v>
      </c>
      <c r="L2227" s="1" t="s">
        <v>10092</v>
      </c>
      <c r="M2227" s="1" t="s">
        <v>718</v>
      </c>
    </row>
    <row r="2228" customFormat="false" ht="15" hidden="false" customHeight="false" outlineLevel="0" collapsed="false">
      <c r="A2228" s="1" t="s">
        <v>10093</v>
      </c>
      <c r="B2228" s="1" t="s">
        <v>10094</v>
      </c>
      <c r="C2228" s="1" t="s">
        <v>10095</v>
      </c>
      <c r="D2228" s="2" t="n">
        <v>35902</v>
      </c>
      <c r="E2228" s="1" t="s">
        <v>710</v>
      </c>
      <c r="F2228" s="1" t="s">
        <v>711</v>
      </c>
      <c r="G2228" s="1" t="s">
        <v>10096</v>
      </c>
      <c r="H2228" s="1" t="s">
        <v>713</v>
      </c>
      <c r="I2228" s="1" t="s">
        <v>714</v>
      </c>
      <c r="J2228" s="1" t="s">
        <v>8511</v>
      </c>
      <c r="K2228" s="1" t="s">
        <v>10097</v>
      </c>
      <c r="L2228" s="1" t="s">
        <v>10098</v>
      </c>
      <c r="M2228" s="1" t="s">
        <v>718</v>
      </c>
    </row>
    <row r="2229" customFormat="false" ht="15" hidden="false" customHeight="false" outlineLevel="0" collapsed="false">
      <c r="A2229" s="1" t="s">
        <v>10099</v>
      </c>
      <c r="B2229" s="1" t="s">
        <v>10100</v>
      </c>
      <c r="C2229" s="1" t="s">
        <v>10090</v>
      </c>
      <c r="D2229" s="2" t="n">
        <v>36368</v>
      </c>
      <c r="E2229" s="1" t="s">
        <v>763</v>
      </c>
      <c r="F2229" s="1" t="s">
        <v>711</v>
      </c>
      <c r="G2229" s="1" t="s">
        <v>722</v>
      </c>
      <c r="H2229" s="1" t="s">
        <v>713</v>
      </c>
      <c r="I2229" s="1" t="s">
        <v>714</v>
      </c>
      <c r="J2229" s="1" t="s">
        <v>8518</v>
      </c>
      <c r="K2229" s="1" t="s">
        <v>7653</v>
      </c>
      <c r="L2229" s="1" t="s">
        <v>10101</v>
      </c>
      <c r="M2229" s="1" t="s">
        <v>718</v>
      </c>
    </row>
    <row r="2230" customFormat="false" ht="15" hidden="false" customHeight="false" outlineLevel="0" collapsed="false">
      <c r="A2230" s="1" t="s">
        <v>10102</v>
      </c>
      <c r="B2230" s="1" t="s">
        <v>10103</v>
      </c>
      <c r="C2230" s="1" t="s">
        <v>10104</v>
      </c>
      <c r="D2230" s="2" t="n">
        <v>36608</v>
      </c>
      <c r="E2230" s="1" t="s">
        <v>763</v>
      </c>
      <c r="F2230" s="1" t="s">
        <v>711</v>
      </c>
      <c r="G2230" s="1" t="s">
        <v>712</v>
      </c>
      <c r="H2230" s="1" t="s">
        <v>713</v>
      </c>
      <c r="I2230" s="1" t="s">
        <v>714</v>
      </c>
      <c r="J2230" s="1" t="s">
        <v>1723</v>
      </c>
      <c r="K2230" s="1" t="s">
        <v>10105</v>
      </c>
      <c r="L2230" s="1" t="s">
        <v>10106</v>
      </c>
      <c r="M2230" s="1" t="s">
        <v>718</v>
      </c>
    </row>
    <row r="2231" customFormat="false" ht="15" hidden="false" customHeight="false" outlineLevel="0" collapsed="false">
      <c r="A2231" s="1" t="s">
        <v>10107</v>
      </c>
      <c r="B2231" s="1" t="s">
        <v>10108</v>
      </c>
      <c r="C2231" s="1" t="s">
        <v>4162</v>
      </c>
      <c r="D2231" s="2" t="n">
        <v>36992</v>
      </c>
      <c r="E2231" s="1" t="s">
        <v>710</v>
      </c>
      <c r="F2231" s="1" t="s">
        <v>711</v>
      </c>
      <c r="G2231" s="1" t="s">
        <v>712</v>
      </c>
      <c r="H2231" s="1" t="s">
        <v>713</v>
      </c>
      <c r="I2231" s="1" t="s">
        <v>714</v>
      </c>
      <c r="J2231" s="1" t="s">
        <v>1114</v>
      </c>
      <c r="K2231" s="1" t="s">
        <v>9793</v>
      </c>
      <c r="L2231" s="1" t="s">
        <v>1314</v>
      </c>
      <c r="M2231" s="1" t="s">
        <v>718</v>
      </c>
    </row>
    <row r="2232" customFormat="false" ht="15" hidden="false" customHeight="false" outlineLevel="0" collapsed="false">
      <c r="A2232" s="1" t="s">
        <v>10109</v>
      </c>
      <c r="B2232" s="1" t="s">
        <v>10110</v>
      </c>
      <c r="C2232" s="1" t="s">
        <v>10111</v>
      </c>
      <c r="D2232" s="2" t="n">
        <v>36061</v>
      </c>
      <c r="E2232" s="1" t="s">
        <v>763</v>
      </c>
      <c r="F2232" s="1" t="s">
        <v>711</v>
      </c>
      <c r="G2232" s="1" t="s">
        <v>10112</v>
      </c>
      <c r="H2232" s="1" t="s">
        <v>713</v>
      </c>
      <c r="I2232" s="1" t="s">
        <v>714</v>
      </c>
      <c r="J2232" s="1" t="s">
        <v>6740</v>
      </c>
      <c r="K2232" s="1" t="s">
        <v>7653</v>
      </c>
      <c r="L2232" s="1" t="s">
        <v>10113</v>
      </c>
      <c r="M2232" s="1" t="s">
        <v>718</v>
      </c>
    </row>
    <row r="2233" customFormat="false" ht="15" hidden="false" customHeight="false" outlineLevel="0" collapsed="false">
      <c r="A2233" s="1" t="s">
        <v>10114</v>
      </c>
      <c r="B2233" s="1" t="s">
        <v>10115</v>
      </c>
      <c r="C2233" s="1" t="s">
        <v>3225</v>
      </c>
      <c r="D2233" s="2" t="n">
        <v>37593</v>
      </c>
      <c r="E2233" s="1" t="s">
        <v>763</v>
      </c>
      <c r="F2233" s="1" t="s">
        <v>711</v>
      </c>
      <c r="G2233" s="1" t="s">
        <v>712</v>
      </c>
      <c r="H2233" s="1" t="s">
        <v>713</v>
      </c>
      <c r="I2233" s="1" t="s">
        <v>714</v>
      </c>
      <c r="J2233" s="1" t="s">
        <v>1723</v>
      </c>
      <c r="K2233" s="1" t="s">
        <v>10116</v>
      </c>
      <c r="L2233" s="1" t="s">
        <v>3227</v>
      </c>
      <c r="M2233" s="1" t="s">
        <v>718</v>
      </c>
    </row>
    <row r="2234" customFormat="false" ht="15" hidden="false" customHeight="false" outlineLevel="0" collapsed="false">
      <c r="A2234" s="1" t="s">
        <v>10117</v>
      </c>
      <c r="B2234" s="1" t="s">
        <v>10118</v>
      </c>
      <c r="C2234" s="1" t="s">
        <v>6623</v>
      </c>
      <c r="D2234" s="2" t="n">
        <v>37603</v>
      </c>
      <c r="E2234" s="1" t="s">
        <v>710</v>
      </c>
      <c r="F2234" s="1" t="s">
        <v>711</v>
      </c>
      <c r="G2234" s="1" t="s">
        <v>712</v>
      </c>
      <c r="H2234" s="1" t="s">
        <v>713</v>
      </c>
      <c r="I2234" s="1" t="s">
        <v>714</v>
      </c>
      <c r="J2234" s="1" t="s">
        <v>978</v>
      </c>
      <c r="K2234" s="1" t="s">
        <v>10119</v>
      </c>
      <c r="L2234" s="1" t="s">
        <v>6534</v>
      </c>
      <c r="M2234" s="1" t="s">
        <v>718</v>
      </c>
    </row>
    <row r="2235" customFormat="false" ht="15" hidden="false" customHeight="false" outlineLevel="0" collapsed="false">
      <c r="A2235" s="1" t="s">
        <v>10120</v>
      </c>
      <c r="B2235" s="1" t="s">
        <v>10121</v>
      </c>
      <c r="C2235" s="1" t="s">
        <v>2006</v>
      </c>
      <c r="D2235" s="2" t="n">
        <v>37880</v>
      </c>
      <c r="E2235" s="1" t="s">
        <v>763</v>
      </c>
      <c r="F2235" s="1" t="s">
        <v>711</v>
      </c>
      <c r="G2235" s="1" t="s">
        <v>712</v>
      </c>
      <c r="H2235" s="1" t="s">
        <v>713</v>
      </c>
      <c r="I2235" s="1" t="s">
        <v>714</v>
      </c>
      <c r="J2235" s="1" t="s">
        <v>10122</v>
      </c>
      <c r="K2235" s="1" t="s">
        <v>10123</v>
      </c>
      <c r="L2235" s="1" t="s">
        <v>6346</v>
      </c>
      <c r="M2235" s="1" t="s">
        <v>718</v>
      </c>
    </row>
    <row r="2236" customFormat="false" ht="15" hidden="false" customHeight="false" outlineLevel="0" collapsed="false">
      <c r="A2236" s="1" t="s">
        <v>10124</v>
      </c>
      <c r="B2236" s="1" t="s">
        <v>1523</v>
      </c>
      <c r="C2236" s="1" t="s">
        <v>10125</v>
      </c>
      <c r="D2236" s="2" t="n">
        <v>37414</v>
      </c>
      <c r="E2236" s="1" t="s">
        <v>763</v>
      </c>
      <c r="F2236" s="1" t="s">
        <v>711</v>
      </c>
      <c r="G2236" s="1" t="s">
        <v>712</v>
      </c>
      <c r="H2236" s="1" t="s">
        <v>713</v>
      </c>
      <c r="I2236" s="1" t="s">
        <v>714</v>
      </c>
      <c r="J2236" s="1" t="s">
        <v>9875</v>
      </c>
      <c r="K2236" s="1" t="s">
        <v>9852</v>
      </c>
      <c r="L2236" s="1" t="s">
        <v>9853</v>
      </c>
      <c r="M2236" s="1" t="s">
        <v>718</v>
      </c>
    </row>
    <row r="2237" customFormat="false" ht="15" hidden="false" customHeight="false" outlineLevel="0" collapsed="false">
      <c r="A2237" s="1" t="s">
        <v>10126</v>
      </c>
      <c r="B2237" s="1" t="s">
        <v>10127</v>
      </c>
      <c r="C2237" s="1" t="s">
        <v>1234</v>
      </c>
      <c r="D2237" s="2" t="n">
        <v>36803</v>
      </c>
      <c r="E2237" s="1" t="s">
        <v>710</v>
      </c>
      <c r="F2237" s="1" t="s">
        <v>711</v>
      </c>
      <c r="G2237" s="1" t="s">
        <v>712</v>
      </c>
      <c r="H2237" s="1" t="s">
        <v>713</v>
      </c>
      <c r="I2237" s="1" t="s">
        <v>714</v>
      </c>
      <c r="J2237" s="1" t="s">
        <v>4239</v>
      </c>
      <c r="K2237" s="1" t="s">
        <v>7653</v>
      </c>
      <c r="L2237" s="1" t="s">
        <v>4396</v>
      </c>
      <c r="M2237" s="1" t="s">
        <v>718</v>
      </c>
    </row>
    <row r="2238" customFormat="false" ht="15" hidden="false" customHeight="false" outlineLevel="0" collapsed="false">
      <c r="A2238" s="1" t="s">
        <v>10128</v>
      </c>
      <c r="B2238" s="1" t="s">
        <v>1464</v>
      </c>
      <c r="C2238" s="1" t="s">
        <v>10129</v>
      </c>
      <c r="D2238" s="2" t="n">
        <v>38569</v>
      </c>
      <c r="E2238" s="1" t="s">
        <v>710</v>
      </c>
      <c r="F2238" s="1" t="s">
        <v>711</v>
      </c>
      <c r="G2238" s="1" t="s">
        <v>9029</v>
      </c>
      <c r="H2238" s="1" t="s">
        <v>713</v>
      </c>
      <c r="I2238" s="1" t="s">
        <v>714</v>
      </c>
      <c r="J2238" s="1" t="s">
        <v>9029</v>
      </c>
      <c r="K2238" s="1" t="s">
        <v>10130</v>
      </c>
      <c r="L2238" s="1" t="s">
        <v>10131</v>
      </c>
      <c r="M2238" s="1" t="s">
        <v>718</v>
      </c>
    </row>
    <row r="2239" customFormat="false" ht="15" hidden="false" customHeight="false" outlineLevel="0" collapsed="false">
      <c r="A2239" s="1" t="s">
        <v>10132</v>
      </c>
      <c r="B2239" s="1" t="s">
        <v>10133</v>
      </c>
      <c r="C2239" s="1" t="s">
        <v>10134</v>
      </c>
      <c r="D2239" s="2" t="n">
        <v>37658</v>
      </c>
      <c r="E2239" s="1" t="s">
        <v>710</v>
      </c>
      <c r="F2239" s="1" t="s">
        <v>711</v>
      </c>
      <c r="G2239" s="1" t="s">
        <v>722</v>
      </c>
      <c r="H2239" s="1" t="s">
        <v>10135</v>
      </c>
      <c r="I2239" s="1" t="s">
        <v>10136</v>
      </c>
      <c r="J2239" s="1" t="s">
        <v>1584</v>
      </c>
      <c r="K2239" s="1" t="s">
        <v>10137</v>
      </c>
      <c r="L2239" s="1" t="s">
        <v>10138</v>
      </c>
      <c r="M2239" s="1" t="s">
        <v>718</v>
      </c>
    </row>
    <row r="2240" customFormat="false" ht="15" hidden="false" customHeight="false" outlineLevel="0" collapsed="false">
      <c r="A2240" s="1" t="s">
        <v>10139</v>
      </c>
      <c r="B2240" s="1" t="s">
        <v>10140</v>
      </c>
      <c r="C2240" s="1" t="s">
        <v>4162</v>
      </c>
      <c r="D2240" s="2" t="n">
        <v>36506</v>
      </c>
      <c r="E2240" s="1" t="s">
        <v>763</v>
      </c>
      <c r="F2240" s="1" t="s">
        <v>711</v>
      </c>
      <c r="G2240" s="1" t="s">
        <v>722</v>
      </c>
      <c r="H2240" s="1" t="s">
        <v>713</v>
      </c>
      <c r="I2240" s="1" t="s">
        <v>714</v>
      </c>
      <c r="J2240" s="1" t="s">
        <v>7492</v>
      </c>
      <c r="K2240" s="1" t="s">
        <v>9793</v>
      </c>
      <c r="L2240" s="1" t="s">
        <v>1314</v>
      </c>
      <c r="M2240" s="1" t="s">
        <v>718</v>
      </c>
    </row>
    <row r="2241" customFormat="false" ht="15" hidden="false" customHeight="false" outlineLevel="0" collapsed="false">
      <c r="A2241" s="1" t="s">
        <v>10141</v>
      </c>
      <c r="B2241" s="1" t="s">
        <v>10142</v>
      </c>
      <c r="C2241" s="1" t="s">
        <v>10143</v>
      </c>
      <c r="D2241" s="2" t="n">
        <v>37673</v>
      </c>
      <c r="E2241" s="1" t="s">
        <v>710</v>
      </c>
      <c r="F2241" s="1" t="s">
        <v>711</v>
      </c>
      <c r="G2241" s="1" t="s">
        <v>712</v>
      </c>
      <c r="H2241" s="1" t="s">
        <v>713</v>
      </c>
      <c r="I2241" s="1" t="s">
        <v>714</v>
      </c>
      <c r="J2241" s="1" t="s">
        <v>1149</v>
      </c>
      <c r="K2241" s="1" t="s">
        <v>10144</v>
      </c>
      <c r="L2241" s="1" t="s">
        <v>10145</v>
      </c>
      <c r="M2241" s="1" t="s">
        <v>718</v>
      </c>
    </row>
    <row r="2242" customFormat="false" ht="15" hidden="false" customHeight="false" outlineLevel="0" collapsed="false">
      <c r="A2242" s="1" t="s">
        <v>10146</v>
      </c>
      <c r="B2242" s="1" t="s">
        <v>10147</v>
      </c>
      <c r="C2242" s="1" t="s">
        <v>10148</v>
      </c>
      <c r="D2242" s="2" t="n">
        <v>37924</v>
      </c>
      <c r="E2242" s="1" t="s">
        <v>763</v>
      </c>
      <c r="F2242" s="1" t="s">
        <v>711</v>
      </c>
      <c r="G2242" s="1" t="s">
        <v>722</v>
      </c>
      <c r="H2242" s="1" t="s">
        <v>713</v>
      </c>
      <c r="I2242" s="1" t="s">
        <v>714</v>
      </c>
      <c r="J2242" s="1" t="s">
        <v>1244</v>
      </c>
      <c r="K2242" s="1" t="s">
        <v>10149</v>
      </c>
      <c r="L2242" s="1" t="s">
        <v>10150</v>
      </c>
      <c r="M2242" s="1" t="s">
        <v>718</v>
      </c>
    </row>
    <row r="2243" customFormat="false" ht="15" hidden="false" customHeight="false" outlineLevel="0" collapsed="false">
      <c r="A2243" s="1" t="s">
        <v>10151</v>
      </c>
      <c r="B2243" s="1" t="s">
        <v>6822</v>
      </c>
      <c r="C2243" s="1" t="s">
        <v>10152</v>
      </c>
      <c r="D2243" s="2" t="n">
        <v>33099</v>
      </c>
      <c r="E2243" s="1" t="s">
        <v>710</v>
      </c>
      <c r="F2243" s="1" t="s">
        <v>711</v>
      </c>
      <c r="G2243" s="1" t="s">
        <v>712</v>
      </c>
      <c r="H2243" s="1" t="s">
        <v>713</v>
      </c>
      <c r="I2243" s="1" t="s">
        <v>714</v>
      </c>
      <c r="J2243" s="1" t="s">
        <v>716</v>
      </c>
      <c r="K2243" s="1" t="s">
        <v>716</v>
      </c>
      <c r="L2243" s="1" t="s">
        <v>1418</v>
      </c>
      <c r="M2243" s="1" t="s">
        <v>718</v>
      </c>
    </row>
    <row r="2244" customFormat="false" ht="15" hidden="false" customHeight="false" outlineLevel="0" collapsed="false">
      <c r="A2244" s="1" t="s">
        <v>10153</v>
      </c>
      <c r="B2244" s="1" t="s">
        <v>10154</v>
      </c>
      <c r="C2244" s="1" t="s">
        <v>10155</v>
      </c>
      <c r="D2244" s="2" t="n">
        <v>34577</v>
      </c>
      <c r="E2244" s="1" t="s">
        <v>710</v>
      </c>
      <c r="F2244" s="1" t="s">
        <v>711</v>
      </c>
      <c r="G2244" s="1" t="s">
        <v>712</v>
      </c>
      <c r="H2244" s="1" t="s">
        <v>713</v>
      </c>
      <c r="I2244" s="1" t="s">
        <v>714</v>
      </c>
      <c r="J2244" s="1" t="s">
        <v>4239</v>
      </c>
      <c r="K2244" s="1" t="s">
        <v>10156</v>
      </c>
      <c r="L2244" s="1" t="s">
        <v>5729</v>
      </c>
      <c r="M2244" s="1" t="s">
        <v>718</v>
      </c>
    </row>
    <row r="2245" customFormat="false" ht="15" hidden="false" customHeight="false" outlineLevel="0" collapsed="false">
      <c r="A2245" s="1" t="s">
        <v>10157</v>
      </c>
      <c r="B2245" s="1" t="s">
        <v>10158</v>
      </c>
      <c r="C2245" s="1" t="s">
        <v>739</v>
      </c>
      <c r="D2245" s="2" t="n">
        <v>32525</v>
      </c>
      <c r="E2245" s="1" t="s">
        <v>710</v>
      </c>
      <c r="F2245" s="1" t="s">
        <v>711</v>
      </c>
      <c r="G2245" s="1" t="s">
        <v>712</v>
      </c>
      <c r="H2245" s="1" t="s">
        <v>713</v>
      </c>
      <c r="I2245" s="1" t="s">
        <v>714</v>
      </c>
      <c r="J2245" s="1" t="s">
        <v>716</v>
      </c>
      <c r="K2245" s="1" t="s">
        <v>716</v>
      </c>
      <c r="L2245" s="1" t="s">
        <v>1418</v>
      </c>
      <c r="M2245" s="1" t="s">
        <v>718</v>
      </c>
    </row>
    <row r="2246" customFormat="false" ht="15" hidden="false" customHeight="false" outlineLevel="0" collapsed="false">
      <c r="A2246" s="1" t="s">
        <v>10159</v>
      </c>
      <c r="B2246" s="1" t="s">
        <v>10160</v>
      </c>
      <c r="C2246" s="1" t="s">
        <v>10161</v>
      </c>
      <c r="D2246" s="2" t="n">
        <v>34794</v>
      </c>
      <c r="E2246" s="1" t="s">
        <v>763</v>
      </c>
      <c r="F2246" s="1" t="s">
        <v>711</v>
      </c>
      <c r="G2246" s="1" t="s">
        <v>722</v>
      </c>
      <c r="H2246" s="1" t="s">
        <v>713</v>
      </c>
      <c r="I2246" s="1" t="s">
        <v>714</v>
      </c>
      <c r="J2246" s="1" t="s">
        <v>716</v>
      </c>
      <c r="K2246" s="1" t="s">
        <v>716</v>
      </c>
      <c r="L2246" s="1" t="s">
        <v>1418</v>
      </c>
      <c r="M2246" s="1" t="s">
        <v>718</v>
      </c>
    </row>
    <row r="2247" customFormat="false" ht="15" hidden="false" customHeight="false" outlineLevel="0" collapsed="false">
      <c r="A2247" s="1" t="s">
        <v>10162</v>
      </c>
      <c r="B2247" s="1" t="s">
        <v>10163</v>
      </c>
      <c r="C2247" s="1" t="s">
        <v>10164</v>
      </c>
      <c r="D2247" s="2" t="n">
        <v>34171</v>
      </c>
      <c r="E2247" s="1" t="s">
        <v>763</v>
      </c>
      <c r="F2247" s="1" t="s">
        <v>711</v>
      </c>
      <c r="G2247" s="1" t="s">
        <v>712</v>
      </c>
      <c r="H2247" s="1" t="s">
        <v>713</v>
      </c>
      <c r="I2247" s="1" t="s">
        <v>714</v>
      </c>
      <c r="J2247" s="1" t="s">
        <v>716</v>
      </c>
      <c r="K2247" s="1" t="s">
        <v>716</v>
      </c>
      <c r="L2247" s="1" t="s">
        <v>1418</v>
      </c>
      <c r="M2247" s="1" t="s">
        <v>718</v>
      </c>
    </row>
    <row r="2248" customFormat="false" ht="15" hidden="false" customHeight="false" outlineLevel="0" collapsed="false">
      <c r="A2248" s="1" t="s">
        <v>10165</v>
      </c>
      <c r="B2248" s="1" t="s">
        <v>10166</v>
      </c>
      <c r="C2248" s="1" t="s">
        <v>10167</v>
      </c>
      <c r="D2248" s="2" t="n">
        <v>31222</v>
      </c>
      <c r="E2248" s="1" t="s">
        <v>710</v>
      </c>
      <c r="F2248" s="1" t="s">
        <v>711</v>
      </c>
      <c r="G2248" s="1" t="s">
        <v>712</v>
      </c>
      <c r="H2248" s="1" t="s">
        <v>713</v>
      </c>
      <c r="I2248" s="1" t="s">
        <v>714</v>
      </c>
      <c r="J2248" s="1" t="s">
        <v>716</v>
      </c>
      <c r="K2248" s="1" t="s">
        <v>716</v>
      </c>
      <c r="L2248" s="1" t="s">
        <v>1418</v>
      </c>
      <c r="M2248" s="1" t="s">
        <v>718</v>
      </c>
    </row>
    <row r="2249" customFormat="false" ht="15" hidden="false" customHeight="false" outlineLevel="0" collapsed="false">
      <c r="A2249" s="1" t="s">
        <v>10168</v>
      </c>
      <c r="B2249" s="1" t="s">
        <v>10169</v>
      </c>
      <c r="C2249" s="1" t="s">
        <v>10170</v>
      </c>
      <c r="D2249" s="2" t="n">
        <v>33274</v>
      </c>
      <c r="E2249" s="1" t="s">
        <v>710</v>
      </c>
      <c r="F2249" s="1" t="s">
        <v>711</v>
      </c>
      <c r="G2249" s="1" t="s">
        <v>712</v>
      </c>
      <c r="H2249" s="1" t="s">
        <v>713</v>
      </c>
      <c r="I2249" s="1" t="s">
        <v>714</v>
      </c>
      <c r="J2249" s="1" t="s">
        <v>716</v>
      </c>
      <c r="K2249" s="1" t="s">
        <v>716</v>
      </c>
      <c r="L2249" s="1" t="s">
        <v>1418</v>
      </c>
      <c r="M2249" s="1" t="s">
        <v>718</v>
      </c>
    </row>
    <row r="2250" customFormat="false" ht="15" hidden="false" customHeight="false" outlineLevel="0" collapsed="false">
      <c r="A2250" s="1" t="s">
        <v>10171</v>
      </c>
      <c r="B2250" s="1" t="s">
        <v>5119</v>
      </c>
      <c r="C2250" s="1" t="s">
        <v>10172</v>
      </c>
      <c r="D2250" s="2" t="n">
        <v>30760</v>
      </c>
      <c r="E2250" s="1" t="s">
        <v>763</v>
      </c>
      <c r="F2250" s="1" t="s">
        <v>711</v>
      </c>
      <c r="G2250" s="1" t="s">
        <v>722</v>
      </c>
      <c r="H2250" s="1" t="s">
        <v>713</v>
      </c>
      <c r="I2250" s="1" t="s">
        <v>714</v>
      </c>
      <c r="J2250" s="1" t="s">
        <v>716</v>
      </c>
      <c r="K2250" s="1" t="s">
        <v>716</v>
      </c>
      <c r="L2250" s="1" t="s">
        <v>1418</v>
      </c>
      <c r="M2250" s="1" t="s">
        <v>718</v>
      </c>
    </row>
    <row r="2251" customFormat="false" ht="15" hidden="false" customHeight="false" outlineLevel="0" collapsed="false">
      <c r="A2251" s="1" t="s">
        <v>10173</v>
      </c>
      <c r="B2251" s="1" t="s">
        <v>10174</v>
      </c>
      <c r="C2251" s="1" t="s">
        <v>10175</v>
      </c>
      <c r="D2251" s="2" t="n">
        <v>29067</v>
      </c>
      <c r="E2251" s="1" t="s">
        <v>763</v>
      </c>
      <c r="F2251" s="1" t="s">
        <v>711</v>
      </c>
      <c r="G2251" s="1" t="s">
        <v>712</v>
      </c>
      <c r="H2251" s="1" t="s">
        <v>713</v>
      </c>
      <c r="I2251" s="1" t="s">
        <v>714</v>
      </c>
      <c r="J2251" s="1" t="s">
        <v>716</v>
      </c>
      <c r="K2251" s="1" t="s">
        <v>716</v>
      </c>
      <c r="L2251" s="1" t="s">
        <v>1418</v>
      </c>
      <c r="M2251" s="1" t="s">
        <v>718</v>
      </c>
    </row>
    <row r="2252" customFormat="false" ht="15" hidden="false" customHeight="false" outlineLevel="0" collapsed="false">
      <c r="A2252" s="1" t="s">
        <v>10176</v>
      </c>
      <c r="B2252" s="1" t="s">
        <v>10177</v>
      </c>
      <c r="C2252" s="1" t="s">
        <v>3314</v>
      </c>
      <c r="D2252" s="2" t="n">
        <v>34517</v>
      </c>
      <c r="E2252" s="1" t="s">
        <v>763</v>
      </c>
      <c r="F2252" s="1" t="s">
        <v>711</v>
      </c>
      <c r="G2252" s="1" t="s">
        <v>722</v>
      </c>
      <c r="H2252" s="1" t="s">
        <v>713</v>
      </c>
      <c r="I2252" s="1" t="s">
        <v>714</v>
      </c>
      <c r="J2252" s="1" t="s">
        <v>716</v>
      </c>
      <c r="K2252" s="1" t="s">
        <v>716</v>
      </c>
      <c r="L2252" s="1" t="s">
        <v>1418</v>
      </c>
      <c r="M2252" s="1" t="s">
        <v>718</v>
      </c>
    </row>
    <row r="2253" customFormat="false" ht="15" hidden="false" customHeight="false" outlineLevel="0" collapsed="false">
      <c r="A2253" s="1" t="s">
        <v>10178</v>
      </c>
      <c r="B2253" s="1" t="s">
        <v>10179</v>
      </c>
      <c r="C2253" s="1" t="s">
        <v>739</v>
      </c>
      <c r="D2253" s="2" t="n">
        <v>35047</v>
      </c>
      <c r="E2253" s="1" t="s">
        <v>763</v>
      </c>
      <c r="F2253" s="1" t="s">
        <v>711</v>
      </c>
      <c r="G2253" s="1" t="s">
        <v>712</v>
      </c>
      <c r="H2253" s="1" t="s">
        <v>713</v>
      </c>
      <c r="I2253" s="1" t="s">
        <v>714</v>
      </c>
      <c r="J2253" s="1" t="s">
        <v>716</v>
      </c>
      <c r="K2253" s="1" t="s">
        <v>716</v>
      </c>
      <c r="L2253" s="1" t="s">
        <v>1418</v>
      </c>
      <c r="M2253" s="1" t="s">
        <v>718</v>
      </c>
    </row>
    <row r="2254" customFormat="false" ht="15" hidden="false" customHeight="false" outlineLevel="0" collapsed="false">
      <c r="A2254" s="1" t="s">
        <v>10180</v>
      </c>
      <c r="B2254" s="1" t="s">
        <v>935</v>
      </c>
      <c r="C2254" s="1" t="s">
        <v>10181</v>
      </c>
      <c r="D2254" s="2" t="n">
        <v>35069</v>
      </c>
      <c r="E2254" s="1" t="s">
        <v>710</v>
      </c>
      <c r="F2254" s="1" t="s">
        <v>711</v>
      </c>
      <c r="G2254" s="1" t="s">
        <v>722</v>
      </c>
      <c r="H2254" s="1" t="s">
        <v>713</v>
      </c>
      <c r="I2254" s="1" t="s">
        <v>714</v>
      </c>
      <c r="J2254" s="1" t="s">
        <v>716</v>
      </c>
      <c r="K2254" s="1" t="s">
        <v>716</v>
      </c>
      <c r="L2254" s="1" t="s">
        <v>1418</v>
      </c>
      <c r="M2254" s="1" t="s">
        <v>718</v>
      </c>
    </row>
    <row r="2255" customFormat="false" ht="15" hidden="false" customHeight="false" outlineLevel="0" collapsed="false">
      <c r="A2255" s="1" t="s">
        <v>10182</v>
      </c>
      <c r="B2255" s="1" t="s">
        <v>10183</v>
      </c>
      <c r="C2255" s="1" t="s">
        <v>756</v>
      </c>
      <c r="D2255" s="2" t="n">
        <v>34309</v>
      </c>
      <c r="E2255" s="1" t="s">
        <v>763</v>
      </c>
      <c r="F2255" s="1" t="s">
        <v>711</v>
      </c>
      <c r="G2255" s="1" t="s">
        <v>722</v>
      </c>
      <c r="H2255" s="1" t="s">
        <v>713</v>
      </c>
      <c r="I2255" s="1" t="s">
        <v>714</v>
      </c>
      <c r="J2255" s="1" t="s">
        <v>716</v>
      </c>
      <c r="K2255" s="1" t="s">
        <v>716</v>
      </c>
      <c r="L2255" s="1" t="s">
        <v>1418</v>
      </c>
      <c r="M2255" s="1" t="s">
        <v>718</v>
      </c>
    </row>
    <row r="2256" customFormat="false" ht="15" hidden="false" customHeight="false" outlineLevel="0" collapsed="false">
      <c r="A2256" s="1" t="s">
        <v>10184</v>
      </c>
      <c r="B2256" s="1" t="s">
        <v>10185</v>
      </c>
      <c r="C2256" s="1" t="s">
        <v>9910</v>
      </c>
      <c r="D2256" s="2" t="n">
        <v>36104</v>
      </c>
      <c r="E2256" s="1" t="s">
        <v>710</v>
      </c>
      <c r="F2256" s="1" t="s">
        <v>711</v>
      </c>
      <c r="G2256" s="1" t="s">
        <v>712</v>
      </c>
      <c r="H2256" s="1" t="s">
        <v>713</v>
      </c>
      <c r="I2256" s="1" t="s">
        <v>714</v>
      </c>
      <c r="J2256" s="1" t="s">
        <v>10186</v>
      </c>
      <c r="K2256" s="1" t="s">
        <v>7653</v>
      </c>
      <c r="L2256" s="1" t="s">
        <v>10187</v>
      </c>
      <c r="M2256" s="1" t="s">
        <v>718</v>
      </c>
    </row>
    <row r="2257" customFormat="false" ht="15" hidden="false" customHeight="false" outlineLevel="0" collapsed="false">
      <c r="A2257" s="1" t="s">
        <v>10188</v>
      </c>
      <c r="B2257" s="1" t="s">
        <v>10189</v>
      </c>
      <c r="C2257" s="1" t="s">
        <v>10190</v>
      </c>
      <c r="D2257" s="2" t="n">
        <v>37085</v>
      </c>
      <c r="E2257" s="1" t="s">
        <v>710</v>
      </c>
      <c r="F2257" s="1" t="s">
        <v>711</v>
      </c>
      <c r="G2257" s="1" t="s">
        <v>712</v>
      </c>
      <c r="H2257" s="1" t="s">
        <v>713</v>
      </c>
      <c r="I2257" s="1" t="s">
        <v>714</v>
      </c>
      <c r="J2257" s="1" t="s">
        <v>10191</v>
      </c>
      <c r="K2257" s="1" t="s">
        <v>716</v>
      </c>
      <c r="L2257" s="1" t="s">
        <v>10192</v>
      </c>
      <c r="M2257" s="1" t="s">
        <v>718</v>
      </c>
    </row>
    <row r="2258" customFormat="false" ht="15" hidden="false" customHeight="false" outlineLevel="0" collapsed="false">
      <c r="A2258" s="1" t="s">
        <v>10193</v>
      </c>
      <c r="B2258" s="1" t="s">
        <v>10194</v>
      </c>
      <c r="C2258" s="1" t="s">
        <v>10195</v>
      </c>
      <c r="D2258" s="2" t="n">
        <v>37204</v>
      </c>
      <c r="E2258" s="1" t="s">
        <v>763</v>
      </c>
      <c r="F2258" s="1" t="s">
        <v>711</v>
      </c>
      <c r="G2258" s="1" t="s">
        <v>712</v>
      </c>
      <c r="H2258" s="1" t="s">
        <v>713</v>
      </c>
      <c r="I2258" s="1" t="s">
        <v>714</v>
      </c>
      <c r="J2258" s="1" t="s">
        <v>978</v>
      </c>
      <c r="K2258" s="1" t="s">
        <v>10196</v>
      </c>
      <c r="L2258" s="1" t="s">
        <v>10197</v>
      </c>
      <c r="M2258" s="1" t="s">
        <v>718</v>
      </c>
    </row>
    <row r="2259" customFormat="false" ht="15" hidden="false" customHeight="false" outlineLevel="0" collapsed="false">
      <c r="A2259" s="1" t="s">
        <v>10198</v>
      </c>
      <c r="B2259" s="1" t="s">
        <v>1627</v>
      </c>
      <c r="C2259" s="1" t="s">
        <v>2428</v>
      </c>
      <c r="D2259" s="2" t="n">
        <v>35979</v>
      </c>
      <c r="E2259" s="1" t="s">
        <v>710</v>
      </c>
      <c r="F2259" s="1" t="s">
        <v>711</v>
      </c>
      <c r="G2259" s="1" t="s">
        <v>2094</v>
      </c>
      <c r="H2259" s="1" t="s">
        <v>713</v>
      </c>
      <c r="I2259" s="1" t="s">
        <v>714</v>
      </c>
      <c r="J2259" s="1" t="s">
        <v>1723</v>
      </c>
      <c r="K2259" s="1" t="s">
        <v>10199</v>
      </c>
      <c r="L2259" s="1" t="s">
        <v>3993</v>
      </c>
      <c r="M2259" s="1" t="s">
        <v>718</v>
      </c>
    </row>
    <row r="2260" customFormat="false" ht="15" hidden="false" customHeight="false" outlineLevel="0" collapsed="false">
      <c r="A2260" s="1" t="s">
        <v>10200</v>
      </c>
      <c r="B2260" s="1" t="s">
        <v>803</v>
      </c>
      <c r="C2260" s="1" t="s">
        <v>2632</v>
      </c>
      <c r="D2260" s="2" t="n">
        <v>31765</v>
      </c>
      <c r="E2260" s="1" t="s">
        <v>710</v>
      </c>
      <c r="F2260" s="1" t="s">
        <v>711</v>
      </c>
      <c r="G2260" s="1" t="s">
        <v>722</v>
      </c>
      <c r="H2260" s="1" t="s">
        <v>713</v>
      </c>
      <c r="I2260" s="1" t="s">
        <v>714</v>
      </c>
      <c r="J2260" s="1" t="s">
        <v>740</v>
      </c>
      <c r="K2260" s="1" t="s">
        <v>716</v>
      </c>
      <c r="L2260" s="1" t="s">
        <v>5729</v>
      </c>
      <c r="M2260" s="1" t="s">
        <v>718</v>
      </c>
    </row>
    <row r="2261" customFormat="false" ht="15" hidden="false" customHeight="false" outlineLevel="0" collapsed="false">
      <c r="A2261" s="1" t="s">
        <v>10201</v>
      </c>
      <c r="B2261" s="1" t="s">
        <v>10202</v>
      </c>
      <c r="C2261" s="1" t="s">
        <v>10203</v>
      </c>
      <c r="D2261" s="2" t="n">
        <v>34685</v>
      </c>
      <c r="E2261" s="1" t="s">
        <v>710</v>
      </c>
      <c r="F2261" s="1" t="s">
        <v>711</v>
      </c>
      <c r="G2261" s="1" t="s">
        <v>722</v>
      </c>
      <c r="H2261" s="1" t="s">
        <v>713</v>
      </c>
      <c r="I2261" s="1" t="s">
        <v>714</v>
      </c>
      <c r="J2261" s="1" t="s">
        <v>4239</v>
      </c>
      <c r="K2261" s="1" t="s">
        <v>716</v>
      </c>
      <c r="L2261" s="1" t="s">
        <v>5729</v>
      </c>
      <c r="M2261" s="1" t="s">
        <v>718</v>
      </c>
    </row>
    <row r="2262" customFormat="false" ht="15" hidden="false" customHeight="false" outlineLevel="0" collapsed="false">
      <c r="A2262" s="1" t="s">
        <v>10204</v>
      </c>
      <c r="B2262" s="1" t="s">
        <v>784</v>
      </c>
      <c r="C2262" s="1" t="s">
        <v>4133</v>
      </c>
      <c r="D2262" s="2" t="n">
        <v>36473</v>
      </c>
      <c r="E2262" s="1" t="s">
        <v>710</v>
      </c>
      <c r="F2262" s="1" t="s">
        <v>711</v>
      </c>
      <c r="G2262" s="1" t="s">
        <v>722</v>
      </c>
      <c r="H2262" s="1" t="s">
        <v>713</v>
      </c>
      <c r="I2262" s="1" t="s">
        <v>714</v>
      </c>
      <c r="J2262" s="1" t="s">
        <v>1244</v>
      </c>
      <c r="K2262" s="1" t="s">
        <v>10205</v>
      </c>
      <c r="L2262" s="1" t="s">
        <v>4135</v>
      </c>
      <c r="M2262" s="1" t="s">
        <v>718</v>
      </c>
    </row>
    <row r="2263" customFormat="false" ht="15" hidden="false" customHeight="false" outlineLevel="0" collapsed="false">
      <c r="A2263" s="1" t="s">
        <v>10206</v>
      </c>
      <c r="B2263" s="1" t="s">
        <v>10207</v>
      </c>
      <c r="C2263" s="1" t="s">
        <v>10208</v>
      </c>
      <c r="D2263" s="2" t="n">
        <v>37759</v>
      </c>
      <c r="E2263" s="1" t="s">
        <v>710</v>
      </c>
      <c r="F2263" s="1" t="s">
        <v>711</v>
      </c>
      <c r="G2263" s="1" t="s">
        <v>10209</v>
      </c>
      <c r="H2263" s="1" t="s">
        <v>10209</v>
      </c>
      <c r="I2263" s="1" t="s">
        <v>10210</v>
      </c>
      <c r="J2263" s="1" t="s">
        <v>751</v>
      </c>
      <c r="K2263" s="1" t="s">
        <v>10211</v>
      </c>
      <c r="L2263" s="1" t="s">
        <v>10212</v>
      </c>
      <c r="M2263" s="1" t="s">
        <v>718</v>
      </c>
    </row>
    <row r="2264" customFormat="false" ht="15" hidden="false" customHeight="false" outlineLevel="0" collapsed="false">
      <c r="A2264" s="1" t="s">
        <v>10213</v>
      </c>
      <c r="B2264" s="1" t="s">
        <v>10214</v>
      </c>
      <c r="C2264" s="1" t="s">
        <v>10215</v>
      </c>
      <c r="D2264" s="2" t="n">
        <v>37762</v>
      </c>
      <c r="E2264" s="1" t="s">
        <v>763</v>
      </c>
      <c r="F2264" s="1" t="s">
        <v>711</v>
      </c>
      <c r="G2264" s="1" t="s">
        <v>712</v>
      </c>
      <c r="H2264" s="1" t="s">
        <v>713</v>
      </c>
      <c r="I2264" s="1" t="s">
        <v>714</v>
      </c>
      <c r="J2264" s="1" t="s">
        <v>1620</v>
      </c>
      <c r="K2264" s="1" t="s">
        <v>10216</v>
      </c>
      <c r="L2264" s="1" t="s">
        <v>10217</v>
      </c>
      <c r="M2264" s="1" t="s">
        <v>718</v>
      </c>
    </row>
    <row r="2265" customFormat="false" ht="15" hidden="false" customHeight="false" outlineLevel="0" collapsed="false">
      <c r="A2265" s="1" t="s">
        <v>10218</v>
      </c>
      <c r="B2265" s="1" t="s">
        <v>10219</v>
      </c>
      <c r="C2265" s="1" t="s">
        <v>7363</v>
      </c>
      <c r="D2265" s="2" t="n">
        <v>37673</v>
      </c>
      <c r="E2265" s="1" t="s">
        <v>710</v>
      </c>
      <c r="F2265" s="1" t="s">
        <v>711</v>
      </c>
      <c r="G2265" s="1" t="s">
        <v>722</v>
      </c>
      <c r="H2265" s="1" t="s">
        <v>713</v>
      </c>
      <c r="I2265" s="1" t="s">
        <v>714</v>
      </c>
      <c r="J2265" s="1" t="s">
        <v>751</v>
      </c>
      <c r="K2265" s="1" t="s">
        <v>10220</v>
      </c>
      <c r="L2265" s="1" t="s">
        <v>10221</v>
      </c>
      <c r="M2265" s="1" t="s">
        <v>718</v>
      </c>
    </row>
    <row r="2266" customFormat="false" ht="15" hidden="false" customHeight="false" outlineLevel="0" collapsed="false">
      <c r="A2266" s="1" t="s">
        <v>10222</v>
      </c>
      <c r="B2266" s="1" t="s">
        <v>10223</v>
      </c>
      <c r="C2266" s="1" t="s">
        <v>774</v>
      </c>
      <c r="D2266" s="2" t="n">
        <v>34293</v>
      </c>
      <c r="E2266" s="1" t="s">
        <v>710</v>
      </c>
      <c r="F2266" s="1" t="s">
        <v>711</v>
      </c>
      <c r="G2266" s="1" t="s">
        <v>712</v>
      </c>
      <c r="H2266" s="1" t="s">
        <v>713</v>
      </c>
      <c r="I2266" s="1" t="s">
        <v>714</v>
      </c>
      <c r="J2266" s="1" t="s">
        <v>716</v>
      </c>
      <c r="K2266" s="1" t="s">
        <v>716</v>
      </c>
      <c r="L2266" s="1" t="s">
        <v>1418</v>
      </c>
      <c r="M2266" s="1" t="s">
        <v>718</v>
      </c>
    </row>
    <row r="2267" customFormat="false" ht="15" hidden="false" customHeight="false" outlineLevel="0" collapsed="false">
      <c r="A2267" s="1" t="s">
        <v>10224</v>
      </c>
      <c r="B2267" s="1" t="s">
        <v>10225</v>
      </c>
      <c r="C2267" s="1" t="s">
        <v>927</v>
      </c>
      <c r="D2267" s="2" t="n">
        <v>33068</v>
      </c>
      <c r="E2267" s="1" t="s">
        <v>763</v>
      </c>
      <c r="F2267" s="1" t="s">
        <v>711</v>
      </c>
      <c r="G2267" s="1" t="s">
        <v>712</v>
      </c>
      <c r="H2267" s="1" t="s">
        <v>713</v>
      </c>
      <c r="I2267" s="1" t="s">
        <v>714</v>
      </c>
      <c r="J2267" s="1" t="s">
        <v>716</v>
      </c>
      <c r="K2267" s="1" t="s">
        <v>716</v>
      </c>
      <c r="L2267" s="1" t="s">
        <v>1418</v>
      </c>
      <c r="M2267" s="1" t="s">
        <v>718</v>
      </c>
    </row>
    <row r="2268" customFormat="false" ht="15" hidden="false" customHeight="false" outlineLevel="0" collapsed="false">
      <c r="A2268" s="1" t="s">
        <v>10226</v>
      </c>
      <c r="B2268" s="1" t="s">
        <v>10227</v>
      </c>
      <c r="C2268" s="1" t="s">
        <v>10228</v>
      </c>
      <c r="D2268" s="2" t="n">
        <v>33324</v>
      </c>
      <c r="E2268" s="1" t="s">
        <v>710</v>
      </c>
      <c r="F2268" s="1" t="s">
        <v>711</v>
      </c>
      <c r="G2268" s="1" t="s">
        <v>712</v>
      </c>
      <c r="H2268" s="1" t="s">
        <v>713</v>
      </c>
      <c r="I2268" s="1" t="s">
        <v>714</v>
      </c>
      <c r="J2268" s="1" t="s">
        <v>716</v>
      </c>
      <c r="K2268" s="1" t="s">
        <v>716</v>
      </c>
      <c r="L2268" s="1" t="s">
        <v>1418</v>
      </c>
      <c r="M2268" s="1" t="s">
        <v>718</v>
      </c>
    </row>
    <row r="2269" customFormat="false" ht="15" hidden="false" customHeight="false" outlineLevel="0" collapsed="false">
      <c r="A2269" s="1" t="s">
        <v>10229</v>
      </c>
      <c r="B2269" s="1" t="s">
        <v>10230</v>
      </c>
      <c r="C2269" s="1" t="s">
        <v>5996</v>
      </c>
      <c r="D2269" s="2" t="n">
        <v>33700</v>
      </c>
      <c r="E2269" s="1" t="s">
        <v>763</v>
      </c>
      <c r="F2269" s="1" t="s">
        <v>711</v>
      </c>
      <c r="G2269" s="1" t="s">
        <v>712</v>
      </c>
      <c r="H2269" s="1" t="s">
        <v>713</v>
      </c>
      <c r="I2269" s="1" t="s">
        <v>714</v>
      </c>
      <c r="J2269" s="1" t="s">
        <v>716</v>
      </c>
      <c r="K2269" s="1" t="s">
        <v>716</v>
      </c>
      <c r="L2269" s="1" t="s">
        <v>1418</v>
      </c>
      <c r="M2269" s="1" t="s">
        <v>718</v>
      </c>
    </row>
    <row r="2270" customFormat="false" ht="15" hidden="false" customHeight="false" outlineLevel="0" collapsed="false">
      <c r="A2270" s="1" t="s">
        <v>10231</v>
      </c>
      <c r="B2270" s="1" t="s">
        <v>10232</v>
      </c>
      <c r="C2270" s="1" t="s">
        <v>10233</v>
      </c>
      <c r="D2270" s="2" t="n">
        <v>31885</v>
      </c>
      <c r="E2270" s="1" t="s">
        <v>710</v>
      </c>
      <c r="F2270" s="1" t="s">
        <v>711</v>
      </c>
      <c r="G2270" s="1" t="s">
        <v>712</v>
      </c>
      <c r="H2270" s="1" t="s">
        <v>713</v>
      </c>
      <c r="I2270" s="1" t="s">
        <v>714</v>
      </c>
      <c r="J2270" s="1" t="s">
        <v>716</v>
      </c>
      <c r="K2270" s="1" t="s">
        <v>716</v>
      </c>
      <c r="L2270" s="1" t="s">
        <v>1418</v>
      </c>
      <c r="M2270" s="1" t="s">
        <v>718</v>
      </c>
    </row>
    <row r="2271" customFormat="false" ht="15" hidden="false" customHeight="false" outlineLevel="0" collapsed="false">
      <c r="A2271" s="1" t="s">
        <v>10234</v>
      </c>
      <c r="B2271" s="1" t="s">
        <v>10235</v>
      </c>
      <c r="C2271" s="1" t="s">
        <v>10236</v>
      </c>
      <c r="D2271" s="2" t="n">
        <v>34354</v>
      </c>
      <c r="E2271" s="1" t="s">
        <v>710</v>
      </c>
      <c r="F2271" s="1" t="s">
        <v>711</v>
      </c>
      <c r="G2271" s="1" t="s">
        <v>712</v>
      </c>
      <c r="H2271" s="1" t="s">
        <v>713</v>
      </c>
      <c r="I2271" s="1" t="s">
        <v>714</v>
      </c>
      <c r="J2271" s="1" t="s">
        <v>716</v>
      </c>
      <c r="K2271" s="1" t="s">
        <v>716</v>
      </c>
      <c r="L2271" s="1" t="s">
        <v>1418</v>
      </c>
      <c r="M2271" s="1" t="s">
        <v>718</v>
      </c>
    </row>
    <row r="2272" customFormat="false" ht="15" hidden="false" customHeight="false" outlineLevel="0" collapsed="false">
      <c r="A2272" s="1" t="s">
        <v>10237</v>
      </c>
      <c r="B2272" s="1" t="s">
        <v>10238</v>
      </c>
      <c r="C2272" s="1" t="s">
        <v>10239</v>
      </c>
      <c r="D2272" s="2" t="n">
        <v>34530</v>
      </c>
      <c r="E2272" s="1" t="s">
        <v>763</v>
      </c>
      <c r="F2272" s="1" t="s">
        <v>711</v>
      </c>
      <c r="G2272" s="1" t="s">
        <v>722</v>
      </c>
      <c r="H2272" s="1" t="s">
        <v>713</v>
      </c>
      <c r="I2272" s="1" t="s">
        <v>714</v>
      </c>
      <c r="J2272" s="1" t="s">
        <v>716</v>
      </c>
      <c r="K2272" s="1" t="s">
        <v>716</v>
      </c>
      <c r="L2272" s="1" t="s">
        <v>1418</v>
      </c>
      <c r="M2272" s="1" t="s">
        <v>718</v>
      </c>
    </row>
    <row r="2273" customFormat="false" ht="15" hidden="false" customHeight="false" outlineLevel="0" collapsed="false">
      <c r="A2273" s="1" t="s">
        <v>10240</v>
      </c>
      <c r="B2273" s="1" t="s">
        <v>10241</v>
      </c>
      <c r="C2273" s="1" t="s">
        <v>10242</v>
      </c>
      <c r="D2273" s="2" t="n">
        <v>37253</v>
      </c>
      <c r="E2273" s="1" t="s">
        <v>763</v>
      </c>
      <c r="F2273" s="1" t="s">
        <v>711</v>
      </c>
      <c r="G2273" s="1" t="s">
        <v>712</v>
      </c>
      <c r="H2273" s="1" t="s">
        <v>713</v>
      </c>
      <c r="I2273" s="1" t="s">
        <v>714</v>
      </c>
      <c r="J2273" s="1" t="s">
        <v>902</v>
      </c>
      <c r="K2273" s="1" t="s">
        <v>10243</v>
      </c>
      <c r="L2273" s="1" t="s">
        <v>6969</v>
      </c>
      <c r="M2273" s="1" t="s">
        <v>718</v>
      </c>
    </row>
    <row r="2274" customFormat="false" ht="15" hidden="false" customHeight="false" outlineLevel="0" collapsed="false">
      <c r="A2274" s="1" t="s">
        <v>10244</v>
      </c>
      <c r="B2274" s="1" t="s">
        <v>10245</v>
      </c>
      <c r="C2274" s="1" t="s">
        <v>7913</v>
      </c>
      <c r="D2274" s="2" t="n">
        <v>31135</v>
      </c>
      <c r="E2274" s="1" t="s">
        <v>710</v>
      </c>
      <c r="F2274" s="1" t="s">
        <v>711</v>
      </c>
      <c r="G2274" s="1" t="s">
        <v>722</v>
      </c>
      <c r="H2274" s="1" t="s">
        <v>713</v>
      </c>
      <c r="I2274" s="1" t="s">
        <v>714</v>
      </c>
      <c r="J2274" s="1" t="s">
        <v>716</v>
      </c>
      <c r="K2274" s="1" t="s">
        <v>716</v>
      </c>
      <c r="L2274" s="1" t="s">
        <v>1418</v>
      </c>
      <c r="M2274" s="1" t="s">
        <v>718</v>
      </c>
    </row>
    <row r="2275" customFormat="false" ht="15" hidden="false" customHeight="false" outlineLevel="0" collapsed="false">
      <c r="A2275" s="1" t="s">
        <v>10246</v>
      </c>
      <c r="B2275" s="1" t="s">
        <v>10247</v>
      </c>
      <c r="C2275" s="1" t="s">
        <v>9151</v>
      </c>
      <c r="D2275" s="2" t="n">
        <v>33557</v>
      </c>
      <c r="E2275" s="1" t="s">
        <v>710</v>
      </c>
      <c r="F2275" s="1" t="s">
        <v>711</v>
      </c>
      <c r="G2275" s="1" t="s">
        <v>712</v>
      </c>
      <c r="H2275" s="1" t="s">
        <v>713</v>
      </c>
      <c r="I2275" s="1" t="s">
        <v>714</v>
      </c>
      <c r="J2275" s="1" t="s">
        <v>716</v>
      </c>
      <c r="K2275" s="1" t="s">
        <v>716</v>
      </c>
      <c r="L2275" s="1" t="s">
        <v>1418</v>
      </c>
      <c r="M2275" s="1" t="s">
        <v>718</v>
      </c>
    </row>
    <row r="2276" customFormat="false" ht="15" hidden="false" customHeight="false" outlineLevel="0" collapsed="false">
      <c r="A2276" s="1" t="s">
        <v>10248</v>
      </c>
      <c r="B2276" s="1" t="s">
        <v>10249</v>
      </c>
      <c r="C2276" s="1" t="s">
        <v>10250</v>
      </c>
      <c r="D2276" s="2" t="n">
        <v>33759</v>
      </c>
      <c r="E2276" s="1" t="s">
        <v>763</v>
      </c>
      <c r="F2276" s="1" t="s">
        <v>711</v>
      </c>
      <c r="G2276" s="1" t="s">
        <v>712</v>
      </c>
      <c r="H2276" s="1" t="s">
        <v>713</v>
      </c>
      <c r="I2276" s="1" t="s">
        <v>714</v>
      </c>
      <c r="J2276" s="1" t="s">
        <v>716</v>
      </c>
      <c r="K2276" s="1" t="s">
        <v>716</v>
      </c>
      <c r="L2276" s="1" t="s">
        <v>1418</v>
      </c>
      <c r="M2276" s="1" t="s">
        <v>718</v>
      </c>
    </row>
    <row r="2277" customFormat="false" ht="15" hidden="false" customHeight="false" outlineLevel="0" collapsed="false">
      <c r="A2277" s="1" t="s">
        <v>10251</v>
      </c>
      <c r="B2277" s="1" t="s">
        <v>1108</v>
      </c>
      <c r="C2277" s="1" t="s">
        <v>10252</v>
      </c>
      <c r="D2277" s="2" t="n">
        <v>37101</v>
      </c>
      <c r="E2277" s="1" t="s">
        <v>710</v>
      </c>
      <c r="F2277" s="1" t="s">
        <v>711</v>
      </c>
      <c r="G2277" s="1" t="s">
        <v>712</v>
      </c>
      <c r="H2277" s="1" t="s">
        <v>713</v>
      </c>
      <c r="I2277" s="1" t="s">
        <v>714</v>
      </c>
      <c r="J2277" s="1" t="s">
        <v>2000</v>
      </c>
      <c r="K2277" s="1" t="s">
        <v>10253</v>
      </c>
      <c r="L2277" s="1" t="s">
        <v>10254</v>
      </c>
      <c r="M2277" s="1" t="s">
        <v>718</v>
      </c>
    </row>
    <row r="2278" customFormat="false" ht="15" hidden="false" customHeight="false" outlineLevel="0" collapsed="false">
      <c r="A2278" s="1" t="s">
        <v>10255</v>
      </c>
      <c r="B2278" s="1" t="s">
        <v>10256</v>
      </c>
      <c r="C2278" s="1" t="s">
        <v>7181</v>
      </c>
      <c r="D2278" s="2" t="n">
        <v>29345</v>
      </c>
      <c r="E2278" s="1" t="s">
        <v>763</v>
      </c>
      <c r="F2278" s="1" t="s">
        <v>711</v>
      </c>
      <c r="G2278" s="1" t="s">
        <v>722</v>
      </c>
      <c r="H2278" s="1" t="s">
        <v>713</v>
      </c>
      <c r="I2278" s="1" t="s">
        <v>714</v>
      </c>
      <c r="J2278" s="1" t="s">
        <v>4239</v>
      </c>
      <c r="K2278" s="1" t="s">
        <v>716</v>
      </c>
      <c r="L2278" s="1" t="s">
        <v>834</v>
      </c>
      <c r="M2278" s="1" t="s">
        <v>718</v>
      </c>
    </row>
    <row r="2279" customFormat="false" ht="15" hidden="false" customHeight="false" outlineLevel="0" collapsed="false">
      <c r="A2279" s="1" t="s">
        <v>10257</v>
      </c>
      <c r="B2279" s="1" t="s">
        <v>1468</v>
      </c>
      <c r="C2279" s="1" t="s">
        <v>10258</v>
      </c>
      <c r="D2279" s="2" t="n">
        <v>37242</v>
      </c>
      <c r="E2279" s="1" t="s">
        <v>710</v>
      </c>
      <c r="F2279" s="1" t="s">
        <v>711</v>
      </c>
      <c r="G2279" s="1" t="s">
        <v>712</v>
      </c>
      <c r="H2279" s="1" t="s">
        <v>713</v>
      </c>
      <c r="I2279" s="1" t="s">
        <v>714</v>
      </c>
      <c r="J2279" s="1" t="s">
        <v>6290</v>
      </c>
      <c r="K2279" s="1" t="s">
        <v>716</v>
      </c>
      <c r="L2279" s="1" t="s">
        <v>10259</v>
      </c>
      <c r="M2279" s="1" t="s">
        <v>718</v>
      </c>
    </row>
    <row r="2280" customFormat="false" ht="15" hidden="false" customHeight="false" outlineLevel="0" collapsed="false">
      <c r="A2280" s="1" t="s">
        <v>10260</v>
      </c>
      <c r="B2280" s="1" t="s">
        <v>10261</v>
      </c>
      <c r="C2280" s="1" t="s">
        <v>10262</v>
      </c>
      <c r="D2280" s="2" t="n">
        <v>34450</v>
      </c>
      <c r="E2280" s="1" t="s">
        <v>763</v>
      </c>
      <c r="F2280" s="1" t="s">
        <v>711</v>
      </c>
      <c r="G2280" s="1" t="s">
        <v>712</v>
      </c>
      <c r="H2280" s="1" t="s">
        <v>713</v>
      </c>
      <c r="I2280" s="1" t="s">
        <v>714</v>
      </c>
      <c r="J2280" s="1" t="s">
        <v>716</v>
      </c>
      <c r="K2280" s="1" t="s">
        <v>716</v>
      </c>
      <c r="L2280" s="1" t="s">
        <v>1418</v>
      </c>
      <c r="M2280" s="1" t="s">
        <v>718</v>
      </c>
    </row>
    <row r="2281" customFormat="false" ht="15" hidden="false" customHeight="false" outlineLevel="0" collapsed="false">
      <c r="A2281" s="1" t="s">
        <v>10263</v>
      </c>
      <c r="B2281" s="1" t="s">
        <v>10264</v>
      </c>
      <c r="C2281" s="1" t="s">
        <v>3383</v>
      </c>
      <c r="D2281" s="2" t="n">
        <v>31407</v>
      </c>
      <c r="E2281" s="1" t="s">
        <v>763</v>
      </c>
      <c r="F2281" s="1" t="s">
        <v>711</v>
      </c>
      <c r="G2281" s="1" t="s">
        <v>722</v>
      </c>
      <c r="H2281" s="1" t="s">
        <v>713</v>
      </c>
      <c r="I2281" s="1" t="s">
        <v>714</v>
      </c>
      <c r="J2281" s="1" t="s">
        <v>716</v>
      </c>
      <c r="K2281" s="1" t="s">
        <v>716</v>
      </c>
      <c r="L2281" s="1" t="s">
        <v>1418</v>
      </c>
      <c r="M2281" s="1" t="s">
        <v>718</v>
      </c>
    </row>
    <row r="2282" customFormat="false" ht="15" hidden="false" customHeight="false" outlineLevel="0" collapsed="false">
      <c r="A2282" s="1" t="s">
        <v>10265</v>
      </c>
      <c r="B2282" s="1" t="s">
        <v>10266</v>
      </c>
      <c r="C2282" s="1" t="s">
        <v>10267</v>
      </c>
      <c r="D2282" s="2" t="n">
        <v>37556</v>
      </c>
      <c r="E2282" s="1" t="s">
        <v>763</v>
      </c>
      <c r="F2282" s="1" t="s">
        <v>711</v>
      </c>
      <c r="G2282" s="1" t="s">
        <v>722</v>
      </c>
      <c r="H2282" s="1" t="s">
        <v>713</v>
      </c>
      <c r="I2282" s="1" t="s">
        <v>714</v>
      </c>
      <c r="J2282" s="1" t="s">
        <v>3517</v>
      </c>
      <c r="K2282" s="1" t="s">
        <v>10268</v>
      </c>
      <c r="L2282" s="1" t="s">
        <v>10269</v>
      </c>
      <c r="M2282" s="1" t="s">
        <v>718</v>
      </c>
    </row>
    <row r="2283" customFormat="false" ht="15" hidden="false" customHeight="false" outlineLevel="0" collapsed="false">
      <c r="A2283" s="1" t="s">
        <v>10270</v>
      </c>
      <c r="B2283" s="1" t="s">
        <v>10271</v>
      </c>
      <c r="C2283" s="1" t="s">
        <v>10267</v>
      </c>
      <c r="D2283" s="2" t="n">
        <v>36772</v>
      </c>
      <c r="E2283" s="1" t="s">
        <v>763</v>
      </c>
      <c r="F2283" s="1" t="s">
        <v>711</v>
      </c>
      <c r="G2283" s="1" t="s">
        <v>712</v>
      </c>
      <c r="H2283" s="1" t="s">
        <v>713</v>
      </c>
      <c r="I2283" s="1" t="s">
        <v>714</v>
      </c>
      <c r="J2283" s="1" t="s">
        <v>3517</v>
      </c>
      <c r="K2283" s="1" t="s">
        <v>10268</v>
      </c>
      <c r="L2283" s="1" t="s">
        <v>10269</v>
      </c>
      <c r="M2283" s="1" t="s">
        <v>718</v>
      </c>
    </row>
    <row r="2284" customFormat="false" ht="15" hidden="false" customHeight="false" outlineLevel="0" collapsed="false">
      <c r="A2284" s="1" t="s">
        <v>10272</v>
      </c>
      <c r="B2284" s="1" t="s">
        <v>10273</v>
      </c>
      <c r="C2284" s="1" t="s">
        <v>10274</v>
      </c>
      <c r="D2284" s="2" t="n">
        <v>27569</v>
      </c>
      <c r="E2284" s="1" t="s">
        <v>710</v>
      </c>
      <c r="F2284" s="1" t="s">
        <v>711</v>
      </c>
      <c r="G2284" s="1" t="s">
        <v>712</v>
      </c>
      <c r="H2284" s="1" t="s">
        <v>713</v>
      </c>
      <c r="I2284" s="1" t="s">
        <v>714</v>
      </c>
      <c r="J2284" s="1" t="s">
        <v>716</v>
      </c>
      <c r="K2284" s="1" t="s">
        <v>716</v>
      </c>
      <c r="L2284" s="1" t="s">
        <v>1418</v>
      </c>
      <c r="M2284" s="1" t="s">
        <v>718</v>
      </c>
    </row>
    <row r="2285" customFormat="false" ht="15" hidden="false" customHeight="false" outlineLevel="0" collapsed="false">
      <c r="A2285" s="1" t="s">
        <v>10275</v>
      </c>
      <c r="B2285" s="1" t="s">
        <v>2169</v>
      </c>
      <c r="C2285" s="1" t="s">
        <v>10276</v>
      </c>
      <c r="D2285" s="2" t="n">
        <v>32818</v>
      </c>
      <c r="E2285" s="1" t="s">
        <v>710</v>
      </c>
      <c r="F2285" s="1" t="s">
        <v>711</v>
      </c>
      <c r="G2285" s="1" t="s">
        <v>4633</v>
      </c>
      <c r="H2285" s="1" t="s">
        <v>713</v>
      </c>
      <c r="I2285" s="1" t="s">
        <v>714</v>
      </c>
      <c r="J2285" s="1" t="s">
        <v>716</v>
      </c>
      <c r="K2285" s="1" t="s">
        <v>716</v>
      </c>
      <c r="L2285" s="1" t="s">
        <v>1418</v>
      </c>
      <c r="M2285" s="1" t="s">
        <v>718</v>
      </c>
    </row>
    <row r="2286" customFormat="false" ht="15" hidden="false" customHeight="false" outlineLevel="0" collapsed="false">
      <c r="A2286" s="1" t="s">
        <v>10277</v>
      </c>
      <c r="B2286" s="1" t="s">
        <v>2553</v>
      </c>
      <c r="C2286" s="1" t="s">
        <v>8049</v>
      </c>
      <c r="D2286" s="2" t="n">
        <v>34550</v>
      </c>
      <c r="E2286" s="1" t="s">
        <v>710</v>
      </c>
      <c r="F2286" s="1" t="s">
        <v>711</v>
      </c>
      <c r="G2286" s="1" t="s">
        <v>712</v>
      </c>
      <c r="H2286" s="1" t="s">
        <v>713</v>
      </c>
      <c r="I2286" s="1" t="s">
        <v>714</v>
      </c>
      <c r="J2286" s="1" t="s">
        <v>716</v>
      </c>
      <c r="K2286" s="1" t="s">
        <v>716</v>
      </c>
      <c r="L2286" s="1" t="s">
        <v>1418</v>
      </c>
      <c r="M2286" s="1" t="s">
        <v>718</v>
      </c>
    </row>
    <row r="2287" customFormat="false" ht="15" hidden="false" customHeight="false" outlineLevel="0" collapsed="false">
      <c r="A2287" s="1" t="s">
        <v>10278</v>
      </c>
      <c r="B2287" s="1" t="s">
        <v>10279</v>
      </c>
      <c r="C2287" s="1" t="s">
        <v>4480</v>
      </c>
      <c r="D2287" s="2" t="n">
        <v>34047</v>
      </c>
      <c r="E2287" s="1" t="s">
        <v>710</v>
      </c>
      <c r="F2287" s="1" t="s">
        <v>711</v>
      </c>
      <c r="G2287" s="1" t="s">
        <v>712</v>
      </c>
      <c r="H2287" s="1" t="s">
        <v>713</v>
      </c>
      <c r="I2287" s="1" t="s">
        <v>714</v>
      </c>
      <c r="J2287" s="1" t="s">
        <v>716</v>
      </c>
      <c r="K2287" s="1" t="s">
        <v>716</v>
      </c>
      <c r="L2287" s="1" t="s">
        <v>1418</v>
      </c>
      <c r="M2287" s="1" t="s">
        <v>718</v>
      </c>
    </row>
    <row r="2288" customFormat="false" ht="15" hidden="false" customHeight="false" outlineLevel="0" collapsed="false">
      <c r="A2288" s="1" t="s">
        <v>10280</v>
      </c>
      <c r="B2288" s="1" t="s">
        <v>10281</v>
      </c>
      <c r="C2288" s="1" t="s">
        <v>1455</v>
      </c>
      <c r="D2288" s="2" t="n">
        <v>34593</v>
      </c>
      <c r="E2288" s="1" t="s">
        <v>763</v>
      </c>
      <c r="F2288" s="1" t="s">
        <v>711</v>
      </c>
      <c r="G2288" s="1" t="s">
        <v>712</v>
      </c>
      <c r="H2288" s="1" t="s">
        <v>713</v>
      </c>
      <c r="I2288" s="1" t="s">
        <v>714</v>
      </c>
      <c r="J2288" s="1" t="s">
        <v>716</v>
      </c>
      <c r="K2288" s="1" t="s">
        <v>716</v>
      </c>
      <c r="L2288" s="1" t="s">
        <v>1418</v>
      </c>
      <c r="M2288" s="1" t="s">
        <v>718</v>
      </c>
    </row>
    <row r="2289" customFormat="false" ht="15" hidden="false" customHeight="false" outlineLevel="0" collapsed="false">
      <c r="A2289" s="1" t="s">
        <v>10282</v>
      </c>
      <c r="B2289" s="1" t="s">
        <v>10283</v>
      </c>
      <c r="C2289" s="1" t="s">
        <v>1572</v>
      </c>
      <c r="D2289" s="2" t="n">
        <v>36828</v>
      </c>
      <c r="E2289" s="1" t="s">
        <v>710</v>
      </c>
      <c r="F2289" s="1" t="s">
        <v>711</v>
      </c>
      <c r="G2289" s="1" t="s">
        <v>1573</v>
      </c>
      <c r="H2289" s="1" t="s">
        <v>1574</v>
      </c>
      <c r="I2289" s="1" t="s">
        <v>1575</v>
      </c>
      <c r="J2289" s="1" t="s">
        <v>2117</v>
      </c>
      <c r="K2289" s="1" t="s">
        <v>716</v>
      </c>
      <c r="L2289" s="1" t="s">
        <v>10284</v>
      </c>
      <c r="M2289" s="1" t="s">
        <v>718</v>
      </c>
    </row>
    <row r="2290" customFormat="false" ht="15" hidden="false" customHeight="false" outlineLevel="0" collapsed="false">
      <c r="A2290" s="1" t="s">
        <v>10285</v>
      </c>
      <c r="B2290" s="1" t="s">
        <v>10286</v>
      </c>
      <c r="C2290" s="1" t="s">
        <v>10287</v>
      </c>
      <c r="D2290" s="2" t="n">
        <v>33022</v>
      </c>
      <c r="E2290" s="1" t="s">
        <v>710</v>
      </c>
      <c r="F2290" s="1" t="s">
        <v>711</v>
      </c>
      <c r="G2290" s="1" t="s">
        <v>712</v>
      </c>
      <c r="H2290" s="1" t="s">
        <v>713</v>
      </c>
      <c r="I2290" s="1" t="s">
        <v>714</v>
      </c>
      <c r="J2290" s="1" t="s">
        <v>716</v>
      </c>
      <c r="K2290" s="1" t="s">
        <v>716</v>
      </c>
      <c r="L2290" s="1" t="s">
        <v>1418</v>
      </c>
      <c r="M2290" s="1" t="s">
        <v>718</v>
      </c>
    </row>
    <row r="2291" customFormat="false" ht="15" hidden="false" customHeight="false" outlineLevel="0" collapsed="false">
      <c r="A2291" s="1" t="s">
        <v>10288</v>
      </c>
      <c r="B2291" s="1" t="s">
        <v>10238</v>
      </c>
      <c r="C2291" s="1" t="s">
        <v>10289</v>
      </c>
      <c r="D2291" s="2" t="n">
        <v>34182</v>
      </c>
      <c r="E2291" s="1" t="s">
        <v>763</v>
      </c>
      <c r="F2291" s="1" t="s">
        <v>711</v>
      </c>
      <c r="G2291" s="1" t="s">
        <v>722</v>
      </c>
      <c r="H2291" s="1" t="s">
        <v>713</v>
      </c>
      <c r="I2291" s="1" t="s">
        <v>714</v>
      </c>
      <c r="J2291" s="1" t="s">
        <v>716</v>
      </c>
      <c r="K2291" s="1" t="s">
        <v>716</v>
      </c>
      <c r="L2291" s="1" t="s">
        <v>1418</v>
      </c>
      <c r="M2291" s="1" t="s">
        <v>718</v>
      </c>
    </row>
    <row r="2292" customFormat="false" ht="15" hidden="false" customHeight="false" outlineLevel="0" collapsed="false">
      <c r="A2292" s="1" t="s">
        <v>10290</v>
      </c>
      <c r="B2292" s="1" t="s">
        <v>10291</v>
      </c>
      <c r="C2292" s="1" t="s">
        <v>2470</v>
      </c>
      <c r="D2292" s="2" t="n">
        <v>33986</v>
      </c>
      <c r="E2292" s="1" t="s">
        <v>710</v>
      </c>
      <c r="F2292" s="1" t="s">
        <v>711</v>
      </c>
      <c r="G2292" s="1" t="s">
        <v>712</v>
      </c>
      <c r="H2292" s="1" t="s">
        <v>713</v>
      </c>
      <c r="I2292" s="1" t="s">
        <v>714</v>
      </c>
      <c r="J2292" s="1" t="s">
        <v>716</v>
      </c>
      <c r="K2292" s="1" t="s">
        <v>716</v>
      </c>
      <c r="L2292" s="1" t="s">
        <v>1418</v>
      </c>
      <c r="M2292" s="1" t="s">
        <v>718</v>
      </c>
    </row>
    <row r="2293" customFormat="false" ht="15" hidden="false" customHeight="false" outlineLevel="0" collapsed="false">
      <c r="A2293" s="1" t="s">
        <v>10292</v>
      </c>
      <c r="B2293" s="1" t="s">
        <v>10293</v>
      </c>
      <c r="C2293" s="1" t="s">
        <v>10294</v>
      </c>
      <c r="D2293" s="2" t="n">
        <v>34382</v>
      </c>
      <c r="E2293" s="1" t="s">
        <v>763</v>
      </c>
      <c r="F2293" s="1" t="s">
        <v>711</v>
      </c>
      <c r="G2293" s="1" t="s">
        <v>722</v>
      </c>
      <c r="H2293" s="1" t="s">
        <v>713</v>
      </c>
      <c r="I2293" s="1" t="s">
        <v>714</v>
      </c>
      <c r="J2293" s="1" t="s">
        <v>716</v>
      </c>
      <c r="K2293" s="1" t="s">
        <v>716</v>
      </c>
      <c r="L2293" s="1" t="s">
        <v>1418</v>
      </c>
      <c r="M2293" s="1" t="s">
        <v>718</v>
      </c>
    </row>
    <row r="2294" customFormat="false" ht="15" hidden="false" customHeight="false" outlineLevel="0" collapsed="false">
      <c r="A2294" s="1" t="s">
        <v>10295</v>
      </c>
      <c r="B2294" s="1" t="s">
        <v>10296</v>
      </c>
      <c r="C2294" s="1" t="s">
        <v>10297</v>
      </c>
      <c r="D2294" s="2" t="n">
        <v>27092</v>
      </c>
      <c r="E2294" s="1" t="s">
        <v>710</v>
      </c>
      <c r="F2294" s="1" t="s">
        <v>711</v>
      </c>
      <c r="G2294" s="1" t="s">
        <v>712</v>
      </c>
      <c r="H2294" s="1" t="s">
        <v>713</v>
      </c>
      <c r="I2294" s="1" t="s">
        <v>714</v>
      </c>
      <c r="J2294" s="1" t="s">
        <v>716</v>
      </c>
      <c r="K2294" s="1" t="s">
        <v>716</v>
      </c>
      <c r="L2294" s="1" t="s">
        <v>1418</v>
      </c>
      <c r="M2294" s="1" t="s">
        <v>718</v>
      </c>
    </row>
    <row r="2295" customFormat="false" ht="15" hidden="false" customHeight="false" outlineLevel="0" collapsed="false">
      <c r="A2295" s="1" t="s">
        <v>10298</v>
      </c>
      <c r="B2295" s="1" t="s">
        <v>10299</v>
      </c>
      <c r="C2295" s="1" t="s">
        <v>10300</v>
      </c>
      <c r="D2295" s="2" t="n">
        <v>36546</v>
      </c>
      <c r="E2295" s="1" t="s">
        <v>710</v>
      </c>
      <c r="F2295" s="1" t="s">
        <v>711</v>
      </c>
      <c r="G2295" s="1" t="s">
        <v>712</v>
      </c>
      <c r="H2295" s="1" t="s">
        <v>713</v>
      </c>
      <c r="I2295" s="1" t="s">
        <v>714</v>
      </c>
      <c r="J2295" s="1" t="s">
        <v>1723</v>
      </c>
      <c r="K2295" s="1" t="s">
        <v>10301</v>
      </c>
      <c r="L2295" s="1" t="s">
        <v>7749</v>
      </c>
      <c r="M2295" s="1" t="s">
        <v>718</v>
      </c>
    </row>
    <row r="2296" customFormat="false" ht="15" hidden="false" customHeight="false" outlineLevel="0" collapsed="false">
      <c r="A2296" s="1" t="s">
        <v>10302</v>
      </c>
      <c r="B2296" s="1" t="s">
        <v>10303</v>
      </c>
      <c r="C2296" s="1" t="s">
        <v>10304</v>
      </c>
      <c r="D2296" s="2" t="n">
        <v>32532</v>
      </c>
      <c r="E2296" s="1" t="s">
        <v>763</v>
      </c>
      <c r="F2296" s="1" t="s">
        <v>711</v>
      </c>
      <c r="G2296" s="1" t="s">
        <v>712</v>
      </c>
      <c r="H2296" s="1" t="s">
        <v>713</v>
      </c>
      <c r="I2296" s="1" t="s">
        <v>714</v>
      </c>
      <c r="J2296" s="1" t="s">
        <v>716</v>
      </c>
      <c r="K2296" s="1" t="s">
        <v>716</v>
      </c>
      <c r="L2296" s="1" t="s">
        <v>1418</v>
      </c>
      <c r="M2296" s="1" t="s">
        <v>718</v>
      </c>
    </row>
    <row r="2297" customFormat="false" ht="15" hidden="false" customHeight="false" outlineLevel="0" collapsed="false">
      <c r="A2297" s="1" t="s">
        <v>10305</v>
      </c>
      <c r="B2297" s="1" t="s">
        <v>10306</v>
      </c>
      <c r="C2297" s="1" t="s">
        <v>10307</v>
      </c>
      <c r="D2297" s="2" t="n">
        <v>27958</v>
      </c>
      <c r="E2297" s="1" t="s">
        <v>710</v>
      </c>
      <c r="F2297" s="1" t="s">
        <v>711</v>
      </c>
      <c r="G2297" s="1" t="s">
        <v>712</v>
      </c>
      <c r="H2297" s="1" t="s">
        <v>713</v>
      </c>
      <c r="I2297" s="1" t="s">
        <v>714</v>
      </c>
      <c r="J2297" s="1" t="s">
        <v>716</v>
      </c>
      <c r="K2297" s="1" t="s">
        <v>716</v>
      </c>
      <c r="L2297" s="1" t="s">
        <v>1418</v>
      </c>
      <c r="M2297" s="1" t="s">
        <v>718</v>
      </c>
    </row>
    <row r="2298" customFormat="false" ht="15" hidden="false" customHeight="false" outlineLevel="0" collapsed="false">
      <c r="A2298" s="1" t="s">
        <v>10308</v>
      </c>
      <c r="B2298" s="1" t="s">
        <v>10309</v>
      </c>
      <c r="C2298" s="1" t="s">
        <v>10310</v>
      </c>
      <c r="D2298" s="2" t="n">
        <v>33611</v>
      </c>
      <c r="E2298" s="1" t="s">
        <v>763</v>
      </c>
      <c r="F2298" s="1" t="s">
        <v>711</v>
      </c>
      <c r="G2298" s="1" t="s">
        <v>712</v>
      </c>
      <c r="H2298" s="1" t="s">
        <v>713</v>
      </c>
      <c r="I2298" s="1" t="s">
        <v>714</v>
      </c>
      <c r="J2298" s="1" t="s">
        <v>716</v>
      </c>
      <c r="K2298" s="1" t="s">
        <v>716</v>
      </c>
      <c r="L2298" s="1" t="s">
        <v>1418</v>
      </c>
      <c r="M2298" s="1" t="s">
        <v>718</v>
      </c>
    </row>
    <row r="2299" customFormat="false" ht="15" hidden="false" customHeight="false" outlineLevel="0" collapsed="false">
      <c r="A2299" s="1" t="s">
        <v>10311</v>
      </c>
      <c r="B2299" s="1" t="s">
        <v>10312</v>
      </c>
      <c r="C2299" s="1" t="s">
        <v>2029</v>
      </c>
      <c r="D2299" s="2" t="n">
        <v>33500</v>
      </c>
      <c r="E2299" s="1" t="s">
        <v>763</v>
      </c>
      <c r="F2299" s="1" t="s">
        <v>711</v>
      </c>
      <c r="G2299" s="1" t="s">
        <v>712</v>
      </c>
      <c r="H2299" s="1" t="s">
        <v>713</v>
      </c>
      <c r="I2299" s="1" t="s">
        <v>714</v>
      </c>
      <c r="J2299" s="1" t="s">
        <v>716</v>
      </c>
      <c r="K2299" s="1" t="s">
        <v>10313</v>
      </c>
      <c r="L2299" s="1" t="s">
        <v>1418</v>
      </c>
      <c r="M2299" s="1" t="s">
        <v>718</v>
      </c>
    </row>
    <row r="2300" customFormat="false" ht="15" hidden="false" customHeight="false" outlineLevel="0" collapsed="false">
      <c r="A2300" s="1" t="s">
        <v>10314</v>
      </c>
      <c r="B2300" s="1" t="s">
        <v>10315</v>
      </c>
      <c r="C2300" s="1" t="s">
        <v>10316</v>
      </c>
      <c r="D2300" s="2" t="n">
        <v>33421</v>
      </c>
      <c r="E2300" s="1" t="s">
        <v>763</v>
      </c>
      <c r="F2300" s="1" t="s">
        <v>711</v>
      </c>
      <c r="G2300" s="1" t="s">
        <v>712</v>
      </c>
      <c r="H2300" s="1" t="s">
        <v>713</v>
      </c>
      <c r="I2300" s="1" t="s">
        <v>714</v>
      </c>
      <c r="J2300" s="1" t="s">
        <v>716</v>
      </c>
      <c r="K2300" s="1" t="s">
        <v>716</v>
      </c>
      <c r="L2300" s="1" t="s">
        <v>1418</v>
      </c>
      <c r="M2300" s="1" t="s">
        <v>718</v>
      </c>
    </row>
    <row r="2301" customFormat="false" ht="15" hidden="false" customHeight="false" outlineLevel="0" collapsed="false">
      <c r="A2301" s="1" t="s">
        <v>10317</v>
      </c>
      <c r="B2301" s="1" t="s">
        <v>10318</v>
      </c>
      <c r="C2301" s="1" t="s">
        <v>10319</v>
      </c>
      <c r="D2301" s="2" t="n">
        <v>29457</v>
      </c>
      <c r="E2301" s="1" t="s">
        <v>763</v>
      </c>
      <c r="F2301" s="1" t="s">
        <v>711</v>
      </c>
      <c r="G2301" s="1" t="s">
        <v>722</v>
      </c>
      <c r="H2301" s="1" t="s">
        <v>713</v>
      </c>
      <c r="I2301" s="1" t="s">
        <v>714</v>
      </c>
      <c r="J2301" s="1" t="s">
        <v>716</v>
      </c>
      <c r="K2301" s="1" t="s">
        <v>716</v>
      </c>
      <c r="L2301" s="1" t="s">
        <v>1418</v>
      </c>
      <c r="M2301" s="1" t="s">
        <v>718</v>
      </c>
    </row>
    <row r="2302" customFormat="false" ht="15" hidden="false" customHeight="false" outlineLevel="0" collapsed="false">
      <c r="A2302" s="1" t="s">
        <v>10320</v>
      </c>
      <c r="B2302" s="1" t="s">
        <v>1397</v>
      </c>
      <c r="C2302" s="1" t="s">
        <v>1619</v>
      </c>
      <c r="D2302" s="2" t="n">
        <v>34704</v>
      </c>
      <c r="E2302" s="1" t="s">
        <v>710</v>
      </c>
      <c r="F2302" s="1" t="s">
        <v>711</v>
      </c>
      <c r="G2302" s="1" t="s">
        <v>712</v>
      </c>
      <c r="H2302" s="1" t="s">
        <v>713</v>
      </c>
      <c r="I2302" s="1" t="s">
        <v>714</v>
      </c>
      <c r="J2302" s="1" t="s">
        <v>10321</v>
      </c>
      <c r="K2302" s="1" t="s">
        <v>10321</v>
      </c>
      <c r="L2302" s="1" t="s">
        <v>1418</v>
      </c>
      <c r="M2302" s="1" t="s">
        <v>718</v>
      </c>
    </row>
    <row r="2303" customFormat="false" ht="15" hidden="false" customHeight="false" outlineLevel="0" collapsed="false">
      <c r="A2303" s="1" t="s">
        <v>10322</v>
      </c>
      <c r="B2303" s="1" t="s">
        <v>10323</v>
      </c>
      <c r="C2303" s="1" t="s">
        <v>10129</v>
      </c>
      <c r="D2303" s="2" t="n">
        <v>37014</v>
      </c>
      <c r="E2303" s="1" t="s">
        <v>763</v>
      </c>
      <c r="F2303" s="1" t="s">
        <v>711</v>
      </c>
      <c r="G2303" s="1" t="s">
        <v>712</v>
      </c>
      <c r="H2303" s="1" t="s">
        <v>713</v>
      </c>
      <c r="I2303" s="1" t="s">
        <v>714</v>
      </c>
      <c r="J2303" s="1" t="s">
        <v>716</v>
      </c>
      <c r="K2303" s="1" t="s">
        <v>716</v>
      </c>
      <c r="L2303" s="1" t="s">
        <v>10131</v>
      </c>
      <c r="M2303" s="1" t="s">
        <v>718</v>
      </c>
    </row>
    <row r="2304" customFormat="false" ht="15" hidden="false" customHeight="false" outlineLevel="0" collapsed="false">
      <c r="A2304" s="1" t="s">
        <v>10324</v>
      </c>
      <c r="B2304" s="1" t="s">
        <v>10325</v>
      </c>
      <c r="C2304" s="1" t="s">
        <v>10129</v>
      </c>
      <c r="D2304" s="2" t="n">
        <v>36545</v>
      </c>
      <c r="E2304" s="1" t="s">
        <v>763</v>
      </c>
      <c r="F2304" s="1" t="s">
        <v>711</v>
      </c>
      <c r="G2304" s="1" t="s">
        <v>775</v>
      </c>
      <c r="H2304" s="1" t="s">
        <v>713</v>
      </c>
      <c r="I2304" s="1" t="s">
        <v>714</v>
      </c>
      <c r="J2304" s="1" t="s">
        <v>716</v>
      </c>
      <c r="K2304" s="1" t="s">
        <v>716</v>
      </c>
      <c r="L2304" s="1" t="s">
        <v>10131</v>
      </c>
      <c r="M2304" s="1" t="s">
        <v>718</v>
      </c>
    </row>
    <row r="2305" customFormat="false" ht="15" hidden="false" customHeight="false" outlineLevel="0" collapsed="false">
      <c r="A2305" s="1" t="s">
        <v>10326</v>
      </c>
      <c r="B2305" s="1" t="s">
        <v>10327</v>
      </c>
      <c r="C2305" s="1" t="s">
        <v>10328</v>
      </c>
      <c r="D2305" s="2" t="n">
        <v>36486</v>
      </c>
      <c r="E2305" s="1" t="s">
        <v>710</v>
      </c>
      <c r="F2305" s="1" t="s">
        <v>711</v>
      </c>
      <c r="G2305" s="1" t="s">
        <v>712</v>
      </c>
      <c r="H2305" s="1" t="s">
        <v>713</v>
      </c>
      <c r="I2305" s="1" t="s">
        <v>714</v>
      </c>
      <c r="J2305" s="1" t="s">
        <v>3678</v>
      </c>
      <c r="K2305" s="1" t="s">
        <v>716</v>
      </c>
      <c r="L2305" s="1" t="s">
        <v>10329</v>
      </c>
      <c r="M2305" s="1" t="s">
        <v>718</v>
      </c>
    </row>
    <row r="2306" customFormat="false" ht="15" hidden="false" customHeight="false" outlineLevel="0" collapsed="false">
      <c r="A2306" s="1" t="s">
        <v>10330</v>
      </c>
      <c r="B2306" s="1" t="s">
        <v>10331</v>
      </c>
      <c r="C2306" s="1" t="s">
        <v>10332</v>
      </c>
      <c r="D2306" s="2" t="n">
        <v>28888</v>
      </c>
      <c r="E2306" s="1" t="s">
        <v>710</v>
      </c>
      <c r="F2306" s="1" t="s">
        <v>711</v>
      </c>
      <c r="G2306" s="1" t="s">
        <v>712</v>
      </c>
      <c r="H2306" s="1" t="s">
        <v>713</v>
      </c>
      <c r="I2306" s="1" t="s">
        <v>714</v>
      </c>
      <c r="J2306" s="1" t="s">
        <v>716</v>
      </c>
      <c r="K2306" s="1" t="s">
        <v>716</v>
      </c>
      <c r="L2306" s="1" t="s">
        <v>1418</v>
      </c>
      <c r="M2306" s="1" t="s">
        <v>718</v>
      </c>
    </row>
    <row r="2307" customFormat="false" ht="15" hidden="false" customHeight="false" outlineLevel="0" collapsed="false">
      <c r="A2307" s="1" t="s">
        <v>10333</v>
      </c>
      <c r="B2307" s="1" t="s">
        <v>1468</v>
      </c>
      <c r="C2307" s="1" t="s">
        <v>4378</v>
      </c>
      <c r="D2307" s="2" t="n">
        <v>34830</v>
      </c>
      <c r="E2307" s="1" t="s">
        <v>710</v>
      </c>
      <c r="F2307" s="1" t="s">
        <v>711</v>
      </c>
      <c r="G2307" s="1" t="s">
        <v>722</v>
      </c>
      <c r="H2307" s="1" t="s">
        <v>713</v>
      </c>
      <c r="I2307" s="1" t="s">
        <v>714</v>
      </c>
      <c r="J2307" s="1" t="s">
        <v>716</v>
      </c>
      <c r="K2307" s="1" t="s">
        <v>716</v>
      </c>
      <c r="L2307" s="1" t="s">
        <v>1418</v>
      </c>
      <c r="M2307" s="1" t="s">
        <v>718</v>
      </c>
    </row>
    <row r="2308" customFormat="false" ht="15" hidden="false" customHeight="false" outlineLevel="0" collapsed="false">
      <c r="A2308" s="1" t="s">
        <v>10334</v>
      </c>
      <c r="B2308" s="1" t="s">
        <v>10335</v>
      </c>
      <c r="C2308" s="1" t="s">
        <v>10336</v>
      </c>
      <c r="D2308" s="2" t="n">
        <v>33998</v>
      </c>
      <c r="E2308" s="1" t="s">
        <v>763</v>
      </c>
      <c r="F2308" s="1" t="s">
        <v>711</v>
      </c>
      <c r="G2308" s="1" t="s">
        <v>722</v>
      </c>
      <c r="H2308" s="1" t="s">
        <v>713</v>
      </c>
      <c r="I2308" s="1" t="s">
        <v>714</v>
      </c>
      <c r="J2308" s="1" t="s">
        <v>716</v>
      </c>
      <c r="K2308" s="1" t="s">
        <v>716</v>
      </c>
      <c r="L2308" s="1" t="s">
        <v>1418</v>
      </c>
      <c r="M2308" s="1" t="s">
        <v>718</v>
      </c>
    </row>
    <row r="2309" customFormat="false" ht="15" hidden="false" customHeight="false" outlineLevel="0" collapsed="false">
      <c r="A2309" s="1" t="s">
        <v>10337</v>
      </c>
      <c r="B2309" s="1" t="s">
        <v>10338</v>
      </c>
      <c r="C2309" s="1" t="s">
        <v>7774</v>
      </c>
      <c r="D2309" s="2" t="n">
        <v>34919</v>
      </c>
      <c r="E2309" s="1" t="s">
        <v>710</v>
      </c>
      <c r="F2309" s="1" t="s">
        <v>711</v>
      </c>
      <c r="G2309" s="1" t="s">
        <v>712</v>
      </c>
      <c r="H2309" s="1" t="s">
        <v>713</v>
      </c>
      <c r="I2309" s="1" t="s">
        <v>714</v>
      </c>
      <c r="J2309" s="1" t="s">
        <v>716</v>
      </c>
      <c r="K2309" s="1" t="s">
        <v>716</v>
      </c>
      <c r="L2309" s="1" t="s">
        <v>1418</v>
      </c>
      <c r="M2309" s="1" t="s">
        <v>718</v>
      </c>
    </row>
    <row r="2310" customFormat="false" ht="15" hidden="false" customHeight="false" outlineLevel="0" collapsed="false">
      <c r="A2310" s="1" t="s">
        <v>10339</v>
      </c>
      <c r="B2310" s="1" t="s">
        <v>10340</v>
      </c>
      <c r="C2310" s="1" t="s">
        <v>10341</v>
      </c>
      <c r="D2310" s="2" t="n">
        <v>37677</v>
      </c>
      <c r="E2310" s="1" t="s">
        <v>763</v>
      </c>
      <c r="F2310" s="1" t="s">
        <v>711</v>
      </c>
      <c r="G2310" s="1" t="s">
        <v>712</v>
      </c>
      <c r="H2310" s="1" t="s">
        <v>713</v>
      </c>
      <c r="I2310" s="1" t="s">
        <v>714</v>
      </c>
      <c r="J2310" s="1" t="s">
        <v>3678</v>
      </c>
      <c r="K2310" s="1" t="s">
        <v>10342</v>
      </c>
      <c r="L2310" s="1" t="s">
        <v>10343</v>
      </c>
      <c r="M2310" s="1" t="s">
        <v>718</v>
      </c>
    </row>
    <row r="2311" customFormat="false" ht="15" hidden="false" customHeight="false" outlineLevel="0" collapsed="false">
      <c r="A2311" s="1" t="s">
        <v>10344</v>
      </c>
      <c r="B2311" s="1" t="s">
        <v>10345</v>
      </c>
      <c r="C2311" s="1" t="s">
        <v>10346</v>
      </c>
      <c r="D2311" s="2" t="n">
        <v>37363</v>
      </c>
      <c r="E2311" s="1" t="s">
        <v>710</v>
      </c>
      <c r="F2311" s="1" t="s">
        <v>711</v>
      </c>
      <c r="G2311" s="1" t="s">
        <v>712</v>
      </c>
      <c r="H2311" s="1" t="s">
        <v>713</v>
      </c>
      <c r="I2311" s="1" t="s">
        <v>714</v>
      </c>
      <c r="J2311" s="1" t="s">
        <v>2564</v>
      </c>
      <c r="K2311" s="1" t="s">
        <v>10347</v>
      </c>
      <c r="L2311" s="1" t="s">
        <v>10348</v>
      </c>
      <c r="M2311" s="1" t="s">
        <v>718</v>
      </c>
    </row>
    <row r="2312" customFormat="false" ht="15" hidden="false" customHeight="false" outlineLevel="0" collapsed="false">
      <c r="A2312" s="1" t="s">
        <v>10349</v>
      </c>
      <c r="B2312" s="1" t="s">
        <v>1869</v>
      </c>
      <c r="C2312" s="1" t="s">
        <v>10350</v>
      </c>
      <c r="D2312" s="2" t="n">
        <v>37198</v>
      </c>
      <c r="E2312" s="1" t="s">
        <v>710</v>
      </c>
      <c r="F2312" s="1" t="s">
        <v>711</v>
      </c>
      <c r="G2312" s="1" t="s">
        <v>712</v>
      </c>
      <c r="H2312" s="1" t="s">
        <v>713</v>
      </c>
      <c r="I2312" s="1" t="s">
        <v>714</v>
      </c>
      <c r="J2312" s="1" t="s">
        <v>10351</v>
      </c>
      <c r="K2312" s="1" t="s">
        <v>10352</v>
      </c>
      <c r="L2312" s="1" t="s">
        <v>10353</v>
      </c>
      <c r="M2312" s="1" t="s">
        <v>718</v>
      </c>
    </row>
    <row r="2313" customFormat="false" ht="15" hidden="false" customHeight="false" outlineLevel="0" collapsed="false">
      <c r="A2313" s="1" t="s">
        <v>10354</v>
      </c>
      <c r="B2313" s="1" t="s">
        <v>10355</v>
      </c>
      <c r="C2313" s="1" t="s">
        <v>7264</v>
      </c>
      <c r="D2313" s="2" t="n">
        <v>33096</v>
      </c>
      <c r="E2313" s="1" t="s">
        <v>763</v>
      </c>
      <c r="F2313" s="1" t="s">
        <v>711</v>
      </c>
      <c r="G2313" s="1" t="s">
        <v>712</v>
      </c>
      <c r="H2313" s="1" t="s">
        <v>713</v>
      </c>
      <c r="I2313" s="1" t="s">
        <v>714</v>
      </c>
      <c r="J2313" s="1" t="s">
        <v>716</v>
      </c>
      <c r="K2313" s="1" t="s">
        <v>716</v>
      </c>
      <c r="L2313" s="1" t="s">
        <v>1418</v>
      </c>
      <c r="M2313" s="1" t="s">
        <v>718</v>
      </c>
    </row>
    <row r="2314" customFormat="false" ht="15" hidden="false" customHeight="false" outlineLevel="0" collapsed="false">
      <c r="A2314" s="1" t="s">
        <v>10356</v>
      </c>
      <c r="B2314" s="1" t="s">
        <v>10357</v>
      </c>
      <c r="C2314" s="1" t="s">
        <v>10358</v>
      </c>
      <c r="D2314" s="2" t="n">
        <v>34071</v>
      </c>
      <c r="E2314" s="1" t="s">
        <v>763</v>
      </c>
      <c r="F2314" s="1" t="s">
        <v>711</v>
      </c>
      <c r="G2314" s="1" t="s">
        <v>722</v>
      </c>
      <c r="H2314" s="1" t="s">
        <v>713</v>
      </c>
      <c r="I2314" s="1" t="s">
        <v>714</v>
      </c>
      <c r="J2314" s="1" t="s">
        <v>716</v>
      </c>
      <c r="K2314" s="1" t="s">
        <v>716</v>
      </c>
      <c r="L2314" s="1" t="s">
        <v>1418</v>
      </c>
      <c r="M2314" s="1" t="s">
        <v>718</v>
      </c>
    </row>
    <row r="2315" customFormat="false" ht="15" hidden="false" customHeight="false" outlineLevel="0" collapsed="false">
      <c r="A2315" s="1" t="s">
        <v>10359</v>
      </c>
      <c r="B2315" s="1" t="s">
        <v>10360</v>
      </c>
      <c r="C2315" s="1" t="s">
        <v>10361</v>
      </c>
      <c r="D2315" s="2" t="n">
        <v>32197</v>
      </c>
      <c r="E2315" s="1" t="s">
        <v>710</v>
      </c>
      <c r="F2315" s="1" t="s">
        <v>711</v>
      </c>
      <c r="G2315" s="1" t="s">
        <v>712</v>
      </c>
      <c r="H2315" s="1" t="s">
        <v>713</v>
      </c>
      <c r="I2315" s="1" t="s">
        <v>714</v>
      </c>
      <c r="J2315" s="1" t="s">
        <v>716</v>
      </c>
      <c r="K2315" s="1" t="s">
        <v>716</v>
      </c>
      <c r="L2315" s="1" t="s">
        <v>1418</v>
      </c>
      <c r="M2315" s="1" t="s">
        <v>718</v>
      </c>
    </row>
    <row r="2316" customFormat="false" ht="15" hidden="false" customHeight="false" outlineLevel="0" collapsed="false">
      <c r="A2316" s="1" t="s">
        <v>10362</v>
      </c>
      <c r="B2316" s="1" t="s">
        <v>10363</v>
      </c>
      <c r="C2316" s="1" t="s">
        <v>10361</v>
      </c>
      <c r="D2316" s="2" t="n">
        <v>29807</v>
      </c>
      <c r="E2316" s="1" t="s">
        <v>763</v>
      </c>
      <c r="F2316" s="1" t="s">
        <v>711</v>
      </c>
      <c r="G2316" s="1" t="s">
        <v>722</v>
      </c>
      <c r="H2316" s="1" t="s">
        <v>713</v>
      </c>
      <c r="I2316" s="1" t="s">
        <v>714</v>
      </c>
      <c r="J2316" s="1" t="s">
        <v>716</v>
      </c>
      <c r="K2316" s="1" t="s">
        <v>716</v>
      </c>
      <c r="L2316" s="1" t="s">
        <v>1418</v>
      </c>
      <c r="M2316" s="1" t="s">
        <v>718</v>
      </c>
    </row>
    <row r="2317" customFormat="false" ht="15" hidden="false" customHeight="false" outlineLevel="0" collapsed="false">
      <c r="A2317" s="1" t="s">
        <v>10364</v>
      </c>
      <c r="B2317" s="1" t="s">
        <v>10365</v>
      </c>
      <c r="C2317" s="1" t="s">
        <v>10366</v>
      </c>
      <c r="D2317" s="2" t="n">
        <v>33648</v>
      </c>
      <c r="E2317" s="1" t="s">
        <v>710</v>
      </c>
      <c r="F2317" s="1" t="s">
        <v>711</v>
      </c>
      <c r="G2317" s="1" t="s">
        <v>10367</v>
      </c>
      <c r="H2317" s="1" t="s">
        <v>713</v>
      </c>
      <c r="I2317" s="1" t="s">
        <v>714</v>
      </c>
      <c r="J2317" s="1" t="s">
        <v>716</v>
      </c>
      <c r="K2317" s="1" t="s">
        <v>716</v>
      </c>
      <c r="L2317" s="1" t="s">
        <v>1418</v>
      </c>
      <c r="M2317" s="1" t="s">
        <v>718</v>
      </c>
    </row>
    <row r="2318" customFormat="false" ht="15" hidden="false" customHeight="false" outlineLevel="0" collapsed="false">
      <c r="A2318" s="1" t="s">
        <v>10368</v>
      </c>
      <c r="B2318" s="1" t="s">
        <v>10369</v>
      </c>
      <c r="C2318" s="1" t="s">
        <v>10370</v>
      </c>
      <c r="D2318" s="2" t="n">
        <v>37297</v>
      </c>
      <c r="E2318" s="1" t="s">
        <v>763</v>
      </c>
      <c r="F2318" s="1" t="s">
        <v>711</v>
      </c>
      <c r="G2318" s="1" t="s">
        <v>712</v>
      </c>
      <c r="H2318" s="1" t="s">
        <v>713</v>
      </c>
      <c r="I2318" s="1" t="s">
        <v>714</v>
      </c>
      <c r="J2318" s="1" t="s">
        <v>790</v>
      </c>
      <c r="K2318" s="1" t="s">
        <v>8405</v>
      </c>
      <c r="L2318" s="1" t="s">
        <v>8406</v>
      </c>
      <c r="M2318" s="1" t="s">
        <v>718</v>
      </c>
    </row>
    <row r="2319" customFormat="false" ht="15" hidden="false" customHeight="false" outlineLevel="0" collapsed="false">
      <c r="A2319" s="1" t="s">
        <v>10371</v>
      </c>
      <c r="B2319" s="1" t="s">
        <v>10372</v>
      </c>
      <c r="C2319" s="1" t="s">
        <v>10373</v>
      </c>
      <c r="D2319" s="2" t="n">
        <v>34935</v>
      </c>
      <c r="E2319" s="1" t="s">
        <v>763</v>
      </c>
      <c r="F2319" s="1" t="s">
        <v>711</v>
      </c>
      <c r="G2319" s="1" t="s">
        <v>722</v>
      </c>
      <c r="H2319" s="1" t="s">
        <v>713</v>
      </c>
      <c r="I2319" s="1" t="s">
        <v>714</v>
      </c>
      <c r="J2319" s="1" t="s">
        <v>716</v>
      </c>
      <c r="K2319" s="1" t="s">
        <v>716</v>
      </c>
      <c r="L2319" s="1" t="s">
        <v>1418</v>
      </c>
      <c r="M2319" s="1" t="s">
        <v>718</v>
      </c>
    </row>
    <row r="2320" customFormat="false" ht="15" hidden="false" customHeight="false" outlineLevel="0" collapsed="false">
      <c r="A2320" s="1" t="s">
        <v>10374</v>
      </c>
      <c r="B2320" s="1" t="s">
        <v>10375</v>
      </c>
      <c r="C2320" s="1" t="s">
        <v>3656</v>
      </c>
      <c r="D2320" s="2" t="n">
        <v>34459</v>
      </c>
      <c r="E2320" s="1" t="s">
        <v>710</v>
      </c>
      <c r="F2320" s="1" t="s">
        <v>711</v>
      </c>
      <c r="G2320" s="1" t="s">
        <v>722</v>
      </c>
      <c r="H2320" s="1" t="s">
        <v>713</v>
      </c>
      <c r="I2320" s="1" t="s">
        <v>714</v>
      </c>
      <c r="J2320" s="1" t="s">
        <v>716</v>
      </c>
      <c r="K2320" s="1" t="s">
        <v>716</v>
      </c>
      <c r="L2320" s="1" t="s">
        <v>1418</v>
      </c>
      <c r="M2320" s="1" t="s">
        <v>718</v>
      </c>
    </row>
    <row r="2321" customFormat="false" ht="15" hidden="false" customHeight="false" outlineLevel="0" collapsed="false">
      <c r="A2321" s="1" t="s">
        <v>10376</v>
      </c>
      <c r="B2321" s="1" t="s">
        <v>10377</v>
      </c>
      <c r="C2321" s="1" t="s">
        <v>1845</v>
      </c>
      <c r="D2321" s="2" t="n">
        <v>34000</v>
      </c>
      <c r="E2321" s="1" t="s">
        <v>710</v>
      </c>
      <c r="F2321" s="1" t="s">
        <v>711</v>
      </c>
      <c r="G2321" s="1" t="s">
        <v>722</v>
      </c>
      <c r="H2321" s="1" t="s">
        <v>713</v>
      </c>
      <c r="I2321" s="1" t="s">
        <v>714</v>
      </c>
      <c r="J2321" s="1" t="s">
        <v>716</v>
      </c>
      <c r="K2321" s="1" t="s">
        <v>716</v>
      </c>
      <c r="L2321" s="1" t="s">
        <v>1418</v>
      </c>
      <c r="M2321" s="1" t="s">
        <v>718</v>
      </c>
    </row>
    <row r="2322" customFormat="false" ht="15" hidden="false" customHeight="false" outlineLevel="0" collapsed="false">
      <c r="A2322" s="1" t="s">
        <v>10378</v>
      </c>
      <c r="B2322" s="1" t="s">
        <v>10379</v>
      </c>
      <c r="C2322" s="1" t="s">
        <v>10380</v>
      </c>
      <c r="D2322" s="2" t="n">
        <v>36985</v>
      </c>
      <c r="E2322" s="1" t="s">
        <v>763</v>
      </c>
      <c r="F2322" s="1" t="s">
        <v>711</v>
      </c>
      <c r="G2322" s="1" t="s">
        <v>712</v>
      </c>
      <c r="H2322" s="1" t="s">
        <v>713</v>
      </c>
      <c r="I2322" s="1" t="s">
        <v>714</v>
      </c>
      <c r="J2322" s="1" t="s">
        <v>1723</v>
      </c>
      <c r="K2322" s="1" t="s">
        <v>10381</v>
      </c>
      <c r="L2322" s="1" t="s">
        <v>10382</v>
      </c>
      <c r="M2322" s="1" t="s">
        <v>718</v>
      </c>
    </row>
    <row r="2323" customFormat="false" ht="15" hidden="false" customHeight="false" outlineLevel="0" collapsed="false">
      <c r="A2323" s="1" t="s">
        <v>10383</v>
      </c>
      <c r="B2323" s="1" t="s">
        <v>10384</v>
      </c>
      <c r="C2323" s="1" t="s">
        <v>10385</v>
      </c>
      <c r="D2323" s="2" t="n">
        <v>36680</v>
      </c>
      <c r="E2323" s="1" t="s">
        <v>763</v>
      </c>
      <c r="F2323" s="1" t="s">
        <v>711</v>
      </c>
      <c r="G2323" s="1" t="s">
        <v>712</v>
      </c>
      <c r="H2323" s="1" t="s">
        <v>713</v>
      </c>
      <c r="I2323" s="1" t="s">
        <v>714</v>
      </c>
      <c r="J2323" s="1" t="s">
        <v>10386</v>
      </c>
      <c r="K2323" s="1" t="s">
        <v>10387</v>
      </c>
      <c r="L2323" s="1" t="s">
        <v>10388</v>
      </c>
      <c r="M2323" s="1" t="s">
        <v>718</v>
      </c>
    </row>
    <row r="2324" customFormat="false" ht="15" hidden="false" customHeight="false" outlineLevel="0" collapsed="false">
      <c r="A2324" s="1" t="s">
        <v>10389</v>
      </c>
      <c r="B2324" s="1" t="s">
        <v>10390</v>
      </c>
      <c r="C2324" s="1" t="s">
        <v>3210</v>
      </c>
      <c r="D2324" s="2" t="n">
        <v>33687</v>
      </c>
      <c r="E2324" s="1" t="s">
        <v>710</v>
      </c>
      <c r="F2324" s="1" t="s">
        <v>711</v>
      </c>
      <c r="G2324" s="1" t="s">
        <v>722</v>
      </c>
      <c r="H2324" s="1" t="s">
        <v>713</v>
      </c>
      <c r="I2324" s="1" t="s">
        <v>714</v>
      </c>
      <c r="J2324" s="1" t="s">
        <v>716</v>
      </c>
      <c r="K2324" s="1" t="s">
        <v>716</v>
      </c>
      <c r="L2324" s="1" t="s">
        <v>1418</v>
      </c>
      <c r="M2324" s="1" t="s">
        <v>718</v>
      </c>
    </row>
    <row r="2325" customFormat="false" ht="15" hidden="false" customHeight="false" outlineLevel="0" collapsed="false">
      <c r="A2325" s="1" t="s">
        <v>10391</v>
      </c>
      <c r="B2325" s="1" t="s">
        <v>10392</v>
      </c>
      <c r="C2325" s="1" t="s">
        <v>10393</v>
      </c>
      <c r="D2325" s="2" t="n">
        <v>33803</v>
      </c>
      <c r="E2325" s="1" t="s">
        <v>710</v>
      </c>
      <c r="F2325" s="1" t="s">
        <v>711</v>
      </c>
      <c r="G2325" s="1" t="s">
        <v>712</v>
      </c>
      <c r="H2325" s="1" t="s">
        <v>713</v>
      </c>
      <c r="I2325" s="1" t="s">
        <v>714</v>
      </c>
      <c r="J2325" s="1" t="s">
        <v>716</v>
      </c>
      <c r="K2325" s="1" t="s">
        <v>716</v>
      </c>
      <c r="L2325" s="1" t="s">
        <v>1418</v>
      </c>
      <c r="M2325" s="1" t="s">
        <v>718</v>
      </c>
    </row>
    <row r="2326" customFormat="false" ht="15" hidden="false" customHeight="false" outlineLevel="0" collapsed="false">
      <c r="A2326" s="1" t="s">
        <v>10394</v>
      </c>
      <c r="B2326" s="1" t="s">
        <v>10395</v>
      </c>
      <c r="C2326" s="1" t="s">
        <v>7326</v>
      </c>
      <c r="D2326" s="2" t="n">
        <v>34708</v>
      </c>
      <c r="E2326" s="1" t="s">
        <v>710</v>
      </c>
      <c r="F2326" s="1" t="s">
        <v>711</v>
      </c>
      <c r="G2326" s="1" t="s">
        <v>722</v>
      </c>
      <c r="H2326" s="1" t="s">
        <v>713</v>
      </c>
      <c r="I2326" s="1" t="s">
        <v>714</v>
      </c>
      <c r="J2326" s="1" t="s">
        <v>716</v>
      </c>
      <c r="K2326" s="1" t="s">
        <v>716</v>
      </c>
      <c r="L2326" s="1" t="s">
        <v>1418</v>
      </c>
      <c r="M2326" s="1" t="s">
        <v>718</v>
      </c>
    </row>
    <row r="2327" customFormat="false" ht="15" hidden="false" customHeight="false" outlineLevel="0" collapsed="false">
      <c r="A2327" s="1" t="s">
        <v>10396</v>
      </c>
      <c r="B2327" s="1" t="s">
        <v>2071</v>
      </c>
      <c r="C2327" s="1" t="s">
        <v>10397</v>
      </c>
      <c r="D2327" s="2" t="n">
        <v>34170</v>
      </c>
      <c r="E2327" s="1" t="s">
        <v>710</v>
      </c>
      <c r="F2327" s="1" t="s">
        <v>711</v>
      </c>
      <c r="G2327" s="1" t="s">
        <v>712</v>
      </c>
      <c r="H2327" s="1" t="s">
        <v>713</v>
      </c>
      <c r="I2327" s="1" t="s">
        <v>714</v>
      </c>
      <c r="J2327" s="1" t="s">
        <v>716</v>
      </c>
      <c r="K2327" s="1" t="s">
        <v>716</v>
      </c>
      <c r="L2327" s="1" t="s">
        <v>1418</v>
      </c>
      <c r="M2327" s="1" t="s">
        <v>718</v>
      </c>
    </row>
    <row r="2328" customFormat="false" ht="15" hidden="false" customHeight="false" outlineLevel="0" collapsed="false">
      <c r="A2328" s="1" t="s">
        <v>10398</v>
      </c>
      <c r="B2328" s="1" t="s">
        <v>10399</v>
      </c>
      <c r="C2328" s="1" t="s">
        <v>5792</v>
      </c>
      <c r="D2328" s="2" t="n">
        <v>36947</v>
      </c>
      <c r="E2328" s="1" t="s">
        <v>763</v>
      </c>
      <c r="F2328" s="1" t="s">
        <v>711</v>
      </c>
      <c r="G2328" s="1" t="s">
        <v>712</v>
      </c>
      <c r="H2328" s="1" t="s">
        <v>713</v>
      </c>
      <c r="I2328" s="1" t="s">
        <v>714</v>
      </c>
      <c r="J2328" s="1" t="s">
        <v>10400</v>
      </c>
      <c r="K2328" s="1" t="s">
        <v>10401</v>
      </c>
      <c r="L2328" s="1" t="s">
        <v>10402</v>
      </c>
      <c r="M2328" s="1" t="s">
        <v>718</v>
      </c>
    </row>
    <row r="2329" customFormat="false" ht="15" hidden="false" customHeight="false" outlineLevel="0" collapsed="false">
      <c r="A2329" s="1" t="s">
        <v>10403</v>
      </c>
      <c r="B2329" s="1" t="s">
        <v>10404</v>
      </c>
      <c r="C2329" s="1" t="s">
        <v>10405</v>
      </c>
      <c r="D2329" s="2" t="n">
        <v>35476</v>
      </c>
      <c r="E2329" s="1" t="s">
        <v>763</v>
      </c>
      <c r="F2329" s="1" t="s">
        <v>711</v>
      </c>
      <c r="G2329" s="1" t="s">
        <v>712</v>
      </c>
      <c r="H2329" s="1" t="s">
        <v>713</v>
      </c>
      <c r="I2329" s="1" t="s">
        <v>714</v>
      </c>
      <c r="J2329" s="1" t="s">
        <v>716</v>
      </c>
      <c r="K2329" s="1" t="s">
        <v>716</v>
      </c>
      <c r="L2329" s="1" t="s">
        <v>1418</v>
      </c>
      <c r="M2329" s="1" t="s">
        <v>718</v>
      </c>
    </row>
    <row r="2330" customFormat="false" ht="15" hidden="false" customHeight="false" outlineLevel="0" collapsed="false">
      <c r="A2330" s="1" t="s">
        <v>10406</v>
      </c>
      <c r="B2330" s="1" t="s">
        <v>10407</v>
      </c>
      <c r="C2330" s="1" t="s">
        <v>901</v>
      </c>
      <c r="D2330" s="2" t="n">
        <v>28000</v>
      </c>
      <c r="E2330" s="1" t="s">
        <v>763</v>
      </c>
      <c r="F2330" s="1" t="s">
        <v>711</v>
      </c>
      <c r="G2330" s="1" t="s">
        <v>712</v>
      </c>
      <c r="H2330" s="1" t="s">
        <v>713</v>
      </c>
      <c r="I2330" s="1" t="s">
        <v>714</v>
      </c>
      <c r="J2330" s="1" t="s">
        <v>716</v>
      </c>
      <c r="K2330" s="1" t="s">
        <v>716</v>
      </c>
      <c r="L2330" s="1" t="s">
        <v>1418</v>
      </c>
      <c r="M2330" s="1" t="s">
        <v>718</v>
      </c>
    </row>
    <row r="2331" customFormat="false" ht="15" hidden="false" customHeight="false" outlineLevel="0" collapsed="false">
      <c r="A2331" s="1" t="s">
        <v>10408</v>
      </c>
      <c r="B2331" s="1" t="s">
        <v>7110</v>
      </c>
      <c r="C2331" s="1" t="s">
        <v>4815</v>
      </c>
      <c r="D2331" s="2" t="n">
        <v>33085</v>
      </c>
      <c r="E2331" s="1" t="s">
        <v>710</v>
      </c>
      <c r="F2331" s="1" t="s">
        <v>711</v>
      </c>
      <c r="G2331" s="1" t="s">
        <v>722</v>
      </c>
      <c r="H2331" s="1" t="s">
        <v>713</v>
      </c>
      <c r="I2331" s="1" t="s">
        <v>714</v>
      </c>
      <c r="J2331" s="1" t="s">
        <v>716</v>
      </c>
      <c r="K2331" s="1" t="s">
        <v>716</v>
      </c>
      <c r="L2331" s="1" t="s">
        <v>1418</v>
      </c>
      <c r="M2331" s="1" t="s">
        <v>718</v>
      </c>
    </row>
    <row r="2332" customFormat="false" ht="15" hidden="false" customHeight="false" outlineLevel="0" collapsed="false">
      <c r="A2332" s="1" t="s">
        <v>10409</v>
      </c>
      <c r="B2332" s="1" t="s">
        <v>10410</v>
      </c>
      <c r="C2332" s="1" t="s">
        <v>3817</v>
      </c>
      <c r="D2332" s="2" t="n">
        <v>34170</v>
      </c>
      <c r="E2332" s="1" t="s">
        <v>710</v>
      </c>
      <c r="F2332" s="1" t="s">
        <v>711</v>
      </c>
      <c r="G2332" s="1" t="s">
        <v>712</v>
      </c>
      <c r="H2332" s="1" t="s">
        <v>713</v>
      </c>
      <c r="I2332" s="1" t="s">
        <v>714</v>
      </c>
      <c r="J2332" s="1" t="s">
        <v>716</v>
      </c>
      <c r="K2332" s="1" t="s">
        <v>716</v>
      </c>
      <c r="L2332" s="1" t="s">
        <v>1132</v>
      </c>
      <c r="M2332" s="1" t="s">
        <v>718</v>
      </c>
    </row>
    <row r="2333" customFormat="false" ht="15" hidden="false" customHeight="false" outlineLevel="0" collapsed="false">
      <c r="A2333" s="1" t="s">
        <v>10411</v>
      </c>
      <c r="B2333" s="1" t="s">
        <v>10412</v>
      </c>
      <c r="C2333" s="1" t="s">
        <v>10413</v>
      </c>
      <c r="D2333" s="2" t="n">
        <v>28019</v>
      </c>
      <c r="E2333" s="1" t="s">
        <v>710</v>
      </c>
      <c r="F2333" s="1" t="s">
        <v>711</v>
      </c>
      <c r="G2333" s="1" t="s">
        <v>10414</v>
      </c>
      <c r="H2333" s="1" t="s">
        <v>713</v>
      </c>
      <c r="I2333" s="1" t="s">
        <v>714</v>
      </c>
      <c r="J2333" s="1" t="s">
        <v>716</v>
      </c>
      <c r="K2333" s="1" t="s">
        <v>716</v>
      </c>
      <c r="L2333" s="1" t="s">
        <v>8637</v>
      </c>
      <c r="M2333" s="1" t="s">
        <v>718</v>
      </c>
    </row>
    <row r="2334" customFormat="false" ht="15" hidden="false" customHeight="false" outlineLevel="0" collapsed="false">
      <c r="A2334" s="1" t="s">
        <v>10415</v>
      </c>
      <c r="B2334" s="1" t="s">
        <v>10416</v>
      </c>
      <c r="C2334" s="1" t="s">
        <v>10417</v>
      </c>
      <c r="D2334" s="2" t="n">
        <v>37725</v>
      </c>
      <c r="E2334" s="1" t="s">
        <v>710</v>
      </c>
      <c r="F2334" s="1" t="s">
        <v>711</v>
      </c>
      <c r="G2334" s="1" t="s">
        <v>712</v>
      </c>
      <c r="H2334" s="1" t="s">
        <v>713</v>
      </c>
      <c r="I2334" s="1" t="s">
        <v>714</v>
      </c>
      <c r="J2334" s="1" t="s">
        <v>1723</v>
      </c>
      <c r="K2334" s="1" t="s">
        <v>716</v>
      </c>
      <c r="L2334" s="1" t="s">
        <v>2842</v>
      </c>
      <c r="M2334" s="1" t="s">
        <v>718</v>
      </c>
    </row>
    <row r="2335" customFormat="false" ht="15" hidden="false" customHeight="false" outlineLevel="0" collapsed="false">
      <c r="A2335" s="1" t="s">
        <v>10418</v>
      </c>
      <c r="B2335" s="1" t="s">
        <v>10419</v>
      </c>
      <c r="C2335" s="1" t="s">
        <v>1610</v>
      </c>
      <c r="D2335" s="2" t="n">
        <v>32941</v>
      </c>
      <c r="E2335" s="1" t="s">
        <v>763</v>
      </c>
      <c r="F2335" s="1" t="s">
        <v>711</v>
      </c>
      <c r="G2335" s="1" t="s">
        <v>712</v>
      </c>
      <c r="H2335" s="1" t="s">
        <v>713</v>
      </c>
      <c r="I2335" s="1" t="s">
        <v>714</v>
      </c>
      <c r="J2335" s="1" t="s">
        <v>716</v>
      </c>
      <c r="K2335" s="1" t="s">
        <v>716</v>
      </c>
      <c r="L2335" s="1" t="s">
        <v>1418</v>
      </c>
      <c r="M2335" s="1" t="s">
        <v>718</v>
      </c>
    </row>
    <row r="2336" customFormat="false" ht="15" hidden="false" customHeight="false" outlineLevel="0" collapsed="false">
      <c r="A2336" s="1" t="s">
        <v>10420</v>
      </c>
      <c r="B2336" s="1" t="s">
        <v>8872</v>
      </c>
      <c r="C2336" s="1" t="s">
        <v>10361</v>
      </c>
      <c r="D2336" s="2" t="n">
        <v>30289</v>
      </c>
      <c r="E2336" s="1" t="s">
        <v>710</v>
      </c>
      <c r="F2336" s="1" t="s">
        <v>711</v>
      </c>
      <c r="G2336" s="1" t="s">
        <v>712</v>
      </c>
      <c r="H2336" s="1" t="s">
        <v>713</v>
      </c>
      <c r="I2336" s="1" t="s">
        <v>714</v>
      </c>
      <c r="J2336" s="1" t="s">
        <v>716</v>
      </c>
      <c r="K2336" s="1" t="s">
        <v>716</v>
      </c>
      <c r="L2336" s="1" t="s">
        <v>1418</v>
      </c>
      <c r="M2336" s="1" t="s">
        <v>718</v>
      </c>
    </row>
    <row r="2337" customFormat="false" ht="15" hidden="false" customHeight="false" outlineLevel="0" collapsed="false">
      <c r="A2337" s="1" t="s">
        <v>10421</v>
      </c>
      <c r="B2337" s="1" t="s">
        <v>10422</v>
      </c>
      <c r="C2337" s="1" t="s">
        <v>10423</v>
      </c>
      <c r="D2337" s="2" t="n">
        <v>31394</v>
      </c>
      <c r="E2337" s="1" t="s">
        <v>763</v>
      </c>
      <c r="F2337" s="1" t="s">
        <v>711</v>
      </c>
      <c r="G2337" s="1" t="s">
        <v>712</v>
      </c>
      <c r="H2337" s="1" t="s">
        <v>713</v>
      </c>
      <c r="I2337" s="1" t="s">
        <v>714</v>
      </c>
      <c r="J2337" s="1" t="s">
        <v>716</v>
      </c>
      <c r="K2337" s="1" t="s">
        <v>716</v>
      </c>
      <c r="L2337" s="1" t="s">
        <v>1418</v>
      </c>
      <c r="M2337" s="1" t="s">
        <v>718</v>
      </c>
    </row>
    <row r="2338" customFormat="false" ht="15" hidden="false" customHeight="false" outlineLevel="0" collapsed="false">
      <c r="A2338" s="1" t="s">
        <v>10424</v>
      </c>
      <c r="B2338" s="1" t="s">
        <v>10425</v>
      </c>
      <c r="C2338" s="1" t="s">
        <v>9166</v>
      </c>
      <c r="D2338" s="2" t="n">
        <v>29484</v>
      </c>
      <c r="E2338" s="1" t="s">
        <v>763</v>
      </c>
      <c r="F2338" s="1" t="s">
        <v>711</v>
      </c>
      <c r="G2338" s="1" t="s">
        <v>722</v>
      </c>
      <c r="H2338" s="1" t="s">
        <v>713</v>
      </c>
      <c r="I2338" s="1" t="s">
        <v>714</v>
      </c>
      <c r="J2338" s="1" t="s">
        <v>716</v>
      </c>
      <c r="K2338" s="1" t="s">
        <v>716</v>
      </c>
      <c r="L2338" s="1" t="s">
        <v>1418</v>
      </c>
      <c r="M2338" s="1" t="s">
        <v>718</v>
      </c>
    </row>
    <row r="2339" customFormat="false" ht="15" hidden="false" customHeight="false" outlineLevel="0" collapsed="false">
      <c r="A2339" s="1" t="s">
        <v>10426</v>
      </c>
      <c r="B2339" s="1" t="s">
        <v>10427</v>
      </c>
      <c r="C2339" s="1" t="s">
        <v>6186</v>
      </c>
      <c r="D2339" s="2" t="n">
        <v>32810</v>
      </c>
      <c r="E2339" s="1" t="s">
        <v>710</v>
      </c>
      <c r="F2339" s="1" t="s">
        <v>711</v>
      </c>
      <c r="G2339" s="1" t="s">
        <v>712</v>
      </c>
      <c r="H2339" s="1" t="s">
        <v>713</v>
      </c>
      <c r="I2339" s="1" t="s">
        <v>714</v>
      </c>
      <c r="J2339" s="1" t="s">
        <v>716</v>
      </c>
      <c r="K2339" s="1" t="s">
        <v>716</v>
      </c>
      <c r="L2339" s="1" t="s">
        <v>1418</v>
      </c>
      <c r="M2339" s="1" t="s">
        <v>718</v>
      </c>
    </row>
    <row r="2340" customFormat="false" ht="15" hidden="false" customHeight="false" outlineLevel="0" collapsed="false">
      <c r="A2340" s="1" t="s">
        <v>10428</v>
      </c>
      <c r="B2340" s="1" t="s">
        <v>10429</v>
      </c>
      <c r="C2340" s="1" t="s">
        <v>10430</v>
      </c>
      <c r="D2340" s="2" t="n">
        <v>30895</v>
      </c>
      <c r="E2340" s="1" t="s">
        <v>763</v>
      </c>
      <c r="F2340" s="1" t="s">
        <v>711</v>
      </c>
      <c r="G2340" s="1" t="s">
        <v>712</v>
      </c>
      <c r="H2340" s="1" t="s">
        <v>713</v>
      </c>
      <c r="I2340" s="1" t="s">
        <v>714</v>
      </c>
      <c r="J2340" s="1" t="s">
        <v>716</v>
      </c>
      <c r="K2340" s="1" t="s">
        <v>716</v>
      </c>
      <c r="L2340" s="1" t="s">
        <v>1418</v>
      </c>
      <c r="M2340" s="1" t="s">
        <v>718</v>
      </c>
    </row>
    <row r="2341" customFormat="false" ht="15" hidden="false" customHeight="false" outlineLevel="0" collapsed="false">
      <c r="A2341" s="1" t="s">
        <v>10431</v>
      </c>
      <c r="B2341" s="1" t="s">
        <v>10432</v>
      </c>
      <c r="C2341" s="1" t="s">
        <v>10433</v>
      </c>
      <c r="D2341" s="2" t="n">
        <v>33474</v>
      </c>
      <c r="E2341" s="1" t="s">
        <v>763</v>
      </c>
      <c r="F2341" s="1" t="s">
        <v>711</v>
      </c>
      <c r="G2341" s="1" t="s">
        <v>722</v>
      </c>
      <c r="H2341" s="1" t="s">
        <v>713</v>
      </c>
      <c r="I2341" s="1" t="s">
        <v>714</v>
      </c>
      <c r="J2341" s="1" t="s">
        <v>716</v>
      </c>
      <c r="K2341" s="1" t="s">
        <v>716</v>
      </c>
      <c r="L2341" s="1" t="s">
        <v>1418</v>
      </c>
      <c r="M2341" s="1" t="s">
        <v>718</v>
      </c>
    </row>
    <row r="2342" customFormat="false" ht="15" hidden="false" customHeight="false" outlineLevel="0" collapsed="false">
      <c r="A2342" s="1" t="s">
        <v>10434</v>
      </c>
      <c r="B2342" s="1" t="s">
        <v>10435</v>
      </c>
      <c r="C2342" s="1" t="s">
        <v>10436</v>
      </c>
      <c r="D2342" s="2" t="n">
        <v>34917</v>
      </c>
      <c r="E2342" s="1" t="s">
        <v>710</v>
      </c>
      <c r="F2342" s="1" t="s">
        <v>711</v>
      </c>
      <c r="G2342" s="1" t="s">
        <v>712</v>
      </c>
      <c r="H2342" s="1" t="s">
        <v>713</v>
      </c>
      <c r="I2342" s="1" t="s">
        <v>714</v>
      </c>
      <c r="J2342" s="1" t="s">
        <v>716</v>
      </c>
      <c r="K2342" s="1" t="s">
        <v>716</v>
      </c>
      <c r="L2342" s="1" t="s">
        <v>1418</v>
      </c>
      <c r="M2342" s="1" t="s">
        <v>718</v>
      </c>
    </row>
    <row r="2343" customFormat="false" ht="15" hidden="false" customHeight="false" outlineLevel="0" collapsed="false">
      <c r="A2343" s="1" t="s">
        <v>10437</v>
      </c>
      <c r="B2343" s="1" t="s">
        <v>1397</v>
      </c>
      <c r="C2343" s="1" t="s">
        <v>3314</v>
      </c>
      <c r="D2343" s="2" t="n">
        <v>31485</v>
      </c>
      <c r="E2343" s="1" t="s">
        <v>710</v>
      </c>
      <c r="F2343" s="1" t="s">
        <v>711</v>
      </c>
      <c r="G2343" s="1" t="s">
        <v>722</v>
      </c>
      <c r="H2343" s="1" t="s">
        <v>713</v>
      </c>
      <c r="I2343" s="1" t="s">
        <v>714</v>
      </c>
      <c r="J2343" s="1" t="s">
        <v>716</v>
      </c>
      <c r="K2343" s="1" t="s">
        <v>716</v>
      </c>
      <c r="L2343" s="1" t="s">
        <v>1418</v>
      </c>
      <c r="M2343" s="1" t="s">
        <v>718</v>
      </c>
    </row>
    <row r="2344" customFormat="false" ht="15" hidden="false" customHeight="false" outlineLevel="0" collapsed="false">
      <c r="A2344" s="1" t="s">
        <v>10438</v>
      </c>
      <c r="B2344" s="1" t="s">
        <v>10439</v>
      </c>
      <c r="C2344" s="1" t="s">
        <v>10440</v>
      </c>
      <c r="D2344" s="2" t="n">
        <v>35329</v>
      </c>
      <c r="E2344" s="1" t="s">
        <v>763</v>
      </c>
      <c r="F2344" s="1" t="s">
        <v>711</v>
      </c>
      <c r="G2344" s="1" t="s">
        <v>712</v>
      </c>
      <c r="H2344" s="1" t="s">
        <v>713</v>
      </c>
      <c r="I2344" s="1" t="s">
        <v>714</v>
      </c>
      <c r="J2344" s="1" t="s">
        <v>716</v>
      </c>
      <c r="K2344" s="1" t="s">
        <v>716</v>
      </c>
      <c r="L2344" s="1" t="s">
        <v>1418</v>
      </c>
      <c r="M2344" s="1" t="s">
        <v>718</v>
      </c>
    </row>
    <row r="2345" customFormat="false" ht="15" hidden="false" customHeight="false" outlineLevel="0" collapsed="false">
      <c r="A2345" s="1" t="s">
        <v>10441</v>
      </c>
      <c r="B2345" s="1" t="s">
        <v>1668</v>
      </c>
      <c r="C2345" s="1" t="s">
        <v>4120</v>
      </c>
      <c r="D2345" s="2" t="n">
        <v>36825</v>
      </c>
      <c r="E2345" s="1" t="s">
        <v>710</v>
      </c>
      <c r="F2345" s="1" t="s">
        <v>711</v>
      </c>
      <c r="G2345" s="1" t="s">
        <v>712</v>
      </c>
      <c r="H2345" s="1" t="s">
        <v>713</v>
      </c>
      <c r="I2345" s="1" t="s">
        <v>714</v>
      </c>
      <c r="J2345" s="1" t="s">
        <v>1584</v>
      </c>
      <c r="K2345" s="1" t="s">
        <v>10442</v>
      </c>
      <c r="L2345" s="1" t="s">
        <v>10443</v>
      </c>
      <c r="M2345" s="1" t="s">
        <v>718</v>
      </c>
    </row>
    <row r="2346" customFormat="false" ht="15" hidden="false" customHeight="false" outlineLevel="0" collapsed="false">
      <c r="A2346" s="1" t="s">
        <v>10444</v>
      </c>
      <c r="B2346" s="1" t="s">
        <v>10445</v>
      </c>
      <c r="C2346" s="1" t="s">
        <v>9218</v>
      </c>
      <c r="D2346" s="2" t="n">
        <v>27546</v>
      </c>
      <c r="E2346" s="1" t="s">
        <v>710</v>
      </c>
      <c r="F2346" s="1" t="s">
        <v>711</v>
      </c>
      <c r="G2346" s="1" t="s">
        <v>712</v>
      </c>
      <c r="H2346" s="1" t="s">
        <v>713</v>
      </c>
      <c r="I2346" s="1" t="s">
        <v>714</v>
      </c>
      <c r="J2346" s="1" t="s">
        <v>716</v>
      </c>
      <c r="K2346" s="1" t="s">
        <v>716</v>
      </c>
      <c r="L2346" s="1" t="s">
        <v>1418</v>
      </c>
      <c r="M2346" s="1" t="s">
        <v>718</v>
      </c>
    </row>
    <row r="2347" customFormat="false" ht="15" hidden="false" customHeight="false" outlineLevel="0" collapsed="false">
      <c r="A2347" s="1" t="s">
        <v>10446</v>
      </c>
      <c r="B2347" s="1" t="s">
        <v>10447</v>
      </c>
      <c r="C2347" s="1" t="s">
        <v>963</v>
      </c>
      <c r="D2347" s="2" t="n">
        <v>32667</v>
      </c>
      <c r="E2347" s="1" t="s">
        <v>710</v>
      </c>
      <c r="F2347" s="1" t="s">
        <v>711</v>
      </c>
      <c r="G2347" s="1" t="s">
        <v>712</v>
      </c>
      <c r="H2347" s="1" t="s">
        <v>713</v>
      </c>
      <c r="I2347" s="1" t="s">
        <v>714</v>
      </c>
      <c r="J2347" s="1" t="s">
        <v>716</v>
      </c>
      <c r="K2347" s="1" t="s">
        <v>716</v>
      </c>
      <c r="L2347" s="1" t="s">
        <v>1418</v>
      </c>
      <c r="M2347" s="1" t="s">
        <v>718</v>
      </c>
    </row>
    <row r="2348" customFormat="false" ht="15" hidden="false" customHeight="false" outlineLevel="0" collapsed="false">
      <c r="A2348" s="1" t="s">
        <v>10448</v>
      </c>
      <c r="B2348" s="1" t="s">
        <v>10449</v>
      </c>
      <c r="C2348" s="1" t="s">
        <v>10450</v>
      </c>
      <c r="D2348" s="2" t="n">
        <v>35009</v>
      </c>
      <c r="E2348" s="1" t="s">
        <v>763</v>
      </c>
      <c r="F2348" s="1" t="s">
        <v>711</v>
      </c>
      <c r="G2348" s="1" t="s">
        <v>712</v>
      </c>
      <c r="H2348" s="1" t="s">
        <v>713</v>
      </c>
      <c r="I2348" s="1" t="s">
        <v>714</v>
      </c>
      <c r="J2348" s="1" t="s">
        <v>716</v>
      </c>
      <c r="K2348" s="1" t="s">
        <v>716</v>
      </c>
      <c r="L2348" s="1" t="s">
        <v>1418</v>
      </c>
      <c r="M2348" s="1" t="s">
        <v>718</v>
      </c>
    </row>
    <row r="2349" customFormat="false" ht="15" hidden="false" customHeight="false" outlineLevel="0" collapsed="false">
      <c r="A2349" s="1" t="s">
        <v>10451</v>
      </c>
      <c r="B2349" s="1" t="s">
        <v>2049</v>
      </c>
      <c r="C2349" s="1" t="s">
        <v>10452</v>
      </c>
      <c r="D2349" s="2" t="n">
        <v>34696</v>
      </c>
      <c r="E2349" s="1" t="s">
        <v>763</v>
      </c>
      <c r="F2349" s="1" t="s">
        <v>711</v>
      </c>
      <c r="G2349" s="1" t="s">
        <v>712</v>
      </c>
      <c r="H2349" s="1" t="s">
        <v>713</v>
      </c>
      <c r="I2349" s="1" t="s">
        <v>714</v>
      </c>
      <c r="J2349" s="1" t="s">
        <v>716</v>
      </c>
      <c r="K2349" s="1" t="s">
        <v>716</v>
      </c>
      <c r="L2349" s="1" t="s">
        <v>1418</v>
      </c>
      <c r="M2349" s="1" t="s">
        <v>718</v>
      </c>
    </row>
    <row r="2350" customFormat="false" ht="15" hidden="false" customHeight="false" outlineLevel="0" collapsed="false">
      <c r="A2350" s="1" t="s">
        <v>10453</v>
      </c>
      <c r="B2350" s="1" t="s">
        <v>10454</v>
      </c>
      <c r="C2350" s="1" t="s">
        <v>2478</v>
      </c>
      <c r="D2350" s="2" t="n">
        <v>34729</v>
      </c>
      <c r="E2350" s="1" t="s">
        <v>763</v>
      </c>
      <c r="F2350" s="1" t="s">
        <v>711</v>
      </c>
      <c r="G2350" s="1" t="s">
        <v>722</v>
      </c>
      <c r="H2350" s="1" t="s">
        <v>713</v>
      </c>
      <c r="I2350" s="1" t="s">
        <v>714</v>
      </c>
      <c r="J2350" s="1" t="s">
        <v>716</v>
      </c>
      <c r="K2350" s="1" t="s">
        <v>716</v>
      </c>
      <c r="L2350" s="1" t="s">
        <v>1418</v>
      </c>
      <c r="M2350" s="1" t="s">
        <v>718</v>
      </c>
    </row>
    <row r="2351" customFormat="false" ht="15" hidden="false" customHeight="false" outlineLevel="0" collapsed="false">
      <c r="A2351" s="1" t="s">
        <v>10455</v>
      </c>
      <c r="B2351" s="1" t="s">
        <v>10456</v>
      </c>
      <c r="C2351" s="1" t="s">
        <v>10457</v>
      </c>
      <c r="D2351" s="2" t="n">
        <v>35025</v>
      </c>
      <c r="E2351" s="1" t="s">
        <v>763</v>
      </c>
      <c r="F2351" s="1" t="s">
        <v>711</v>
      </c>
      <c r="G2351" s="1" t="s">
        <v>722</v>
      </c>
      <c r="H2351" s="1" t="s">
        <v>713</v>
      </c>
      <c r="I2351" s="1" t="s">
        <v>714</v>
      </c>
      <c r="J2351" s="1" t="s">
        <v>716</v>
      </c>
      <c r="K2351" s="1" t="s">
        <v>716</v>
      </c>
      <c r="L2351" s="1" t="s">
        <v>1418</v>
      </c>
      <c r="M2351" s="1" t="s">
        <v>718</v>
      </c>
    </row>
    <row r="2352" customFormat="false" ht="15" hidden="false" customHeight="false" outlineLevel="0" collapsed="false">
      <c r="A2352" s="1" t="s">
        <v>10458</v>
      </c>
      <c r="B2352" s="1" t="s">
        <v>10459</v>
      </c>
      <c r="C2352" s="1" t="s">
        <v>10460</v>
      </c>
      <c r="D2352" s="2" t="n">
        <v>36653</v>
      </c>
      <c r="E2352" s="1" t="s">
        <v>763</v>
      </c>
      <c r="F2352" s="1" t="s">
        <v>711</v>
      </c>
      <c r="G2352" s="1" t="s">
        <v>712</v>
      </c>
      <c r="H2352" s="1" t="s">
        <v>713</v>
      </c>
      <c r="I2352" s="1" t="s">
        <v>714</v>
      </c>
      <c r="J2352" s="1" t="s">
        <v>716</v>
      </c>
      <c r="K2352" s="1" t="s">
        <v>716</v>
      </c>
      <c r="L2352" s="1" t="s">
        <v>10461</v>
      </c>
      <c r="M2352" s="1" t="s">
        <v>718</v>
      </c>
    </row>
    <row r="2353" customFormat="false" ht="15" hidden="false" customHeight="false" outlineLevel="0" collapsed="false">
      <c r="A2353" s="1" t="s">
        <v>10462</v>
      </c>
      <c r="B2353" s="1" t="s">
        <v>10463</v>
      </c>
      <c r="C2353" s="1" t="s">
        <v>7652</v>
      </c>
      <c r="D2353" s="2" t="n">
        <v>34512</v>
      </c>
      <c r="E2353" s="1" t="s">
        <v>710</v>
      </c>
      <c r="F2353" s="1" t="s">
        <v>711</v>
      </c>
      <c r="G2353" s="1" t="s">
        <v>722</v>
      </c>
      <c r="H2353" s="1" t="s">
        <v>713</v>
      </c>
      <c r="I2353" s="1" t="s">
        <v>714</v>
      </c>
      <c r="J2353" s="1" t="s">
        <v>716</v>
      </c>
      <c r="K2353" s="1" t="s">
        <v>716</v>
      </c>
      <c r="L2353" s="1" t="s">
        <v>1418</v>
      </c>
      <c r="M2353" s="1" t="s">
        <v>718</v>
      </c>
    </row>
    <row r="2354" customFormat="false" ht="15" hidden="false" customHeight="false" outlineLevel="0" collapsed="false">
      <c r="A2354" s="1" t="s">
        <v>10464</v>
      </c>
      <c r="B2354" s="1" t="s">
        <v>10465</v>
      </c>
      <c r="C2354" s="1" t="s">
        <v>10466</v>
      </c>
      <c r="D2354" s="2" t="n">
        <v>33587</v>
      </c>
      <c r="E2354" s="1" t="s">
        <v>763</v>
      </c>
      <c r="F2354" s="1" t="s">
        <v>711</v>
      </c>
      <c r="G2354" s="1" t="s">
        <v>722</v>
      </c>
      <c r="H2354" s="1" t="s">
        <v>713</v>
      </c>
      <c r="I2354" s="1" t="s">
        <v>714</v>
      </c>
      <c r="J2354" s="1" t="s">
        <v>716</v>
      </c>
      <c r="K2354" s="1" t="s">
        <v>716</v>
      </c>
      <c r="L2354" s="1" t="s">
        <v>1418</v>
      </c>
      <c r="M2354" s="1" t="s">
        <v>718</v>
      </c>
    </row>
    <row r="2355" customFormat="false" ht="15" hidden="false" customHeight="false" outlineLevel="0" collapsed="false">
      <c r="A2355" s="1" t="s">
        <v>10467</v>
      </c>
      <c r="B2355" s="1" t="s">
        <v>10468</v>
      </c>
      <c r="C2355" s="1" t="s">
        <v>10469</v>
      </c>
      <c r="D2355" s="2" t="n">
        <v>8202</v>
      </c>
      <c r="E2355" s="1" t="s">
        <v>710</v>
      </c>
      <c r="F2355" s="1" t="s">
        <v>711</v>
      </c>
      <c r="G2355" s="1" t="s">
        <v>712</v>
      </c>
      <c r="H2355" s="1" t="s">
        <v>713</v>
      </c>
      <c r="I2355" s="1" t="s">
        <v>714</v>
      </c>
      <c r="J2355" s="1" t="s">
        <v>716</v>
      </c>
      <c r="K2355" s="1" t="s">
        <v>716</v>
      </c>
      <c r="L2355" s="1" t="s">
        <v>1418</v>
      </c>
      <c r="M2355" s="1" t="s">
        <v>718</v>
      </c>
    </row>
    <row r="2356" customFormat="false" ht="15" hidden="false" customHeight="false" outlineLevel="0" collapsed="false">
      <c r="A2356" s="1" t="s">
        <v>10470</v>
      </c>
      <c r="B2356" s="1" t="s">
        <v>10471</v>
      </c>
      <c r="C2356" s="1" t="s">
        <v>10472</v>
      </c>
      <c r="D2356" s="2" t="n">
        <v>33671</v>
      </c>
      <c r="E2356" s="1" t="s">
        <v>710</v>
      </c>
      <c r="F2356" s="1" t="s">
        <v>711</v>
      </c>
      <c r="G2356" s="1" t="s">
        <v>712</v>
      </c>
      <c r="H2356" s="1" t="s">
        <v>713</v>
      </c>
      <c r="I2356" s="1" t="s">
        <v>714</v>
      </c>
      <c r="J2356" s="1" t="s">
        <v>716</v>
      </c>
      <c r="K2356" s="1" t="s">
        <v>716</v>
      </c>
      <c r="L2356" s="1" t="s">
        <v>834</v>
      </c>
      <c r="M2356" s="1" t="s">
        <v>718</v>
      </c>
    </row>
    <row r="2357" customFormat="false" ht="15" hidden="false" customHeight="false" outlineLevel="0" collapsed="false">
      <c r="A2357" s="1" t="s">
        <v>10473</v>
      </c>
      <c r="B2357" s="1" t="s">
        <v>3200</v>
      </c>
      <c r="C2357" s="1" t="s">
        <v>10474</v>
      </c>
      <c r="D2357" s="2" t="n">
        <v>34150</v>
      </c>
      <c r="E2357" s="1" t="s">
        <v>710</v>
      </c>
      <c r="F2357" s="1" t="s">
        <v>711</v>
      </c>
      <c r="G2357" s="1" t="s">
        <v>712</v>
      </c>
      <c r="H2357" s="1" t="s">
        <v>713</v>
      </c>
      <c r="I2357" s="1" t="s">
        <v>714</v>
      </c>
      <c r="J2357" s="1" t="s">
        <v>716</v>
      </c>
      <c r="K2357" s="1" t="s">
        <v>716</v>
      </c>
      <c r="L2357" s="1" t="s">
        <v>834</v>
      </c>
      <c r="M2357" s="1" t="s">
        <v>718</v>
      </c>
    </row>
    <row r="2358" customFormat="false" ht="15" hidden="false" customHeight="false" outlineLevel="0" collapsed="false">
      <c r="A2358" s="1" t="s">
        <v>10475</v>
      </c>
      <c r="B2358" s="1" t="s">
        <v>10476</v>
      </c>
      <c r="C2358" s="1" t="s">
        <v>10477</v>
      </c>
      <c r="D2358" s="2" t="n">
        <v>33370</v>
      </c>
      <c r="E2358" s="1" t="s">
        <v>710</v>
      </c>
      <c r="F2358" s="1" t="s">
        <v>711</v>
      </c>
      <c r="G2358" s="1" t="s">
        <v>722</v>
      </c>
      <c r="H2358" s="1" t="s">
        <v>713</v>
      </c>
      <c r="I2358" s="1" t="s">
        <v>714</v>
      </c>
      <c r="J2358" s="1" t="s">
        <v>716</v>
      </c>
      <c r="K2358" s="1" t="s">
        <v>716</v>
      </c>
      <c r="L2358" s="1" t="s">
        <v>834</v>
      </c>
      <c r="M2358" s="1" t="s">
        <v>718</v>
      </c>
    </row>
    <row r="2359" customFormat="false" ht="15" hidden="false" customHeight="false" outlineLevel="0" collapsed="false">
      <c r="A2359" s="1" t="s">
        <v>10478</v>
      </c>
      <c r="B2359" s="1" t="s">
        <v>10479</v>
      </c>
      <c r="C2359" s="1" t="s">
        <v>10480</v>
      </c>
      <c r="D2359" s="2" t="n">
        <v>33695</v>
      </c>
      <c r="E2359" s="1" t="s">
        <v>763</v>
      </c>
      <c r="F2359" s="1" t="s">
        <v>711</v>
      </c>
      <c r="G2359" s="1" t="s">
        <v>712</v>
      </c>
      <c r="H2359" s="1" t="s">
        <v>713</v>
      </c>
      <c r="I2359" s="1" t="s">
        <v>714</v>
      </c>
      <c r="J2359" s="1" t="s">
        <v>716</v>
      </c>
      <c r="K2359" s="1" t="s">
        <v>716</v>
      </c>
      <c r="L2359" s="1" t="s">
        <v>1418</v>
      </c>
      <c r="M2359" s="1" t="s">
        <v>718</v>
      </c>
    </row>
    <row r="2360" customFormat="false" ht="15" hidden="false" customHeight="false" outlineLevel="0" collapsed="false">
      <c r="A2360" s="1" t="s">
        <v>10481</v>
      </c>
      <c r="B2360" s="1" t="s">
        <v>10482</v>
      </c>
      <c r="C2360" s="1" t="s">
        <v>750</v>
      </c>
      <c r="D2360" s="2" t="n">
        <v>34087</v>
      </c>
      <c r="E2360" s="1" t="s">
        <v>763</v>
      </c>
      <c r="F2360" s="1" t="s">
        <v>711</v>
      </c>
      <c r="G2360" s="1" t="s">
        <v>722</v>
      </c>
      <c r="H2360" s="1" t="s">
        <v>713</v>
      </c>
      <c r="I2360" s="1" t="s">
        <v>714</v>
      </c>
      <c r="J2360" s="1" t="s">
        <v>716</v>
      </c>
      <c r="K2360" s="1" t="s">
        <v>716</v>
      </c>
      <c r="L2360" s="1" t="s">
        <v>1418</v>
      </c>
      <c r="M2360" s="1" t="s">
        <v>718</v>
      </c>
    </row>
    <row r="2361" customFormat="false" ht="15" hidden="false" customHeight="false" outlineLevel="0" collapsed="false">
      <c r="A2361" s="1" t="s">
        <v>10483</v>
      </c>
      <c r="B2361" s="1" t="s">
        <v>993</v>
      </c>
      <c r="C2361" s="1" t="s">
        <v>1999</v>
      </c>
      <c r="D2361" s="2" t="n">
        <v>34332</v>
      </c>
      <c r="E2361" s="1" t="s">
        <v>710</v>
      </c>
      <c r="F2361" s="1" t="s">
        <v>711</v>
      </c>
      <c r="G2361" s="1" t="s">
        <v>712</v>
      </c>
      <c r="H2361" s="1" t="s">
        <v>713</v>
      </c>
      <c r="I2361" s="1" t="s">
        <v>714</v>
      </c>
      <c r="J2361" s="1" t="s">
        <v>716</v>
      </c>
      <c r="K2361" s="1" t="s">
        <v>716</v>
      </c>
      <c r="L2361" s="1" t="s">
        <v>1418</v>
      </c>
      <c r="M2361" s="1" t="s">
        <v>718</v>
      </c>
    </row>
    <row r="2362" customFormat="false" ht="15" hidden="false" customHeight="false" outlineLevel="0" collapsed="false">
      <c r="A2362" s="1" t="s">
        <v>10484</v>
      </c>
      <c r="B2362" s="1" t="s">
        <v>1435</v>
      </c>
      <c r="C2362" s="1" t="s">
        <v>10485</v>
      </c>
      <c r="D2362" s="2" t="n">
        <v>36609</v>
      </c>
      <c r="E2362" s="1" t="s">
        <v>710</v>
      </c>
      <c r="F2362" s="1" t="s">
        <v>711</v>
      </c>
      <c r="G2362" s="1" t="s">
        <v>712</v>
      </c>
      <c r="H2362" s="1" t="s">
        <v>713</v>
      </c>
      <c r="I2362" s="1" t="s">
        <v>714</v>
      </c>
      <c r="J2362" s="1" t="s">
        <v>10486</v>
      </c>
      <c r="K2362" s="1" t="s">
        <v>10487</v>
      </c>
      <c r="L2362" s="1" t="s">
        <v>10488</v>
      </c>
      <c r="M2362" s="1" t="s">
        <v>718</v>
      </c>
    </row>
    <row r="2363" customFormat="false" ht="15" hidden="false" customHeight="false" outlineLevel="0" collapsed="false">
      <c r="A2363" s="1" t="s">
        <v>10489</v>
      </c>
      <c r="B2363" s="1" t="s">
        <v>10490</v>
      </c>
      <c r="C2363" s="1" t="s">
        <v>750</v>
      </c>
      <c r="D2363" s="2" t="n">
        <v>36834</v>
      </c>
      <c r="E2363" s="1" t="s">
        <v>710</v>
      </c>
      <c r="F2363" s="1" t="s">
        <v>711</v>
      </c>
      <c r="G2363" s="1" t="s">
        <v>712</v>
      </c>
      <c r="H2363" s="1" t="s">
        <v>713</v>
      </c>
      <c r="I2363" s="1" t="s">
        <v>714</v>
      </c>
      <c r="J2363" s="1" t="s">
        <v>10491</v>
      </c>
      <c r="K2363" s="1" t="s">
        <v>716</v>
      </c>
      <c r="L2363" s="1" t="s">
        <v>10492</v>
      </c>
      <c r="M2363" s="1" t="s">
        <v>718</v>
      </c>
    </row>
    <row r="2364" customFormat="false" ht="15" hidden="false" customHeight="false" outlineLevel="0" collapsed="false">
      <c r="A2364" s="1" t="s">
        <v>10493</v>
      </c>
      <c r="B2364" s="1" t="s">
        <v>10494</v>
      </c>
      <c r="C2364" s="1" t="s">
        <v>10495</v>
      </c>
      <c r="D2364" s="2" t="n">
        <v>37760</v>
      </c>
      <c r="E2364" s="1" t="s">
        <v>710</v>
      </c>
      <c r="F2364" s="1" t="s">
        <v>711</v>
      </c>
      <c r="G2364" s="1" t="s">
        <v>722</v>
      </c>
      <c r="H2364" s="1" t="s">
        <v>713</v>
      </c>
      <c r="I2364" s="1" t="s">
        <v>714</v>
      </c>
      <c r="J2364" s="1" t="s">
        <v>10496</v>
      </c>
      <c r="K2364" s="1" t="s">
        <v>10497</v>
      </c>
      <c r="L2364" s="1" t="s">
        <v>10498</v>
      </c>
      <c r="M2364" s="1" t="s">
        <v>718</v>
      </c>
    </row>
    <row r="2365" customFormat="false" ht="15" hidden="false" customHeight="false" outlineLevel="0" collapsed="false">
      <c r="A2365" s="1" t="s">
        <v>10499</v>
      </c>
      <c r="B2365" s="1" t="s">
        <v>10500</v>
      </c>
      <c r="C2365" s="1" t="s">
        <v>1072</v>
      </c>
      <c r="D2365" s="2" t="n">
        <v>37880</v>
      </c>
      <c r="E2365" s="1" t="s">
        <v>763</v>
      </c>
      <c r="F2365" s="1" t="s">
        <v>711</v>
      </c>
      <c r="G2365" s="1" t="s">
        <v>722</v>
      </c>
      <c r="H2365" s="1" t="s">
        <v>713</v>
      </c>
      <c r="I2365" s="1" t="s">
        <v>714</v>
      </c>
      <c r="J2365" s="1" t="s">
        <v>8416</v>
      </c>
      <c r="K2365" s="1" t="s">
        <v>10501</v>
      </c>
      <c r="L2365" s="1" t="s">
        <v>1418</v>
      </c>
      <c r="M2365" s="1" t="s">
        <v>718</v>
      </c>
    </row>
    <row r="2366" customFormat="false" ht="15" hidden="false" customHeight="false" outlineLevel="0" collapsed="false">
      <c r="A2366" s="1" t="s">
        <v>10502</v>
      </c>
      <c r="B2366" s="1" t="s">
        <v>10503</v>
      </c>
      <c r="C2366" s="1" t="s">
        <v>1518</v>
      </c>
      <c r="D2366" s="2" t="n">
        <v>37662</v>
      </c>
      <c r="E2366" s="1" t="s">
        <v>710</v>
      </c>
      <c r="F2366" s="1" t="s">
        <v>711</v>
      </c>
      <c r="G2366" s="1" t="s">
        <v>722</v>
      </c>
      <c r="H2366" s="1" t="s">
        <v>713</v>
      </c>
      <c r="I2366" s="1" t="s">
        <v>714</v>
      </c>
      <c r="J2366" s="1" t="s">
        <v>10504</v>
      </c>
      <c r="K2366" s="1" t="s">
        <v>10505</v>
      </c>
      <c r="L2366" s="1" t="s">
        <v>1418</v>
      </c>
      <c r="M2366" s="1" t="s">
        <v>718</v>
      </c>
    </row>
    <row r="2367" customFormat="false" ht="15" hidden="false" customHeight="false" outlineLevel="0" collapsed="false">
      <c r="A2367" s="1" t="s">
        <v>10506</v>
      </c>
      <c r="B2367" s="1" t="s">
        <v>8318</v>
      </c>
      <c r="C2367" s="1" t="s">
        <v>10507</v>
      </c>
      <c r="D2367" s="2" t="n">
        <v>37411</v>
      </c>
      <c r="E2367" s="1" t="s">
        <v>710</v>
      </c>
      <c r="F2367" s="1" t="s">
        <v>711</v>
      </c>
      <c r="G2367" s="1" t="s">
        <v>722</v>
      </c>
      <c r="H2367" s="1" t="s">
        <v>713</v>
      </c>
      <c r="I2367" s="1" t="s">
        <v>714</v>
      </c>
      <c r="J2367" s="1" t="s">
        <v>10508</v>
      </c>
      <c r="K2367" s="1" t="s">
        <v>10509</v>
      </c>
      <c r="L2367" s="1" t="s">
        <v>10510</v>
      </c>
      <c r="M2367" s="1" t="s">
        <v>718</v>
      </c>
    </row>
    <row r="2368" customFormat="false" ht="15" hidden="false" customHeight="false" outlineLevel="0" collapsed="false">
      <c r="A2368" s="1" t="s">
        <v>10511</v>
      </c>
      <c r="B2368" s="1" t="s">
        <v>10512</v>
      </c>
      <c r="C2368" s="1" t="s">
        <v>10513</v>
      </c>
      <c r="D2368" s="2" t="n">
        <v>38352</v>
      </c>
      <c r="E2368" s="1" t="s">
        <v>763</v>
      </c>
      <c r="F2368" s="1" t="s">
        <v>711</v>
      </c>
      <c r="G2368" s="1" t="s">
        <v>722</v>
      </c>
      <c r="H2368" s="1" t="s">
        <v>713</v>
      </c>
      <c r="I2368" s="1" t="s">
        <v>714</v>
      </c>
      <c r="J2368" s="1" t="s">
        <v>10514</v>
      </c>
      <c r="K2368" s="1" t="s">
        <v>10515</v>
      </c>
      <c r="L2368" s="1" t="s">
        <v>10516</v>
      </c>
      <c r="M2368" s="1" t="s">
        <v>718</v>
      </c>
    </row>
    <row r="2369" customFormat="false" ht="15" hidden="false" customHeight="false" outlineLevel="0" collapsed="false">
      <c r="A2369" s="1" t="s">
        <v>10517</v>
      </c>
      <c r="B2369" s="1" t="s">
        <v>10518</v>
      </c>
      <c r="C2369" s="1" t="s">
        <v>2734</v>
      </c>
      <c r="D2369" s="2" t="n">
        <v>38164</v>
      </c>
      <c r="E2369" s="1" t="s">
        <v>710</v>
      </c>
      <c r="F2369" s="1" t="s">
        <v>711</v>
      </c>
      <c r="G2369" s="1" t="s">
        <v>722</v>
      </c>
      <c r="H2369" s="1" t="s">
        <v>713</v>
      </c>
      <c r="I2369" s="1" t="s">
        <v>714</v>
      </c>
      <c r="J2369" s="1" t="s">
        <v>2370</v>
      </c>
      <c r="K2369" s="1" t="s">
        <v>10519</v>
      </c>
      <c r="L2369" s="1" t="s">
        <v>2736</v>
      </c>
      <c r="M2369" s="1" t="s">
        <v>718</v>
      </c>
    </row>
    <row r="2370" customFormat="false" ht="15" hidden="false" customHeight="false" outlineLevel="0" collapsed="false">
      <c r="A2370" s="1" t="s">
        <v>10520</v>
      </c>
      <c r="B2370" s="1" t="s">
        <v>10521</v>
      </c>
      <c r="C2370" s="1" t="s">
        <v>739</v>
      </c>
      <c r="D2370" s="2" t="n">
        <v>38345</v>
      </c>
      <c r="E2370" s="1" t="s">
        <v>763</v>
      </c>
      <c r="F2370" s="1" t="s">
        <v>711</v>
      </c>
      <c r="G2370" s="1" t="s">
        <v>712</v>
      </c>
      <c r="H2370" s="1" t="s">
        <v>713</v>
      </c>
      <c r="I2370" s="1" t="s">
        <v>714</v>
      </c>
      <c r="J2370" s="1" t="s">
        <v>10522</v>
      </c>
      <c r="K2370" s="1" t="s">
        <v>10523</v>
      </c>
      <c r="L2370" s="1" t="s">
        <v>10524</v>
      </c>
      <c r="M2370" s="1" t="s">
        <v>718</v>
      </c>
    </row>
    <row r="2371" customFormat="false" ht="15" hidden="false" customHeight="false" outlineLevel="0" collapsed="false">
      <c r="A2371" s="1" t="s">
        <v>10525</v>
      </c>
      <c r="B2371" s="1" t="s">
        <v>10526</v>
      </c>
      <c r="C2371" s="1" t="s">
        <v>10527</v>
      </c>
      <c r="D2371" s="2" t="n">
        <v>37250</v>
      </c>
      <c r="E2371" s="1" t="s">
        <v>763</v>
      </c>
      <c r="F2371" s="1" t="s">
        <v>711</v>
      </c>
      <c r="G2371" s="1" t="s">
        <v>712</v>
      </c>
      <c r="H2371" s="1" t="s">
        <v>713</v>
      </c>
      <c r="I2371" s="1" t="s">
        <v>714</v>
      </c>
      <c r="J2371" s="1" t="s">
        <v>1723</v>
      </c>
      <c r="K2371" s="1" t="s">
        <v>10528</v>
      </c>
      <c r="L2371" s="1" t="s">
        <v>10529</v>
      </c>
      <c r="M2371" s="1" t="s">
        <v>718</v>
      </c>
    </row>
    <row r="2372" customFormat="false" ht="15" hidden="false" customHeight="false" outlineLevel="0" collapsed="false">
      <c r="A2372" s="1" t="s">
        <v>10530</v>
      </c>
      <c r="B2372" s="1" t="s">
        <v>10531</v>
      </c>
      <c r="C2372" s="1" t="s">
        <v>10532</v>
      </c>
      <c r="D2372" s="2" t="n">
        <v>37826</v>
      </c>
      <c r="E2372" s="1" t="s">
        <v>763</v>
      </c>
      <c r="F2372" s="1" t="s">
        <v>711</v>
      </c>
      <c r="G2372" s="1" t="s">
        <v>712</v>
      </c>
      <c r="H2372" s="1" t="s">
        <v>713</v>
      </c>
      <c r="I2372" s="1" t="s">
        <v>714</v>
      </c>
      <c r="J2372" s="1" t="s">
        <v>10533</v>
      </c>
      <c r="K2372" s="1" t="s">
        <v>10534</v>
      </c>
      <c r="L2372" s="1" t="s">
        <v>1418</v>
      </c>
      <c r="M2372" s="1" t="s">
        <v>718</v>
      </c>
    </row>
    <row r="2373" customFormat="false" ht="15" hidden="false" customHeight="false" outlineLevel="0" collapsed="false">
      <c r="A2373" s="1" t="s">
        <v>10535</v>
      </c>
      <c r="B2373" s="1" t="s">
        <v>10536</v>
      </c>
      <c r="C2373" s="1" t="s">
        <v>3457</v>
      </c>
      <c r="D2373" s="2" t="n">
        <v>38199</v>
      </c>
      <c r="E2373" s="1" t="s">
        <v>710</v>
      </c>
      <c r="F2373" s="1" t="s">
        <v>711</v>
      </c>
      <c r="G2373" s="1" t="s">
        <v>722</v>
      </c>
      <c r="H2373" s="1" t="s">
        <v>713</v>
      </c>
      <c r="I2373" s="1" t="s">
        <v>714</v>
      </c>
      <c r="J2373" s="1" t="s">
        <v>10514</v>
      </c>
      <c r="K2373" s="1" t="s">
        <v>10537</v>
      </c>
      <c r="L2373" s="1" t="s">
        <v>10538</v>
      </c>
      <c r="M2373" s="1" t="s">
        <v>718</v>
      </c>
    </row>
    <row r="2374" customFormat="false" ht="15" hidden="false" customHeight="false" outlineLevel="0" collapsed="false">
      <c r="A2374" s="1" t="s">
        <v>10539</v>
      </c>
      <c r="B2374" s="1" t="s">
        <v>10540</v>
      </c>
      <c r="C2374" s="1" t="s">
        <v>10541</v>
      </c>
      <c r="D2374" s="2" t="n">
        <v>37500</v>
      </c>
      <c r="E2374" s="1" t="s">
        <v>710</v>
      </c>
      <c r="F2374" s="1" t="s">
        <v>711</v>
      </c>
      <c r="G2374" s="1" t="s">
        <v>712</v>
      </c>
      <c r="H2374" s="1" t="s">
        <v>713</v>
      </c>
      <c r="I2374" s="1" t="s">
        <v>714</v>
      </c>
      <c r="J2374" s="1" t="s">
        <v>5654</v>
      </c>
      <c r="K2374" s="1" t="s">
        <v>10542</v>
      </c>
      <c r="L2374" s="1" t="s">
        <v>10543</v>
      </c>
      <c r="M2374" s="1" t="s">
        <v>718</v>
      </c>
    </row>
    <row r="2375" customFormat="false" ht="15" hidden="false" customHeight="false" outlineLevel="0" collapsed="false">
      <c r="A2375" s="1" t="s">
        <v>10544</v>
      </c>
      <c r="B2375" s="1" t="s">
        <v>10545</v>
      </c>
      <c r="C2375" s="1" t="s">
        <v>10546</v>
      </c>
      <c r="D2375" s="2" t="n">
        <v>38188</v>
      </c>
      <c r="E2375" s="1" t="s">
        <v>763</v>
      </c>
      <c r="F2375" s="1" t="s">
        <v>711</v>
      </c>
      <c r="G2375" s="1" t="s">
        <v>722</v>
      </c>
      <c r="H2375" s="1" t="s">
        <v>713</v>
      </c>
      <c r="I2375" s="1" t="s">
        <v>714</v>
      </c>
      <c r="J2375" s="1" t="s">
        <v>10514</v>
      </c>
      <c r="K2375" s="1" t="s">
        <v>8876</v>
      </c>
      <c r="L2375" s="1" t="s">
        <v>6180</v>
      </c>
      <c r="M2375" s="1" t="s">
        <v>718</v>
      </c>
    </row>
    <row r="2376" customFormat="false" ht="15" hidden="false" customHeight="false" outlineLevel="0" collapsed="false">
      <c r="A2376" s="1" t="s">
        <v>10547</v>
      </c>
      <c r="B2376" s="1" t="s">
        <v>7404</v>
      </c>
      <c r="C2376" s="1" t="s">
        <v>10548</v>
      </c>
      <c r="D2376" s="2" t="n">
        <v>36431</v>
      </c>
      <c r="E2376" s="1" t="s">
        <v>710</v>
      </c>
      <c r="F2376" s="1" t="s">
        <v>711</v>
      </c>
      <c r="G2376" s="1" t="s">
        <v>3260</v>
      </c>
      <c r="H2376" s="1" t="s">
        <v>713</v>
      </c>
      <c r="I2376" s="1" t="s">
        <v>714</v>
      </c>
      <c r="J2376" s="1" t="s">
        <v>1055</v>
      </c>
      <c r="K2376" s="1" t="s">
        <v>716</v>
      </c>
      <c r="L2376" s="1" t="s">
        <v>1418</v>
      </c>
      <c r="M2376" s="1" t="s">
        <v>718</v>
      </c>
    </row>
    <row r="2377" customFormat="false" ht="15" hidden="false" customHeight="false" outlineLevel="0" collapsed="false">
      <c r="A2377" s="1" t="s">
        <v>10549</v>
      </c>
      <c r="B2377" s="1" t="s">
        <v>10550</v>
      </c>
      <c r="C2377" s="1" t="s">
        <v>750</v>
      </c>
      <c r="D2377" s="2" t="n">
        <v>38333</v>
      </c>
      <c r="E2377" s="1" t="s">
        <v>763</v>
      </c>
      <c r="F2377" s="1" t="s">
        <v>711</v>
      </c>
      <c r="G2377" s="1" t="s">
        <v>722</v>
      </c>
      <c r="H2377" s="1" t="s">
        <v>713</v>
      </c>
      <c r="I2377" s="1" t="s">
        <v>714</v>
      </c>
      <c r="J2377" s="1" t="s">
        <v>10551</v>
      </c>
      <c r="K2377" s="1" t="s">
        <v>8751</v>
      </c>
      <c r="L2377" s="1" t="s">
        <v>7819</v>
      </c>
      <c r="M2377" s="1" t="s">
        <v>718</v>
      </c>
    </row>
    <row r="2378" customFormat="false" ht="15" hidden="false" customHeight="false" outlineLevel="0" collapsed="false">
      <c r="A2378" s="1" t="s">
        <v>10552</v>
      </c>
      <c r="B2378" s="1" t="s">
        <v>5839</v>
      </c>
      <c r="C2378" s="1" t="s">
        <v>6236</v>
      </c>
      <c r="D2378" s="2" t="n">
        <v>36791</v>
      </c>
      <c r="E2378" s="1" t="s">
        <v>710</v>
      </c>
      <c r="F2378" s="1" t="s">
        <v>711</v>
      </c>
      <c r="G2378" s="1" t="s">
        <v>722</v>
      </c>
      <c r="H2378" s="1" t="s">
        <v>713</v>
      </c>
      <c r="I2378" s="1" t="s">
        <v>714</v>
      </c>
      <c r="J2378" s="1" t="s">
        <v>1898</v>
      </c>
      <c r="K2378" s="1" t="s">
        <v>10553</v>
      </c>
      <c r="L2378" s="1" t="s">
        <v>6238</v>
      </c>
      <c r="M2378" s="1" t="s">
        <v>718</v>
      </c>
    </row>
    <row r="2379" customFormat="false" ht="15" hidden="false" customHeight="false" outlineLevel="0" collapsed="false">
      <c r="A2379" s="1" t="s">
        <v>10554</v>
      </c>
      <c r="B2379" s="1" t="s">
        <v>10555</v>
      </c>
      <c r="C2379" s="1" t="s">
        <v>1234</v>
      </c>
      <c r="D2379" s="2" t="n">
        <v>37986</v>
      </c>
      <c r="E2379" s="1" t="s">
        <v>763</v>
      </c>
      <c r="F2379" s="1" t="s">
        <v>711</v>
      </c>
      <c r="G2379" s="1" t="s">
        <v>722</v>
      </c>
      <c r="H2379" s="1" t="s">
        <v>713</v>
      </c>
      <c r="I2379" s="1" t="s">
        <v>714</v>
      </c>
      <c r="J2379" s="1" t="s">
        <v>716</v>
      </c>
      <c r="K2379" s="1" t="s">
        <v>716</v>
      </c>
      <c r="L2379" s="1" t="s">
        <v>10556</v>
      </c>
      <c r="M2379" s="1" t="s">
        <v>718</v>
      </c>
    </row>
    <row r="2380" customFormat="false" ht="15" hidden="false" customHeight="false" outlineLevel="0" collapsed="false">
      <c r="A2380" s="1" t="s">
        <v>10557</v>
      </c>
      <c r="B2380" s="1" t="s">
        <v>10558</v>
      </c>
      <c r="C2380" s="1" t="s">
        <v>10559</v>
      </c>
      <c r="D2380" s="2" t="n">
        <v>38346</v>
      </c>
      <c r="E2380" s="1" t="s">
        <v>763</v>
      </c>
      <c r="F2380" s="1" t="s">
        <v>711</v>
      </c>
      <c r="G2380" s="1" t="s">
        <v>722</v>
      </c>
      <c r="H2380" s="1" t="s">
        <v>713</v>
      </c>
      <c r="I2380" s="1" t="s">
        <v>714</v>
      </c>
      <c r="J2380" s="1" t="s">
        <v>10560</v>
      </c>
      <c r="K2380" s="1" t="s">
        <v>10561</v>
      </c>
      <c r="L2380" s="1" t="s">
        <v>10562</v>
      </c>
      <c r="M2380" s="1" t="s">
        <v>718</v>
      </c>
    </row>
    <row r="2381" customFormat="false" ht="15" hidden="false" customHeight="false" outlineLevel="0" collapsed="false">
      <c r="A2381" s="1" t="s">
        <v>10563</v>
      </c>
      <c r="B2381" s="1" t="s">
        <v>10564</v>
      </c>
      <c r="C2381" s="1" t="s">
        <v>6338</v>
      </c>
      <c r="D2381" s="2" t="n">
        <v>37940</v>
      </c>
      <c r="E2381" s="1" t="s">
        <v>710</v>
      </c>
      <c r="F2381" s="1" t="s">
        <v>711</v>
      </c>
      <c r="G2381" s="1" t="s">
        <v>722</v>
      </c>
      <c r="H2381" s="1" t="s">
        <v>713</v>
      </c>
      <c r="I2381" s="1" t="s">
        <v>714</v>
      </c>
      <c r="J2381" s="1" t="s">
        <v>6851</v>
      </c>
      <c r="K2381" s="1" t="s">
        <v>10561</v>
      </c>
      <c r="L2381" s="1" t="s">
        <v>10565</v>
      </c>
      <c r="M2381" s="1" t="s">
        <v>718</v>
      </c>
    </row>
    <row r="2382" customFormat="false" ht="15" hidden="false" customHeight="false" outlineLevel="0" collapsed="false">
      <c r="A2382" s="1" t="s">
        <v>10566</v>
      </c>
      <c r="B2382" s="1" t="s">
        <v>10567</v>
      </c>
      <c r="C2382" s="1" t="s">
        <v>8792</v>
      </c>
      <c r="D2382" s="2" t="n">
        <v>37881</v>
      </c>
      <c r="E2382" s="1" t="s">
        <v>763</v>
      </c>
      <c r="F2382" s="1" t="s">
        <v>711</v>
      </c>
      <c r="G2382" s="1" t="s">
        <v>10568</v>
      </c>
      <c r="H2382" s="1" t="s">
        <v>1980</v>
      </c>
      <c r="I2382" s="1" t="s">
        <v>1981</v>
      </c>
      <c r="J2382" s="1" t="s">
        <v>4811</v>
      </c>
      <c r="K2382" s="1" t="s">
        <v>716</v>
      </c>
      <c r="L2382" s="1" t="s">
        <v>1418</v>
      </c>
      <c r="M2382" s="1" t="s">
        <v>718</v>
      </c>
    </row>
    <row r="2383" customFormat="false" ht="15" hidden="false" customHeight="false" outlineLevel="0" collapsed="false">
      <c r="A2383" s="1" t="s">
        <v>10569</v>
      </c>
      <c r="B2383" s="1" t="s">
        <v>2344</v>
      </c>
      <c r="C2383" s="1" t="s">
        <v>9619</v>
      </c>
      <c r="D2383" s="2" t="n">
        <v>38394</v>
      </c>
      <c r="E2383" s="1" t="s">
        <v>710</v>
      </c>
      <c r="F2383" s="1" t="s">
        <v>711</v>
      </c>
      <c r="G2383" s="1" t="s">
        <v>712</v>
      </c>
      <c r="H2383" s="1" t="s">
        <v>713</v>
      </c>
      <c r="I2383" s="1" t="s">
        <v>714</v>
      </c>
      <c r="J2383" s="1" t="s">
        <v>10570</v>
      </c>
      <c r="K2383" s="1" t="s">
        <v>10571</v>
      </c>
      <c r="L2383" s="1" t="s">
        <v>10572</v>
      </c>
      <c r="M2383" s="1" t="s">
        <v>718</v>
      </c>
    </row>
    <row r="2384" customFormat="false" ht="15" hidden="false" customHeight="false" outlineLevel="0" collapsed="false">
      <c r="A2384" s="1" t="s">
        <v>10573</v>
      </c>
      <c r="B2384" s="1" t="s">
        <v>10574</v>
      </c>
      <c r="C2384" s="1" t="s">
        <v>2355</v>
      </c>
      <c r="D2384" s="2" t="n">
        <v>38183</v>
      </c>
      <c r="E2384" s="1" t="s">
        <v>763</v>
      </c>
      <c r="F2384" s="1" t="s">
        <v>711</v>
      </c>
      <c r="G2384" s="1" t="s">
        <v>722</v>
      </c>
      <c r="H2384" s="1" t="s">
        <v>713</v>
      </c>
      <c r="I2384" s="1" t="s">
        <v>714</v>
      </c>
      <c r="J2384" s="1" t="s">
        <v>821</v>
      </c>
      <c r="K2384" s="1" t="s">
        <v>10575</v>
      </c>
      <c r="L2384" s="1" t="s">
        <v>10576</v>
      </c>
      <c r="M2384" s="1" t="s">
        <v>718</v>
      </c>
    </row>
    <row r="2385" customFormat="false" ht="15" hidden="false" customHeight="false" outlineLevel="0" collapsed="false">
      <c r="A2385" s="1" t="s">
        <v>10577</v>
      </c>
      <c r="B2385" s="1" t="s">
        <v>10578</v>
      </c>
      <c r="C2385" s="1" t="s">
        <v>3850</v>
      </c>
      <c r="D2385" s="2" t="n">
        <v>38339</v>
      </c>
      <c r="E2385" s="1" t="s">
        <v>763</v>
      </c>
      <c r="F2385" s="1" t="s">
        <v>711</v>
      </c>
      <c r="G2385" s="1" t="s">
        <v>722</v>
      </c>
      <c r="H2385" s="1" t="s">
        <v>713</v>
      </c>
      <c r="I2385" s="1" t="s">
        <v>714</v>
      </c>
      <c r="J2385" s="1" t="s">
        <v>1398</v>
      </c>
      <c r="K2385" s="1" t="s">
        <v>10579</v>
      </c>
      <c r="L2385" s="1" t="s">
        <v>10580</v>
      </c>
      <c r="M2385" s="1" t="s">
        <v>718</v>
      </c>
    </row>
    <row r="2386" customFormat="false" ht="15" hidden="false" customHeight="false" outlineLevel="0" collapsed="false">
      <c r="A2386" s="1" t="s">
        <v>10581</v>
      </c>
      <c r="B2386" s="1" t="s">
        <v>1147</v>
      </c>
      <c r="C2386" s="1" t="s">
        <v>7128</v>
      </c>
      <c r="D2386" s="2" t="n">
        <v>38259</v>
      </c>
      <c r="E2386" s="1" t="s">
        <v>710</v>
      </c>
      <c r="F2386" s="1" t="s">
        <v>711</v>
      </c>
      <c r="G2386" s="1" t="s">
        <v>722</v>
      </c>
      <c r="H2386" s="1" t="s">
        <v>713</v>
      </c>
      <c r="I2386" s="1" t="s">
        <v>714</v>
      </c>
      <c r="J2386" s="1" t="s">
        <v>10582</v>
      </c>
      <c r="K2386" s="1" t="s">
        <v>7129</v>
      </c>
      <c r="L2386" s="1" t="s">
        <v>7130</v>
      </c>
      <c r="M2386" s="1" t="s">
        <v>718</v>
      </c>
    </row>
    <row r="2387" customFormat="false" ht="15" hidden="false" customHeight="false" outlineLevel="0" collapsed="false">
      <c r="A2387" s="1" t="s">
        <v>10583</v>
      </c>
      <c r="B2387" s="1" t="s">
        <v>10584</v>
      </c>
      <c r="C2387" s="1" t="s">
        <v>10585</v>
      </c>
      <c r="D2387" s="2" t="n">
        <v>38165</v>
      </c>
      <c r="E2387" s="1" t="s">
        <v>763</v>
      </c>
      <c r="F2387" s="1" t="s">
        <v>711</v>
      </c>
      <c r="G2387" s="1" t="s">
        <v>712</v>
      </c>
      <c r="H2387" s="1" t="s">
        <v>713</v>
      </c>
      <c r="I2387" s="1" t="s">
        <v>714</v>
      </c>
      <c r="J2387" s="1" t="s">
        <v>832</v>
      </c>
      <c r="K2387" s="1" t="s">
        <v>10586</v>
      </c>
      <c r="L2387" s="1" t="s">
        <v>10587</v>
      </c>
      <c r="M2387" s="1" t="s">
        <v>718</v>
      </c>
    </row>
    <row r="2388" customFormat="false" ht="15" hidden="false" customHeight="false" outlineLevel="0" collapsed="false">
      <c r="A2388" s="1" t="s">
        <v>10588</v>
      </c>
      <c r="B2388" s="1" t="s">
        <v>10589</v>
      </c>
      <c r="C2388" s="1" t="s">
        <v>9890</v>
      </c>
      <c r="D2388" s="2" t="n">
        <v>38149</v>
      </c>
      <c r="E2388" s="1" t="s">
        <v>763</v>
      </c>
      <c r="F2388" s="1" t="s">
        <v>711</v>
      </c>
      <c r="G2388" s="1" t="s">
        <v>712</v>
      </c>
      <c r="H2388" s="1" t="s">
        <v>713</v>
      </c>
      <c r="I2388" s="1" t="s">
        <v>714</v>
      </c>
      <c r="J2388" s="1" t="s">
        <v>7543</v>
      </c>
      <c r="K2388" s="1" t="s">
        <v>10590</v>
      </c>
      <c r="L2388" s="1" t="s">
        <v>4152</v>
      </c>
      <c r="M2388" s="1" t="s">
        <v>718</v>
      </c>
    </row>
    <row r="2389" customFormat="false" ht="15" hidden="false" customHeight="false" outlineLevel="0" collapsed="false">
      <c r="A2389" s="1" t="s">
        <v>10591</v>
      </c>
      <c r="B2389" s="1" t="s">
        <v>10592</v>
      </c>
      <c r="C2389" s="1" t="s">
        <v>10593</v>
      </c>
      <c r="D2389" s="2" t="n">
        <v>37994</v>
      </c>
      <c r="E2389" s="1" t="s">
        <v>710</v>
      </c>
      <c r="F2389" s="1" t="s">
        <v>711</v>
      </c>
      <c r="G2389" s="1" t="s">
        <v>712</v>
      </c>
      <c r="H2389" s="1" t="s">
        <v>713</v>
      </c>
      <c r="I2389" s="1" t="s">
        <v>714</v>
      </c>
      <c r="J2389" s="1" t="s">
        <v>10594</v>
      </c>
      <c r="K2389" s="1" t="s">
        <v>10595</v>
      </c>
      <c r="L2389" s="1" t="s">
        <v>10596</v>
      </c>
      <c r="M2389" s="1" t="s">
        <v>718</v>
      </c>
    </row>
    <row r="2390" customFormat="false" ht="15" hidden="false" customHeight="false" outlineLevel="0" collapsed="false">
      <c r="A2390" s="1" t="s">
        <v>10597</v>
      </c>
      <c r="B2390" s="1" t="s">
        <v>10598</v>
      </c>
      <c r="C2390" s="1" t="s">
        <v>10599</v>
      </c>
      <c r="D2390" s="2" t="n">
        <v>38109</v>
      </c>
      <c r="E2390" s="1" t="s">
        <v>763</v>
      </c>
      <c r="F2390" s="1" t="s">
        <v>711</v>
      </c>
      <c r="G2390" s="1" t="s">
        <v>722</v>
      </c>
      <c r="H2390" s="1" t="s">
        <v>713</v>
      </c>
      <c r="I2390" s="1" t="s">
        <v>714</v>
      </c>
      <c r="J2390" s="1" t="s">
        <v>10514</v>
      </c>
      <c r="K2390" s="1" t="s">
        <v>10600</v>
      </c>
      <c r="L2390" s="1" t="s">
        <v>10601</v>
      </c>
      <c r="M2390" s="1" t="s">
        <v>718</v>
      </c>
    </row>
    <row r="2391" customFormat="false" ht="15" hidden="false" customHeight="false" outlineLevel="0" collapsed="false">
      <c r="A2391" s="1" t="s">
        <v>10602</v>
      </c>
      <c r="B2391" s="1" t="s">
        <v>10603</v>
      </c>
      <c r="C2391" s="1" t="s">
        <v>10604</v>
      </c>
      <c r="D2391" s="2" t="n">
        <v>38200</v>
      </c>
      <c r="E2391" s="1" t="s">
        <v>710</v>
      </c>
      <c r="F2391" s="1" t="s">
        <v>711</v>
      </c>
      <c r="G2391" s="1" t="s">
        <v>712</v>
      </c>
      <c r="H2391" s="1" t="s">
        <v>713</v>
      </c>
      <c r="I2391" s="1" t="s">
        <v>714</v>
      </c>
      <c r="J2391" s="1" t="s">
        <v>5654</v>
      </c>
      <c r="K2391" s="1" t="s">
        <v>10605</v>
      </c>
      <c r="L2391" s="1" t="s">
        <v>10606</v>
      </c>
      <c r="M2391" s="1" t="s">
        <v>718</v>
      </c>
    </row>
    <row r="2392" customFormat="false" ht="15" hidden="false" customHeight="false" outlineLevel="0" collapsed="false">
      <c r="A2392" s="1" t="s">
        <v>10607</v>
      </c>
      <c r="B2392" s="1" t="s">
        <v>10608</v>
      </c>
      <c r="C2392" s="1" t="s">
        <v>10609</v>
      </c>
      <c r="D2392" s="2" t="n">
        <v>38154</v>
      </c>
      <c r="E2392" s="1" t="s">
        <v>763</v>
      </c>
      <c r="F2392" s="1" t="s">
        <v>711</v>
      </c>
      <c r="G2392" s="1" t="s">
        <v>722</v>
      </c>
      <c r="H2392" s="1" t="s">
        <v>713</v>
      </c>
      <c r="I2392" s="1" t="s">
        <v>714</v>
      </c>
      <c r="J2392" s="1" t="s">
        <v>10610</v>
      </c>
      <c r="K2392" s="1" t="s">
        <v>10611</v>
      </c>
      <c r="L2392" s="1" t="s">
        <v>10612</v>
      </c>
      <c r="M2392" s="1" t="s">
        <v>718</v>
      </c>
    </row>
    <row r="2393" customFormat="false" ht="15" hidden="false" customHeight="false" outlineLevel="0" collapsed="false">
      <c r="A2393" s="1" t="s">
        <v>10613</v>
      </c>
      <c r="B2393" s="1" t="s">
        <v>10614</v>
      </c>
      <c r="C2393" s="1" t="s">
        <v>804</v>
      </c>
      <c r="D2393" s="2" t="n">
        <v>38318</v>
      </c>
      <c r="E2393" s="1" t="s">
        <v>763</v>
      </c>
      <c r="F2393" s="1" t="s">
        <v>711</v>
      </c>
      <c r="G2393" s="1" t="s">
        <v>712</v>
      </c>
      <c r="H2393" s="1" t="s">
        <v>713</v>
      </c>
      <c r="I2393" s="1" t="s">
        <v>714</v>
      </c>
      <c r="J2393" s="1" t="s">
        <v>10615</v>
      </c>
      <c r="K2393" s="1" t="s">
        <v>10616</v>
      </c>
      <c r="L2393" s="1" t="s">
        <v>3285</v>
      </c>
      <c r="M2393" s="1" t="s">
        <v>718</v>
      </c>
    </row>
    <row r="2394" customFormat="false" ht="15" hidden="false" customHeight="false" outlineLevel="0" collapsed="false">
      <c r="A2394" s="1" t="s">
        <v>10617</v>
      </c>
      <c r="B2394" s="1" t="s">
        <v>10618</v>
      </c>
      <c r="C2394" s="1" t="s">
        <v>10619</v>
      </c>
      <c r="D2394" s="2" t="n">
        <v>38073</v>
      </c>
      <c r="E2394" s="1" t="s">
        <v>763</v>
      </c>
      <c r="F2394" s="1" t="s">
        <v>711</v>
      </c>
      <c r="G2394" s="1" t="s">
        <v>712</v>
      </c>
      <c r="H2394" s="1" t="s">
        <v>713</v>
      </c>
      <c r="I2394" s="1" t="s">
        <v>714</v>
      </c>
      <c r="J2394" s="1" t="s">
        <v>928</v>
      </c>
      <c r="K2394" s="1" t="s">
        <v>10620</v>
      </c>
      <c r="L2394" s="1" t="s">
        <v>10621</v>
      </c>
      <c r="M2394" s="1" t="s">
        <v>718</v>
      </c>
    </row>
    <row r="2395" customFormat="false" ht="15" hidden="false" customHeight="false" outlineLevel="0" collapsed="false">
      <c r="A2395" s="1" t="s">
        <v>10622</v>
      </c>
      <c r="B2395" s="1" t="s">
        <v>10623</v>
      </c>
      <c r="C2395" s="1" t="s">
        <v>2330</v>
      </c>
      <c r="D2395" s="2" t="n">
        <v>37836</v>
      </c>
      <c r="E2395" s="1" t="s">
        <v>710</v>
      </c>
      <c r="F2395" s="1" t="s">
        <v>711</v>
      </c>
      <c r="G2395" s="1" t="s">
        <v>712</v>
      </c>
      <c r="H2395" s="1" t="s">
        <v>713</v>
      </c>
      <c r="I2395" s="1" t="s">
        <v>714</v>
      </c>
      <c r="J2395" s="1" t="s">
        <v>838</v>
      </c>
      <c r="K2395" s="1" t="s">
        <v>10624</v>
      </c>
      <c r="L2395" s="1" t="s">
        <v>10625</v>
      </c>
      <c r="M2395" s="1" t="s">
        <v>718</v>
      </c>
    </row>
    <row r="2396" customFormat="false" ht="15" hidden="false" customHeight="false" outlineLevel="0" collapsed="false">
      <c r="A2396" s="1" t="s">
        <v>10626</v>
      </c>
      <c r="B2396" s="1" t="s">
        <v>6591</v>
      </c>
      <c r="C2396" s="1" t="s">
        <v>1080</v>
      </c>
      <c r="D2396" s="2" t="n">
        <v>38175</v>
      </c>
      <c r="E2396" s="1" t="s">
        <v>710</v>
      </c>
      <c r="F2396" s="1" t="s">
        <v>711</v>
      </c>
      <c r="G2396" s="1" t="s">
        <v>712</v>
      </c>
      <c r="H2396" s="1" t="s">
        <v>713</v>
      </c>
      <c r="I2396" s="1" t="s">
        <v>714</v>
      </c>
      <c r="J2396" s="1" t="s">
        <v>10627</v>
      </c>
      <c r="K2396" s="1" t="s">
        <v>10628</v>
      </c>
      <c r="L2396" s="1" t="s">
        <v>10629</v>
      </c>
      <c r="M2396" s="1" t="s">
        <v>718</v>
      </c>
    </row>
    <row r="2397" customFormat="false" ht="15" hidden="false" customHeight="false" outlineLevel="0" collapsed="false">
      <c r="A2397" s="1" t="s">
        <v>10630</v>
      </c>
      <c r="B2397" s="1" t="s">
        <v>10631</v>
      </c>
      <c r="C2397" s="1" t="s">
        <v>10632</v>
      </c>
      <c r="D2397" s="2" t="n">
        <v>38039</v>
      </c>
      <c r="E2397" s="1" t="s">
        <v>763</v>
      </c>
      <c r="F2397" s="1" t="s">
        <v>711</v>
      </c>
      <c r="G2397" s="1" t="s">
        <v>712</v>
      </c>
      <c r="H2397" s="1" t="s">
        <v>713</v>
      </c>
      <c r="I2397" s="1" t="s">
        <v>714</v>
      </c>
      <c r="J2397" s="1" t="s">
        <v>10633</v>
      </c>
      <c r="K2397" s="1" t="s">
        <v>10634</v>
      </c>
      <c r="L2397" s="1" t="s">
        <v>10635</v>
      </c>
      <c r="M2397" s="1" t="s">
        <v>718</v>
      </c>
    </row>
    <row r="2398" customFormat="false" ht="15" hidden="false" customHeight="false" outlineLevel="0" collapsed="false">
      <c r="A2398" s="1" t="s">
        <v>10636</v>
      </c>
      <c r="B2398" s="1" t="s">
        <v>10637</v>
      </c>
      <c r="C2398" s="1" t="s">
        <v>10638</v>
      </c>
      <c r="D2398" s="2" t="n">
        <v>38045</v>
      </c>
      <c r="E2398" s="1" t="s">
        <v>763</v>
      </c>
      <c r="F2398" s="1" t="s">
        <v>711</v>
      </c>
      <c r="G2398" s="1" t="s">
        <v>712</v>
      </c>
      <c r="H2398" s="1" t="s">
        <v>713</v>
      </c>
      <c r="I2398" s="1" t="s">
        <v>714</v>
      </c>
      <c r="J2398" s="1" t="s">
        <v>10639</v>
      </c>
      <c r="K2398" s="1" t="s">
        <v>10640</v>
      </c>
      <c r="L2398" s="1" t="s">
        <v>10641</v>
      </c>
      <c r="M2398" s="1" t="s">
        <v>718</v>
      </c>
    </row>
    <row r="2399" customFormat="false" ht="15" hidden="false" customHeight="false" outlineLevel="0" collapsed="false">
      <c r="A2399" s="1" t="s">
        <v>10642</v>
      </c>
      <c r="B2399" s="1" t="s">
        <v>10643</v>
      </c>
      <c r="C2399" s="1" t="s">
        <v>8692</v>
      </c>
      <c r="D2399" s="2" t="n">
        <v>38300</v>
      </c>
      <c r="E2399" s="1" t="s">
        <v>763</v>
      </c>
      <c r="F2399" s="1" t="s">
        <v>711</v>
      </c>
      <c r="G2399" s="1" t="s">
        <v>712</v>
      </c>
      <c r="H2399" s="1" t="s">
        <v>713</v>
      </c>
      <c r="I2399" s="1" t="s">
        <v>714</v>
      </c>
      <c r="J2399" s="1" t="s">
        <v>1445</v>
      </c>
      <c r="K2399" s="1" t="s">
        <v>10644</v>
      </c>
      <c r="L2399" s="1" t="s">
        <v>812</v>
      </c>
      <c r="M2399" s="1" t="s">
        <v>718</v>
      </c>
    </row>
    <row r="2400" customFormat="false" ht="15" hidden="false" customHeight="false" outlineLevel="0" collapsed="false">
      <c r="A2400" s="1" t="s">
        <v>10645</v>
      </c>
      <c r="B2400" s="1" t="s">
        <v>10646</v>
      </c>
      <c r="C2400" s="1" t="s">
        <v>10647</v>
      </c>
      <c r="D2400" s="2" t="n">
        <v>38315</v>
      </c>
      <c r="E2400" s="1" t="s">
        <v>763</v>
      </c>
      <c r="F2400" s="1" t="s">
        <v>711</v>
      </c>
      <c r="G2400" s="1" t="s">
        <v>712</v>
      </c>
      <c r="H2400" s="1" t="s">
        <v>713</v>
      </c>
      <c r="I2400" s="1" t="s">
        <v>714</v>
      </c>
      <c r="J2400" s="1" t="s">
        <v>1530</v>
      </c>
      <c r="K2400" s="1" t="s">
        <v>10648</v>
      </c>
      <c r="L2400" s="1" t="s">
        <v>10649</v>
      </c>
      <c r="M2400" s="1" t="s">
        <v>718</v>
      </c>
    </row>
    <row r="2401" customFormat="false" ht="15" hidden="false" customHeight="false" outlineLevel="0" collapsed="false">
      <c r="A2401" s="1" t="s">
        <v>10650</v>
      </c>
      <c r="B2401" s="1" t="s">
        <v>10651</v>
      </c>
      <c r="C2401" s="1" t="s">
        <v>10652</v>
      </c>
      <c r="D2401" s="2" t="n">
        <v>38100</v>
      </c>
      <c r="E2401" s="1" t="s">
        <v>710</v>
      </c>
      <c r="F2401" s="1" t="s">
        <v>711</v>
      </c>
      <c r="G2401" s="1" t="s">
        <v>712</v>
      </c>
      <c r="H2401" s="1" t="s">
        <v>713</v>
      </c>
      <c r="I2401" s="1" t="s">
        <v>714</v>
      </c>
      <c r="J2401" s="1" t="s">
        <v>1244</v>
      </c>
      <c r="K2401" s="1" t="s">
        <v>10653</v>
      </c>
      <c r="L2401" s="1" t="s">
        <v>10654</v>
      </c>
      <c r="M2401" s="1" t="s">
        <v>718</v>
      </c>
    </row>
    <row r="2402" customFormat="false" ht="15" hidden="false" customHeight="false" outlineLevel="0" collapsed="false">
      <c r="A2402" s="1" t="s">
        <v>10655</v>
      </c>
      <c r="B2402" s="1" t="s">
        <v>738</v>
      </c>
      <c r="C2402" s="1" t="s">
        <v>1049</v>
      </c>
      <c r="D2402" s="2" t="n">
        <v>37862</v>
      </c>
      <c r="E2402" s="1" t="s">
        <v>710</v>
      </c>
      <c r="F2402" s="1" t="s">
        <v>711</v>
      </c>
      <c r="G2402" s="1" t="s">
        <v>722</v>
      </c>
      <c r="H2402" s="1" t="s">
        <v>713</v>
      </c>
      <c r="I2402" s="1" t="s">
        <v>714</v>
      </c>
      <c r="J2402" s="1" t="s">
        <v>10615</v>
      </c>
      <c r="K2402" s="1" t="s">
        <v>10656</v>
      </c>
      <c r="L2402" s="1" t="s">
        <v>2221</v>
      </c>
      <c r="M2402" s="1" t="s">
        <v>718</v>
      </c>
    </row>
    <row r="2403" customFormat="false" ht="15" hidden="false" customHeight="false" outlineLevel="0" collapsed="false">
      <c r="A2403" s="1" t="s">
        <v>10657</v>
      </c>
      <c r="B2403" s="1" t="s">
        <v>4484</v>
      </c>
      <c r="C2403" s="1" t="s">
        <v>6751</v>
      </c>
      <c r="D2403" s="2" t="n">
        <v>38707</v>
      </c>
      <c r="E2403" s="1" t="s">
        <v>710</v>
      </c>
      <c r="F2403" s="1" t="s">
        <v>711</v>
      </c>
      <c r="G2403" s="1" t="s">
        <v>712</v>
      </c>
      <c r="H2403" s="1" t="s">
        <v>713</v>
      </c>
      <c r="I2403" s="1" t="s">
        <v>714</v>
      </c>
      <c r="J2403" s="1" t="s">
        <v>2499</v>
      </c>
      <c r="K2403" s="1" t="s">
        <v>10658</v>
      </c>
      <c r="L2403" s="1" t="s">
        <v>10659</v>
      </c>
      <c r="M2403" s="1" t="s">
        <v>718</v>
      </c>
    </row>
    <row r="2404" customFormat="false" ht="15" hidden="false" customHeight="false" outlineLevel="0" collapsed="false">
      <c r="A2404" s="1" t="s">
        <v>10660</v>
      </c>
      <c r="B2404" s="1" t="s">
        <v>10661</v>
      </c>
      <c r="C2404" s="1" t="s">
        <v>5322</v>
      </c>
      <c r="D2404" s="2" t="n">
        <v>38658</v>
      </c>
      <c r="E2404" s="1" t="s">
        <v>763</v>
      </c>
      <c r="F2404" s="1" t="s">
        <v>711</v>
      </c>
      <c r="G2404" s="1" t="s">
        <v>722</v>
      </c>
      <c r="H2404" s="1" t="s">
        <v>713</v>
      </c>
      <c r="I2404" s="1" t="s">
        <v>714</v>
      </c>
      <c r="J2404" s="1" t="s">
        <v>821</v>
      </c>
      <c r="K2404" s="1" t="s">
        <v>10662</v>
      </c>
      <c r="L2404" s="1" t="s">
        <v>5325</v>
      </c>
      <c r="M2404" s="1" t="s">
        <v>718</v>
      </c>
    </row>
    <row r="2405" customFormat="false" ht="15" hidden="false" customHeight="false" outlineLevel="0" collapsed="false">
      <c r="A2405" s="1" t="s">
        <v>10663</v>
      </c>
      <c r="B2405" s="1" t="s">
        <v>10664</v>
      </c>
      <c r="C2405" s="1" t="s">
        <v>10665</v>
      </c>
      <c r="D2405" s="2" t="n">
        <v>38471</v>
      </c>
      <c r="E2405" s="1" t="s">
        <v>763</v>
      </c>
      <c r="F2405" s="1" t="s">
        <v>711</v>
      </c>
      <c r="G2405" s="1" t="s">
        <v>712</v>
      </c>
      <c r="H2405" s="1" t="s">
        <v>713</v>
      </c>
      <c r="I2405" s="1" t="s">
        <v>714</v>
      </c>
      <c r="J2405" s="1" t="s">
        <v>1445</v>
      </c>
      <c r="K2405" s="1" t="s">
        <v>10666</v>
      </c>
      <c r="L2405" s="1" t="s">
        <v>10667</v>
      </c>
      <c r="M2405" s="1" t="s">
        <v>718</v>
      </c>
    </row>
    <row r="2406" customFormat="false" ht="15" hidden="false" customHeight="false" outlineLevel="0" collapsed="false">
      <c r="A2406" s="1" t="s">
        <v>10668</v>
      </c>
      <c r="B2406" s="1" t="s">
        <v>10669</v>
      </c>
      <c r="C2406" s="1" t="s">
        <v>10670</v>
      </c>
      <c r="D2406" s="2" t="n">
        <v>38690</v>
      </c>
      <c r="E2406" s="1" t="s">
        <v>763</v>
      </c>
      <c r="F2406" s="1" t="s">
        <v>711</v>
      </c>
      <c r="G2406" s="1" t="s">
        <v>712</v>
      </c>
      <c r="H2406" s="1" t="s">
        <v>713</v>
      </c>
      <c r="I2406" s="1" t="s">
        <v>714</v>
      </c>
      <c r="J2406" s="1" t="s">
        <v>10671</v>
      </c>
      <c r="K2406" s="1" t="s">
        <v>10672</v>
      </c>
      <c r="L2406" s="1" t="s">
        <v>10673</v>
      </c>
      <c r="M2406" s="1" t="s">
        <v>718</v>
      </c>
    </row>
    <row r="2407" customFormat="false" ht="15" hidden="false" customHeight="false" outlineLevel="0" collapsed="false">
      <c r="A2407" s="1" t="s">
        <v>10674</v>
      </c>
      <c r="B2407" s="1" t="s">
        <v>10675</v>
      </c>
      <c r="C2407" s="1" t="s">
        <v>10676</v>
      </c>
      <c r="D2407" s="2" t="n">
        <v>38391</v>
      </c>
      <c r="E2407" s="1" t="s">
        <v>763</v>
      </c>
      <c r="F2407" s="1" t="s">
        <v>711</v>
      </c>
      <c r="G2407" s="1" t="s">
        <v>712</v>
      </c>
      <c r="H2407" s="1" t="s">
        <v>713</v>
      </c>
      <c r="I2407" s="1" t="s">
        <v>714</v>
      </c>
      <c r="J2407" s="1" t="s">
        <v>10677</v>
      </c>
      <c r="K2407" s="1" t="s">
        <v>10678</v>
      </c>
      <c r="L2407" s="1" t="s">
        <v>10679</v>
      </c>
      <c r="M2407" s="1" t="s">
        <v>718</v>
      </c>
    </row>
    <row r="2408" customFormat="false" ht="15" hidden="false" customHeight="false" outlineLevel="0" collapsed="false">
      <c r="A2408" s="1" t="s">
        <v>10680</v>
      </c>
      <c r="B2408" s="1" t="s">
        <v>10681</v>
      </c>
      <c r="C2408" s="1" t="s">
        <v>10682</v>
      </c>
      <c r="D2408" s="2" t="n">
        <v>38843</v>
      </c>
      <c r="E2408" s="1" t="s">
        <v>763</v>
      </c>
      <c r="F2408" s="1" t="s">
        <v>711</v>
      </c>
      <c r="G2408" s="1" t="s">
        <v>712</v>
      </c>
      <c r="H2408" s="1" t="s">
        <v>713</v>
      </c>
      <c r="I2408" s="1" t="s">
        <v>714</v>
      </c>
      <c r="J2408" s="1" t="s">
        <v>740</v>
      </c>
      <c r="K2408" s="1" t="s">
        <v>10352</v>
      </c>
      <c r="L2408" s="1" t="s">
        <v>2090</v>
      </c>
      <c r="M2408" s="1" t="s">
        <v>718</v>
      </c>
    </row>
    <row r="2409" customFormat="false" ht="15" hidden="false" customHeight="false" outlineLevel="0" collapsed="false">
      <c r="A2409" s="1" t="s">
        <v>10683</v>
      </c>
      <c r="B2409" s="1" t="s">
        <v>1538</v>
      </c>
      <c r="C2409" s="1" t="s">
        <v>1049</v>
      </c>
      <c r="D2409" s="2" t="n">
        <v>38156</v>
      </c>
      <c r="E2409" s="1" t="s">
        <v>763</v>
      </c>
      <c r="F2409" s="1" t="s">
        <v>711</v>
      </c>
      <c r="G2409" s="1" t="s">
        <v>722</v>
      </c>
      <c r="H2409" s="1" t="s">
        <v>713</v>
      </c>
      <c r="I2409" s="1" t="s">
        <v>714</v>
      </c>
      <c r="J2409" s="1" t="s">
        <v>10684</v>
      </c>
      <c r="K2409" s="1" t="s">
        <v>10685</v>
      </c>
      <c r="L2409" s="1" t="s">
        <v>2891</v>
      </c>
      <c r="M2409" s="1" t="s">
        <v>718</v>
      </c>
    </row>
    <row r="2410" customFormat="false" ht="15" hidden="false" customHeight="false" outlineLevel="0" collapsed="false">
      <c r="A2410" s="1" t="s">
        <v>10686</v>
      </c>
      <c r="B2410" s="1" t="s">
        <v>10687</v>
      </c>
      <c r="C2410" s="1" t="s">
        <v>2355</v>
      </c>
      <c r="D2410" s="2" t="n">
        <v>38548</v>
      </c>
      <c r="E2410" s="1" t="s">
        <v>710</v>
      </c>
      <c r="F2410" s="1" t="s">
        <v>711</v>
      </c>
      <c r="G2410" s="1" t="s">
        <v>712</v>
      </c>
      <c r="H2410" s="1" t="s">
        <v>713</v>
      </c>
      <c r="I2410" s="1" t="s">
        <v>714</v>
      </c>
      <c r="J2410" s="1" t="s">
        <v>10684</v>
      </c>
      <c r="K2410" s="1" t="s">
        <v>716</v>
      </c>
      <c r="L2410" s="1" t="s">
        <v>10688</v>
      </c>
      <c r="M2410" s="1" t="s">
        <v>718</v>
      </c>
    </row>
    <row r="2411" customFormat="false" ht="15" hidden="false" customHeight="false" outlineLevel="0" collapsed="false">
      <c r="A2411" s="1" t="s">
        <v>10689</v>
      </c>
      <c r="B2411" s="1" t="s">
        <v>10690</v>
      </c>
      <c r="C2411" s="1" t="s">
        <v>1234</v>
      </c>
      <c r="D2411" s="2" t="n">
        <v>38596</v>
      </c>
      <c r="E2411" s="1" t="s">
        <v>710</v>
      </c>
      <c r="F2411" s="1" t="s">
        <v>711</v>
      </c>
      <c r="G2411" s="1" t="s">
        <v>712</v>
      </c>
      <c r="H2411" s="1" t="s">
        <v>713</v>
      </c>
      <c r="I2411" s="1" t="s">
        <v>714</v>
      </c>
      <c r="J2411" s="1" t="s">
        <v>2000</v>
      </c>
      <c r="K2411" s="1" t="s">
        <v>10691</v>
      </c>
      <c r="L2411" s="1" t="s">
        <v>10692</v>
      </c>
      <c r="M2411" s="1" t="s">
        <v>718</v>
      </c>
    </row>
    <row r="2412" customFormat="false" ht="15" hidden="false" customHeight="false" outlineLevel="0" collapsed="false">
      <c r="A2412" s="1" t="s">
        <v>10693</v>
      </c>
      <c r="B2412" s="1" t="s">
        <v>935</v>
      </c>
      <c r="C2412" s="1" t="s">
        <v>10694</v>
      </c>
      <c r="D2412" s="2" t="n">
        <v>39364</v>
      </c>
      <c r="E2412" s="1" t="s">
        <v>710</v>
      </c>
      <c r="F2412" s="1" t="s">
        <v>711</v>
      </c>
      <c r="G2412" s="1" t="s">
        <v>10695</v>
      </c>
      <c r="H2412" s="1" t="s">
        <v>8956</v>
      </c>
      <c r="I2412" s="1" t="s">
        <v>10696</v>
      </c>
      <c r="J2412" s="1" t="s">
        <v>740</v>
      </c>
      <c r="K2412" s="1" t="s">
        <v>10697</v>
      </c>
      <c r="L2412" s="1" t="s">
        <v>10698</v>
      </c>
      <c r="M2412" s="1" t="s">
        <v>718</v>
      </c>
    </row>
    <row r="2413" customFormat="false" ht="15" hidden="false" customHeight="false" outlineLevel="0" collapsed="false">
      <c r="A2413" s="1" t="s">
        <v>10699</v>
      </c>
      <c r="B2413" s="1" t="s">
        <v>2344</v>
      </c>
      <c r="C2413" s="1" t="s">
        <v>1637</v>
      </c>
      <c r="D2413" s="2" t="n">
        <v>38390</v>
      </c>
      <c r="E2413" s="1" t="s">
        <v>710</v>
      </c>
      <c r="F2413" s="1" t="s">
        <v>711</v>
      </c>
      <c r="G2413" s="1" t="s">
        <v>712</v>
      </c>
      <c r="H2413" s="1" t="s">
        <v>713</v>
      </c>
      <c r="I2413" s="1" t="s">
        <v>714</v>
      </c>
      <c r="J2413" s="1" t="s">
        <v>6007</v>
      </c>
      <c r="K2413" s="1" t="s">
        <v>10700</v>
      </c>
      <c r="L2413" s="1" t="s">
        <v>1638</v>
      </c>
      <c r="M2413" s="1" t="s">
        <v>718</v>
      </c>
    </row>
    <row r="2414" customFormat="false" ht="15" hidden="false" customHeight="false" outlineLevel="0" collapsed="false">
      <c r="A2414" s="1" t="s">
        <v>10701</v>
      </c>
      <c r="B2414" s="1" t="s">
        <v>10702</v>
      </c>
      <c r="C2414" s="1" t="s">
        <v>10703</v>
      </c>
      <c r="D2414" s="2" t="n">
        <v>38686</v>
      </c>
      <c r="E2414" s="1" t="s">
        <v>763</v>
      </c>
      <c r="F2414" s="1" t="s">
        <v>711</v>
      </c>
      <c r="G2414" s="1" t="s">
        <v>712</v>
      </c>
      <c r="H2414" s="1" t="s">
        <v>713</v>
      </c>
      <c r="I2414" s="1" t="s">
        <v>714</v>
      </c>
      <c r="J2414" s="1" t="s">
        <v>10704</v>
      </c>
      <c r="K2414" s="1" t="s">
        <v>10705</v>
      </c>
      <c r="L2414" s="1" t="s">
        <v>10706</v>
      </c>
      <c r="M2414" s="1" t="s">
        <v>718</v>
      </c>
    </row>
    <row r="2415" customFormat="false" ht="15" hidden="false" customHeight="false" outlineLevel="0" collapsed="false">
      <c r="A2415" s="1" t="s">
        <v>10707</v>
      </c>
      <c r="B2415" s="1" t="s">
        <v>10708</v>
      </c>
      <c r="C2415" s="1" t="s">
        <v>2643</v>
      </c>
      <c r="D2415" s="2" t="n">
        <v>37582</v>
      </c>
      <c r="E2415" s="1" t="s">
        <v>710</v>
      </c>
      <c r="F2415" s="1" t="s">
        <v>711</v>
      </c>
      <c r="G2415" s="1" t="s">
        <v>712</v>
      </c>
      <c r="H2415" s="1" t="s">
        <v>713</v>
      </c>
      <c r="I2415" s="1" t="s">
        <v>714</v>
      </c>
      <c r="J2415" s="1" t="s">
        <v>7565</v>
      </c>
      <c r="K2415" s="1" t="s">
        <v>10709</v>
      </c>
      <c r="L2415" s="1" t="s">
        <v>2842</v>
      </c>
      <c r="M2415" s="1" t="s">
        <v>718</v>
      </c>
    </row>
    <row r="2416" customFormat="false" ht="15" hidden="false" customHeight="false" outlineLevel="0" collapsed="false">
      <c r="A2416" s="1" t="s">
        <v>10710</v>
      </c>
      <c r="B2416" s="1" t="s">
        <v>10711</v>
      </c>
      <c r="C2416" s="1" t="s">
        <v>10712</v>
      </c>
      <c r="D2416" s="2" t="n">
        <v>38450</v>
      </c>
      <c r="E2416" s="1" t="s">
        <v>710</v>
      </c>
      <c r="F2416" s="1" t="s">
        <v>711</v>
      </c>
      <c r="G2416" s="1" t="s">
        <v>712</v>
      </c>
      <c r="H2416" s="1" t="s">
        <v>713</v>
      </c>
      <c r="I2416" s="1" t="s">
        <v>714</v>
      </c>
      <c r="J2416" s="1" t="s">
        <v>10713</v>
      </c>
      <c r="K2416" s="1" t="s">
        <v>10714</v>
      </c>
      <c r="L2416" s="1" t="s">
        <v>10715</v>
      </c>
      <c r="M2416" s="1" t="s">
        <v>718</v>
      </c>
    </row>
    <row r="2417" customFormat="false" ht="15" hidden="false" customHeight="false" outlineLevel="0" collapsed="false">
      <c r="A2417" s="1" t="s">
        <v>10716</v>
      </c>
      <c r="B2417" s="1" t="s">
        <v>10717</v>
      </c>
      <c r="C2417" s="1" t="s">
        <v>10718</v>
      </c>
      <c r="D2417" s="2" t="n">
        <v>38098</v>
      </c>
      <c r="E2417" s="1" t="s">
        <v>763</v>
      </c>
      <c r="F2417" s="1" t="s">
        <v>711</v>
      </c>
      <c r="G2417" s="1" t="s">
        <v>712</v>
      </c>
      <c r="H2417" s="1" t="s">
        <v>713</v>
      </c>
      <c r="I2417" s="1" t="s">
        <v>714</v>
      </c>
      <c r="J2417" s="1" t="s">
        <v>1723</v>
      </c>
      <c r="K2417" s="1" t="s">
        <v>10719</v>
      </c>
      <c r="L2417" s="1" t="s">
        <v>10720</v>
      </c>
      <c r="M2417" s="1" t="s">
        <v>718</v>
      </c>
    </row>
    <row r="2418" customFormat="false" ht="15" hidden="false" customHeight="false" outlineLevel="0" collapsed="false">
      <c r="A2418" s="1" t="s">
        <v>10721</v>
      </c>
      <c r="B2418" s="1" t="s">
        <v>10722</v>
      </c>
      <c r="C2418" s="1" t="s">
        <v>10723</v>
      </c>
      <c r="D2418" s="2" t="n">
        <v>37956</v>
      </c>
      <c r="E2418" s="1" t="s">
        <v>763</v>
      </c>
      <c r="F2418" s="1" t="s">
        <v>711</v>
      </c>
      <c r="G2418" s="1" t="s">
        <v>712</v>
      </c>
      <c r="H2418" s="1" t="s">
        <v>713</v>
      </c>
      <c r="I2418" s="1" t="s">
        <v>714</v>
      </c>
      <c r="J2418" s="1" t="s">
        <v>1390</v>
      </c>
      <c r="K2418" s="1" t="s">
        <v>10724</v>
      </c>
      <c r="L2418" s="1" t="s">
        <v>10725</v>
      </c>
      <c r="M2418" s="1" t="s">
        <v>718</v>
      </c>
    </row>
    <row r="2419" customFormat="false" ht="15" hidden="false" customHeight="false" outlineLevel="0" collapsed="false">
      <c r="A2419" s="1" t="s">
        <v>10726</v>
      </c>
      <c r="B2419" s="1" t="s">
        <v>10727</v>
      </c>
      <c r="C2419" s="1" t="s">
        <v>10728</v>
      </c>
      <c r="D2419" s="2" t="n">
        <v>38317</v>
      </c>
      <c r="E2419" s="1" t="s">
        <v>710</v>
      </c>
      <c r="F2419" s="1" t="s">
        <v>711</v>
      </c>
      <c r="G2419" s="1" t="s">
        <v>712</v>
      </c>
      <c r="H2419" s="1" t="s">
        <v>713</v>
      </c>
      <c r="I2419" s="1" t="s">
        <v>714</v>
      </c>
      <c r="J2419" s="1" t="s">
        <v>7543</v>
      </c>
      <c r="K2419" s="1" t="s">
        <v>10729</v>
      </c>
      <c r="L2419" s="1" t="s">
        <v>10730</v>
      </c>
      <c r="M2419" s="1" t="s">
        <v>718</v>
      </c>
    </row>
    <row r="2420" customFormat="false" ht="15" hidden="false" customHeight="false" outlineLevel="0" collapsed="false">
      <c r="A2420" s="1" t="s">
        <v>10731</v>
      </c>
      <c r="B2420" s="1" t="s">
        <v>6473</v>
      </c>
      <c r="C2420" s="1" t="s">
        <v>10732</v>
      </c>
      <c r="D2420" s="2" t="n">
        <v>38434</v>
      </c>
      <c r="E2420" s="1" t="s">
        <v>710</v>
      </c>
      <c r="F2420" s="1" t="s">
        <v>711</v>
      </c>
      <c r="G2420" s="1" t="s">
        <v>712</v>
      </c>
      <c r="H2420" s="1" t="s">
        <v>713</v>
      </c>
      <c r="I2420" s="1" t="s">
        <v>714</v>
      </c>
      <c r="J2420" s="1" t="s">
        <v>10733</v>
      </c>
      <c r="K2420" s="1" t="s">
        <v>716</v>
      </c>
      <c r="L2420" s="1" t="s">
        <v>10734</v>
      </c>
      <c r="M2420" s="1" t="s">
        <v>718</v>
      </c>
    </row>
    <row r="2421" customFormat="false" ht="15" hidden="false" customHeight="false" outlineLevel="0" collapsed="false">
      <c r="A2421" s="1" t="s">
        <v>10735</v>
      </c>
      <c r="B2421" s="1" t="s">
        <v>4219</v>
      </c>
      <c r="C2421" s="1" t="s">
        <v>10736</v>
      </c>
      <c r="D2421" s="2" t="n">
        <v>38565</v>
      </c>
      <c r="E2421" s="1" t="s">
        <v>710</v>
      </c>
      <c r="F2421" s="1" t="s">
        <v>711</v>
      </c>
      <c r="G2421" s="1" t="s">
        <v>722</v>
      </c>
      <c r="H2421" s="1" t="s">
        <v>713</v>
      </c>
      <c r="I2421" s="1" t="s">
        <v>714</v>
      </c>
      <c r="J2421" s="1" t="s">
        <v>838</v>
      </c>
      <c r="K2421" s="1" t="s">
        <v>10737</v>
      </c>
      <c r="L2421" s="1" t="s">
        <v>10738</v>
      </c>
      <c r="M2421" s="1" t="s">
        <v>718</v>
      </c>
    </row>
    <row r="2422" customFormat="false" ht="15" hidden="false" customHeight="false" outlineLevel="0" collapsed="false">
      <c r="A2422" s="1" t="s">
        <v>10739</v>
      </c>
      <c r="B2422" s="1" t="s">
        <v>10740</v>
      </c>
      <c r="C2422" s="1" t="s">
        <v>10741</v>
      </c>
      <c r="D2422" s="2" t="n">
        <v>38393</v>
      </c>
      <c r="E2422" s="1" t="s">
        <v>710</v>
      </c>
      <c r="F2422" s="1" t="s">
        <v>711</v>
      </c>
      <c r="G2422" s="1" t="s">
        <v>712</v>
      </c>
      <c r="H2422" s="1" t="s">
        <v>713</v>
      </c>
      <c r="I2422" s="1" t="s">
        <v>714</v>
      </c>
      <c r="J2422" s="1" t="s">
        <v>6865</v>
      </c>
      <c r="K2422" s="1" t="s">
        <v>10742</v>
      </c>
      <c r="L2422" s="1" t="s">
        <v>10743</v>
      </c>
      <c r="M2422" s="1" t="s">
        <v>718</v>
      </c>
    </row>
    <row r="2423" customFormat="false" ht="15" hidden="false" customHeight="false" outlineLevel="0" collapsed="false">
      <c r="A2423" s="1" t="s">
        <v>10744</v>
      </c>
      <c r="B2423" s="1" t="s">
        <v>10745</v>
      </c>
      <c r="C2423" s="1" t="s">
        <v>10632</v>
      </c>
      <c r="D2423" s="2" t="n">
        <v>38458</v>
      </c>
      <c r="E2423" s="1" t="s">
        <v>763</v>
      </c>
      <c r="F2423" s="1" t="s">
        <v>711</v>
      </c>
      <c r="G2423" s="1" t="s">
        <v>712</v>
      </c>
      <c r="H2423" s="1" t="s">
        <v>713</v>
      </c>
      <c r="I2423" s="1" t="s">
        <v>714</v>
      </c>
      <c r="J2423" s="1" t="s">
        <v>6508</v>
      </c>
      <c r="K2423" s="1" t="s">
        <v>10746</v>
      </c>
      <c r="L2423" s="1" t="s">
        <v>10635</v>
      </c>
      <c r="M2423" s="1" t="s">
        <v>718</v>
      </c>
    </row>
    <row r="2424" customFormat="false" ht="15" hidden="false" customHeight="false" outlineLevel="0" collapsed="false">
      <c r="A2424" s="1" t="s">
        <v>10747</v>
      </c>
      <c r="B2424" s="1" t="s">
        <v>10748</v>
      </c>
      <c r="C2424" s="1" t="s">
        <v>9395</v>
      </c>
      <c r="D2424" s="2" t="n">
        <v>39392</v>
      </c>
      <c r="E2424" s="1" t="s">
        <v>710</v>
      </c>
      <c r="F2424" s="1" t="s">
        <v>711</v>
      </c>
      <c r="G2424" s="1" t="s">
        <v>712</v>
      </c>
      <c r="H2424" s="1" t="s">
        <v>713</v>
      </c>
      <c r="I2424" s="1" t="s">
        <v>714</v>
      </c>
      <c r="J2424" s="1" t="s">
        <v>826</v>
      </c>
      <c r="K2424" s="1" t="s">
        <v>10749</v>
      </c>
      <c r="L2424" s="1" t="s">
        <v>9397</v>
      </c>
      <c r="M2424" s="1" t="s">
        <v>718</v>
      </c>
    </row>
    <row r="2425" customFormat="false" ht="15" hidden="false" customHeight="false" outlineLevel="0" collapsed="false">
      <c r="A2425" s="1" t="s">
        <v>10750</v>
      </c>
      <c r="B2425" s="1" t="s">
        <v>10751</v>
      </c>
      <c r="C2425" s="1" t="s">
        <v>9547</v>
      </c>
      <c r="D2425" s="2" t="n">
        <v>38682</v>
      </c>
      <c r="E2425" s="1" t="s">
        <v>763</v>
      </c>
      <c r="F2425" s="1" t="s">
        <v>711</v>
      </c>
      <c r="G2425" s="1" t="s">
        <v>712</v>
      </c>
      <c r="H2425" s="1" t="s">
        <v>713</v>
      </c>
      <c r="I2425" s="1" t="s">
        <v>714</v>
      </c>
      <c r="J2425" s="1" t="s">
        <v>5313</v>
      </c>
      <c r="K2425" s="1" t="s">
        <v>8422</v>
      </c>
      <c r="L2425" s="1" t="s">
        <v>1970</v>
      </c>
      <c r="M2425" s="1" t="s">
        <v>718</v>
      </c>
    </row>
    <row r="2426" customFormat="false" ht="15" hidden="false" customHeight="false" outlineLevel="0" collapsed="false">
      <c r="A2426" s="1" t="s">
        <v>10752</v>
      </c>
      <c r="B2426" s="1" t="s">
        <v>10753</v>
      </c>
      <c r="C2426" s="1" t="s">
        <v>1486</v>
      </c>
      <c r="D2426" s="2" t="n">
        <v>38597</v>
      </c>
      <c r="E2426" s="1" t="s">
        <v>763</v>
      </c>
      <c r="F2426" s="1" t="s">
        <v>711</v>
      </c>
      <c r="G2426" s="1" t="s">
        <v>722</v>
      </c>
      <c r="H2426" s="1" t="s">
        <v>713</v>
      </c>
      <c r="I2426" s="1" t="s">
        <v>714</v>
      </c>
      <c r="J2426" s="1" t="s">
        <v>1723</v>
      </c>
      <c r="K2426" s="1" t="s">
        <v>10754</v>
      </c>
      <c r="L2426" s="1" t="s">
        <v>8331</v>
      </c>
      <c r="M2426" s="1" t="s">
        <v>718</v>
      </c>
    </row>
    <row r="2427" customFormat="false" ht="15" hidden="false" customHeight="false" outlineLevel="0" collapsed="false">
      <c r="A2427" s="1" t="s">
        <v>10755</v>
      </c>
      <c r="B2427" s="1" t="s">
        <v>10756</v>
      </c>
      <c r="C2427" s="1" t="s">
        <v>10757</v>
      </c>
      <c r="D2427" s="2" t="n">
        <v>38666</v>
      </c>
      <c r="E2427" s="1" t="s">
        <v>763</v>
      </c>
      <c r="F2427" s="1" t="s">
        <v>711</v>
      </c>
      <c r="G2427" s="1" t="s">
        <v>712</v>
      </c>
      <c r="H2427" s="1" t="s">
        <v>713</v>
      </c>
      <c r="I2427" s="1" t="s">
        <v>714</v>
      </c>
      <c r="J2427" s="1" t="s">
        <v>10758</v>
      </c>
      <c r="K2427" s="1" t="s">
        <v>10759</v>
      </c>
      <c r="L2427" s="1" t="s">
        <v>10760</v>
      </c>
      <c r="M2427" s="1" t="s">
        <v>718</v>
      </c>
    </row>
    <row r="2428" customFormat="false" ht="15" hidden="false" customHeight="false" outlineLevel="0" collapsed="false">
      <c r="A2428" s="1" t="s">
        <v>10761</v>
      </c>
      <c r="B2428" s="1" t="s">
        <v>10762</v>
      </c>
      <c r="C2428" s="1" t="s">
        <v>10763</v>
      </c>
      <c r="D2428" s="2" t="n">
        <v>38541</v>
      </c>
      <c r="E2428" s="1" t="s">
        <v>710</v>
      </c>
      <c r="F2428" s="1" t="s">
        <v>711</v>
      </c>
      <c r="G2428" s="1" t="s">
        <v>712</v>
      </c>
      <c r="H2428" s="1" t="s">
        <v>713</v>
      </c>
      <c r="I2428" s="1" t="s">
        <v>714</v>
      </c>
      <c r="J2428" s="1" t="s">
        <v>10764</v>
      </c>
      <c r="K2428" s="1" t="s">
        <v>716</v>
      </c>
      <c r="L2428" s="1" t="s">
        <v>3739</v>
      </c>
      <c r="M2428" s="1" t="s">
        <v>718</v>
      </c>
    </row>
    <row r="2429" customFormat="false" ht="15" hidden="false" customHeight="false" outlineLevel="0" collapsed="false">
      <c r="A2429" s="1" t="s">
        <v>10765</v>
      </c>
      <c r="B2429" s="1" t="s">
        <v>3194</v>
      </c>
      <c r="C2429" s="1" t="s">
        <v>4844</v>
      </c>
      <c r="D2429" s="2" t="n">
        <v>38985</v>
      </c>
      <c r="E2429" s="1" t="s">
        <v>710</v>
      </c>
      <c r="F2429" s="1" t="s">
        <v>711</v>
      </c>
      <c r="G2429" s="1" t="s">
        <v>722</v>
      </c>
      <c r="H2429" s="1" t="s">
        <v>713</v>
      </c>
      <c r="I2429" s="1" t="s">
        <v>714</v>
      </c>
      <c r="J2429" s="1" t="s">
        <v>10766</v>
      </c>
      <c r="K2429" s="1" t="s">
        <v>7677</v>
      </c>
      <c r="L2429" s="1" t="s">
        <v>7678</v>
      </c>
      <c r="M2429" s="1" t="s">
        <v>718</v>
      </c>
    </row>
    <row r="2430" customFormat="false" ht="15" hidden="false" customHeight="false" outlineLevel="0" collapsed="false">
      <c r="A2430" s="1" t="s">
        <v>10767</v>
      </c>
      <c r="B2430" s="1" t="s">
        <v>10768</v>
      </c>
      <c r="C2430" s="1" t="s">
        <v>10769</v>
      </c>
      <c r="D2430" s="2" t="n">
        <v>38938</v>
      </c>
      <c r="E2430" s="1" t="s">
        <v>763</v>
      </c>
      <c r="F2430" s="1" t="s">
        <v>711</v>
      </c>
      <c r="G2430" s="1" t="s">
        <v>712</v>
      </c>
      <c r="H2430" s="1" t="s">
        <v>713</v>
      </c>
      <c r="I2430" s="1" t="s">
        <v>714</v>
      </c>
      <c r="J2430" s="1" t="s">
        <v>740</v>
      </c>
      <c r="K2430" s="1" t="s">
        <v>10770</v>
      </c>
      <c r="L2430" s="1" t="s">
        <v>10771</v>
      </c>
      <c r="M2430" s="1" t="s">
        <v>718</v>
      </c>
    </row>
    <row r="2431" customFormat="false" ht="15" hidden="false" customHeight="false" outlineLevel="0" collapsed="false">
      <c r="A2431" s="1" t="s">
        <v>10772</v>
      </c>
      <c r="B2431" s="1" t="s">
        <v>10773</v>
      </c>
      <c r="C2431" s="1" t="s">
        <v>8409</v>
      </c>
      <c r="D2431" s="2" t="n">
        <v>38619</v>
      </c>
      <c r="E2431" s="1" t="s">
        <v>710</v>
      </c>
      <c r="F2431" s="1" t="s">
        <v>711</v>
      </c>
      <c r="G2431" s="1" t="s">
        <v>722</v>
      </c>
      <c r="H2431" s="1" t="s">
        <v>713</v>
      </c>
      <c r="I2431" s="1" t="s">
        <v>714</v>
      </c>
      <c r="J2431" s="1" t="s">
        <v>716</v>
      </c>
      <c r="K2431" s="1" t="s">
        <v>10774</v>
      </c>
      <c r="L2431" s="1" t="s">
        <v>8412</v>
      </c>
      <c r="M2431" s="1" t="s">
        <v>718</v>
      </c>
    </row>
    <row r="2432" customFormat="false" ht="15" hidden="false" customHeight="false" outlineLevel="0" collapsed="false">
      <c r="A2432" s="1" t="s">
        <v>10775</v>
      </c>
      <c r="B2432" s="1" t="s">
        <v>10776</v>
      </c>
      <c r="C2432" s="1" t="s">
        <v>10777</v>
      </c>
      <c r="D2432" s="2" t="n">
        <v>39058</v>
      </c>
      <c r="E2432" s="1" t="s">
        <v>710</v>
      </c>
      <c r="F2432" s="1" t="s">
        <v>711</v>
      </c>
      <c r="G2432" s="1" t="s">
        <v>712</v>
      </c>
      <c r="H2432" s="1" t="s">
        <v>713</v>
      </c>
      <c r="I2432" s="1" t="s">
        <v>714</v>
      </c>
      <c r="J2432" s="1" t="s">
        <v>7565</v>
      </c>
      <c r="K2432" s="1" t="s">
        <v>10778</v>
      </c>
      <c r="L2432" s="1" t="s">
        <v>10779</v>
      </c>
      <c r="M2432" s="1" t="s">
        <v>718</v>
      </c>
    </row>
    <row r="2433" customFormat="false" ht="15" hidden="false" customHeight="false" outlineLevel="0" collapsed="false">
      <c r="A2433" s="1" t="s">
        <v>10780</v>
      </c>
      <c r="B2433" s="1" t="s">
        <v>10781</v>
      </c>
      <c r="C2433" s="1" t="s">
        <v>6527</v>
      </c>
      <c r="D2433" s="2" t="n">
        <v>38642</v>
      </c>
      <c r="E2433" s="1" t="s">
        <v>763</v>
      </c>
      <c r="F2433" s="1" t="s">
        <v>711</v>
      </c>
      <c r="G2433" s="1" t="s">
        <v>722</v>
      </c>
      <c r="H2433" s="1" t="s">
        <v>713</v>
      </c>
      <c r="I2433" s="1" t="s">
        <v>714</v>
      </c>
      <c r="J2433" s="1" t="s">
        <v>10782</v>
      </c>
      <c r="K2433" s="1" t="s">
        <v>6528</v>
      </c>
      <c r="L2433" s="1" t="s">
        <v>10783</v>
      </c>
      <c r="M2433" s="1" t="s">
        <v>718</v>
      </c>
    </row>
    <row r="2434" customFormat="false" ht="15" hidden="false" customHeight="false" outlineLevel="0" collapsed="false">
      <c r="A2434" s="1" t="s">
        <v>10784</v>
      </c>
      <c r="B2434" s="1" t="s">
        <v>10785</v>
      </c>
      <c r="C2434" s="1" t="s">
        <v>10786</v>
      </c>
      <c r="D2434" s="2" t="n">
        <v>38333</v>
      </c>
      <c r="E2434" s="1" t="s">
        <v>763</v>
      </c>
      <c r="F2434" s="1" t="s">
        <v>711</v>
      </c>
      <c r="G2434" s="1" t="s">
        <v>712</v>
      </c>
      <c r="H2434" s="1" t="s">
        <v>713</v>
      </c>
      <c r="I2434" s="1" t="s">
        <v>714</v>
      </c>
      <c r="J2434" s="1" t="s">
        <v>2117</v>
      </c>
      <c r="K2434" s="1" t="s">
        <v>10787</v>
      </c>
      <c r="L2434" s="1" t="s">
        <v>10788</v>
      </c>
      <c r="M2434" s="1" t="s">
        <v>718</v>
      </c>
    </row>
    <row r="2435" customFormat="false" ht="15" hidden="false" customHeight="false" outlineLevel="0" collapsed="false">
      <c r="A2435" s="1" t="s">
        <v>10789</v>
      </c>
      <c r="B2435" s="1" t="s">
        <v>10790</v>
      </c>
      <c r="C2435" s="1" t="s">
        <v>1444</v>
      </c>
      <c r="D2435" s="2" t="n">
        <v>38614</v>
      </c>
      <c r="E2435" s="1" t="s">
        <v>763</v>
      </c>
      <c r="F2435" s="1" t="s">
        <v>711</v>
      </c>
      <c r="G2435" s="1" t="s">
        <v>712</v>
      </c>
      <c r="H2435" s="1" t="s">
        <v>713</v>
      </c>
      <c r="I2435" s="1" t="s">
        <v>714</v>
      </c>
      <c r="J2435" s="1" t="s">
        <v>2000</v>
      </c>
      <c r="K2435" s="1" t="s">
        <v>10528</v>
      </c>
      <c r="L2435" s="1" t="s">
        <v>10791</v>
      </c>
      <c r="M2435" s="1" t="s">
        <v>718</v>
      </c>
    </row>
    <row r="2436" customFormat="false" ht="15" hidden="false" customHeight="false" outlineLevel="0" collapsed="false">
      <c r="A2436" s="1" t="s">
        <v>10792</v>
      </c>
      <c r="B2436" s="1" t="s">
        <v>10793</v>
      </c>
      <c r="C2436" s="1" t="s">
        <v>7876</v>
      </c>
      <c r="D2436" s="2" t="n">
        <v>38639</v>
      </c>
      <c r="E2436" s="1" t="s">
        <v>763</v>
      </c>
      <c r="F2436" s="1" t="s">
        <v>711</v>
      </c>
      <c r="G2436" s="1" t="s">
        <v>712</v>
      </c>
      <c r="H2436" s="1" t="s">
        <v>713</v>
      </c>
      <c r="I2436" s="1" t="s">
        <v>714</v>
      </c>
      <c r="J2436" s="1" t="s">
        <v>10794</v>
      </c>
      <c r="K2436" s="1" t="s">
        <v>10795</v>
      </c>
      <c r="L2436" s="1" t="s">
        <v>7878</v>
      </c>
      <c r="M2436" s="1" t="s">
        <v>718</v>
      </c>
    </row>
    <row r="2437" customFormat="false" ht="15" hidden="false" customHeight="false" outlineLevel="0" collapsed="false">
      <c r="A2437" s="1" t="s">
        <v>10796</v>
      </c>
      <c r="B2437" s="1" t="s">
        <v>10797</v>
      </c>
      <c r="C2437" s="1" t="s">
        <v>5297</v>
      </c>
      <c r="D2437" s="2" t="n">
        <v>39233</v>
      </c>
      <c r="E2437" s="1" t="s">
        <v>763</v>
      </c>
      <c r="F2437" s="1" t="s">
        <v>711</v>
      </c>
      <c r="G2437" s="1" t="s">
        <v>712</v>
      </c>
      <c r="H2437" s="1" t="s">
        <v>713</v>
      </c>
      <c r="I2437" s="1" t="s">
        <v>714</v>
      </c>
      <c r="J2437" s="1" t="s">
        <v>821</v>
      </c>
      <c r="K2437" s="1" t="s">
        <v>10798</v>
      </c>
      <c r="L2437" s="1" t="s">
        <v>5302</v>
      </c>
      <c r="M2437" s="1" t="s">
        <v>718</v>
      </c>
    </row>
    <row r="2438" customFormat="false" ht="15" hidden="false" customHeight="false" outlineLevel="0" collapsed="false">
      <c r="A2438" s="1" t="s">
        <v>10799</v>
      </c>
      <c r="B2438" s="1" t="s">
        <v>10800</v>
      </c>
      <c r="C2438" s="1" t="s">
        <v>10801</v>
      </c>
      <c r="D2438" s="2" t="n">
        <v>38641</v>
      </c>
      <c r="E2438" s="1" t="s">
        <v>710</v>
      </c>
      <c r="F2438" s="1" t="s">
        <v>711</v>
      </c>
      <c r="G2438" s="1" t="s">
        <v>712</v>
      </c>
      <c r="H2438" s="1" t="s">
        <v>713</v>
      </c>
      <c r="I2438" s="1" t="s">
        <v>714</v>
      </c>
      <c r="J2438" s="1" t="s">
        <v>821</v>
      </c>
      <c r="K2438" s="1" t="s">
        <v>716</v>
      </c>
      <c r="L2438" s="1" t="s">
        <v>5302</v>
      </c>
      <c r="M2438" s="1" t="s">
        <v>718</v>
      </c>
    </row>
    <row r="2439" customFormat="false" ht="15" hidden="false" customHeight="false" outlineLevel="0" collapsed="false">
      <c r="A2439" s="1" t="s">
        <v>10802</v>
      </c>
      <c r="B2439" s="1" t="s">
        <v>10803</v>
      </c>
      <c r="C2439" s="1" t="s">
        <v>10804</v>
      </c>
      <c r="D2439" s="2" t="n">
        <v>38362</v>
      </c>
      <c r="E2439" s="1" t="s">
        <v>763</v>
      </c>
      <c r="F2439" s="1" t="s">
        <v>711</v>
      </c>
      <c r="G2439" s="1" t="s">
        <v>722</v>
      </c>
      <c r="H2439" s="1" t="s">
        <v>713</v>
      </c>
      <c r="I2439" s="1" t="s">
        <v>714</v>
      </c>
      <c r="J2439" s="1" t="s">
        <v>928</v>
      </c>
      <c r="K2439" s="1" t="s">
        <v>10805</v>
      </c>
      <c r="L2439" s="1" t="s">
        <v>10806</v>
      </c>
      <c r="M2439" s="1" t="s">
        <v>718</v>
      </c>
    </row>
    <row r="2440" customFormat="false" ht="15" hidden="false" customHeight="false" outlineLevel="0" collapsed="false">
      <c r="A2440" s="1" t="s">
        <v>10807</v>
      </c>
      <c r="B2440" s="1" t="s">
        <v>7376</v>
      </c>
      <c r="C2440" s="1" t="s">
        <v>10808</v>
      </c>
      <c r="D2440" s="2" t="n">
        <v>38247</v>
      </c>
      <c r="E2440" s="1" t="s">
        <v>710</v>
      </c>
      <c r="F2440" s="1" t="s">
        <v>711</v>
      </c>
      <c r="G2440" s="1" t="s">
        <v>712</v>
      </c>
      <c r="H2440" s="1" t="s">
        <v>713</v>
      </c>
      <c r="I2440" s="1" t="s">
        <v>714</v>
      </c>
      <c r="J2440" s="1" t="s">
        <v>928</v>
      </c>
      <c r="K2440" s="1" t="s">
        <v>10809</v>
      </c>
      <c r="L2440" s="1" t="s">
        <v>10810</v>
      </c>
      <c r="M2440" s="1" t="s">
        <v>718</v>
      </c>
    </row>
    <row r="2441" customFormat="false" ht="15" hidden="false" customHeight="false" outlineLevel="0" collapsed="false">
      <c r="A2441" s="1" t="s">
        <v>10811</v>
      </c>
      <c r="B2441" s="1" t="s">
        <v>1490</v>
      </c>
      <c r="C2441" s="1" t="s">
        <v>6958</v>
      </c>
      <c r="D2441" s="2" t="n">
        <v>38452</v>
      </c>
      <c r="E2441" s="1" t="s">
        <v>710</v>
      </c>
      <c r="F2441" s="1" t="s">
        <v>711</v>
      </c>
      <c r="G2441" s="1" t="s">
        <v>712</v>
      </c>
      <c r="H2441" s="1" t="s">
        <v>713</v>
      </c>
      <c r="I2441" s="1" t="s">
        <v>714</v>
      </c>
      <c r="J2441" s="1" t="s">
        <v>2499</v>
      </c>
      <c r="K2441" s="1" t="s">
        <v>10812</v>
      </c>
      <c r="L2441" s="1" t="s">
        <v>5511</v>
      </c>
      <c r="M2441" s="1" t="s">
        <v>718</v>
      </c>
    </row>
    <row r="2442" customFormat="false" ht="15" hidden="false" customHeight="false" outlineLevel="0" collapsed="false">
      <c r="A2442" s="1" t="s">
        <v>10813</v>
      </c>
      <c r="B2442" s="1" t="s">
        <v>10814</v>
      </c>
      <c r="C2442" s="1" t="s">
        <v>2783</v>
      </c>
      <c r="D2442" s="2" t="n">
        <v>38668</v>
      </c>
      <c r="E2442" s="1" t="s">
        <v>763</v>
      </c>
      <c r="F2442" s="1" t="s">
        <v>711</v>
      </c>
      <c r="G2442" s="1" t="s">
        <v>712</v>
      </c>
      <c r="H2442" s="1" t="s">
        <v>713</v>
      </c>
      <c r="I2442" s="1" t="s">
        <v>714</v>
      </c>
      <c r="J2442" s="1" t="s">
        <v>751</v>
      </c>
      <c r="K2442" s="1" t="s">
        <v>10815</v>
      </c>
      <c r="L2442" s="1" t="s">
        <v>10816</v>
      </c>
      <c r="M2442" s="1" t="s">
        <v>718</v>
      </c>
    </row>
    <row r="2443" customFormat="false" ht="15" hidden="false" customHeight="false" outlineLevel="0" collapsed="false">
      <c r="A2443" s="1" t="s">
        <v>10817</v>
      </c>
      <c r="B2443" s="1" t="s">
        <v>10818</v>
      </c>
      <c r="C2443" s="1" t="s">
        <v>5055</v>
      </c>
      <c r="D2443" s="2" t="n">
        <v>38450</v>
      </c>
      <c r="E2443" s="1" t="s">
        <v>763</v>
      </c>
      <c r="F2443" s="1" t="s">
        <v>711</v>
      </c>
      <c r="G2443" s="1" t="s">
        <v>712</v>
      </c>
      <c r="H2443" s="1" t="s">
        <v>713</v>
      </c>
      <c r="I2443" s="1" t="s">
        <v>714</v>
      </c>
      <c r="J2443" s="1" t="s">
        <v>10819</v>
      </c>
      <c r="K2443" s="1" t="s">
        <v>10820</v>
      </c>
      <c r="L2443" s="1" t="s">
        <v>9544</v>
      </c>
      <c r="M2443" s="1" t="s">
        <v>718</v>
      </c>
    </row>
    <row r="2444" customFormat="false" ht="15" hidden="false" customHeight="false" outlineLevel="0" collapsed="false">
      <c r="A2444" s="1" t="s">
        <v>10821</v>
      </c>
      <c r="B2444" s="1" t="s">
        <v>10822</v>
      </c>
      <c r="C2444" s="1" t="s">
        <v>1776</v>
      </c>
      <c r="D2444" s="2" t="n">
        <v>38493</v>
      </c>
      <c r="E2444" s="1" t="s">
        <v>710</v>
      </c>
      <c r="F2444" s="1" t="s">
        <v>711</v>
      </c>
      <c r="G2444" s="1" t="s">
        <v>722</v>
      </c>
      <c r="H2444" s="1" t="s">
        <v>713</v>
      </c>
      <c r="I2444" s="1" t="s">
        <v>714</v>
      </c>
      <c r="J2444" s="1" t="s">
        <v>3274</v>
      </c>
      <c r="K2444" s="1" t="s">
        <v>716</v>
      </c>
      <c r="L2444" s="1" t="s">
        <v>10823</v>
      </c>
      <c r="M2444" s="1" t="s">
        <v>718</v>
      </c>
    </row>
    <row r="2445" customFormat="false" ht="15" hidden="false" customHeight="false" outlineLevel="0" collapsed="false">
      <c r="A2445" s="1" t="s">
        <v>10824</v>
      </c>
      <c r="B2445" s="1" t="s">
        <v>10825</v>
      </c>
      <c r="C2445" s="1" t="s">
        <v>1139</v>
      </c>
      <c r="D2445" s="2" t="n">
        <v>37712</v>
      </c>
      <c r="E2445" s="1" t="s">
        <v>763</v>
      </c>
      <c r="F2445" s="1" t="s">
        <v>711</v>
      </c>
      <c r="G2445" s="1" t="s">
        <v>712</v>
      </c>
      <c r="H2445" s="1" t="s">
        <v>713</v>
      </c>
      <c r="I2445" s="1" t="s">
        <v>714</v>
      </c>
      <c r="J2445" s="1" t="s">
        <v>1398</v>
      </c>
      <c r="K2445" s="1" t="s">
        <v>10826</v>
      </c>
      <c r="L2445" s="1" t="s">
        <v>9641</v>
      </c>
      <c r="M2445" s="1" t="s">
        <v>718</v>
      </c>
    </row>
    <row r="2446" customFormat="false" ht="15" hidden="false" customHeight="false" outlineLevel="0" collapsed="false">
      <c r="A2446" s="1" t="s">
        <v>10827</v>
      </c>
      <c r="B2446" s="1" t="s">
        <v>10828</v>
      </c>
      <c r="C2446" s="1" t="s">
        <v>3817</v>
      </c>
      <c r="D2446" s="2" t="n">
        <v>38778</v>
      </c>
      <c r="E2446" s="1" t="s">
        <v>763</v>
      </c>
      <c r="F2446" s="1" t="s">
        <v>711</v>
      </c>
      <c r="G2446" s="1" t="s">
        <v>722</v>
      </c>
      <c r="H2446" s="1" t="s">
        <v>713</v>
      </c>
      <c r="I2446" s="1" t="s">
        <v>714</v>
      </c>
      <c r="J2446" s="1" t="s">
        <v>821</v>
      </c>
      <c r="K2446" s="1" t="s">
        <v>10829</v>
      </c>
      <c r="L2446" s="1" t="s">
        <v>10830</v>
      </c>
      <c r="M2446" s="1" t="s">
        <v>718</v>
      </c>
    </row>
    <row r="2447" customFormat="false" ht="15" hidden="false" customHeight="false" outlineLevel="0" collapsed="false">
      <c r="A2447" s="1" t="s">
        <v>10831</v>
      </c>
      <c r="B2447" s="1" t="s">
        <v>10832</v>
      </c>
      <c r="C2447" s="1" t="s">
        <v>10833</v>
      </c>
      <c r="D2447" s="2" t="n">
        <v>38451</v>
      </c>
      <c r="E2447" s="1" t="s">
        <v>763</v>
      </c>
      <c r="F2447" s="1" t="s">
        <v>711</v>
      </c>
      <c r="G2447" s="1" t="s">
        <v>722</v>
      </c>
      <c r="H2447" s="1" t="s">
        <v>713</v>
      </c>
      <c r="I2447" s="1" t="s">
        <v>714</v>
      </c>
      <c r="J2447" s="1" t="s">
        <v>10834</v>
      </c>
      <c r="K2447" s="1" t="s">
        <v>716</v>
      </c>
      <c r="L2447" s="1" t="s">
        <v>10835</v>
      </c>
      <c r="M2447" s="1" t="s">
        <v>718</v>
      </c>
    </row>
    <row r="2448" customFormat="false" ht="15" hidden="false" customHeight="false" outlineLevel="0" collapsed="false">
      <c r="A2448" s="1" t="s">
        <v>10836</v>
      </c>
      <c r="B2448" s="1" t="s">
        <v>10837</v>
      </c>
      <c r="C2448" s="1" t="s">
        <v>2739</v>
      </c>
      <c r="D2448" s="2" t="n">
        <v>38457</v>
      </c>
      <c r="E2448" s="1" t="s">
        <v>763</v>
      </c>
      <c r="F2448" s="1" t="s">
        <v>711</v>
      </c>
      <c r="G2448" s="1" t="s">
        <v>722</v>
      </c>
      <c r="H2448" s="1" t="s">
        <v>713</v>
      </c>
      <c r="I2448" s="1" t="s">
        <v>714</v>
      </c>
      <c r="J2448" s="1" t="s">
        <v>1723</v>
      </c>
      <c r="K2448" s="1" t="s">
        <v>10838</v>
      </c>
      <c r="L2448" s="1" t="s">
        <v>2741</v>
      </c>
      <c r="M2448" s="1" t="s">
        <v>718</v>
      </c>
    </row>
    <row r="2449" customFormat="false" ht="15" hidden="false" customHeight="false" outlineLevel="0" collapsed="false">
      <c r="A2449" s="1" t="s">
        <v>10839</v>
      </c>
      <c r="B2449" s="1" t="s">
        <v>10840</v>
      </c>
      <c r="C2449" s="1" t="s">
        <v>8550</v>
      </c>
      <c r="D2449" s="2" t="n">
        <v>38799</v>
      </c>
      <c r="E2449" s="1" t="s">
        <v>710</v>
      </c>
      <c r="F2449" s="1" t="s">
        <v>711</v>
      </c>
      <c r="G2449" s="1" t="s">
        <v>712</v>
      </c>
      <c r="H2449" s="1" t="s">
        <v>713</v>
      </c>
      <c r="I2449" s="1" t="s">
        <v>6169</v>
      </c>
      <c r="J2449" s="1" t="s">
        <v>10841</v>
      </c>
      <c r="K2449" s="1" t="s">
        <v>8552</v>
      </c>
      <c r="L2449" s="1" t="s">
        <v>10842</v>
      </c>
      <c r="M2449" s="1" t="s">
        <v>718</v>
      </c>
    </row>
    <row r="2450" customFormat="false" ht="15" hidden="false" customHeight="false" outlineLevel="0" collapsed="false">
      <c r="A2450" s="1" t="s">
        <v>10843</v>
      </c>
      <c r="B2450" s="1" t="s">
        <v>10844</v>
      </c>
      <c r="C2450" s="1" t="s">
        <v>750</v>
      </c>
      <c r="D2450" s="2" t="n">
        <v>37562</v>
      </c>
      <c r="E2450" s="1" t="s">
        <v>763</v>
      </c>
      <c r="F2450" s="1" t="s">
        <v>711</v>
      </c>
      <c r="G2450" s="1" t="s">
        <v>722</v>
      </c>
      <c r="H2450" s="1" t="s">
        <v>713</v>
      </c>
      <c r="I2450" s="1" t="s">
        <v>714</v>
      </c>
      <c r="J2450" s="1" t="s">
        <v>2627</v>
      </c>
      <c r="K2450" s="1" t="s">
        <v>10845</v>
      </c>
      <c r="L2450" s="1" t="s">
        <v>10846</v>
      </c>
      <c r="M2450" s="1" t="s">
        <v>718</v>
      </c>
    </row>
    <row r="2451" customFormat="false" ht="15" hidden="false" customHeight="false" outlineLevel="0" collapsed="false">
      <c r="A2451" s="1" t="s">
        <v>10847</v>
      </c>
      <c r="B2451" s="1" t="s">
        <v>10848</v>
      </c>
      <c r="C2451" s="1" t="s">
        <v>10849</v>
      </c>
      <c r="D2451" s="2" t="n">
        <v>38974</v>
      </c>
      <c r="E2451" s="1" t="s">
        <v>763</v>
      </c>
      <c r="F2451" s="1" t="s">
        <v>711</v>
      </c>
      <c r="G2451" s="1" t="s">
        <v>712</v>
      </c>
      <c r="H2451" s="1" t="s">
        <v>713</v>
      </c>
      <c r="I2451" s="1" t="s">
        <v>714</v>
      </c>
      <c r="J2451" s="1" t="s">
        <v>832</v>
      </c>
      <c r="K2451" s="1" t="s">
        <v>10850</v>
      </c>
      <c r="L2451" s="1" t="s">
        <v>6815</v>
      </c>
      <c r="M2451" s="1" t="s">
        <v>718</v>
      </c>
    </row>
    <row r="2452" customFormat="false" ht="15" hidden="false" customHeight="false" outlineLevel="0" collapsed="false">
      <c r="A2452" s="1" t="s">
        <v>10851</v>
      </c>
      <c r="B2452" s="1" t="s">
        <v>10852</v>
      </c>
      <c r="C2452" s="1" t="s">
        <v>7052</v>
      </c>
      <c r="D2452" s="2" t="n">
        <v>38330</v>
      </c>
      <c r="E2452" s="1" t="s">
        <v>763</v>
      </c>
      <c r="F2452" s="1" t="s">
        <v>711</v>
      </c>
      <c r="G2452" s="1" t="s">
        <v>712</v>
      </c>
      <c r="H2452" s="1" t="s">
        <v>713</v>
      </c>
      <c r="I2452" s="1" t="s">
        <v>714</v>
      </c>
      <c r="J2452" s="1" t="s">
        <v>2499</v>
      </c>
      <c r="K2452" s="1" t="s">
        <v>10853</v>
      </c>
      <c r="L2452" s="1" t="s">
        <v>7055</v>
      </c>
      <c r="M2452" s="1" t="s">
        <v>718</v>
      </c>
    </row>
    <row r="2453" customFormat="false" ht="15" hidden="false" customHeight="false" outlineLevel="0" collapsed="false">
      <c r="A2453" s="1" t="s">
        <v>10854</v>
      </c>
      <c r="B2453" s="1" t="s">
        <v>10855</v>
      </c>
      <c r="C2453" s="1" t="s">
        <v>1524</v>
      </c>
      <c r="D2453" s="2" t="n">
        <v>38684</v>
      </c>
      <c r="E2453" s="1" t="s">
        <v>763</v>
      </c>
      <c r="F2453" s="1" t="s">
        <v>711</v>
      </c>
      <c r="G2453" s="1" t="s">
        <v>712</v>
      </c>
      <c r="H2453" s="1" t="s">
        <v>713</v>
      </c>
      <c r="I2453" s="1" t="s">
        <v>714</v>
      </c>
      <c r="J2453" s="1" t="s">
        <v>1505</v>
      </c>
      <c r="K2453" s="1" t="s">
        <v>10856</v>
      </c>
      <c r="L2453" s="1" t="s">
        <v>3250</v>
      </c>
      <c r="M2453" s="1" t="s">
        <v>718</v>
      </c>
    </row>
    <row r="2454" customFormat="false" ht="15" hidden="false" customHeight="false" outlineLevel="0" collapsed="false">
      <c r="A2454" s="1" t="s">
        <v>10857</v>
      </c>
      <c r="B2454" s="1" t="s">
        <v>10858</v>
      </c>
      <c r="C2454" s="1" t="s">
        <v>8027</v>
      </c>
      <c r="D2454" s="2" t="n">
        <v>38554</v>
      </c>
      <c r="E2454" s="1" t="s">
        <v>763</v>
      </c>
      <c r="F2454" s="1" t="s">
        <v>711</v>
      </c>
      <c r="G2454" s="1" t="s">
        <v>712</v>
      </c>
      <c r="H2454" s="1" t="s">
        <v>713</v>
      </c>
      <c r="I2454" s="1" t="s">
        <v>714</v>
      </c>
      <c r="J2454" s="1" t="s">
        <v>3534</v>
      </c>
      <c r="K2454" s="1" t="s">
        <v>10859</v>
      </c>
      <c r="L2454" s="1" t="s">
        <v>10860</v>
      </c>
      <c r="M2454" s="1" t="s">
        <v>718</v>
      </c>
    </row>
    <row r="2455" customFormat="false" ht="15" hidden="false" customHeight="false" outlineLevel="0" collapsed="false">
      <c r="A2455" s="1" t="s">
        <v>10861</v>
      </c>
      <c r="B2455" s="1" t="s">
        <v>7192</v>
      </c>
      <c r="C2455" s="1" t="s">
        <v>4072</v>
      </c>
      <c r="D2455" s="2" t="n">
        <v>38320</v>
      </c>
      <c r="E2455" s="1" t="s">
        <v>710</v>
      </c>
      <c r="F2455" s="1" t="s">
        <v>711</v>
      </c>
      <c r="G2455" s="1" t="s">
        <v>722</v>
      </c>
      <c r="H2455" s="1" t="s">
        <v>713</v>
      </c>
      <c r="I2455" s="1" t="s">
        <v>714</v>
      </c>
      <c r="J2455" s="1" t="s">
        <v>2499</v>
      </c>
      <c r="K2455" s="1" t="s">
        <v>10862</v>
      </c>
      <c r="L2455" s="1" t="s">
        <v>4075</v>
      </c>
      <c r="M2455" s="1" t="s">
        <v>718</v>
      </c>
    </row>
    <row r="2456" customFormat="false" ht="15" hidden="false" customHeight="false" outlineLevel="0" collapsed="false">
      <c r="A2456" s="1" t="s">
        <v>10863</v>
      </c>
      <c r="B2456" s="1" t="s">
        <v>10864</v>
      </c>
      <c r="C2456" s="1" t="s">
        <v>10865</v>
      </c>
      <c r="D2456" s="2" t="n">
        <v>38070</v>
      </c>
      <c r="E2456" s="1" t="s">
        <v>763</v>
      </c>
      <c r="F2456" s="1" t="s">
        <v>711</v>
      </c>
      <c r="G2456" s="1" t="s">
        <v>712</v>
      </c>
      <c r="H2456" s="1" t="s">
        <v>713</v>
      </c>
      <c r="I2456" s="1" t="s">
        <v>714</v>
      </c>
      <c r="J2456" s="1" t="s">
        <v>2000</v>
      </c>
      <c r="K2456" s="1" t="s">
        <v>716</v>
      </c>
      <c r="L2456" s="1" t="s">
        <v>10866</v>
      </c>
      <c r="M2456" s="1" t="s">
        <v>718</v>
      </c>
    </row>
    <row r="2457" customFormat="false" ht="15" hidden="false" customHeight="false" outlineLevel="0" collapsed="false">
      <c r="A2457" s="1" t="s">
        <v>10867</v>
      </c>
      <c r="B2457" s="1" t="s">
        <v>10868</v>
      </c>
      <c r="C2457" s="1" t="s">
        <v>750</v>
      </c>
      <c r="D2457" s="2" t="n">
        <v>38519</v>
      </c>
      <c r="E2457" s="1" t="s">
        <v>763</v>
      </c>
      <c r="F2457" s="1" t="s">
        <v>711</v>
      </c>
      <c r="G2457" s="1" t="s">
        <v>722</v>
      </c>
      <c r="H2457" s="1" t="s">
        <v>713</v>
      </c>
      <c r="I2457" s="1" t="s">
        <v>714</v>
      </c>
      <c r="J2457" s="1" t="s">
        <v>892</v>
      </c>
      <c r="K2457" s="1" t="s">
        <v>716</v>
      </c>
      <c r="L2457" s="1" t="s">
        <v>6367</v>
      </c>
      <c r="M2457" s="1" t="s">
        <v>718</v>
      </c>
    </row>
    <row r="2458" customFormat="false" ht="15" hidden="false" customHeight="false" outlineLevel="0" collapsed="false">
      <c r="A2458" s="1" t="s">
        <v>10869</v>
      </c>
      <c r="B2458" s="1" t="s">
        <v>8711</v>
      </c>
      <c r="C2458" s="1" t="s">
        <v>739</v>
      </c>
      <c r="D2458" s="2" t="n">
        <v>38859</v>
      </c>
      <c r="E2458" s="1" t="s">
        <v>710</v>
      </c>
      <c r="F2458" s="1" t="s">
        <v>711</v>
      </c>
      <c r="G2458" s="1" t="s">
        <v>712</v>
      </c>
      <c r="H2458" s="1" t="s">
        <v>713</v>
      </c>
      <c r="I2458" s="1" t="s">
        <v>714</v>
      </c>
      <c r="J2458" s="1" t="s">
        <v>821</v>
      </c>
      <c r="K2458" s="1" t="s">
        <v>10870</v>
      </c>
      <c r="L2458" s="1" t="s">
        <v>10871</v>
      </c>
      <c r="M2458" s="1" t="s">
        <v>718</v>
      </c>
    </row>
    <row r="2459" customFormat="false" ht="15" hidden="false" customHeight="false" outlineLevel="0" collapsed="false">
      <c r="A2459" s="1" t="s">
        <v>10872</v>
      </c>
      <c r="B2459" s="1" t="s">
        <v>10873</v>
      </c>
      <c r="C2459" s="1" t="s">
        <v>10874</v>
      </c>
      <c r="D2459" s="2" t="n">
        <v>37792</v>
      </c>
      <c r="E2459" s="1" t="s">
        <v>710</v>
      </c>
      <c r="F2459" s="1" t="s">
        <v>711</v>
      </c>
      <c r="G2459" s="1" t="s">
        <v>712</v>
      </c>
      <c r="H2459" s="1" t="s">
        <v>713</v>
      </c>
      <c r="I2459" s="1" t="s">
        <v>714</v>
      </c>
      <c r="J2459" s="1" t="s">
        <v>978</v>
      </c>
      <c r="K2459" s="1" t="s">
        <v>10321</v>
      </c>
      <c r="L2459" s="1" t="s">
        <v>10875</v>
      </c>
      <c r="M2459" s="1" t="s">
        <v>718</v>
      </c>
    </row>
    <row r="2460" customFormat="false" ht="15" hidden="false" customHeight="false" outlineLevel="0" collapsed="false">
      <c r="A2460" s="1" t="s">
        <v>10876</v>
      </c>
      <c r="B2460" s="1" t="s">
        <v>10877</v>
      </c>
      <c r="C2460" s="1" t="s">
        <v>10878</v>
      </c>
      <c r="D2460" s="2" t="n">
        <v>38161</v>
      </c>
      <c r="E2460" s="1" t="s">
        <v>710</v>
      </c>
      <c r="F2460" s="1" t="s">
        <v>711</v>
      </c>
      <c r="G2460" s="1" t="s">
        <v>712</v>
      </c>
      <c r="H2460" s="1" t="s">
        <v>713</v>
      </c>
      <c r="I2460" s="1" t="s">
        <v>714</v>
      </c>
      <c r="J2460" s="1" t="s">
        <v>10879</v>
      </c>
      <c r="K2460" s="1" t="s">
        <v>10880</v>
      </c>
      <c r="L2460" s="1" t="s">
        <v>10881</v>
      </c>
      <c r="M2460" s="1" t="s">
        <v>718</v>
      </c>
    </row>
    <row r="2461" customFormat="false" ht="15" hidden="false" customHeight="false" outlineLevel="0" collapsed="false">
      <c r="A2461" s="1" t="s">
        <v>10882</v>
      </c>
      <c r="B2461" s="1" t="s">
        <v>10883</v>
      </c>
      <c r="C2461" s="1" t="s">
        <v>10884</v>
      </c>
      <c r="D2461" s="2" t="n">
        <v>38045</v>
      </c>
      <c r="E2461" s="1" t="s">
        <v>710</v>
      </c>
      <c r="F2461" s="1" t="s">
        <v>711</v>
      </c>
      <c r="G2461" s="1" t="s">
        <v>10885</v>
      </c>
      <c r="H2461" s="1" t="s">
        <v>10886</v>
      </c>
      <c r="I2461" s="1" t="s">
        <v>10887</v>
      </c>
      <c r="J2461" s="1" t="s">
        <v>2997</v>
      </c>
      <c r="K2461" s="1" t="s">
        <v>10888</v>
      </c>
      <c r="L2461" s="1" t="s">
        <v>10889</v>
      </c>
      <c r="M2461" s="1" t="s">
        <v>718</v>
      </c>
    </row>
    <row r="2462" customFormat="false" ht="15" hidden="false" customHeight="false" outlineLevel="0" collapsed="false">
      <c r="A2462" s="1" t="s">
        <v>10890</v>
      </c>
      <c r="B2462" s="1" t="s">
        <v>10891</v>
      </c>
      <c r="C2462" s="1" t="s">
        <v>10892</v>
      </c>
      <c r="D2462" s="2" t="n">
        <v>37697</v>
      </c>
      <c r="E2462" s="1" t="s">
        <v>763</v>
      </c>
      <c r="F2462" s="1" t="s">
        <v>711</v>
      </c>
      <c r="G2462" s="1" t="s">
        <v>722</v>
      </c>
      <c r="H2462" s="1" t="s">
        <v>713</v>
      </c>
      <c r="I2462" s="1" t="s">
        <v>714</v>
      </c>
      <c r="J2462" s="1" t="s">
        <v>3274</v>
      </c>
      <c r="K2462" s="1" t="s">
        <v>10893</v>
      </c>
      <c r="L2462" s="1" t="s">
        <v>10894</v>
      </c>
      <c r="M2462" s="1" t="s">
        <v>718</v>
      </c>
    </row>
    <row r="2463" customFormat="false" ht="15" hidden="false" customHeight="false" outlineLevel="0" collapsed="false">
      <c r="A2463" s="1" t="s">
        <v>10895</v>
      </c>
      <c r="B2463" s="1" t="s">
        <v>10896</v>
      </c>
      <c r="C2463" s="1" t="s">
        <v>10897</v>
      </c>
      <c r="D2463" s="2" t="n">
        <v>37259</v>
      </c>
      <c r="E2463" s="1" t="s">
        <v>710</v>
      </c>
      <c r="F2463" s="1" t="s">
        <v>711</v>
      </c>
      <c r="G2463" s="1" t="s">
        <v>712</v>
      </c>
      <c r="H2463" s="1" t="s">
        <v>713</v>
      </c>
      <c r="I2463" s="1" t="s">
        <v>714</v>
      </c>
      <c r="J2463" s="1" t="s">
        <v>1244</v>
      </c>
      <c r="K2463" s="1" t="s">
        <v>10898</v>
      </c>
      <c r="L2463" s="1" t="s">
        <v>10899</v>
      </c>
      <c r="M2463" s="1" t="s">
        <v>718</v>
      </c>
    </row>
    <row r="2464" customFormat="false" ht="15" hidden="false" customHeight="false" outlineLevel="0" collapsed="false">
      <c r="A2464" s="1" t="s">
        <v>10900</v>
      </c>
      <c r="B2464" s="1" t="s">
        <v>10901</v>
      </c>
      <c r="C2464" s="1" t="s">
        <v>10902</v>
      </c>
      <c r="D2464" s="2" t="n">
        <v>37574</v>
      </c>
      <c r="E2464" s="1" t="s">
        <v>710</v>
      </c>
      <c r="F2464" s="1" t="s">
        <v>711</v>
      </c>
      <c r="G2464" s="1" t="s">
        <v>775</v>
      </c>
      <c r="H2464" s="1" t="s">
        <v>713</v>
      </c>
      <c r="I2464" s="1" t="s">
        <v>714</v>
      </c>
      <c r="J2464" s="1" t="s">
        <v>2001</v>
      </c>
      <c r="K2464" s="1" t="s">
        <v>10903</v>
      </c>
      <c r="L2464" s="1" t="s">
        <v>10904</v>
      </c>
      <c r="M2464" s="1" t="s">
        <v>718</v>
      </c>
    </row>
    <row r="2465" customFormat="false" ht="15" hidden="false" customHeight="false" outlineLevel="0" collapsed="false">
      <c r="A2465" s="1" t="s">
        <v>10905</v>
      </c>
      <c r="B2465" s="1" t="s">
        <v>10906</v>
      </c>
      <c r="C2465" s="1" t="s">
        <v>10907</v>
      </c>
      <c r="D2465" s="2" t="n">
        <v>36904</v>
      </c>
      <c r="E2465" s="1" t="s">
        <v>763</v>
      </c>
      <c r="F2465" s="1" t="s">
        <v>711</v>
      </c>
      <c r="G2465" s="1" t="s">
        <v>1220</v>
      </c>
      <c r="H2465" s="1" t="s">
        <v>713</v>
      </c>
      <c r="I2465" s="1" t="s">
        <v>714</v>
      </c>
      <c r="J2465" s="1" t="s">
        <v>751</v>
      </c>
      <c r="K2465" s="1" t="s">
        <v>716</v>
      </c>
      <c r="L2465" s="1" t="s">
        <v>4951</v>
      </c>
      <c r="M2465" s="1" t="s">
        <v>718</v>
      </c>
    </row>
    <row r="2466" customFormat="false" ht="15" hidden="false" customHeight="false" outlineLevel="0" collapsed="false">
      <c r="A2466" s="1" t="s">
        <v>10908</v>
      </c>
      <c r="B2466" s="1" t="s">
        <v>10909</v>
      </c>
      <c r="C2466" s="1" t="s">
        <v>10892</v>
      </c>
      <c r="D2466" s="2" t="n">
        <v>36898</v>
      </c>
      <c r="E2466" s="1" t="s">
        <v>763</v>
      </c>
      <c r="F2466" s="1" t="s">
        <v>711</v>
      </c>
      <c r="G2466" s="1" t="s">
        <v>722</v>
      </c>
      <c r="H2466" s="1" t="s">
        <v>713</v>
      </c>
      <c r="I2466" s="1" t="s">
        <v>714</v>
      </c>
      <c r="J2466" s="1" t="s">
        <v>10071</v>
      </c>
      <c r="K2466" s="1" t="s">
        <v>10893</v>
      </c>
      <c r="L2466" s="1" t="s">
        <v>10894</v>
      </c>
      <c r="M2466" s="1" t="s">
        <v>718</v>
      </c>
    </row>
    <row r="2467" customFormat="false" ht="15" hidden="false" customHeight="false" outlineLevel="0" collapsed="false">
      <c r="A2467" s="1" t="s">
        <v>10910</v>
      </c>
      <c r="B2467" s="1" t="s">
        <v>10911</v>
      </c>
      <c r="C2467" s="1" t="s">
        <v>10902</v>
      </c>
      <c r="D2467" s="2" t="n">
        <v>38443</v>
      </c>
      <c r="E2467" s="1" t="s">
        <v>763</v>
      </c>
      <c r="F2467" s="1" t="s">
        <v>711</v>
      </c>
      <c r="G2467" s="1" t="s">
        <v>10912</v>
      </c>
      <c r="H2467" s="1" t="s">
        <v>8956</v>
      </c>
      <c r="I2467" s="1" t="s">
        <v>10696</v>
      </c>
      <c r="J2467" s="1" t="s">
        <v>7565</v>
      </c>
      <c r="K2467" s="1" t="s">
        <v>10903</v>
      </c>
      <c r="L2467" s="1" t="s">
        <v>10904</v>
      </c>
      <c r="M2467" s="1" t="s">
        <v>718</v>
      </c>
    </row>
    <row r="2468" customFormat="false" ht="15" hidden="false" customHeight="false" outlineLevel="0" collapsed="false">
      <c r="A2468" s="1" t="s">
        <v>10913</v>
      </c>
      <c r="B2468" s="1" t="s">
        <v>2523</v>
      </c>
      <c r="C2468" s="1" t="s">
        <v>10914</v>
      </c>
      <c r="D2468" s="2" t="n">
        <v>38167</v>
      </c>
      <c r="E2468" s="1" t="s">
        <v>710</v>
      </c>
      <c r="F2468" s="1" t="s">
        <v>711</v>
      </c>
      <c r="G2468" s="1" t="s">
        <v>712</v>
      </c>
      <c r="H2468" s="1" t="s">
        <v>713</v>
      </c>
      <c r="I2468" s="1" t="s">
        <v>714</v>
      </c>
      <c r="J2468" s="1" t="s">
        <v>1530</v>
      </c>
      <c r="K2468" s="1" t="s">
        <v>716</v>
      </c>
      <c r="L2468" s="1" t="s">
        <v>10915</v>
      </c>
      <c r="M2468" s="1" t="s">
        <v>718</v>
      </c>
    </row>
    <row r="2469" customFormat="false" ht="15" hidden="false" customHeight="false" outlineLevel="0" collapsed="false">
      <c r="A2469" s="1" t="s">
        <v>10916</v>
      </c>
      <c r="B2469" s="1" t="s">
        <v>10917</v>
      </c>
      <c r="C2469" s="1" t="s">
        <v>10918</v>
      </c>
      <c r="D2469" s="2" t="n">
        <v>37311</v>
      </c>
      <c r="E2469" s="1" t="s">
        <v>763</v>
      </c>
      <c r="F2469" s="1" t="s">
        <v>711</v>
      </c>
      <c r="G2469" s="1" t="s">
        <v>712</v>
      </c>
      <c r="H2469" s="1" t="s">
        <v>713</v>
      </c>
      <c r="I2469" s="1" t="s">
        <v>714</v>
      </c>
      <c r="J2469" s="1" t="s">
        <v>751</v>
      </c>
      <c r="K2469" s="1" t="s">
        <v>10919</v>
      </c>
      <c r="L2469" s="1" t="s">
        <v>10920</v>
      </c>
      <c r="M2469" s="1" t="s">
        <v>718</v>
      </c>
    </row>
    <row r="2470" customFormat="false" ht="15" hidden="false" customHeight="false" outlineLevel="0" collapsed="false">
      <c r="A2470" s="1" t="s">
        <v>10921</v>
      </c>
      <c r="B2470" s="1" t="s">
        <v>10922</v>
      </c>
      <c r="C2470" s="1" t="s">
        <v>9285</v>
      </c>
      <c r="D2470" s="2" t="n">
        <v>38311</v>
      </c>
      <c r="E2470" s="1" t="s">
        <v>710</v>
      </c>
      <c r="F2470" s="1" t="s">
        <v>711</v>
      </c>
      <c r="G2470" s="1" t="s">
        <v>722</v>
      </c>
      <c r="H2470" s="1" t="s">
        <v>713</v>
      </c>
      <c r="I2470" s="1" t="s">
        <v>714</v>
      </c>
      <c r="J2470" s="1" t="s">
        <v>1723</v>
      </c>
      <c r="K2470" s="1" t="s">
        <v>10923</v>
      </c>
      <c r="L2470" s="1" t="s">
        <v>9287</v>
      </c>
      <c r="M2470" s="1" t="s">
        <v>718</v>
      </c>
    </row>
    <row r="2471" customFormat="false" ht="15" hidden="false" customHeight="false" outlineLevel="0" collapsed="false">
      <c r="A2471" s="1" t="s">
        <v>10924</v>
      </c>
      <c r="B2471" s="1" t="s">
        <v>6721</v>
      </c>
      <c r="C2471" s="1" t="s">
        <v>10925</v>
      </c>
      <c r="D2471" s="2" t="n">
        <v>38101</v>
      </c>
      <c r="E2471" s="1" t="s">
        <v>763</v>
      </c>
      <c r="F2471" s="1" t="s">
        <v>711</v>
      </c>
      <c r="G2471" s="1" t="s">
        <v>722</v>
      </c>
      <c r="H2471" s="1" t="s">
        <v>713</v>
      </c>
      <c r="I2471" s="1" t="s">
        <v>714</v>
      </c>
      <c r="J2471" s="1" t="s">
        <v>10926</v>
      </c>
      <c r="K2471" s="1" t="s">
        <v>10927</v>
      </c>
      <c r="L2471" s="1" t="s">
        <v>7737</v>
      </c>
      <c r="M2471" s="1" t="s">
        <v>718</v>
      </c>
    </row>
    <row r="2472" customFormat="false" ht="15" hidden="false" customHeight="false" outlineLevel="0" collapsed="false">
      <c r="A2472" s="1" t="s">
        <v>10928</v>
      </c>
      <c r="B2472" s="1" t="s">
        <v>10929</v>
      </c>
      <c r="C2472" s="1" t="s">
        <v>6560</v>
      </c>
      <c r="D2472" s="2" t="n">
        <v>38471</v>
      </c>
      <c r="E2472" s="1" t="s">
        <v>763</v>
      </c>
      <c r="F2472" s="1" t="s">
        <v>711</v>
      </c>
      <c r="G2472" s="1" t="s">
        <v>712</v>
      </c>
      <c r="H2472" s="1" t="s">
        <v>713</v>
      </c>
      <c r="I2472" s="1" t="s">
        <v>714</v>
      </c>
      <c r="J2472" s="1" t="s">
        <v>1530</v>
      </c>
      <c r="K2472" s="1" t="s">
        <v>10930</v>
      </c>
      <c r="L2472" s="1" t="s">
        <v>10931</v>
      </c>
      <c r="M2472" s="1" t="s">
        <v>718</v>
      </c>
    </row>
    <row r="2473" customFormat="false" ht="15" hidden="false" customHeight="false" outlineLevel="0" collapsed="false">
      <c r="A2473" s="1" t="s">
        <v>10932</v>
      </c>
      <c r="B2473" s="1" t="s">
        <v>6826</v>
      </c>
      <c r="C2473" s="1" t="s">
        <v>10933</v>
      </c>
      <c r="D2473" s="2" t="n">
        <v>38232</v>
      </c>
      <c r="E2473" s="1" t="s">
        <v>710</v>
      </c>
      <c r="F2473" s="1" t="s">
        <v>711</v>
      </c>
      <c r="G2473" s="1" t="s">
        <v>5862</v>
      </c>
      <c r="H2473" s="1" t="s">
        <v>713</v>
      </c>
      <c r="I2473" s="1" t="s">
        <v>714</v>
      </c>
      <c r="J2473" s="1" t="s">
        <v>7543</v>
      </c>
      <c r="K2473" s="1" t="s">
        <v>10934</v>
      </c>
      <c r="L2473" s="1" t="s">
        <v>10935</v>
      </c>
      <c r="M2473" s="1" t="s">
        <v>718</v>
      </c>
    </row>
    <row r="2474" customFormat="false" ht="15" hidden="false" customHeight="false" outlineLevel="0" collapsed="false">
      <c r="A2474" s="1" t="s">
        <v>10936</v>
      </c>
      <c r="B2474" s="1" t="s">
        <v>10937</v>
      </c>
      <c r="C2474" s="1" t="s">
        <v>10938</v>
      </c>
      <c r="D2474" s="2" t="n">
        <v>38755</v>
      </c>
      <c r="E2474" s="1" t="s">
        <v>763</v>
      </c>
      <c r="F2474" s="1" t="s">
        <v>711</v>
      </c>
      <c r="G2474" s="1" t="s">
        <v>712</v>
      </c>
      <c r="H2474" s="1" t="s">
        <v>713</v>
      </c>
      <c r="I2474" s="1" t="s">
        <v>714</v>
      </c>
      <c r="J2474" s="1" t="s">
        <v>10939</v>
      </c>
      <c r="K2474" s="1" t="s">
        <v>9337</v>
      </c>
      <c r="L2474" s="1" t="s">
        <v>10940</v>
      </c>
      <c r="M2474" s="1" t="s">
        <v>718</v>
      </c>
    </row>
    <row r="2475" customFormat="false" ht="15" hidden="false" customHeight="false" outlineLevel="0" collapsed="false">
      <c r="A2475" s="1" t="s">
        <v>10941</v>
      </c>
      <c r="B2475" s="1" t="s">
        <v>10942</v>
      </c>
      <c r="C2475" s="1" t="s">
        <v>1104</v>
      </c>
      <c r="D2475" s="2" t="n">
        <v>38611</v>
      </c>
      <c r="E2475" s="1" t="s">
        <v>710</v>
      </c>
      <c r="F2475" s="1" t="s">
        <v>711</v>
      </c>
      <c r="G2475" s="1" t="s">
        <v>712</v>
      </c>
      <c r="H2475" s="1" t="s">
        <v>713</v>
      </c>
      <c r="I2475" s="1" t="s">
        <v>714</v>
      </c>
      <c r="J2475" s="1" t="s">
        <v>1172</v>
      </c>
      <c r="K2475" s="1" t="s">
        <v>10943</v>
      </c>
      <c r="L2475" s="1" t="s">
        <v>1106</v>
      </c>
      <c r="M2475" s="1" t="s">
        <v>718</v>
      </c>
    </row>
    <row r="2476" customFormat="false" ht="15" hidden="false" customHeight="false" outlineLevel="0" collapsed="false">
      <c r="A2476" s="1" t="s">
        <v>10944</v>
      </c>
      <c r="B2476" s="1" t="s">
        <v>10945</v>
      </c>
      <c r="C2476" s="1" t="s">
        <v>10946</v>
      </c>
      <c r="D2476" s="2" t="n">
        <v>36433</v>
      </c>
      <c r="E2476" s="1" t="s">
        <v>710</v>
      </c>
      <c r="F2476" s="1" t="s">
        <v>711</v>
      </c>
      <c r="G2476" s="1" t="s">
        <v>712</v>
      </c>
      <c r="H2476" s="1" t="s">
        <v>713</v>
      </c>
      <c r="I2476" s="1" t="s">
        <v>714</v>
      </c>
      <c r="J2476" s="1" t="s">
        <v>10947</v>
      </c>
      <c r="K2476" s="1" t="s">
        <v>10948</v>
      </c>
      <c r="L2476" s="1" t="s">
        <v>6346</v>
      </c>
      <c r="M2476" s="1" t="s">
        <v>718</v>
      </c>
    </row>
    <row r="2477" customFormat="false" ht="15" hidden="false" customHeight="false" outlineLevel="0" collapsed="false">
      <c r="A2477" s="1" t="s">
        <v>10949</v>
      </c>
      <c r="B2477" s="1" t="s">
        <v>8283</v>
      </c>
      <c r="C2477" s="1" t="s">
        <v>10950</v>
      </c>
      <c r="D2477" s="2" t="n">
        <v>36971</v>
      </c>
      <c r="E2477" s="1" t="s">
        <v>710</v>
      </c>
      <c r="F2477" s="1" t="s">
        <v>711</v>
      </c>
      <c r="G2477" s="1" t="s">
        <v>722</v>
      </c>
      <c r="H2477" s="1" t="s">
        <v>713</v>
      </c>
      <c r="I2477" s="1" t="s">
        <v>714</v>
      </c>
      <c r="J2477" s="1" t="s">
        <v>10951</v>
      </c>
      <c r="K2477" s="1" t="s">
        <v>10952</v>
      </c>
      <c r="L2477" s="1" t="s">
        <v>10953</v>
      </c>
      <c r="M2477" s="1" t="s">
        <v>718</v>
      </c>
    </row>
    <row r="2478" customFormat="false" ht="15" hidden="false" customHeight="false" outlineLevel="0" collapsed="false">
      <c r="A2478" s="1" t="s">
        <v>10954</v>
      </c>
      <c r="B2478" s="1" t="s">
        <v>10955</v>
      </c>
      <c r="C2478" s="1" t="s">
        <v>10956</v>
      </c>
      <c r="D2478" s="2" t="n">
        <v>36513</v>
      </c>
      <c r="E2478" s="1" t="s">
        <v>710</v>
      </c>
      <c r="F2478" s="1" t="s">
        <v>711</v>
      </c>
      <c r="G2478" s="1" t="s">
        <v>722</v>
      </c>
      <c r="H2478" s="1" t="s">
        <v>713</v>
      </c>
      <c r="I2478" s="1" t="s">
        <v>714</v>
      </c>
      <c r="J2478" s="1" t="s">
        <v>10957</v>
      </c>
      <c r="K2478" s="1" t="s">
        <v>10958</v>
      </c>
      <c r="L2478" s="1" t="s">
        <v>10959</v>
      </c>
      <c r="M2478" s="1" t="s">
        <v>718</v>
      </c>
    </row>
    <row r="2479" customFormat="false" ht="15" hidden="false" customHeight="false" outlineLevel="0" collapsed="false">
      <c r="A2479" s="1" t="s">
        <v>10960</v>
      </c>
      <c r="B2479" s="1" t="s">
        <v>10961</v>
      </c>
      <c r="C2479" s="1" t="s">
        <v>10962</v>
      </c>
      <c r="D2479" s="2" t="n">
        <v>38467</v>
      </c>
      <c r="E2479" s="1" t="s">
        <v>763</v>
      </c>
      <c r="F2479" s="1" t="s">
        <v>711</v>
      </c>
      <c r="G2479" s="1" t="s">
        <v>712</v>
      </c>
      <c r="H2479" s="1" t="s">
        <v>713</v>
      </c>
      <c r="I2479" s="1" t="s">
        <v>714</v>
      </c>
      <c r="J2479" s="1" t="s">
        <v>740</v>
      </c>
      <c r="K2479" s="1" t="s">
        <v>10963</v>
      </c>
      <c r="L2479" s="1" t="s">
        <v>10964</v>
      </c>
      <c r="M2479" s="1" t="s">
        <v>718</v>
      </c>
    </row>
    <row r="2480" customFormat="false" ht="15" hidden="false" customHeight="false" outlineLevel="0" collapsed="false">
      <c r="A2480" s="1" t="s">
        <v>10965</v>
      </c>
      <c r="B2480" s="1" t="s">
        <v>10966</v>
      </c>
      <c r="C2480" s="1" t="s">
        <v>1059</v>
      </c>
      <c r="D2480" s="2" t="n">
        <v>37875</v>
      </c>
      <c r="E2480" s="1" t="s">
        <v>710</v>
      </c>
      <c r="F2480" s="1" t="s">
        <v>711</v>
      </c>
      <c r="G2480" s="1" t="s">
        <v>712</v>
      </c>
      <c r="H2480" s="1" t="s">
        <v>713</v>
      </c>
      <c r="I2480" s="1" t="s">
        <v>714</v>
      </c>
      <c r="J2480" s="1" t="s">
        <v>10967</v>
      </c>
      <c r="K2480" s="1" t="s">
        <v>10968</v>
      </c>
      <c r="L2480" s="1" t="s">
        <v>10969</v>
      </c>
      <c r="M2480" s="1" t="s">
        <v>718</v>
      </c>
    </row>
    <row r="2481" customFormat="false" ht="15" hidden="false" customHeight="false" outlineLevel="0" collapsed="false">
      <c r="A2481" s="1" t="s">
        <v>10970</v>
      </c>
      <c r="B2481" s="1" t="s">
        <v>10971</v>
      </c>
      <c r="C2481" s="1" t="s">
        <v>10972</v>
      </c>
      <c r="D2481" s="2" t="n">
        <v>37777</v>
      </c>
      <c r="E2481" s="1" t="s">
        <v>710</v>
      </c>
      <c r="F2481" s="1" t="s">
        <v>711</v>
      </c>
      <c r="G2481" s="1" t="s">
        <v>722</v>
      </c>
      <c r="H2481" s="1" t="s">
        <v>713</v>
      </c>
      <c r="I2481" s="1" t="s">
        <v>714</v>
      </c>
      <c r="J2481" s="1" t="s">
        <v>10973</v>
      </c>
      <c r="K2481" s="1" t="s">
        <v>10974</v>
      </c>
      <c r="L2481" s="1" t="s">
        <v>10975</v>
      </c>
      <c r="M2481" s="1" t="s">
        <v>718</v>
      </c>
    </row>
    <row r="2482" customFormat="false" ht="15" hidden="false" customHeight="false" outlineLevel="0" collapsed="false">
      <c r="A2482" s="1" t="s">
        <v>10976</v>
      </c>
      <c r="B2482" s="1" t="s">
        <v>2872</v>
      </c>
      <c r="C2482" s="1" t="s">
        <v>3607</v>
      </c>
      <c r="D2482" s="2" t="n">
        <v>38025</v>
      </c>
      <c r="E2482" s="1" t="s">
        <v>710</v>
      </c>
      <c r="F2482" s="1" t="s">
        <v>711</v>
      </c>
      <c r="G2482" s="1" t="s">
        <v>712</v>
      </c>
      <c r="H2482" s="1" t="s">
        <v>713</v>
      </c>
      <c r="I2482" s="1" t="s">
        <v>714</v>
      </c>
      <c r="J2482" s="1" t="s">
        <v>1505</v>
      </c>
      <c r="K2482" s="1" t="s">
        <v>10977</v>
      </c>
      <c r="L2482" s="1" t="s">
        <v>3610</v>
      </c>
      <c r="M2482" s="1" t="s">
        <v>718</v>
      </c>
    </row>
    <row r="2483" customFormat="false" ht="15" hidden="false" customHeight="false" outlineLevel="0" collapsed="false">
      <c r="A2483" s="1" t="s">
        <v>10978</v>
      </c>
      <c r="B2483" s="1" t="s">
        <v>8259</v>
      </c>
      <c r="C2483" s="1" t="s">
        <v>9091</v>
      </c>
      <c r="D2483" s="2" t="n">
        <v>38058</v>
      </c>
      <c r="E2483" s="1" t="s">
        <v>710</v>
      </c>
      <c r="F2483" s="1" t="s">
        <v>711</v>
      </c>
      <c r="G2483" s="1" t="s">
        <v>712</v>
      </c>
      <c r="H2483" s="1" t="s">
        <v>713</v>
      </c>
      <c r="I2483" s="1" t="s">
        <v>714</v>
      </c>
      <c r="J2483" s="1" t="s">
        <v>5313</v>
      </c>
      <c r="K2483" s="1" t="s">
        <v>10979</v>
      </c>
      <c r="L2483" s="1" t="s">
        <v>10980</v>
      </c>
      <c r="M2483" s="1" t="s">
        <v>718</v>
      </c>
    </row>
    <row r="2484" customFormat="false" ht="15" hidden="false" customHeight="false" outlineLevel="0" collapsed="false">
      <c r="A2484" s="1" t="s">
        <v>10981</v>
      </c>
      <c r="B2484" s="1" t="s">
        <v>10982</v>
      </c>
      <c r="C2484" s="1" t="s">
        <v>10983</v>
      </c>
      <c r="D2484" s="2" t="n">
        <v>38009</v>
      </c>
      <c r="E2484" s="1" t="s">
        <v>763</v>
      </c>
      <c r="F2484" s="1" t="s">
        <v>711</v>
      </c>
      <c r="G2484" s="1" t="s">
        <v>722</v>
      </c>
      <c r="H2484" s="1" t="s">
        <v>713</v>
      </c>
      <c r="I2484" s="1" t="s">
        <v>714</v>
      </c>
      <c r="J2484" s="1" t="s">
        <v>1530</v>
      </c>
      <c r="K2484" s="1" t="s">
        <v>10984</v>
      </c>
      <c r="L2484" s="1" t="s">
        <v>10985</v>
      </c>
      <c r="M2484" s="1" t="s">
        <v>718</v>
      </c>
    </row>
    <row r="2485" customFormat="false" ht="15" hidden="false" customHeight="false" outlineLevel="0" collapsed="false">
      <c r="A2485" s="1" t="s">
        <v>10986</v>
      </c>
      <c r="B2485" s="1" t="s">
        <v>10987</v>
      </c>
      <c r="C2485" s="1" t="s">
        <v>5960</v>
      </c>
      <c r="D2485" s="2" t="n">
        <v>38089</v>
      </c>
      <c r="E2485" s="1" t="s">
        <v>763</v>
      </c>
      <c r="F2485" s="1" t="s">
        <v>711</v>
      </c>
      <c r="G2485" s="1" t="s">
        <v>712</v>
      </c>
      <c r="H2485" s="1" t="s">
        <v>713</v>
      </c>
      <c r="I2485" s="1" t="s">
        <v>714</v>
      </c>
      <c r="J2485" s="1" t="s">
        <v>3893</v>
      </c>
      <c r="K2485" s="1" t="s">
        <v>10988</v>
      </c>
      <c r="L2485" s="1" t="s">
        <v>10989</v>
      </c>
      <c r="M2485" s="1" t="s">
        <v>718</v>
      </c>
    </row>
    <row r="2486" customFormat="false" ht="15" hidden="false" customHeight="false" outlineLevel="0" collapsed="false">
      <c r="A2486" s="1" t="s">
        <v>10990</v>
      </c>
      <c r="B2486" s="1" t="s">
        <v>10991</v>
      </c>
      <c r="C2486" s="1" t="s">
        <v>9703</v>
      </c>
      <c r="D2486" s="2" t="n">
        <v>38262</v>
      </c>
      <c r="E2486" s="1" t="s">
        <v>763</v>
      </c>
      <c r="F2486" s="1" t="s">
        <v>711</v>
      </c>
      <c r="G2486" s="1" t="s">
        <v>712</v>
      </c>
      <c r="H2486" s="1" t="s">
        <v>713</v>
      </c>
      <c r="I2486" s="1" t="s">
        <v>714</v>
      </c>
      <c r="J2486" s="1" t="s">
        <v>10992</v>
      </c>
      <c r="K2486" s="1" t="s">
        <v>9705</v>
      </c>
      <c r="L2486" s="1" t="s">
        <v>9706</v>
      </c>
      <c r="M2486" s="1" t="s">
        <v>718</v>
      </c>
    </row>
    <row r="2487" customFormat="false" ht="15" hidden="false" customHeight="false" outlineLevel="0" collapsed="false">
      <c r="A2487" s="1" t="s">
        <v>10993</v>
      </c>
      <c r="B2487" s="1" t="s">
        <v>10994</v>
      </c>
      <c r="C2487" s="1" t="s">
        <v>2970</v>
      </c>
      <c r="D2487" s="2" t="n">
        <v>38401</v>
      </c>
      <c r="E2487" s="1" t="s">
        <v>710</v>
      </c>
      <c r="F2487" s="1" t="s">
        <v>711</v>
      </c>
      <c r="G2487" s="1" t="s">
        <v>712</v>
      </c>
      <c r="H2487" s="1" t="s">
        <v>713</v>
      </c>
      <c r="I2487" s="1" t="s">
        <v>714</v>
      </c>
      <c r="J2487" s="1" t="s">
        <v>892</v>
      </c>
      <c r="K2487" s="1" t="s">
        <v>10995</v>
      </c>
      <c r="L2487" s="1" t="s">
        <v>8321</v>
      </c>
      <c r="M2487" s="1" t="s">
        <v>718</v>
      </c>
    </row>
    <row r="2488" customFormat="false" ht="15" hidden="false" customHeight="false" outlineLevel="0" collapsed="false">
      <c r="A2488" s="1" t="s">
        <v>10996</v>
      </c>
      <c r="B2488" s="1" t="s">
        <v>4484</v>
      </c>
      <c r="C2488" s="1" t="s">
        <v>10997</v>
      </c>
      <c r="D2488" s="2" t="n">
        <v>38050</v>
      </c>
      <c r="E2488" s="1" t="s">
        <v>710</v>
      </c>
      <c r="F2488" s="1" t="s">
        <v>711</v>
      </c>
      <c r="G2488" s="1" t="s">
        <v>712</v>
      </c>
      <c r="H2488" s="1" t="s">
        <v>713</v>
      </c>
      <c r="I2488" s="1" t="s">
        <v>714</v>
      </c>
      <c r="J2488" s="1" t="s">
        <v>838</v>
      </c>
      <c r="K2488" s="1" t="s">
        <v>10998</v>
      </c>
      <c r="L2488" s="1" t="s">
        <v>10999</v>
      </c>
      <c r="M2488" s="1" t="s">
        <v>718</v>
      </c>
    </row>
    <row r="2489" customFormat="false" ht="15" hidden="false" customHeight="false" outlineLevel="0" collapsed="false">
      <c r="A2489" s="1" t="s">
        <v>11000</v>
      </c>
      <c r="B2489" s="1" t="s">
        <v>11001</v>
      </c>
      <c r="C2489" s="1" t="s">
        <v>11002</v>
      </c>
      <c r="D2489" s="2" t="n">
        <v>37611</v>
      </c>
      <c r="E2489" s="1" t="s">
        <v>710</v>
      </c>
      <c r="F2489" s="1" t="s">
        <v>711</v>
      </c>
      <c r="G2489" s="1" t="s">
        <v>712</v>
      </c>
      <c r="H2489" s="1" t="s">
        <v>713</v>
      </c>
      <c r="I2489" s="1" t="s">
        <v>714</v>
      </c>
      <c r="J2489" s="1" t="s">
        <v>11003</v>
      </c>
      <c r="K2489" s="1" t="s">
        <v>11004</v>
      </c>
      <c r="L2489" s="1" t="s">
        <v>4880</v>
      </c>
      <c r="M2489" s="1" t="s">
        <v>718</v>
      </c>
    </row>
    <row r="2490" customFormat="false" ht="15" hidden="false" customHeight="false" outlineLevel="0" collapsed="false">
      <c r="A2490" s="1" t="s">
        <v>11005</v>
      </c>
      <c r="B2490" s="1" t="s">
        <v>8456</v>
      </c>
      <c r="C2490" s="1" t="s">
        <v>11006</v>
      </c>
      <c r="D2490" s="2" t="n">
        <v>38169</v>
      </c>
      <c r="E2490" s="1" t="s">
        <v>763</v>
      </c>
      <c r="F2490" s="1" t="s">
        <v>711</v>
      </c>
      <c r="G2490" s="1" t="s">
        <v>722</v>
      </c>
      <c r="H2490" s="1" t="s">
        <v>713</v>
      </c>
      <c r="I2490" s="1" t="s">
        <v>714</v>
      </c>
      <c r="J2490" s="1" t="s">
        <v>2530</v>
      </c>
      <c r="K2490" s="1" t="s">
        <v>11007</v>
      </c>
      <c r="L2490" s="1" t="s">
        <v>741</v>
      </c>
      <c r="M2490" s="1" t="s">
        <v>718</v>
      </c>
    </row>
    <row r="2491" customFormat="false" ht="15" hidden="false" customHeight="false" outlineLevel="0" collapsed="false">
      <c r="A2491" s="1" t="s">
        <v>11008</v>
      </c>
      <c r="B2491" s="1" t="s">
        <v>11009</v>
      </c>
      <c r="C2491" s="1" t="s">
        <v>2121</v>
      </c>
      <c r="D2491" s="2" t="n">
        <v>38003</v>
      </c>
      <c r="E2491" s="1" t="s">
        <v>763</v>
      </c>
      <c r="F2491" s="1" t="s">
        <v>711</v>
      </c>
      <c r="G2491" s="1" t="s">
        <v>712</v>
      </c>
      <c r="H2491" s="1" t="s">
        <v>713</v>
      </c>
      <c r="I2491" s="1" t="s">
        <v>714</v>
      </c>
      <c r="J2491" s="1" t="s">
        <v>11010</v>
      </c>
      <c r="K2491" s="1" t="s">
        <v>11011</v>
      </c>
      <c r="L2491" s="1" t="s">
        <v>11012</v>
      </c>
      <c r="M2491" s="1" t="s">
        <v>718</v>
      </c>
    </row>
    <row r="2492" customFormat="false" ht="15" hidden="false" customHeight="false" outlineLevel="0" collapsed="false">
      <c r="A2492" s="1" t="s">
        <v>11013</v>
      </c>
      <c r="B2492" s="1" t="s">
        <v>11014</v>
      </c>
      <c r="C2492" s="1" t="s">
        <v>3191</v>
      </c>
      <c r="D2492" s="2" t="n">
        <v>38248</v>
      </c>
      <c r="E2492" s="1" t="s">
        <v>763</v>
      </c>
      <c r="F2492" s="1" t="s">
        <v>711</v>
      </c>
      <c r="G2492" s="1" t="s">
        <v>722</v>
      </c>
      <c r="H2492" s="1" t="s">
        <v>713</v>
      </c>
      <c r="I2492" s="1" t="s">
        <v>714</v>
      </c>
      <c r="J2492" s="1" t="s">
        <v>1149</v>
      </c>
      <c r="K2492" s="1" t="s">
        <v>11015</v>
      </c>
      <c r="L2492" s="1" t="s">
        <v>11016</v>
      </c>
      <c r="M2492" s="1" t="s">
        <v>718</v>
      </c>
    </row>
    <row r="2493" customFormat="false" ht="15" hidden="false" customHeight="false" outlineLevel="0" collapsed="false">
      <c r="A2493" s="1" t="s">
        <v>11017</v>
      </c>
      <c r="B2493" s="1" t="s">
        <v>11018</v>
      </c>
      <c r="C2493" s="1" t="s">
        <v>739</v>
      </c>
      <c r="D2493" s="2" t="n">
        <v>38308</v>
      </c>
      <c r="E2493" s="1" t="s">
        <v>763</v>
      </c>
      <c r="F2493" s="1" t="s">
        <v>711</v>
      </c>
      <c r="G2493" s="1" t="s">
        <v>712</v>
      </c>
      <c r="H2493" s="1" t="s">
        <v>713</v>
      </c>
      <c r="I2493" s="1" t="s">
        <v>714</v>
      </c>
      <c r="J2493" s="1" t="s">
        <v>5117</v>
      </c>
      <c r="K2493" s="1" t="s">
        <v>11019</v>
      </c>
      <c r="L2493" s="1" t="s">
        <v>2541</v>
      </c>
      <c r="M2493" s="1" t="s">
        <v>718</v>
      </c>
    </row>
    <row r="2494" customFormat="false" ht="15" hidden="false" customHeight="false" outlineLevel="0" collapsed="false">
      <c r="A2494" s="1" t="s">
        <v>11020</v>
      </c>
      <c r="B2494" s="1" t="s">
        <v>11021</v>
      </c>
      <c r="C2494" s="1" t="s">
        <v>2006</v>
      </c>
      <c r="D2494" s="2" t="n">
        <v>37116</v>
      </c>
      <c r="E2494" s="1" t="s">
        <v>763</v>
      </c>
      <c r="F2494" s="1" t="s">
        <v>711</v>
      </c>
      <c r="G2494" s="1" t="s">
        <v>722</v>
      </c>
      <c r="H2494" s="1" t="s">
        <v>713</v>
      </c>
      <c r="I2494" s="1" t="s">
        <v>714</v>
      </c>
      <c r="J2494" s="1" t="s">
        <v>2298</v>
      </c>
      <c r="K2494" s="1" t="s">
        <v>11022</v>
      </c>
      <c r="L2494" s="1" t="s">
        <v>11023</v>
      </c>
      <c r="M2494" s="1" t="s">
        <v>718</v>
      </c>
    </row>
    <row r="2495" customFormat="false" ht="15" hidden="false" customHeight="false" outlineLevel="0" collapsed="false">
      <c r="A2495" s="1" t="s">
        <v>11024</v>
      </c>
      <c r="B2495" s="1" t="s">
        <v>11025</v>
      </c>
      <c r="C2495" s="1" t="s">
        <v>7861</v>
      </c>
      <c r="D2495" s="2" t="n">
        <v>37508</v>
      </c>
      <c r="E2495" s="1" t="s">
        <v>710</v>
      </c>
      <c r="F2495" s="1" t="s">
        <v>711</v>
      </c>
      <c r="G2495" s="1" t="s">
        <v>722</v>
      </c>
      <c r="H2495" s="1" t="s">
        <v>713</v>
      </c>
      <c r="I2495" s="1" t="s">
        <v>714</v>
      </c>
      <c r="J2495" s="1" t="s">
        <v>1723</v>
      </c>
      <c r="K2495" s="1" t="s">
        <v>11026</v>
      </c>
      <c r="L2495" s="1" t="s">
        <v>7863</v>
      </c>
      <c r="M2495" s="1" t="s">
        <v>718</v>
      </c>
    </row>
    <row r="2496" customFormat="false" ht="15" hidden="false" customHeight="false" outlineLevel="0" collapsed="false">
      <c r="A2496" s="1" t="s">
        <v>11027</v>
      </c>
      <c r="B2496" s="1" t="s">
        <v>11028</v>
      </c>
      <c r="C2496" s="1" t="s">
        <v>11029</v>
      </c>
      <c r="D2496" s="2" t="n">
        <v>38211</v>
      </c>
      <c r="E2496" s="1" t="s">
        <v>763</v>
      </c>
      <c r="F2496" s="1" t="s">
        <v>711</v>
      </c>
      <c r="G2496" s="1" t="s">
        <v>712</v>
      </c>
      <c r="H2496" s="1" t="s">
        <v>713</v>
      </c>
      <c r="I2496" s="1" t="s">
        <v>714</v>
      </c>
      <c r="J2496" s="1" t="s">
        <v>2298</v>
      </c>
      <c r="K2496" s="1" t="s">
        <v>11030</v>
      </c>
      <c r="L2496" s="1" t="s">
        <v>11031</v>
      </c>
      <c r="M2496" s="1" t="s">
        <v>718</v>
      </c>
    </row>
    <row r="2497" customFormat="false" ht="15" hidden="false" customHeight="false" outlineLevel="0" collapsed="false">
      <c r="A2497" s="1" t="s">
        <v>11032</v>
      </c>
      <c r="B2497" s="1" t="s">
        <v>11033</v>
      </c>
      <c r="C2497" s="1" t="s">
        <v>8134</v>
      </c>
      <c r="D2497" s="2" t="n">
        <v>38261</v>
      </c>
      <c r="E2497" s="1" t="s">
        <v>710</v>
      </c>
      <c r="F2497" s="1" t="s">
        <v>711</v>
      </c>
      <c r="G2497" s="1" t="s">
        <v>712</v>
      </c>
      <c r="H2497" s="1" t="s">
        <v>713</v>
      </c>
      <c r="I2497" s="1" t="s">
        <v>714</v>
      </c>
      <c r="J2497" s="1" t="s">
        <v>1114</v>
      </c>
      <c r="K2497" s="1" t="s">
        <v>11034</v>
      </c>
      <c r="L2497" s="1" t="s">
        <v>8135</v>
      </c>
      <c r="M2497" s="1" t="s">
        <v>718</v>
      </c>
    </row>
    <row r="2498" customFormat="false" ht="15" hidden="false" customHeight="false" outlineLevel="0" collapsed="false">
      <c r="A2498" s="1" t="s">
        <v>11035</v>
      </c>
      <c r="B2498" s="1" t="s">
        <v>11036</v>
      </c>
      <c r="C2498" s="1" t="s">
        <v>11037</v>
      </c>
      <c r="D2498" s="2" t="n">
        <v>38238</v>
      </c>
      <c r="E2498" s="1" t="s">
        <v>710</v>
      </c>
      <c r="F2498" s="1" t="s">
        <v>711</v>
      </c>
      <c r="G2498" s="1" t="s">
        <v>712</v>
      </c>
      <c r="H2498" s="1" t="s">
        <v>713</v>
      </c>
      <c r="I2498" s="1" t="s">
        <v>714</v>
      </c>
      <c r="J2498" s="1" t="s">
        <v>4811</v>
      </c>
      <c r="K2498" s="1" t="s">
        <v>11038</v>
      </c>
      <c r="L2498" s="1" t="s">
        <v>11039</v>
      </c>
      <c r="M2498" s="1" t="s">
        <v>718</v>
      </c>
    </row>
    <row r="2499" customFormat="false" ht="15" hidden="false" customHeight="false" outlineLevel="0" collapsed="false">
      <c r="A2499" s="1" t="s">
        <v>11040</v>
      </c>
      <c r="B2499" s="1" t="s">
        <v>11041</v>
      </c>
      <c r="C2499" s="1" t="s">
        <v>1009</v>
      </c>
      <c r="D2499" s="2" t="n">
        <v>38282</v>
      </c>
      <c r="E2499" s="1" t="s">
        <v>710</v>
      </c>
      <c r="F2499" s="1" t="s">
        <v>711</v>
      </c>
      <c r="G2499" s="1" t="s">
        <v>722</v>
      </c>
      <c r="H2499" s="1" t="s">
        <v>713</v>
      </c>
      <c r="I2499" s="1" t="s">
        <v>714</v>
      </c>
      <c r="J2499" s="1" t="s">
        <v>805</v>
      </c>
      <c r="K2499" s="1" t="s">
        <v>11042</v>
      </c>
      <c r="L2499" s="1" t="s">
        <v>1012</v>
      </c>
      <c r="M2499" s="1" t="s">
        <v>718</v>
      </c>
    </row>
    <row r="2500" customFormat="false" ht="15" hidden="false" customHeight="false" outlineLevel="0" collapsed="false">
      <c r="A2500" s="1" t="s">
        <v>11043</v>
      </c>
      <c r="B2500" s="1" t="s">
        <v>11044</v>
      </c>
      <c r="C2500" s="1" t="s">
        <v>11045</v>
      </c>
      <c r="D2500" s="2" t="n">
        <v>38142</v>
      </c>
      <c r="E2500" s="1" t="s">
        <v>763</v>
      </c>
      <c r="F2500" s="1" t="s">
        <v>711</v>
      </c>
      <c r="G2500" s="1" t="s">
        <v>722</v>
      </c>
      <c r="H2500" s="1" t="s">
        <v>713</v>
      </c>
      <c r="I2500" s="1" t="s">
        <v>714</v>
      </c>
      <c r="J2500" s="1" t="s">
        <v>1530</v>
      </c>
      <c r="K2500" s="1" t="s">
        <v>10903</v>
      </c>
      <c r="L2500" s="1" t="s">
        <v>11046</v>
      </c>
      <c r="M2500" s="1" t="s">
        <v>718</v>
      </c>
    </row>
    <row r="2501" customFormat="false" ht="15" hidden="false" customHeight="false" outlineLevel="0" collapsed="false">
      <c r="A2501" s="1" t="s">
        <v>11047</v>
      </c>
      <c r="B2501" s="1" t="s">
        <v>1668</v>
      </c>
      <c r="C2501" s="1" t="s">
        <v>1534</v>
      </c>
      <c r="D2501" s="2" t="n">
        <v>38116</v>
      </c>
      <c r="E2501" s="1" t="s">
        <v>710</v>
      </c>
      <c r="F2501" s="1" t="s">
        <v>711</v>
      </c>
      <c r="G2501" s="1" t="s">
        <v>712</v>
      </c>
      <c r="H2501" s="1" t="s">
        <v>713</v>
      </c>
      <c r="I2501" s="1" t="s">
        <v>714</v>
      </c>
      <c r="J2501" s="1" t="s">
        <v>11048</v>
      </c>
      <c r="K2501" s="1" t="s">
        <v>11049</v>
      </c>
      <c r="L2501" s="1" t="s">
        <v>1536</v>
      </c>
      <c r="M2501" s="1" t="s">
        <v>718</v>
      </c>
    </row>
    <row r="2502" customFormat="false" ht="15" hidden="false" customHeight="false" outlineLevel="0" collapsed="false">
      <c r="A2502" s="1" t="s">
        <v>11050</v>
      </c>
      <c r="B2502" s="1" t="s">
        <v>11051</v>
      </c>
      <c r="C2502" s="1" t="s">
        <v>9693</v>
      </c>
      <c r="D2502" s="2" t="n">
        <v>38013</v>
      </c>
      <c r="E2502" s="1" t="s">
        <v>763</v>
      </c>
      <c r="F2502" s="1" t="s">
        <v>711</v>
      </c>
      <c r="G2502" s="1" t="s">
        <v>712</v>
      </c>
      <c r="H2502" s="1" t="s">
        <v>713</v>
      </c>
      <c r="I2502" s="1" t="s">
        <v>714</v>
      </c>
      <c r="J2502" s="1" t="s">
        <v>11052</v>
      </c>
      <c r="K2502" s="1" t="s">
        <v>11053</v>
      </c>
      <c r="L2502" s="1" t="s">
        <v>11054</v>
      </c>
      <c r="M2502" s="1" t="s">
        <v>718</v>
      </c>
    </row>
    <row r="2503" customFormat="false" ht="15" hidden="false" customHeight="false" outlineLevel="0" collapsed="false">
      <c r="A2503" s="1" t="s">
        <v>11055</v>
      </c>
      <c r="B2503" s="1" t="s">
        <v>11056</v>
      </c>
      <c r="C2503" s="1" t="s">
        <v>3350</v>
      </c>
      <c r="D2503" s="2" t="n">
        <v>38032</v>
      </c>
      <c r="E2503" s="1" t="s">
        <v>763</v>
      </c>
      <c r="F2503" s="1" t="s">
        <v>711</v>
      </c>
      <c r="G2503" s="1" t="s">
        <v>712</v>
      </c>
      <c r="H2503" s="1" t="s">
        <v>713</v>
      </c>
      <c r="I2503" s="1" t="s">
        <v>714</v>
      </c>
      <c r="J2503" s="1" t="s">
        <v>11057</v>
      </c>
      <c r="K2503" s="1" t="s">
        <v>11058</v>
      </c>
      <c r="L2503" s="1" t="s">
        <v>11059</v>
      </c>
      <c r="M2503" s="1" t="s">
        <v>718</v>
      </c>
    </row>
    <row r="2504" customFormat="false" ht="15" hidden="false" customHeight="false" outlineLevel="0" collapsed="false">
      <c r="A2504" s="1" t="s">
        <v>11060</v>
      </c>
      <c r="B2504" s="1" t="s">
        <v>11061</v>
      </c>
      <c r="C2504" s="1" t="s">
        <v>11062</v>
      </c>
      <c r="D2504" s="2" t="n">
        <v>38287</v>
      </c>
      <c r="E2504" s="1" t="s">
        <v>763</v>
      </c>
      <c r="F2504" s="1" t="s">
        <v>711</v>
      </c>
      <c r="G2504" s="1" t="s">
        <v>722</v>
      </c>
      <c r="H2504" s="1" t="s">
        <v>713</v>
      </c>
      <c r="I2504" s="1" t="s">
        <v>714</v>
      </c>
      <c r="J2504" s="1" t="s">
        <v>805</v>
      </c>
      <c r="K2504" s="1" t="s">
        <v>11063</v>
      </c>
      <c r="L2504" s="1" t="s">
        <v>11064</v>
      </c>
      <c r="M2504" s="1" t="s">
        <v>718</v>
      </c>
    </row>
    <row r="2505" customFormat="false" ht="15" hidden="false" customHeight="false" outlineLevel="0" collapsed="false">
      <c r="A2505" s="1" t="s">
        <v>11065</v>
      </c>
      <c r="B2505" s="1" t="s">
        <v>11066</v>
      </c>
      <c r="C2505" s="1" t="s">
        <v>11067</v>
      </c>
      <c r="D2505" s="2" t="n">
        <v>38203</v>
      </c>
      <c r="E2505" s="1" t="s">
        <v>763</v>
      </c>
      <c r="F2505" s="1" t="s">
        <v>711</v>
      </c>
      <c r="G2505" s="1" t="s">
        <v>712</v>
      </c>
      <c r="H2505" s="1" t="s">
        <v>713</v>
      </c>
      <c r="I2505" s="1" t="s">
        <v>714</v>
      </c>
      <c r="J2505" s="1" t="s">
        <v>4787</v>
      </c>
      <c r="K2505" s="1" t="s">
        <v>11068</v>
      </c>
      <c r="L2505" s="1" t="s">
        <v>2896</v>
      </c>
      <c r="M2505" s="1" t="s">
        <v>718</v>
      </c>
    </row>
    <row r="2506" customFormat="false" ht="15" hidden="false" customHeight="false" outlineLevel="0" collapsed="false">
      <c r="A2506" s="1" t="s">
        <v>11069</v>
      </c>
      <c r="B2506" s="1" t="s">
        <v>11070</v>
      </c>
      <c r="C2506" s="1" t="s">
        <v>11071</v>
      </c>
      <c r="D2506" s="2" t="n">
        <v>38340</v>
      </c>
      <c r="E2506" s="1" t="s">
        <v>763</v>
      </c>
      <c r="F2506" s="1" t="s">
        <v>711</v>
      </c>
      <c r="G2506" s="1" t="s">
        <v>712</v>
      </c>
      <c r="H2506" s="1" t="s">
        <v>713</v>
      </c>
      <c r="I2506" s="1" t="s">
        <v>714</v>
      </c>
      <c r="J2506" s="1" t="s">
        <v>2122</v>
      </c>
      <c r="K2506" s="1" t="s">
        <v>11072</v>
      </c>
      <c r="L2506" s="1" t="s">
        <v>11073</v>
      </c>
      <c r="M2506" s="1" t="s">
        <v>718</v>
      </c>
    </row>
    <row r="2507" customFormat="false" ht="15" hidden="false" customHeight="false" outlineLevel="0" collapsed="false">
      <c r="A2507" s="1" t="s">
        <v>11074</v>
      </c>
      <c r="B2507" s="1" t="s">
        <v>1416</v>
      </c>
      <c r="C2507" s="1" t="s">
        <v>11075</v>
      </c>
      <c r="D2507" s="2" t="n">
        <v>38222</v>
      </c>
      <c r="E2507" s="1" t="s">
        <v>710</v>
      </c>
      <c r="F2507" s="1" t="s">
        <v>711</v>
      </c>
      <c r="G2507" s="1" t="s">
        <v>722</v>
      </c>
      <c r="H2507" s="1" t="s">
        <v>713</v>
      </c>
      <c r="I2507" s="1" t="s">
        <v>714</v>
      </c>
      <c r="J2507" s="1" t="s">
        <v>1398</v>
      </c>
      <c r="K2507" s="1" t="s">
        <v>11076</v>
      </c>
      <c r="L2507" s="1" t="s">
        <v>3487</v>
      </c>
      <c r="M2507" s="1" t="s">
        <v>718</v>
      </c>
    </row>
    <row r="2508" customFormat="false" ht="15" hidden="false" customHeight="false" outlineLevel="0" collapsed="false">
      <c r="A2508" s="1" t="s">
        <v>11077</v>
      </c>
      <c r="B2508" s="1" t="s">
        <v>11078</v>
      </c>
      <c r="C2508" s="1" t="s">
        <v>1734</v>
      </c>
      <c r="D2508" s="2" t="n">
        <v>38240</v>
      </c>
      <c r="E2508" s="1" t="s">
        <v>763</v>
      </c>
      <c r="F2508" s="1" t="s">
        <v>711</v>
      </c>
      <c r="G2508" s="1" t="s">
        <v>712</v>
      </c>
      <c r="H2508" s="1" t="s">
        <v>713</v>
      </c>
      <c r="I2508" s="1" t="s">
        <v>714</v>
      </c>
      <c r="J2508" s="1" t="s">
        <v>11079</v>
      </c>
      <c r="K2508" s="1" t="s">
        <v>11080</v>
      </c>
      <c r="L2508" s="1" t="s">
        <v>1735</v>
      </c>
      <c r="M2508" s="1" t="s">
        <v>718</v>
      </c>
    </row>
    <row r="2509" customFormat="false" ht="15" hidden="false" customHeight="false" outlineLevel="0" collapsed="false">
      <c r="A2509" s="1" t="s">
        <v>11081</v>
      </c>
      <c r="B2509" s="1" t="s">
        <v>11082</v>
      </c>
      <c r="C2509" s="1" t="s">
        <v>6435</v>
      </c>
      <c r="D2509" s="2" t="n">
        <v>38377</v>
      </c>
      <c r="E2509" s="1" t="s">
        <v>763</v>
      </c>
      <c r="F2509" s="1" t="s">
        <v>711</v>
      </c>
      <c r="G2509" s="1" t="s">
        <v>712</v>
      </c>
      <c r="H2509" s="1" t="s">
        <v>713</v>
      </c>
      <c r="I2509" s="1" t="s">
        <v>714</v>
      </c>
      <c r="J2509" s="1" t="s">
        <v>11083</v>
      </c>
      <c r="K2509" s="1" t="s">
        <v>11084</v>
      </c>
      <c r="L2509" s="1" t="s">
        <v>6437</v>
      </c>
      <c r="M2509" s="1" t="s">
        <v>718</v>
      </c>
    </row>
    <row r="2510" customFormat="false" ht="15" hidden="false" customHeight="false" outlineLevel="0" collapsed="false">
      <c r="A2510" s="1" t="s">
        <v>11085</v>
      </c>
      <c r="B2510" s="1" t="s">
        <v>1300</v>
      </c>
      <c r="C2510" s="1" t="s">
        <v>11086</v>
      </c>
      <c r="D2510" s="2" t="n">
        <v>38298</v>
      </c>
      <c r="E2510" s="1" t="s">
        <v>710</v>
      </c>
      <c r="F2510" s="1" t="s">
        <v>711</v>
      </c>
      <c r="G2510" s="1" t="s">
        <v>712</v>
      </c>
      <c r="H2510" s="1" t="s">
        <v>713</v>
      </c>
      <c r="I2510" s="1" t="s">
        <v>714</v>
      </c>
      <c r="J2510" s="1" t="s">
        <v>1723</v>
      </c>
      <c r="K2510" s="1" t="s">
        <v>11087</v>
      </c>
      <c r="L2510" s="1" t="s">
        <v>5007</v>
      </c>
      <c r="M2510" s="1" t="s">
        <v>718</v>
      </c>
    </row>
    <row r="2511" customFormat="false" ht="15" hidden="false" customHeight="false" outlineLevel="0" collapsed="false">
      <c r="A2511" s="1" t="s">
        <v>11088</v>
      </c>
      <c r="B2511" s="1" t="s">
        <v>11089</v>
      </c>
      <c r="C2511" s="1" t="s">
        <v>11090</v>
      </c>
      <c r="D2511" s="2" t="n">
        <v>38198</v>
      </c>
      <c r="E2511" s="1" t="s">
        <v>763</v>
      </c>
      <c r="F2511" s="1" t="s">
        <v>711</v>
      </c>
      <c r="G2511" s="1" t="s">
        <v>712</v>
      </c>
      <c r="H2511" s="1" t="s">
        <v>713</v>
      </c>
      <c r="I2511" s="1" t="s">
        <v>714</v>
      </c>
      <c r="J2511" s="1" t="s">
        <v>11091</v>
      </c>
      <c r="K2511" s="1" t="s">
        <v>11092</v>
      </c>
      <c r="L2511" s="1" t="s">
        <v>11093</v>
      </c>
      <c r="M2511" s="1" t="s">
        <v>718</v>
      </c>
    </row>
    <row r="2512" customFormat="false" ht="15" hidden="false" customHeight="false" outlineLevel="0" collapsed="false">
      <c r="A2512" s="1" t="s">
        <v>11094</v>
      </c>
      <c r="B2512" s="1" t="s">
        <v>11095</v>
      </c>
      <c r="C2512" s="1" t="s">
        <v>11096</v>
      </c>
      <c r="D2512" s="2" t="n">
        <v>37598</v>
      </c>
      <c r="E2512" s="1" t="s">
        <v>763</v>
      </c>
      <c r="F2512" s="1" t="s">
        <v>711</v>
      </c>
      <c r="G2512" s="1" t="s">
        <v>712</v>
      </c>
      <c r="H2512" s="1" t="s">
        <v>713</v>
      </c>
      <c r="I2512" s="1" t="s">
        <v>714</v>
      </c>
      <c r="J2512" s="1" t="s">
        <v>11097</v>
      </c>
      <c r="K2512" s="1" t="s">
        <v>716</v>
      </c>
      <c r="L2512" s="1" t="s">
        <v>11098</v>
      </c>
      <c r="M2512" s="1" t="s">
        <v>718</v>
      </c>
    </row>
    <row r="2513" customFormat="false" ht="15" hidden="false" customHeight="false" outlineLevel="0" collapsed="false">
      <c r="A2513" s="1" t="s">
        <v>11099</v>
      </c>
      <c r="B2513" s="1" t="s">
        <v>11100</v>
      </c>
      <c r="C2513" s="1" t="s">
        <v>11101</v>
      </c>
      <c r="D2513" s="2" t="n">
        <v>38141</v>
      </c>
      <c r="E2513" s="1" t="s">
        <v>763</v>
      </c>
      <c r="F2513" s="1" t="s">
        <v>711</v>
      </c>
      <c r="G2513" s="1" t="s">
        <v>712</v>
      </c>
      <c r="H2513" s="1" t="s">
        <v>713</v>
      </c>
      <c r="I2513" s="1" t="s">
        <v>714</v>
      </c>
      <c r="J2513" s="1" t="s">
        <v>1398</v>
      </c>
      <c r="K2513" s="1" t="s">
        <v>11102</v>
      </c>
      <c r="L2513" s="1" t="s">
        <v>11103</v>
      </c>
      <c r="M2513" s="1" t="s">
        <v>718</v>
      </c>
    </row>
    <row r="2514" customFormat="false" ht="15" hidden="false" customHeight="false" outlineLevel="0" collapsed="false">
      <c r="A2514" s="1" t="s">
        <v>11104</v>
      </c>
      <c r="B2514" s="1" t="s">
        <v>11105</v>
      </c>
      <c r="C2514" s="1" t="s">
        <v>11106</v>
      </c>
      <c r="D2514" s="2" t="n">
        <v>36707</v>
      </c>
      <c r="E2514" s="1" t="s">
        <v>710</v>
      </c>
      <c r="F2514" s="1" t="s">
        <v>711</v>
      </c>
      <c r="G2514" s="1" t="s">
        <v>712</v>
      </c>
      <c r="H2514" s="1" t="s">
        <v>713</v>
      </c>
      <c r="I2514" s="1" t="s">
        <v>714</v>
      </c>
      <c r="J2514" s="1" t="s">
        <v>716</v>
      </c>
      <c r="K2514" s="1" t="s">
        <v>716</v>
      </c>
      <c r="L2514" s="1" t="s">
        <v>1418</v>
      </c>
      <c r="M2514" s="1" t="s">
        <v>718</v>
      </c>
    </row>
    <row r="2515" customFormat="false" ht="15" hidden="false" customHeight="false" outlineLevel="0" collapsed="false">
      <c r="A2515" s="1" t="s">
        <v>11107</v>
      </c>
      <c r="B2515" s="1" t="s">
        <v>2206</v>
      </c>
      <c r="C2515" s="1" t="s">
        <v>11108</v>
      </c>
      <c r="D2515" s="2" t="n">
        <v>37008</v>
      </c>
      <c r="E2515" s="1" t="s">
        <v>710</v>
      </c>
      <c r="F2515" s="1" t="s">
        <v>711</v>
      </c>
      <c r="G2515" s="1" t="s">
        <v>722</v>
      </c>
      <c r="H2515" s="1" t="s">
        <v>713</v>
      </c>
      <c r="I2515" s="1" t="s">
        <v>714</v>
      </c>
      <c r="J2515" s="1" t="s">
        <v>716</v>
      </c>
      <c r="K2515" s="1" t="s">
        <v>716</v>
      </c>
      <c r="L2515" s="1" t="s">
        <v>1418</v>
      </c>
      <c r="M2515" s="1" t="s">
        <v>718</v>
      </c>
    </row>
    <row r="2516" customFormat="false" ht="15" hidden="false" customHeight="false" outlineLevel="0" collapsed="false">
      <c r="A2516" s="1" t="s">
        <v>11109</v>
      </c>
      <c r="B2516" s="1" t="s">
        <v>11110</v>
      </c>
      <c r="C2516" s="1" t="s">
        <v>2558</v>
      </c>
      <c r="D2516" s="2" t="n">
        <v>38352</v>
      </c>
      <c r="E2516" s="1" t="s">
        <v>710</v>
      </c>
      <c r="F2516" s="1" t="s">
        <v>711</v>
      </c>
      <c r="G2516" s="1" t="s">
        <v>712</v>
      </c>
      <c r="H2516" s="1" t="s">
        <v>713</v>
      </c>
      <c r="I2516" s="1" t="s">
        <v>714</v>
      </c>
      <c r="J2516" s="1" t="s">
        <v>1398</v>
      </c>
      <c r="K2516" s="1" t="s">
        <v>716</v>
      </c>
      <c r="L2516" s="1" t="s">
        <v>11111</v>
      </c>
      <c r="M2516" s="1" t="s">
        <v>718</v>
      </c>
    </row>
    <row r="2517" customFormat="false" ht="15" hidden="false" customHeight="false" outlineLevel="0" collapsed="false">
      <c r="A2517" s="1" t="s">
        <v>11112</v>
      </c>
      <c r="B2517" s="1" t="s">
        <v>11113</v>
      </c>
      <c r="C2517" s="1" t="s">
        <v>11114</v>
      </c>
      <c r="D2517" s="2" t="n">
        <v>36899</v>
      </c>
      <c r="E2517" s="1" t="s">
        <v>763</v>
      </c>
      <c r="F2517" s="1" t="s">
        <v>711</v>
      </c>
      <c r="G2517" s="1" t="s">
        <v>1450</v>
      </c>
      <c r="H2517" s="1" t="s">
        <v>713</v>
      </c>
      <c r="I2517" s="1" t="s">
        <v>714</v>
      </c>
      <c r="J2517" s="1" t="s">
        <v>716</v>
      </c>
      <c r="K2517" s="1" t="s">
        <v>716</v>
      </c>
      <c r="L2517" s="1" t="s">
        <v>1418</v>
      </c>
      <c r="M2517" s="1" t="s">
        <v>718</v>
      </c>
    </row>
    <row r="2518" customFormat="false" ht="15" hidden="false" customHeight="false" outlineLevel="0" collapsed="false">
      <c r="A2518" s="1" t="s">
        <v>11115</v>
      </c>
      <c r="B2518" s="1" t="s">
        <v>11116</v>
      </c>
      <c r="C2518" s="1" t="s">
        <v>9446</v>
      </c>
      <c r="D2518" s="2" t="n">
        <v>37659</v>
      </c>
      <c r="E2518" s="1" t="s">
        <v>710</v>
      </c>
      <c r="F2518" s="1" t="s">
        <v>711</v>
      </c>
      <c r="G2518" s="1" t="s">
        <v>712</v>
      </c>
      <c r="H2518" s="1" t="s">
        <v>713</v>
      </c>
      <c r="I2518" s="1" t="s">
        <v>714</v>
      </c>
      <c r="J2518" s="1" t="s">
        <v>11117</v>
      </c>
      <c r="K2518" s="1" t="s">
        <v>11118</v>
      </c>
      <c r="L2518" s="1" t="s">
        <v>5709</v>
      </c>
      <c r="M2518" s="1" t="s">
        <v>718</v>
      </c>
    </row>
    <row r="2519" customFormat="false" ht="15" hidden="false" customHeight="false" outlineLevel="0" collapsed="false">
      <c r="A2519" s="1" t="s">
        <v>11119</v>
      </c>
      <c r="B2519" s="1" t="s">
        <v>11120</v>
      </c>
      <c r="C2519" s="1" t="s">
        <v>11121</v>
      </c>
      <c r="D2519" s="2" t="n">
        <v>37772</v>
      </c>
      <c r="E2519" s="1" t="s">
        <v>763</v>
      </c>
      <c r="F2519" s="1" t="s">
        <v>711</v>
      </c>
      <c r="G2519" s="1" t="s">
        <v>722</v>
      </c>
      <c r="H2519" s="1" t="s">
        <v>713</v>
      </c>
      <c r="I2519" s="1" t="s">
        <v>714</v>
      </c>
      <c r="J2519" s="1" t="s">
        <v>1723</v>
      </c>
      <c r="K2519" s="1" t="s">
        <v>11122</v>
      </c>
      <c r="L2519" s="1" t="s">
        <v>11123</v>
      </c>
      <c r="M2519" s="1" t="s">
        <v>718</v>
      </c>
    </row>
    <row r="2520" customFormat="false" ht="15" hidden="false" customHeight="false" outlineLevel="0" collapsed="false">
      <c r="A2520" s="1" t="s">
        <v>11124</v>
      </c>
      <c r="B2520" s="1" t="s">
        <v>6854</v>
      </c>
      <c r="C2520" s="1" t="s">
        <v>11121</v>
      </c>
      <c r="D2520" s="2" t="n">
        <v>38320</v>
      </c>
      <c r="E2520" s="1" t="s">
        <v>763</v>
      </c>
      <c r="F2520" s="1" t="s">
        <v>711</v>
      </c>
      <c r="G2520" s="1" t="s">
        <v>722</v>
      </c>
      <c r="H2520" s="1" t="s">
        <v>713</v>
      </c>
      <c r="I2520" s="1" t="s">
        <v>714</v>
      </c>
      <c r="J2520" s="1" t="s">
        <v>11125</v>
      </c>
      <c r="K2520" s="1" t="s">
        <v>11122</v>
      </c>
      <c r="L2520" s="1" t="s">
        <v>11123</v>
      </c>
      <c r="M2520" s="1" t="s">
        <v>718</v>
      </c>
    </row>
    <row r="2521" customFormat="false" ht="15" hidden="false" customHeight="false" outlineLevel="0" collapsed="false">
      <c r="A2521" s="1" t="s">
        <v>11126</v>
      </c>
      <c r="B2521" s="1" t="s">
        <v>11127</v>
      </c>
      <c r="C2521" s="1" t="s">
        <v>11128</v>
      </c>
      <c r="D2521" s="2" t="n">
        <v>38114</v>
      </c>
      <c r="E2521" s="1" t="s">
        <v>763</v>
      </c>
      <c r="F2521" s="1" t="s">
        <v>711</v>
      </c>
      <c r="G2521" s="1" t="s">
        <v>712</v>
      </c>
      <c r="H2521" s="1" t="s">
        <v>713</v>
      </c>
      <c r="I2521" s="1" t="s">
        <v>714</v>
      </c>
      <c r="J2521" s="1" t="s">
        <v>11129</v>
      </c>
      <c r="K2521" s="1" t="s">
        <v>11130</v>
      </c>
      <c r="L2521" s="1" t="s">
        <v>11131</v>
      </c>
      <c r="M2521" s="1" t="s">
        <v>718</v>
      </c>
    </row>
    <row r="2522" customFormat="false" ht="15" hidden="false" customHeight="false" outlineLevel="0" collapsed="false">
      <c r="A2522" s="1" t="s">
        <v>11132</v>
      </c>
      <c r="B2522" s="1" t="s">
        <v>11133</v>
      </c>
      <c r="C2522" s="1" t="s">
        <v>789</v>
      </c>
      <c r="D2522" s="2" t="n">
        <v>37623</v>
      </c>
      <c r="E2522" s="1" t="s">
        <v>763</v>
      </c>
      <c r="F2522" s="1" t="s">
        <v>711</v>
      </c>
      <c r="G2522" s="1" t="s">
        <v>722</v>
      </c>
      <c r="H2522" s="1" t="s">
        <v>713</v>
      </c>
      <c r="I2522" s="1" t="s">
        <v>714</v>
      </c>
      <c r="J2522" s="1" t="s">
        <v>2117</v>
      </c>
      <c r="K2522" s="1" t="s">
        <v>9812</v>
      </c>
      <c r="L2522" s="1" t="s">
        <v>792</v>
      </c>
      <c r="M2522" s="1" t="s">
        <v>718</v>
      </c>
    </row>
    <row r="2523" customFormat="false" ht="15" hidden="false" customHeight="false" outlineLevel="0" collapsed="false">
      <c r="A2523" s="1" t="s">
        <v>11134</v>
      </c>
      <c r="B2523" s="1" t="s">
        <v>11135</v>
      </c>
      <c r="C2523" s="1" t="s">
        <v>2035</v>
      </c>
      <c r="D2523" s="2" t="n">
        <v>37827</v>
      </c>
      <c r="E2523" s="1" t="s">
        <v>710</v>
      </c>
      <c r="F2523" s="1" t="s">
        <v>711</v>
      </c>
      <c r="G2523" s="1" t="s">
        <v>712</v>
      </c>
      <c r="H2523" s="1" t="s">
        <v>713</v>
      </c>
      <c r="I2523" s="1" t="s">
        <v>714</v>
      </c>
      <c r="J2523" s="1" t="s">
        <v>11136</v>
      </c>
      <c r="K2523" s="1" t="s">
        <v>11137</v>
      </c>
      <c r="L2523" s="1" t="s">
        <v>5424</v>
      </c>
      <c r="M2523" s="1" t="s">
        <v>718</v>
      </c>
    </row>
    <row r="2524" customFormat="false" ht="15" hidden="false" customHeight="false" outlineLevel="0" collapsed="false">
      <c r="A2524" s="1" t="s">
        <v>11138</v>
      </c>
      <c r="B2524" s="1" t="s">
        <v>11139</v>
      </c>
      <c r="C2524" s="1" t="s">
        <v>6672</v>
      </c>
      <c r="D2524" s="2" t="n">
        <v>38309</v>
      </c>
      <c r="E2524" s="1" t="s">
        <v>763</v>
      </c>
      <c r="F2524" s="1" t="s">
        <v>711</v>
      </c>
      <c r="G2524" s="1" t="s">
        <v>712</v>
      </c>
      <c r="H2524" s="1" t="s">
        <v>713</v>
      </c>
      <c r="I2524" s="1" t="s">
        <v>714</v>
      </c>
      <c r="J2524" s="1" t="s">
        <v>1244</v>
      </c>
      <c r="K2524" s="1" t="s">
        <v>11140</v>
      </c>
      <c r="L2524" s="1" t="s">
        <v>801</v>
      </c>
      <c r="M2524" s="1" t="s">
        <v>718</v>
      </c>
    </row>
    <row r="2525" customFormat="false" ht="15" hidden="false" customHeight="false" outlineLevel="0" collapsed="false">
      <c r="A2525" s="1" t="s">
        <v>11141</v>
      </c>
      <c r="B2525" s="1" t="s">
        <v>11142</v>
      </c>
      <c r="C2525" s="1" t="s">
        <v>4945</v>
      </c>
      <c r="D2525" s="2" t="n">
        <v>37930</v>
      </c>
      <c r="E2525" s="1" t="s">
        <v>763</v>
      </c>
      <c r="F2525" s="1" t="s">
        <v>711</v>
      </c>
      <c r="G2525" s="1" t="s">
        <v>712</v>
      </c>
      <c r="H2525" s="1" t="s">
        <v>713</v>
      </c>
      <c r="I2525" s="1" t="s">
        <v>714</v>
      </c>
      <c r="J2525" s="1" t="s">
        <v>1723</v>
      </c>
      <c r="K2525" s="1" t="s">
        <v>11143</v>
      </c>
      <c r="L2525" s="1" t="s">
        <v>11144</v>
      </c>
      <c r="M2525" s="1" t="s">
        <v>718</v>
      </c>
    </row>
    <row r="2526" customFormat="false" ht="15" hidden="false" customHeight="false" outlineLevel="0" collapsed="false">
      <c r="A2526" s="1" t="s">
        <v>11145</v>
      </c>
      <c r="B2526" s="1" t="s">
        <v>11146</v>
      </c>
      <c r="C2526" s="1" t="s">
        <v>1491</v>
      </c>
      <c r="D2526" s="2" t="n">
        <v>38082</v>
      </c>
      <c r="E2526" s="1" t="s">
        <v>710</v>
      </c>
      <c r="F2526" s="1" t="s">
        <v>711</v>
      </c>
      <c r="G2526" s="1" t="s">
        <v>722</v>
      </c>
      <c r="H2526" s="1" t="s">
        <v>713</v>
      </c>
      <c r="I2526" s="1" t="s">
        <v>714</v>
      </c>
      <c r="J2526" s="1" t="s">
        <v>5758</v>
      </c>
      <c r="K2526" s="1" t="s">
        <v>11147</v>
      </c>
      <c r="L2526" s="1" t="s">
        <v>3760</v>
      </c>
      <c r="M2526" s="1" t="s">
        <v>718</v>
      </c>
    </row>
    <row r="2527" customFormat="false" ht="15" hidden="false" customHeight="false" outlineLevel="0" collapsed="false">
      <c r="A2527" s="1" t="s">
        <v>11148</v>
      </c>
      <c r="B2527" s="1" t="s">
        <v>3544</v>
      </c>
      <c r="C2527" s="1" t="s">
        <v>7681</v>
      </c>
      <c r="D2527" s="2" t="n">
        <v>38258</v>
      </c>
      <c r="E2527" s="1" t="s">
        <v>710</v>
      </c>
      <c r="F2527" s="1" t="s">
        <v>711</v>
      </c>
      <c r="G2527" s="1" t="s">
        <v>712</v>
      </c>
      <c r="H2527" s="1" t="s">
        <v>713</v>
      </c>
      <c r="I2527" s="1" t="s">
        <v>714</v>
      </c>
      <c r="J2527" s="1" t="s">
        <v>11149</v>
      </c>
      <c r="K2527" s="1" t="s">
        <v>11150</v>
      </c>
      <c r="L2527" s="1" t="s">
        <v>3235</v>
      </c>
      <c r="M2527" s="1" t="s">
        <v>718</v>
      </c>
    </row>
    <row r="2528" customFormat="false" ht="15" hidden="false" customHeight="false" outlineLevel="0" collapsed="false">
      <c r="A2528" s="1" t="s">
        <v>11151</v>
      </c>
      <c r="B2528" s="1" t="s">
        <v>11152</v>
      </c>
      <c r="C2528" s="1" t="s">
        <v>11153</v>
      </c>
      <c r="D2528" s="2" t="n">
        <v>37950</v>
      </c>
      <c r="E2528" s="1" t="s">
        <v>763</v>
      </c>
      <c r="F2528" s="1" t="s">
        <v>711</v>
      </c>
      <c r="G2528" s="1" t="s">
        <v>722</v>
      </c>
      <c r="H2528" s="1" t="s">
        <v>713</v>
      </c>
      <c r="I2528" s="1" t="s">
        <v>714</v>
      </c>
      <c r="J2528" s="1" t="s">
        <v>805</v>
      </c>
      <c r="K2528" s="1" t="s">
        <v>11154</v>
      </c>
      <c r="L2528" s="1" t="s">
        <v>11155</v>
      </c>
      <c r="M2528" s="1" t="s">
        <v>718</v>
      </c>
    </row>
    <row r="2529" customFormat="false" ht="15" hidden="false" customHeight="false" outlineLevel="0" collapsed="false">
      <c r="A2529" s="1" t="s">
        <v>11156</v>
      </c>
      <c r="B2529" s="1" t="s">
        <v>11157</v>
      </c>
      <c r="C2529" s="1" t="s">
        <v>11158</v>
      </c>
      <c r="D2529" s="2" t="n">
        <v>36998</v>
      </c>
      <c r="E2529" s="1" t="s">
        <v>710</v>
      </c>
      <c r="F2529" s="1" t="s">
        <v>4714</v>
      </c>
      <c r="G2529" s="1" t="s">
        <v>2083</v>
      </c>
      <c r="H2529" s="1" t="s">
        <v>6168</v>
      </c>
      <c r="I2529" s="1" t="s">
        <v>6169</v>
      </c>
      <c r="J2529" s="1" t="s">
        <v>1898</v>
      </c>
      <c r="K2529" s="1" t="s">
        <v>11159</v>
      </c>
      <c r="L2529" s="1" t="s">
        <v>11160</v>
      </c>
      <c r="M2529" s="1" t="s">
        <v>718</v>
      </c>
    </row>
    <row r="2530" customFormat="false" ht="15" hidden="false" customHeight="false" outlineLevel="0" collapsed="false">
      <c r="A2530" s="1" t="s">
        <v>11161</v>
      </c>
      <c r="B2530" s="1" t="s">
        <v>11162</v>
      </c>
      <c r="C2530" s="1" t="s">
        <v>9928</v>
      </c>
      <c r="D2530" s="2" t="n">
        <v>38356</v>
      </c>
      <c r="E2530" s="1" t="s">
        <v>763</v>
      </c>
      <c r="F2530" s="1" t="s">
        <v>711</v>
      </c>
      <c r="G2530" s="1" t="s">
        <v>712</v>
      </c>
      <c r="H2530" s="1" t="s">
        <v>713</v>
      </c>
      <c r="I2530" s="1" t="s">
        <v>714</v>
      </c>
      <c r="J2530" s="1" t="s">
        <v>10633</v>
      </c>
      <c r="K2530" s="1" t="s">
        <v>9929</v>
      </c>
      <c r="L2530" s="1" t="s">
        <v>9930</v>
      </c>
      <c r="M2530" s="1" t="s">
        <v>718</v>
      </c>
    </row>
    <row r="2531" customFormat="false" ht="15" hidden="false" customHeight="false" outlineLevel="0" collapsed="false">
      <c r="A2531" s="1" t="s">
        <v>11163</v>
      </c>
      <c r="B2531" s="1" t="s">
        <v>11164</v>
      </c>
      <c r="C2531" s="1" t="s">
        <v>1332</v>
      </c>
      <c r="D2531" s="2" t="n">
        <v>37694</v>
      </c>
      <c r="E2531" s="1" t="s">
        <v>710</v>
      </c>
      <c r="F2531" s="1" t="s">
        <v>711</v>
      </c>
      <c r="G2531" s="1" t="s">
        <v>722</v>
      </c>
      <c r="H2531" s="1" t="s">
        <v>713</v>
      </c>
      <c r="I2531" s="1" t="s">
        <v>714</v>
      </c>
      <c r="J2531" s="1" t="s">
        <v>6740</v>
      </c>
      <c r="K2531" s="1" t="s">
        <v>11165</v>
      </c>
      <c r="L2531" s="1" t="s">
        <v>1334</v>
      </c>
      <c r="M2531" s="1" t="s">
        <v>718</v>
      </c>
    </row>
    <row r="2532" customFormat="false" ht="15" hidden="false" customHeight="false" outlineLevel="0" collapsed="false">
      <c r="A2532" s="1" t="s">
        <v>11166</v>
      </c>
      <c r="B2532" s="1" t="s">
        <v>10896</v>
      </c>
      <c r="C2532" s="1" t="s">
        <v>3950</v>
      </c>
      <c r="D2532" s="2" t="n">
        <v>37813</v>
      </c>
      <c r="E2532" s="1" t="s">
        <v>710</v>
      </c>
      <c r="F2532" s="1" t="s">
        <v>711</v>
      </c>
      <c r="G2532" s="1" t="s">
        <v>712</v>
      </c>
      <c r="H2532" s="1" t="s">
        <v>713</v>
      </c>
      <c r="I2532" s="1" t="s">
        <v>714</v>
      </c>
      <c r="J2532" s="1" t="s">
        <v>821</v>
      </c>
      <c r="K2532" s="1" t="s">
        <v>11167</v>
      </c>
      <c r="L2532" s="1" t="s">
        <v>3952</v>
      </c>
      <c r="M2532" s="1" t="s">
        <v>718</v>
      </c>
    </row>
    <row r="2533" customFormat="false" ht="15" hidden="false" customHeight="false" outlineLevel="0" collapsed="false">
      <c r="A2533" s="1" t="s">
        <v>11168</v>
      </c>
      <c r="B2533" s="1" t="s">
        <v>11169</v>
      </c>
      <c r="C2533" s="1" t="s">
        <v>1455</v>
      </c>
      <c r="D2533" s="2" t="n">
        <v>38308</v>
      </c>
      <c r="E2533" s="1" t="s">
        <v>763</v>
      </c>
      <c r="F2533" s="1" t="s">
        <v>711</v>
      </c>
      <c r="G2533" s="1" t="s">
        <v>712</v>
      </c>
      <c r="H2533" s="1" t="s">
        <v>713</v>
      </c>
      <c r="I2533" s="1" t="s">
        <v>714</v>
      </c>
      <c r="J2533" s="1" t="s">
        <v>1244</v>
      </c>
      <c r="K2533" s="1" t="s">
        <v>11170</v>
      </c>
      <c r="L2533" s="1" t="s">
        <v>5623</v>
      </c>
      <c r="M2533" s="1" t="s">
        <v>718</v>
      </c>
    </row>
    <row r="2534" customFormat="false" ht="15" hidden="false" customHeight="false" outlineLevel="0" collapsed="false">
      <c r="A2534" s="1" t="s">
        <v>11171</v>
      </c>
      <c r="B2534" s="1" t="s">
        <v>11172</v>
      </c>
      <c r="C2534" s="1" t="s">
        <v>1239</v>
      </c>
      <c r="D2534" s="2" t="n">
        <v>38133</v>
      </c>
      <c r="E2534" s="1" t="s">
        <v>763</v>
      </c>
      <c r="F2534" s="1" t="s">
        <v>711</v>
      </c>
      <c r="G2534" s="1" t="s">
        <v>712</v>
      </c>
      <c r="H2534" s="1" t="s">
        <v>713</v>
      </c>
      <c r="I2534" s="1" t="s">
        <v>714</v>
      </c>
      <c r="J2534" s="1" t="s">
        <v>11173</v>
      </c>
      <c r="K2534" s="1" t="s">
        <v>11174</v>
      </c>
      <c r="L2534" s="1" t="s">
        <v>11175</v>
      </c>
      <c r="M2534" s="1" t="s">
        <v>718</v>
      </c>
    </row>
    <row r="2535" customFormat="false" ht="15" hidden="false" customHeight="false" outlineLevel="0" collapsed="false">
      <c r="A2535" s="1" t="s">
        <v>11176</v>
      </c>
      <c r="B2535" s="1" t="s">
        <v>11177</v>
      </c>
      <c r="C2535" s="1" t="s">
        <v>11178</v>
      </c>
      <c r="D2535" s="2" t="n">
        <v>38168</v>
      </c>
      <c r="E2535" s="1" t="s">
        <v>763</v>
      </c>
      <c r="F2535" s="1" t="s">
        <v>711</v>
      </c>
      <c r="G2535" s="1" t="s">
        <v>712</v>
      </c>
      <c r="H2535" s="1" t="s">
        <v>713</v>
      </c>
      <c r="I2535" s="1" t="s">
        <v>714</v>
      </c>
      <c r="J2535" s="1" t="s">
        <v>5211</v>
      </c>
      <c r="K2535" s="1" t="s">
        <v>11179</v>
      </c>
      <c r="L2535" s="1" t="s">
        <v>10899</v>
      </c>
      <c r="M2535" s="1" t="s">
        <v>718</v>
      </c>
    </row>
    <row r="2536" customFormat="false" ht="15" hidden="false" customHeight="false" outlineLevel="0" collapsed="false">
      <c r="A2536" s="1" t="s">
        <v>11180</v>
      </c>
      <c r="B2536" s="1" t="s">
        <v>11181</v>
      </c>
      <c r="C2536" s="1" t="s">
        <v>11182</v>
      </c>
      <c r="D2536" s="2" t="n">
        <v>38245</v>
      </c>
      <c r="E2536" s="1" t="s">
        <v>710</v>
      </c>
      <c r="F2536" s="1" t="s">
        <v>711</v>
      </c>
      <c r="G2536" s="1" t="s">
        <v>712</v>
      </c>
      <c r="H2536" s="1" t="s">
        <v>713</v>
      </c>
      <c r="I2536" s="1" t="s">
        <v>714</v>
      </c>
      <c r="J2536" s="1" t="s">
        <v>3893</v>
      </c>
      <c r="K2536" s="1" t="s">
        <v>11183</v>
      </c>
      <c r="L2536" s="1" t="s">
        <v>11184</v>
      </c>
      <c r="M2536" s="1" t="s">
        <v>718</v>
      </c>
    </row>
    <row r="2537" customFormat="false" ht="15" hidden="false" customHeight="false" outlineLevel="0" collapsed="false">
      <c r="A2537" s="1" t="s">
        <v>11185</v>
      </c>
      <c r="B2537" s="1" t="s">
        <v>11186</v>
      </c>
      <c r="C2537" s="1" t="s">
        <v>11187</v>
      </c>
      <c r="D2537" s="2" t="n">
        <v>38249</v>
      </c>
      <c r="E2537" s="1" t="s">
        <v>763</v>
      </c>
      <c r="F2537" s="1" t="s">
        <v>711</v>
      </c>
      <c r="G2537" s="1" t="s">
        <v>775</v>
      </c>
      <c r="H2537" s="1" t="s">
        <v>713</v>
      </c>
      <c r="I2537" s="1" t="s">
        <v>714</v>
      </c>
      <c r="J2537" s="1" t="s">
        <v>3678</v>
      </c>
      <c r="K2537" s="1" t="s">
        <v>11188</v>
      </c>
      <c r="L2537" s="1" t="s">
        <v>11189</v>
      </c>
      <c r="M2537" s="1" t="s">
        <v>718</v>
      </c>
    </row>
    <row r="2538" customFormat="false" ht="15" hidden="false" customHeight="false" outlineLevel="0" collapsed="false">
      <c r="A2538" s="1" t="s">
        <v>11190</v>
      </c>
      <c r="B2538" s="1" t="s">
        <v>11191</v>
      </c>
      <c r="C2538" s="1" t="s">
        <v>1567</v>
      </c>
      <c r="D2538" s="2" t="n">
        <v>38343</v>
      </c>
      <c r="E2538" s="1" t="s">
        <v>710</v>
      </c>
      <c r="F2538" s="1" t="s">
        <v>711</v>
      </c>
      <c r="G2538" s="1" t="s">
        <v>712</v>
      </c>
      <c r="H2538" s="1" t="s">
        <v>713</v>
      </c>
      <c r="I2538" s="1" t="s">
        <v>714</v>
      </c>
      <c r="J2538" s="1" t="s">
        <v>1723</v>
      </c>
      <c r="K2538" s="1" t="s">
        <v>11192</v>
      </c>
      <c r="L2538" s="1" t="s">
        <v>1569</v>
      </c>
      <c r="M2538" s="1" t="s">
        <v>718</v>
      </c>
    </row>
    <row r="2539" customFormat="false" ht="15" hidden="false" customHeight="false" outlineLevel="0" collapsed="false">
      <c r="A2539" s="1" t="s">
        <v>11193</v>
      </c>
      <c r="B2539" s="1" t="s">
        <v>11194</v>
      </c>
      <c r="C2539" s="1" t="s">
        <v>11195</v>
      </c>
      <c r="D2539" s="2" t="n">
        <v>38019</v>
      </c>
      <c r="E2539" s="1" t="s">
        <v>710</v>
      </c>
      <c r="F2539" s="1" t="s">
        <v>711</v>
      </c>
      <c r="G2539" s="1" t="s">
        <v>722</v>
      </c>
      <c r="H2539" s="1" t="s">
        <v>713</v>
      </c>
      <c r="I2539" s="1" t="s">
        <v>714</v>
      </c>
      <c r="J2539" s="1" t="s">
        <v>2627</v>
      </c>
      <c r="K2539" s="1" t="s">
        <v>11196</v>
      </c>
      <c r="L2539" s="1" t="s">
        <v>11197</v>
      </c>
      <c r="M2539" s="1" t="s">
        <v>718</v>
      </c>
    </row>
    <row r="2540" customFormat="false" ht="15" hidden="false" customHeight="false" outlineLevel="0" collapsed="false">
      <c r="A2540" s="1" t="s">
        <v>11198</v>
      </c>
      <c r="B2540" s="1" t="s">
        <v>11199</v>
      </c>
      <c r="C2540" s="1" t="s">
        <v>739</v>
      </c>
      <c r="D2540" s="2" t="n">
        <v>37136</v>
      </c>
      <c r="E2540" s="1" t="s">
        <v>763</v>
      </c>
      <c r="F2540" s="1" t="s">
        <v>711</v>
      </c>
      <c r="G2540" s="1" t="s">
        <v>712</v>
      </c>
      <c r="H2540" s="1" t="s">
        <v>713</v>
      </c>
      <c r="I2540" s="1" t="s">
        <v>714</v>
      </c>
      <c r="J2540" s="1" t="s">
        <v>11200</v>
      </c>
      <c r="K2540" s="1" t="s">
        <v>11201</v>
      </c>
      <c r="L2540" s="1" t="s">
        <v>11202</v>
      </c>
      <c r="M2540" s="1" t="s">
        <v>718</v>
      </c>
    </row>
    <row r="2541" customFormat="false" ht="15" hidden="false" customHeight="false" outlineLevel="0" collapsed="false">
      <c r="A2541" s="1" t="s">
        <v>11203</v>
      </c>
      <c r="B2541" s="1" t="s">
        <v>6682</v>
      </c>
      <c r="C2541" s="1" t="s">
        <v>11204</v>
      </c>
      <c r="D2541" s="2" t="n">
        <v>37812</v>
      </c>
      <c r="E2541" s="1" t="s">
        <v>763</v>
      </c>
      <c r="F2541" s="1" t="s">
        <v>711</v>
      </c>
      <c r="G2541" s="1" t="s">
        <v>712</v>
      </c>
      <c r="H2541" s="1" t="s">
        <v>713</v>
      </c>
      <c r="I2541" s="1" t="s">
        <v>714</v>
      </c>
      <c r="J2541" s="1" t="s">
        <v>11205</v>
      </c>
      <c r="K2541" s="1" t="s">
        <v>11206</v>
      </c>
      <c r="L2541" s="1" t="s">
        <v>11207</v>
      </c>
      <c r="M2541" s="1" t="s">
        <v>718</v>
      </c>
    </row>
    <row r="2542" customFormat="false" ht="15" hidden="false" customHeight="false" outlineLevel="0" collapsed="false">
      <c r="A2542" s="1" t="s">
        <v>11208</v>
      </c>
      <c r="B2542" s="1" t="s">
        <v>7711</v>
      </c>
      <c r="C2542" s="1" t="s">
        <v>6285</v>
      </c>
      <c r="D2542" s="2" t="n">
        <v>37447</v>
      </c>
      <c r="E2542" s="1" t="s">
        <v>710</v>
      </c>
      <c r="F2542" s="1" t="s">
        <v>711</v>
      </c>
      <c r="G2542" s="1" t="s">
        <v>712</v>
      </c>
      <c r="H2542" s="1" t="s">
        <v>713</v>
      </c>
      <c r="I2542" s="1" t="s">
        <v>714</v>
      </c>
      <c r="J2542" s="1" t="s">
        <v>11209</v>
      </c>
      <c r="K2542" s="1" t="s">
        <v>11210</v>
      </c>
      <c r="L2542" s="1" t="s">
        <v>6287</v>
      </c>
      <c r="M2542" s="1" t="s">
        <v>718</v>
      </c>
    </row>
    <row r="2543" customFormat="false" ht="15" hidden="false" customHeight="false" outlineLevel="0" collapsed="false">
      <c r="A2543" s="1" t="s">
        <v>11211</v>
      </c>
      <c r="B2543" s="1" t="s">
        <v>11212</v>
      </c>
      <c r="C2543" s="1" t="s">
        <v>1524</v>
      </c>
      <c r="D2543" s="2" t="n">
        <v>38251</v>
      </c>
      <c r="E2543" s="1" t="s">
        <v>763</v>
      </c>
      <c r="F2543" s="1" t="s">
        <v>711</v>
      </c>
      <c r="G2543" s="1" t="s">
        <v>712</v>
      </c>
      <c r="H2543" s="1" t="s">
        <v>713</v>
      </c>
      <c r="I2543" s="1" t="s">
        <v>714</v>
      </c>
      <c r="J2543" s="1" t="s">
        <v>1505</v>
      </c>
      <c r="K2543" s="1" t="s">
        <v>11213</v>
      </c>
      <c r="L2543" s="1" t="s">
        <v>1526</v>
      </c>
      <c r="M2543" s="1" t="s">
        <v>718</v>
      </c>
    </row>
    <row r="2544" customFormat="false" ht="15" hidden="false" customHeight="false" outlineLevel="0" collapsed="false">
      <c r="A2544" s="1" t="s">
        <v>11214</v>
      </c>
      <c r="B2544" s="1" t="s">
        <v>11215</v>
      </c>
      <c r="C2544" s="1" t="s">
        <v>1202</v>
      </c>
      <c r="D2544" s="2" t="n">
        <v>38283</v>
      </c>
      <c r="E2544" s="1" t="s">
        <v>710</v>
      </c>
      <c r="F2544" s="1" t="s">
        <v>711</v>
      </c>
      <c r="G2544" s="1" t="s">
        <v>712</v>
      </c>
      <c r="H2544" s="1" t="s">
        <v>713</v>
      </c>
      <c r="I2544" s="1" t="s">
        <v>714</v>
      </c>
      <c r="J2544" s="1" t="s">
        <v>6775</v>
      </c>
      <c r="K2544" s="1" t="s">
        <v>11216</v>
      </c>
      <c r="L2544" s="1" t="s">
        <v>1203</v>
      </c>
      <c r="M2544" s="1" t="s">
        <v>718</v>
      </c>
    </row>
    <row r="2545" customFormat="false" ht="15" hidden="false" customHeight="false" outlineLevel="0" collapsed="false">
      <c r="A2545" s="1" t="s">
        <v>11217</v>
      </c>
      <c r="B2545" s="1" t="s">
        <v>9101</v>
      </c>
      <c r="C2545" s="1" t="s">
        <v>11218</v>
      </c>
      <c r="D2545" s="2" t="n">
        <v>37907</v>
      </c>
      <c r="E2545" s="1" t="s">
        <v>763</v>
      </c>
      <c r="F2545" s="1" t="s">
        <v>711</v>
      </c>
      <c r="G2545" s="1" t="s">
        <v>897</v>
      </c>
      <c r="H2545" s="1" t="s">
        <v>713</v>
      </c>
      <c r="I2545" s="1" t="s">
        <v>714</v>
      </c>
      <c r="J2545" s="1" t="s">
        <v>1244</v>
      </c>
      <c r="K2545" s="1" t="s">
        <v>716</v>
      </c>
      <c r="L2545" s="1" t="s">
        <v>11219</v>
      </c>
      <c r="M2545" s="1" t="s">
        <v>718</v>
      </c>
    </row>
    <row r="2546" customFormat="false" ht="15" hidden="false" customHeight="false" outlineLevel="0" collapsed="false">
      <c r="A2546" s="1" t="s">
        <v>11220</v>
      </c>
      <c r="B2546" s="1" t="s">
        <v>3601</v>
      </c>
      <c r="C2546" s="1" t="s">
        <v>11221</v>
      </c>
      <c r="D2546" s="2" t="n">
        <v>37975</v>
      </c>
      <c r="E2546" s="1" t="s">
        <v>710</v>
      </c>
      <c r="F2546" s="1" t="s">
        <v>711</v>
      </c>
      <c r="G2546" s="1" t="s">
        <v>722</v>
      </c>
      <c r="H2546" s="1" t="s">
        <v>713</v>
      </c>
      <c r="I2546" s="1" t="s">
        <v>714</v>
      </c>
      <c r="J2546" s="1" t="s">
        <v>2807</v>
      </c>
      <c r="K2546" s="1" t="s">
        <v>11222</v>
      </c>
      <c r="L2546" s="1" t="s">
        <v>11223</v>
      </c>
      <c r="M2546" s="1" t="s">
        <v>718</v>
      </c>
    </row>
    <row r="2547" customFormat="false" ht="15" hidden="false" customHeight="false" outlineLevel="0" collapsed="false">
      <c r="A2547" s="1" t="s">
        <v>11224</v>
      </c>
      <c r="B2547" s="1" t="s">
        <v>11225</v>
      </c>
      <c r="C2547" s="1" t="s">
        <v>2659</v>
      </c>
      <c r="D2547" s="2" t="n">
        <v>38092</v>
      </c>
      <c r="E2547" s="1" t="s">
        <v>710</v>
      </c>
      <c r="F2547" s="1" t="s">
        <v>711</v>
      </c>
      <c r="G2547" s="1" t="s">
        <v>712</v>
      </c>
      <c r="H2547" s="1" t="s">
        <v>713</v>
      </c>
      <c r="I2547" s="1" t="s">
        <v>714</v>
      </c>
      <c r="J2547" s="1" t="s">
        <v>11125</v>
      </c>
      <c r="K2547" s="1" t="s">
        <v>11226</v>
      </c>
      <c r="L2547" s="1" t="s">
        <v>2660</v>
      </c>
      <c r="M2547" s="1" t="s">
        <v>718</v>
      </c>
    </row>
    <row r="2548" customFormat="false" ht="15" hidden="false" customHeight="false" outlineLevel="0" collapsed="false">
      <c r="A2548" s="1" t="s">
        <v>11227</v>
      </c>
      <c r="B2548" s="1" t="s">
        <v>11228</v>
      </c>
      <c r="C2548" s="1" t="s">
        <v>6059</v>
      </c>
      <c r="D2548" s="2" t="n">
        <v>38105</v>
      </c>
      <c r="E2548" s="1" t="s">
        <v>763</v>
      </c>
      <c r="F2548" s="1" t="s">
        <v>711</v>
      </c>
      <c r="G2548" s="1" t="s">
        <v>722</v>
      </c>
      <c r="H2548" s="1" t="s">
        <v>713</v>
      </c>
      <c r="I2548" s="1" t="s">
        <v>714</v>
      </c>
      <c r="J2548" s="1" t="s">
        <v>715</v>
      </c>
      <c r="K2548" s="1" t="s">
        <v>11229</v>
      </c>
      <c r="L2548" s="1" t="s">
        <v>11230</v>
      </c>
      <c r="M2548" s="1" t="s">
        <v>718</v>
      </c>
    </row>
    <row r="2549" customFormat="false" ht="15" hidden="false" customHeight="false" outlineLevel="0" collapsed="false">
      <c r="A2549" s="1" t="s">
        <v>11231</v>
      </c>
      <c r="B2549" s="1" t="s">
        <v>11232</v>
      </c>
      <c r="C2549" s="1" t="s">
        <v>6818</v>
      </c>
      <c r="D2549" s="2" t="n">
        <v>38045</v>
      </c>
      <c r="E2549" s="1" t="s">
        <v>763</v>
      </c>
      <c r="F2549" s="1" t="s">
        <v>711</v>
      </c>
      <c r="G2549" s="1" t="s">
        <v>722</v>
      </c>
      <c r="H2549" s="1" t="s">
        <v>713</v>
      </c>
      <c r="I2549" s="1" t="s">
        <v>714</v>
      </c>
      <c r="J2549" s="1" t="s">
        <v>1244</v>
      </c>
      <c r="K2549" s="1" t="s">
        <v>11233</v>
      </c>
      <c r="L2549" s="1" t="s">
        <v>6820</v>
      </c>
      <c r="M2549" s="1" t="s">
        <v>718</v>
      </c>
    </row>
    <row r="2550" customFormat="false" ht="15" hidden="false" customHeight="false" outlineLevel="0" collapsed="false">
      <c r="A2550" s="1" t="s">
        <v>11234</v>
      </c>
      <c r="B2550" s="1" t="s">
        <v>11235</v>
      </c>
      <c r="C2550" s="1" t="s">
        <v>6742</v>
      </c>
      <c r="D2550" s="2" t="n">
        <v>38200</v>
      </c>
      <c r="E2550" s="1" t="s">
        <v>763</v>
      </c>
      <c r="F2550" s="1" t="s">
        <v>711</v>
      </c>
      <c r="G2550" s="1" t="s">
        <v>722</v>
      </c>
      <c r="H2550" s="1" t="s">
        <v>713</v>
      </c>
      <c r="I2550" s="1" t="s">
        <v>714</v>
      </c>
      <c r="J2550" s="1" t="s">
        <v>11236</v>
      </c>
      <c r="K2550" s="1" t="s">
        <v>11237</v>
      </c>
      <c r="L2550" s="1" t="s">
        <v>6745</v>
      </c>
      <c r="M2550" s="1" t="s">
        <v>718</v>
      </c>
    </row>
    <row r="2551" customFormat="false" ht="15" hidden="false" customHeight="false" outlineLevel="0" collapsed="false">
      <c r="A2551" s="1" t="s">
        <v>11238</v>
      </c>
      <c r="B2551" s="1" t="s">
        <v>11239</v>
      </c>
      <c r="C2551" s="1" t="s">
        <v>11240</v>
      </c>
      <c r="D2551" s="2" t="n">
        <v>38281</v>
      </c>
      <c r="E2551" s="1" t="s">
        <v>763</v>
      </c>
      <c r="F2551" s="1" t="s">
        <v>711</v>
      </c>
      <c r="G2551" s="1" t="s">
        <v>712</v>
      </c>
      <c r="H2551" s="1" t="s">
        <v>713</v>
      </c>
      <c r="I2551" s="1" t="s">
        <v>714</v>
      </c>
      <c r="J2551" s="1" t="s">
        <v>11241</v>
      </c>
      <c r="K2551" s="1" t="s">
        <v>11242</v>
      </c>
      <c r="L2551" s="1" t="s">
        <v>11243</v>
      </c>
      <c r="M2551" s="1" t="s">
        <v>718</v>
      </c>
    </row>
    <row r="2552" customFormat="false" ht="15" hidden="false" customHeight="false" outlineLevel="0" collapsed="false">
      <c r="A2552" s="1" t="s">
        <v>11244</v>
      </c>
      <c r="B2552" s="1" t="s">
        <v>7676</v>
      </c>
      <c r="C2552" s="1" t="s">
        <v>750</v>
      </c>
      <c r="D2552" s="2" t="n">
        <v>37646</v>
      </c>
      <c r="E2552" s="1" t="s">
        <v>710</v>
      </c>
      <c r="F2552" s="1" t="s">
        <v>711</v>
      </c>
      <c r="G2552" s="1" t="s">
        <v>722</v>
      </c>
      <c r="H2552" s="1" t="s">
        <v>713</v>
      </c>
      <c r="I2552" s="1" t="s">
        <v>714</v>
      </c>
      <c r="J2552" s="1" t="s">
        <v>3678</v>
      </c>
      <c r="K2552" s="1" t="s">
        <v>11245</v>
      </c>
      <c r="L2552" s="1" t="s">
        <v>6354</v>
      </c>
      <c r="M2552" s="1" t="s">
        <v>718</v>
      </c>
    </row>
    <row r="2553" customFormat="false" ht="15" hidden="false" customHeight="false" outlineLevel="0" collapsed="false">
      <c r="A2553" s="1" t="s">
        <v>11246</v>
      </c>
      <c r="B2553" s="1" t="s">
        <v>11247</v>
      </c>
      <c r="C2553" s="1" t="s">
        <v>750</v>
      </c>
      <c r="D2553" s="2" t="n">
        <v>38001</v>
      </c>
      <c r="E2553" s="1" t="s">
        <v>710</v>
      </c>
      <c r="F2553" s="1" t="s">
        <v>711</v>
      </c>
      <c r="G2553" s="1" t="s">
        <v>722</v>
      </c>
      <c r="H2553" s="1" t="s">
        <v>713</v>
      </c>
      <c r="I2553" s="1" t="s">
        <v>714</v>
      </c>
      <c r="J2553" s="1" t="s">
        <v>11248</v>
      </c>
      <c r="K2553" s="1" t="s">
        <v>11249</v>
      </c>
      <c r="L2553" s="1" t="s">
        <v>6160</v>
      </c>
      <c r="M2553" s="1" t="s">
        <v>718</v>
      </c>
    </row>
    <row r="2554" customFormat="false" ht="15" hidden="false" customHeight="false" outlineLevel="0" collapsed="false">
      <c r="A2554" s="1" t="s">
        <v>11250</v>
      </c>
      <c r="B2554" s="1" t="s">
        <v>11251</v>
      </c>
      <c r="C2554" s="1" t="s">
        <v>2488</v>
      </c>
      <c r="D2554" s="2" t="n">
        <v>38035</v>
      </c>
      <c r="E2554" s="1" t="s">
        <v>763</v>
      </c>
      <c r="F2554" s="1" t="s">
        <v>711</v>
      </c>
      <c r="G2554" s="1" t="s">
        <v>712</v>
      </c>
      <c r="H2554" s="1" t="s">
        <v>713</v>
      </c>
      <c r="I2554" s="1" t="s">
        <v>714</v>
      </c>
      <c r="J2554" s="1" t="s">
        <v>886</v>
      </c>
      <c r="K2554" s="1" t="s">
        <v>11252</v>
      </c>
      <c r="L2554" s="1" t="s">
        <v>8346</v>
      </c>
      <c r="M2554" s="1" t="s">
        <v>718</v>
      </c>
    </row>
    <row r="2555" customFormat="false" ht="15" hidden="false" customHeight="false" outlineLevel="0" collapsed="false">
      <c r="A2555" s="1" t="s">
        <v>11253</v>
      </c>
      <c r="B2555" s="1" t="s">
        <v>8924</v>
      </c>
      <c r="C2555" s="1" t="s">
        <v>11254</v>
      </c>
      <c r="D2555" s="2" t="n">
        <v>38303</v>
      </c>
      <c r="E2555" s="1" t="s">
        <v>763</v>
      </c>
      <c r="F2555" s="1" t="s">
        <v>711</v>
      </c>
      <c r="G2555" s="1" t="s">
        <v>712</v>
      </c>
      <c r="H2555" s="1" t="s">
        <v>713</v>
      </c>
      <c r="I2555" s="1" t="s">
        <v>714</v>
      </c>
      <c r="J2555" s="1" t="s">
        <v>2664</v>
      </c>
      <c r="K2555" s="1" t="s">
        <v>11255</v>
      </c>
      <c r="L2555" s="1" t="s">
        <v>11256</v>
      </c>
      <c r="M2555" s="1" t="s">
        <v>718</v>
      </c>
    </row>
    <row r="2556" customFormat="false" ht="15" hidden="false" customHeight="false" outlineLevel="0" collapsed="false">
      <c r="A2556" s="1" t="s">
        <v>11257</v>
      </c>
      <c r="B2556" s="1" t="s">
        <v>8169</v>
      </c>
      <c r="C2556" s="1" t="s">
        <v>11258</v>
      </c>
      <c r="D2556" s="2" t="n">
        <v>23757</v>
      </c>
      <c r="E2556" s="1" t="s">
        <v>710</v>
      </c>
      <c r="F2556" s="1" t="s">
        <v>711</v>
      </c>
      <c r="G2556" s="1" t="s">
        <v>712</v>
      </c>
      <c r="H2556" s="1" t="s">
        <v>713</v>
      </c>
      <c r="I2556" s="1" t="s">
        <v>714</v>
      </c>
      <c r="J2556" s="1" t="s">
        <v>716</v>
      </c>
      <c r="K2556" s="1" t="s">
        <v>716</v>
      </c>
      <c r="L2556" s="1" t="s">
        <v>1418</v>
      </c>
      <c r="M2556" s="1" t="s">
        <v>718</v>
      </c>
    </row>
    <row r="2557" customFormat="false" ht="15" hidden="false" customHeight="false" outlineLevel="0" collapsed="false">
      <c r="A2557" s="1" t="s">
        <v>11259</v>
      </c>
      <c r="B2557" s="1" t="s">
        <v>11260</v>
      </c>
      <c r="C2557" s="1" t="s">
        <v>6054</v>
      </c>
      <c r="D2557" s="2" t="n">
        <v>37955</v>
      </c>
      <c r="E2557" s="1" t="s">
        <v>763</v>
      </c>
      <c r="F2557" s="1" t="s">
        <v>711</v>
      </c>
      <c r="G2557" s="1" t="s">
        <v>722</v>
      </c>
      <c r="H2557" s="1" t="s">
        <v>713</v>
      </c>
      <c r="I2557" s="1" t="s">
        <v>714</v>
      </c>
      <c r="J2557" s="1" t="s">
        <v>716</v>
      </c>
      <c r="K2557" s="1" t="s">
        <v>716</v>
      </c>
      <c r="L2557" s="1" t="s">
        <v>11261</v>
      </c>
      <c r="M2557" s="1" t="s">
        <v>718</v>
      </c>
    </row>
    <row r="2558" customFormat="false" ht="15" hidden="false" customHeight="false" outlineLevel="0" collapsed="false">
      <c r="A2558" s="1" t="s">
        <v>11262</v>
      </c>
      <c r="B2558" s="1" t="s">
        <v>7043</v>
      </c>
      <c r="C2558" s="1" t="s">
        <v>6054</v>
      </c>
      <c r="D2558" s="2" t="n">
        <v>37176</v>
      </c>
      <c r="E2558" s="1" t="s">
        <v>710</v>
      </c>
      <c r="F2558" s="1" t="s">
        <v>711</v>
      </c>
      <c r="G2558" s="1" t="s">
        <v>722</v>
      </c>
      <c r="H2558" s="1" t="s">
        <v>713</v>
      </c>
      <c r="I2558" s="1" t="s">
        <v>714</v>
      </c>
      <c r="J2558" s="1" t="s">
        <v>716</v>
      </c>
      <c r="K2558" s="1" t="s">
        <v>716</v>
      </c>
      <c r="L2558" s="1" t="s">
        <v>11261</v>
      </c>
      <c r="M2558" s="1" t="s">
        <v>718</v>
      </c>
    </row>
    <row r="2559" customFormat="false" ht="15" hidden="false" customHeight="false" outlineLevel="0" collapsed="false">
      <c r="A2559" s="1" t="s">
        <v>11263</v>
      </c>
      <c r="B2559" s="1" t="s">
        <v>1614</v>
      </c>
      <c r="C2559" s="1" t="s">
        <v>11264</v>
      </c>
      <c r="D2559" s="2" t="n">
        <v>40867</v>
      </c>
      <c r="E2559" s="1" t="s">
        <v>710</v>
      </c>
      <c r="F2559" s="1" t="s">
        <v>711</v>
      </c>
      <c r="G2559" s="1" t="s">
        <v>722</v>
      </c>
      <c r="H2559" s="1" t="s">
        <v>713</v>
      </c>
      <c r="I2559" s="1" t="s">
        <v>714</v>
      </c>
      <c r="J2559" s="1" t="s">
        <v>716</v>
      </c>
      <c r="K2559" s="1" t="s">
        <v>716</v>
      </c>
      <c r="L2559" s="1" t="s">
        <v>11265</v>
      </c>
      <c r="M2559" s="1" t="s">
        <v>718</v>
      </c>
    </row>
    <row r="2560" customFormat="false" ht="15" hidden="false" customHeight="false" outlineLevel="0" collapsed="false">
      <c r="A2560" s="1" t="s">
        <v>11266</v>
      </c>
      <c r="B2560" s="1" t="s">
        <v>1435</v>
      </c>
      <c r="C2560" s="1" t="s">
        <v>11267</v>
      </c>
      <c r="D2560" s="2" t="n">
        <v>31877</v>
      </c>
      <c r="E2560" s="1" t="s">
        <v>710</v>
      </c>
      <c r="F2560" s="1" t="s">
        <v>711</v>
      </c>
      <c r="G2560" s="1" t="s">
        <v>7296</v>
      </c>
      <c r="H2560" s="1" t="s">
        <v>713</v>
      </c>
      <c r="I2560" s="1" t="s">
        <v>714</v>
      </c>
      <c r="J2560" s="1" t="s">
        <v>716</v>
      </c>
      <c r="K2560" s="1" t="s">
        <v>11268</v>
      </c>
      <c r="L2560" s="1" t="s">
        <v>1418</v>
      </c>
      <c r="M2560" s="1" t="s">
        <v>718</v>
      </c>
    </row>
    <row r="2561" customFormat="false" ht="15" hidden="false" customHeight="false" outlineLevel="0" collapsed="false">
      <c r="A2561" s="1" t="s">
        <v>11269</v>
      </c>
      <c r="B2561" s="1" t="s">
        <v>11270</v>
      </c>
      <c r="C2561" s="1" t="s">
        <v>11271</v>
      </c>
      <c r="D2561" s="2" t="n">
        <v>37801</v>
      </c>
      <c r="E2561" s="1" t="s">
        <v>763</v>
      </c>
      <c r="F2561" s="1" t="s">
        <v>711</v>
      </c>
      <c r="G2561" s="1" t="s">
        <v>11272</v>
      </c>
      <c r="H2561" s="1" t="s">
        <v>1457</v>
      </c>
      <c r="I2561" s="1" t="s">
        <v>1458</v>
      </c>
      <c r="J2561" s="1" t="s">
        <v>790</v>
      </c>
      <c r="K2561" s="1" t="s">
        <v>11273</v>
      </c>
      <c r="L2561" s="1" t="s">
        <v>11274</v>
      </c>
      <c r="M2561" s="1" t="s">
        <v>718</v>
      </c>
    </row>
    <row r="2562" customFormat="false" ht="15" hidden="false" customHeight="false" outlineLevel="0" collapsed="false">
      <c r="A2562" s="1" t="s">
        <v>11275</v>
      </c>
      <c r="B2562" s="1" t="s">
        <v>11276</v>
      </c>
      <c r="C2562" s="1" t="s">
        <v>854</v>
      </c>
      <c r="D2562" s="2" t="n">
        <v>33642</v>
      </c>
      <c r="E2562" s="1" t="s">
        <v>763</v>
      </c>
      <c r="F2562" s="1" t="s">
        <v>711</v>
      </c>
      <c r="G2562" s="1" t="s">
        <v>712</v>
      </c>
      <c r="H2562" s="1" t="s">
        <v>713</v>
      </c>
      <c r="I2562" s="1" t="s">
        <v>714</v>
      </c>
      <c r="J2562" s="1" t="s">
        <v>716</v>
      </c>
      <c r="K2562" s="1" t="s">
        <v>716</v>
      </c>
      <c r="L2562" s="1" t="s">
        <v>1418</v>
      </c>
      <c r="M2562" s="1" t="s">
        <v>718</v>
      </c>
    </row>
    <row r="2563" customFormat="false" ht="15" hidden="false" customHeight="false" outlineLevel="0" collapsed="false">
      <c r="A2563" s="1" t="s">
        <v>11277</v>
      </c>
      <c r="B2563" s="1" t="s">
        <v>11278</v>
      </c>
      <c r="C2563" s="1" t="s">
        <v>2573</v>
      </c>
      <c r="D2563" s="2" t="n">
        <v>33421</v>
      </c>
      <c r="E2563" s="1" t="s">
        <v>763</v>
      </c>
      <c r="F2563" s="1" t="s">
        <v>711</v>
      </c>
      <c r="G2563" s="1" t="s">
        <v>722</v>
      </c>
      <c r="H2563" s="1" t="s">
        <v>713</v>
      </c>
      <c r="I2563" s="1" t="s">
        <v>714</v>
      </c>
      <c r="J2563" s="1" t="s">
        <v>716</v>
      </c>
      <c r="K2563" s="1" t="s">
        <v>716</v>
      </c>
      <c r="L2563" s="1" t="s">
        <v>1418</v>
      </c>
      <c r="M2563" s="1" t="s">
        <v>718</v>
      </c>
    </row>
    <row r="2564" customFormat="false" ht="15" hidden="false" customHeight="false" outlineLevel="0" collapsed="false">
      <c r="A2564" s="1" t="s">
        <v>11279</v>
      </c>
      <c r="B2564" s="1" t="s">
        <v>11280</v>
      </c>
      <c r="C2564" s="1" t="s">
        <v>750</v>
      </c>
      <c r="D2564" s="2" t="n">
        <v>35803</v>
      </c>
      <c r="E2564" s="1" t="s">
        <v>710</v>
      </c>
      <c r="F2564" s="1" t="s">
        <v>711</v>
      </c>
      <c r="G2564" s="1" t="s">
        <v>722</v>
      </c>
      <c r="H2564" s="1" t="s">
        <v>713</v>
      </c>
      <c r="I2564" s="1" t="s">
        <v>714</v>
      </c>
      <c r="J2564" s="1" t="s">
        <v>7296</v>
      </c>
      <c r="K2564" s="1" t="s">
        <v>11281</v>
      </c>
      <c r="L2564" s="1" t="s">
        <v>11265</v>
      </c>
      <c r="M2564" s="1" t="s">
        <v>718</v>
      </c>
    </row>
    <row r="2565" customFormat="false" ht="15" hidden="false" customHeight="false" outlineLevel="0" collapsed="false">
      <c r="A2565" s="1" t="s">
        <v>11282</v>
      </c>
      <c r="B2565" s="1" t="s">
        <v>11283</v>
      </c>
      <c r="C2565" s="1" t="s">
        <v>11284</v>
      </c>
      <c r="D2565" s="2" t="n">
        <v>35044</v>
      </c>
      <c r="E2565" s="1" t="s">
        <v>763</v>
      </c>
      <c r="F2565" s="1" t="s">
        <v>711</v>
      </c>
      <c r="G2565" s="1" t="s">
        <v>722</v>
      </c>
      <c r="H2565" s="1" t="s">
        <v>713</v>
      </c>
      <c r="I2565" s="1" t="s">
        <v>714</v>
      </c>
      <c r="J2565" s="1" t="s">
        <v>11285</v>
      </c>
      <c r="K2565" s="1" t="s">
        <v>11286</v>
      </c>
      <c r="L2565" s="1" t="s">
        <v>1418</v>
      </c>
      <c r="M2565" s="1" t="s">
        <v>718</v>
      </c>
    </row>
    <row r="2566" customFormat="false" ht="15" hidden="false" customHeight="false" outlineLevel="0" collapsed="false">
      <c r="A2566" s="1" t="s">
        <v>11287</v>
      </c>
      <c r="B2566" s="1" t="s">
        <v>11288</v>
      </c>
      <c r="C2566" s="1" t="s">
        <v>11289</v>
      </c>
      <c r="D2566" s="2" t="n">
        <v>31465</v>
      </c>
      <c r="E2566" s="1" t="s">
        <v>710</v>
      </c>
      <c r="F2566" s="1" t="s">
        <v>711</v>
      </c>
      <c r="G2566" s="1" t="s">
        <v>712</v>
      </c>
      <c r="H2566" s="1" t="s">
        <v>713</v>
      </c>
      <c r="I2566" s="1" t="s">
        <v>714</v>
      </c>
      <c r="J2566" s="1" t="s">
        <v>716</v>
      </c>
      <c r="K2566" s="1" t="s">
        <v>716</v>
      </c>
      <c r="L2566" s="1" t="s">
        <v>1418</v>
      </c>
      <c r="M2566" s="1" t="s">
        <v>718</v>
      </c>
    </row>
    <row r="2567" customFormat="false" ht="15" hidden="false" customHeight="false" outlineLevel="0" collapsed="false">
      <c r="A2567" s="1" t="s">
        <v>11290</v>
      </c>
      <c r="B2567" s="1" t="s">
        <v>11291</v>
      </c>
      <c r="C2567" s="1" t="s">
        <v>11292</v>
      </c>
      <c r="D2567" s="2" t="n">
        <v>32952</v>
      </c>
      <c r="E2567" s="1" t="s">
        <v>763</v>
      </c>
      <c r="F2567" s="1" t="s">
        <v>711</v>
      </c>
      <c r="G2567" s="1" t="s">
        <v>712</v>
      </c>
      <c r="H2567" s="1" t="s">
        <v>713</v>
      </c>
      <c r="I2567" s="1" t="s">
        <v>714</v>
      </c>
      <c r="J2567" s="1" t="s">
        <v>716</v>
      </c>
      <c r="K2567" s="1" t="s">
        <v>716</v>
      </c>
      <c r="L2567" s="1" t="s">
        <v>1418</v>
      </c>
      <c r="M2567" s="1" t="s">
        <v>718</v>
      </c>
    </row>
    <row r="2568" customFormat="false" ht="15" hidden="false" customHeight="false" outlineLevel="0" collapsed="false">
      <c r="A2568" s="1" t="s">
        <v>11293</v>
      </c>
      <c r="B2568" s="1" t="s">
        <v>11294</v>
      </c>
      <c r="C2568" s="1" t="s">
        <v>6751</v>
      </c>
      <c r="D2568" s="2" t="n">
        <v>34488</v>
      </c>
      <c r="E2568" s="1" t="s">
        <v>763</v>
      </c>
      <c r="F2568" s="1" t="s">
        <v>711</v>
      </c>
      <c r="G2568" s="1" t="s">
        <v>712</v>
      </c>
      <c r="H2568" s="1" t="s">
        <v>713</v>
      </c>
      <c r="I2568" s="1" t="s">
        <v>714</v>
      </c>
      <c r="J2568" s="1" t="s">
        <v>716</v>
      </c>
      <c r="K2568" s="1" t="s">
        <v>716</v>
      </c>
      <c r="L2568" s="1" t="s">
        <v>1418</v>
      </c>
      <c r="M2568" s="1" t="s">
        <v>718</v>
      </c>
    </row>
    <row r="2569" customFormat="false" ht="15" hidden="false" customHeight="false" outlineLevel="0" collapsed="false">
      <c r="A2569" s="1" t="s">
        <v>11295</v>
      </c>
      <c r="B2569" s="1" t="s">
        <v>11296</v>
      </c>
      <c r="C2569" s="1" t="s">
        <v>11297</v>
      </c>
      <c r="D2569" s="2" t="n">
        <v>34941</v>
      </c>
      <c r="E2569" s="1" t="s">
        <v>763</v>
      </c>
      <c r="F2569" s="1" t="s">
        <v>711</v>
      </c>
      <c r="G2569" s="1" t="s">
        <v>712</v>
      </c>
      <c r="H2569" s="1" t="s">
        <v>713</v>
      </c>
      <c r="I2569" s="1" t="s">
        <v>714</v>
      </c>
      <c r="J2569" s="1" t="s">
        <v>716</v>
      </c>
      <c r="K2569" s="1" t="s">
        <v>716</v>
      </c>
      <c r="L2569" s="1" t="s">
        <v>1418</v>
      </c>
      <c r="M2569" s="1" t="s">
        <v>718</v>
      </c>
    </row>
    <row r="2570" customFormat="false" ht="15" hidden="false" customHeight="false" outlineLevel="0" collapsed="false">
      <c r="A2570" s="1" t="s">
        <v>11298</v>
      </c>
      <c r="B2570" s="1" t="s">
        <v>11299</v>
      </c>
      <c r="C2570" s="1" t="s">
        <v>2524</v>
      </c>
      <c r="D2570" s="2" t="n">
        <v>38339</v>
      </c>
      <c r="E2570" s="1" t="s">
        <v>763</v>
      </c>
      <c r="F2570" s="1" t="s">
        <v>711</v>
      </c>
      <c r="G2570" s="1" t="s">
        <v>712</v>
      </c>
      <c r="H2570" s="1" t="s">
        <v>713</v>
      </c>
      <c r="I2570" s="1" t="s">
        <v>714</v>
      </c>
      <c r="J2570" s="1" t="s">
        <v>716</v>
      </c>
      <c r="K2570" s="1" t="s">
        <v>716</v>
      </c>
      <c r="L2570" s="1" t="s">
        <v>2526</v>
      </c>
      <c r="M2570" s="1" t="s">
        <v>718</v>
      </c>
    </row>
    <row r="2571" customFormat="false" ht="15" hidden="false" customHeight="false" outlineLevel="0" collapsed="false">
      <c r="A2571" s="1" t="s">
        <v>11300</v>
      </c>
      <c r="B2571" s="1" t="s">
        <v>11301</v>
      </c>
      <c r="C2571" s="1" t="s">
        <v>5308</v>
      </c>
      <c r="D2571" s="2" t="n">
        <v>31153</v>
      </c>
      <c r="E2571" s="1" t="s">
        <v>763</v>
      </c>
      <c r="F2571" s="1" t="s">
        <v>711</v>
      </c>
      <c r="G2571" s="1" t="s">
        <v>712</v>
      </c>
      <c r="H2571" s="1" t="s">
        <v>713</v>
      </c>
      <c r="I2571" s="1" t="s">
        <v>714</v>
      </c>
      <c r="J2571" s="1" t="s">
        <v>716</v>
      </c>
      <c r="K2571" s="1" t="s">
        <v>716</v>
      </c>
      <c r="L2571" s="1" t="s">
        <v>1418</v>
      </c>
      <c r="M2571" s="1" t="s">
        <v>718</v>
      </c>
    </row>
    <row r="2572" customFormat="false" ht="15" hidden="false" customHeight="false" outlineLevel="0" collapsed="false">
      <c r="A2572" s="1" t="s">
        <v>11302</v>
      </c>
      <c r="B2572" s="1" t="s">
        <v>11303</v>
      </c>
      <c r="C2572" s="1" t="s">
        <v>11304</v>
      </c>
      <c r="D2572" s="2" t="n">
        <v>32322</v>
      </c>
      <c r="E2572" s="1" t="s">
        <v>710</v>
      </c>
      <c r="F2572" s="1" t="s">
        <v>711</v>
      </c>
      <c r="G2572" s="1" t="s">
        <v>712</v>
      </c>
      <c r="H2572" s="1" t="s">
        <v>713</v>
      </c>
      <c r="I2572" s="1" t="s">
        <v>714</v>
      </c>
      <c r="J2572" s="1" t="s">
        <v>716</v>
      </c>
      <c r="K2572" s="1" t="s">
        <v>716</v>
      </c>
      <c r="L2572" s="1" t="s">
        <v>1418</v>
      </c>
      <c r="M2572" s="1" t="s">
        <v>718</v>
      </c>
    </row>
    <row r="2573" customFormat="false" ht="15" hidden="false" customHeight="false" outlineLevel="0" collapsed="false">
      <c r="A2573" s="1" t="s">
        <v>11305</v>
      </c>
      <c r="B2573" s="1" t="s">
        <v>11306</v>
      </c>
      <c r="C2573" s="1" t="s">
        <v>11307</v>
      </c>
      <c r="D2573" s="2" t="n">
        <v>37560</v>
      </c>
      <c r="E2573" s="1" t="s">
        <v>763</v>
      </c>
      <c r="F2573" s="1" t="s">
        <v>711</v>
      </c>
      <c r="G2573" s="1" t="s">
        <v>712</v>
      </c>
      <c r="H2573" s="1" t="s">
        <v>713</v>
      </c>
      <c r="I2573" s="1" t="s">
        <v>714</v>
      </c>
      <c r="J2573" s="1" t="s">
        <v>821</v>
      </c>
      <c r="K2573" s="1" t="s">
        <v>716</v>
      </c>
      <c r="L2573" s="1" t="s">
        <v>11308</v>
      </c>
      <c r="M2573" s="1" t="s">
        <v>718</v>
      </c>
    </row>
    <row r="2574" customFormat="false" ht="15" hidden="false" customHeight="false" outlineLevel="0" collapsed="false">
      <c r="A2574" s="1" t="s">
        <v>11309</v>
      </c>
      <c r="B2574" s="1" t="s">
        <v>11310</v>
      </c>
      <c r="C2574" s="1" t="s">
        <v>11311</v>
      </c>
      <c r="D2574" s="2" t="n">
        <v>32746</v>
      </c>
      <c r="E2574" s="1" t="s">
        <v>763</v>
      </c>
      <c r="F2574" s="1" t="s">
        <v>711</v>
      </c>
      <c r="G2574" s="1" t="s">
        <v>712</v>
      </c>
      <c r="H2574" s="1" t="s">
        <v>713</v>
      </c>
      <c r="I2574" s="1" t="s">
        <v>714</v>
      </c>
      <c r="J2574" s="1" t="s">
        <v>716</v>
      </c>
      <c r="K2574" s="1" t="s">
        <v>716</v>
      </c>
      <c r="L2574" s="1" t="s">
        <v>1418</v>
      </c>
      <c r="M2574" s="1" t="s">
        <v>718</v>
      </c>
    </row>
    <row r="2575" customFormat="false" ht="15" hidden="false" customHeight="false" outlineLevel="0" collapsed="false">
      <c r="A2575" s="1" t="s">
        <v>11312</v>
      </c>
      <c r="B2575" s="1" t="s">
        <v>3591</v>
      </c>
      <c r="C2575" s="1" t="s">
        <v>2406</v>
      </c>
      <c r="D2575" s="2" t="n">
        <v>33917</v>
      </c>
      <c r="E2575" s="1" t="s">
        <v>763</v>
      </c>
      <c r="F2575" s="1" t="s">
        <v>711</v>
      </c>
      <c r="G2575" s="1" t="s">
        <v>712</v>
      </c>
      <c r="H2575" s="1" t="s">
        <v>713</v>
      </c>
      <c r="I2575" s="1" t="s">
        <v>714</v>
      </c>
      <c r="J2575" s="1" t="s">
        <v>716</v>
      </c>
      <c r="K2575" s="1" t="s">
        <v>716</v>
      </c>
      <c r="L2575" s="1" t="s">
        <v>1418</v>
      </c>
      <c r="M2575" s="1" t="s">
        <v>718</v>
      </c>
    </row>
    <row r="2576" customFormat="false" ht="15" hidden="false" customHeight="false" outlineLevel="0" collapsed="false">
      <c r="A2576" s="1" t="s">
        <v>11313</v>
      </c>
      <c r="B2576" s="1" t="s">
        <v>11314</v>
      </c>
      <c r="C2576" s="1" t="s">
        <v>11315</v>
      </c>
      <c r="D2576" s="2" t="n">
        <v>34625</v>
      </c>
      <c r="E2576" s="1" t="s">
        <v>763</v>
      </c>
      <c r="F2576" s="1" t="s">
        <v>711</v>
      </c>
      <c r="G2576" s="1" t="s">
        <v>712</v>
      </c>
      <c r="H2576" s="1" t="s">
        <v>713</v>
      </c>
      <c r="I2576" s="1" t="s">
        <v>714</v>
      </c>
      <c r="J2576" s="1" t="s">
        <v>716</v>
      </c>
      <c r="K2576" s="1" t="s">
        <v>716</v>
      </c>
      <c r="L2576" s="1" t="s">
        <v>1418</v>
      </c>
      <c r="M2576" s="1" t="s">
        <v>718</v>
      </c>
    </row>
    <row r="2577" customFormat="false" ht="15" hidden="false" customHeight="false" outlineLevel="0" collapsed="false">
      <c r="A2577" s="1" t="s">
        <v>11316</v>
      </c>
      <c r="B2577" s="1" t="s">
        <v>11317</v>
      </c>
      <c r="C2577" s="1" t="s">
        <v>11318</v>
      </c>
      <c r="D2577" s="2" t="n">
        <v>36062</v>
      </c>
      <c r="E2577" s="1" t="s">
        <v>710</v>
      </c>
      <c r="F2577" s="1" t="s">
        <v>711</v>
      </c>
      <c r="G2577" s="1" t="s">
        <v>712</v>
      </c>
      <c r="H2577" s="1" t="s">
        <v>713</v>
      </c>
      <c r="I2577" s="1" t="s">
        <v>714</v>
      </c>
      <c r="J2577" s="1" t="s">
        <v>11319</v>
      </c>
      <c r="K2577" s="1" t="s">
        <v>11320</v>
      </c>
      <c r="L2577" s="1" t="s">
        <v>11321</v>
      </c>
      <c r="M2577" s="1" t="s">
        <v>718</v>
      </c>
    </row>
    <row r="2578" customFormat="false" ht="15" hidden="false" customHeight="false" outlineLevel="0" collapsed="false">
      <c r="A2578" s="1" t="s">
        <v>11322</v>
      </c>
      <c r="B2578" s="1" t="s">
        <v>11323</v>
      </c>
      <c r="C2578" s="1" t="s">
        <v>11324</v>
      </c>
      <c r="D2578" s="2" t="n">
        <v>37714</v>
      </c>
      <c r="E2578" s="1" t="s">
        <v>763</v>
      </c>
      <c r="F2578" s="1" t="s">
        <v>711</v>
      </c>
      <c r="G2578" s="1" t="s">
        <v>722</v>
      </c>
      <c r="H2578" s="1" t="s">
        <v>713</v>
      </c>
      <c r="I2578" s="1" t="s">
        <v>714</v>
      </c>
      <c r="J2578" s="1" t="s">
        <v>716</v>
      </c>
      <c r="K2578" s="1" t="s">
        <v>716</v>
      </c>
      <c r="L2578" s="1" t="s">
        <v>1418</v>
      </c>
      <c r="M2578" s="1" t="s">
        <v>718</v>
      </c>
    </row>
    <row r="2579" customFormat="false" ht="15" hidden="false" customHeight="false" outlineLevel="0" collapsed="false">
      <c r="A2579" s="1" t="s">
        <v>11325</v>
      </c>
      <c r="B2579" s="1" t="s">
        <v>11326</v>
      </c>
      <c r="C2579" s="1" t="s">
        <v>11324</v>
      </c>
      <c r="D2579" s="2" t="n">
        <v>37287</v>
      </c>
      <c r="E2579" s="1" t="s">
        <v>763</v>
      </c>
      <c r="F2579" s="1" t="s">
        <v>711</v>
      </c>
      <c r="G2579" s="1" t="s">
        <v>712</v>
      </c>
      <c r="H2579" s="1" t="s">
        <v>713</v>
      </c>
      <c r="I2579" s="1" t="s">
        <v>714</v>
      </c>
      <c r="J2579" s="1" t="s">
        <v>716</v>
      </c>
      <c r="K2579" s="1" t="s">
        <v>716</v>
      </c>
      <c r="L2579" s="1" t="s">
        <v>1418</v>
      </c>
      <c r="M2579" s="1" t="s">
        <v>718</v>
      </c>
    </row>
    <row r="2580" customFormat="false" ht="15" hidden="false" customHeight="false" outlineLevel="0" collapsed="false">
      <c r="A2580" s="1" t="s">
        <v>11327</v>
      </c>
      <c r="B2580" s="1" t="s">
        <v>6848</v>
      </c>
      <c r="C2580" s="1" t="s">
        <v>11328</v>
      </c>
      <c r="D2580" s="2" t="n">
        <v>34755</v>
      </c>
      <c r="E2580" s="1" t="s">
        <v>763</v>
      </c>
      <c r="F2580" s="1" t="s">
        <v>711</v>
      </c>
      <c r="G2580" s="1" t="s">
        <v>722</v>
      </c>
      <c r="H2580" s="1" t="s">
        <v>713</v>
      </c>
      <c r="I2580" s="1" t="s">
        <v>714</v>
      </c>
      <c r="J2580" s="1" t="s">
        <v>716</v>
      </c>
      <c r="K2580" s="1" t="s">
        <v>716</v>
      </c>
      <c r="L2580" s="1" t="s">
        <v>1418</v>
      </c>
      <c r="M2580" s="1" t="s">
        <v>718</v>
      </c>
    </row>
    <row r="2581" customFormat="false" ht="15" hidden="false" customHeight="false" outlineLevel="0" collapsed="false">
      <c r="A2581" s="1" t="s">
        <v>11329</v>
      </c>
      <c r="B2581" s="1" t="s">
        <v>11330</v>
      </c>
      <c r="C2581" s="1" t="s">
        <v>7812</v>
      </c>
      <c r="D2581" s="2" t="n">
        <v>34781</v>
      </c>
      <c r="E2581" s="1" t="s">
        <v>710</v>
      </c>
      <c r="F2581" s="1" t="s">
        <v>711</v>
      </c>
      <c r="G2581" s="1" t="s">
        <v>712</v>
      </c>
      <c r="H2581" s="1" t="s">
        <v>713</v>
      </c>
      <c r="I2581" s="1" t="s">
        <v>714</v>
      </c>
      <c r="J2581" s="1" t="s">
        <v>716</v>
      </c>
      <c r="K2581" s="1" t="s">
        <v>716</v>
      </c>
      <c r="L2581" s="1" t="s">
        <v>1418</v>
      </c>
      <c r="M2581" s="1" t="s">
        <v>718</v>
      </c>
    </row>
    <row r="2582" customFormat="false" ht="15" hidden="false" customHeight="false" outlineLevel="0" collapsed="false">
      <c r="A2582" s="1" t="s">
        <v>11331</v>
      </c>
      <c r="B2582" s="1" t="s">
        <v>11332</v>
      </c>
      <c r="C2582" s="1" t="s">
        <v>11333</v>
      </c>
      <c r="D2582" s="2" t="n">
        <v>26043</v>
      </c>
      <c r="E2582" s="1" t="s">
        <v>763</v>
      </c>
      <c r="F2582" s="1" t="s">
        <v>711</v>
      </c>
      <c r="G2582" s="1" t="s">
        <v>712</v>
      </c>
      <c r="H2582" s="1" t="s">
        <v>713</v>
      </c>
      <c r="I2582" s="1" t="s">
        <v>714</v>
      </c>
      <c r="J2582" s="1" t="s">
        <v>716</v>
      </c>
      <c r="K2582" s="1" t="s">
        <v>716</v>
      </c>
      <c r="L2582" s="1" t="s">
        <v>1418</v>
      </c>
      <c r="M2582" s="1" t="s">
        <v>718</v>
      </c>
    </row>
    <row r="2583" customFormat="false" ht="15" hidden="false" customHeight="false" outlineLevel="0" collapsed="false">
      <c r="A2583" s="1" t="s">
        <v>11334</v>
      </c>
      <c r="B2583" s="1" t="s">
        <v>11335</v>
      </c>
      <c r="C2583" s="1" t="s">
        <v>11336</v>
      </c>
      <c r="D2583" s="2" t="n">
        <v>33177</v>
      </c>
      <c r="E2583" s="1" t="s">
        <v>710</v>
      </c>
      <c r="F2583" s="1" t="s">
        <v>711</v>
      </c>
      <c r="G2583" s="1" t="s">
        <v>712</v>
      </c>
      <c r="H2583" s="1" t="s">
        <v>713</v>
      </c>
      <c r="I2583" s="1" t="s">
        <v>714</v>
      </c>
      <c r="J2583" s="1" t="s">
        <v>716</v>
      </c>
      <c r="K2583" s="1" t="s">
        <v>716</v>
      </c>
      <c r="L2583" s="1" t="s">
        <v>1418</v>
      </c>
      <c r="M2583" s="1" t="s">
        <v>718</v>
      </c>
    </row>
    <row r="2584" customFormat="false" ht="15" hidden="false" customHeight="false" outlineLevel="0" collapsed="false">
      <c r="A2584" s="1" t="s">
        <v>11337</v>
      </c>
      <c r="B2584" s="1" t="s">
        <v>1712</v>
      </c>
      <c r="C2584" s="1" t="s">
        <v>11338</v>
      </c>
      <c r="D2584" s="2" t="n">
        <v>38169</v>
      </c>
      <c r="E2584" s="1" t="s">
        <v>710</v>
      </c>
      <c r="F2584" s="1" t="s">
        <v>711</v>
      </c>
      <c r="G2584" s="1" t="s">
        <v>712</v>
      </c>
      <c r="H2584" s="1" t="s">
        <v>713</v>
      </c>
      <c r="I2584" s="1" t="s">
        <v>714</v>
      </c>
      <c r="J2584" s="1" t="s">
        <v>1131</v>
      </c>
      <c r="K2584" s="1" t="s">
        <v>11339</v>
      </c>
      <c r="L2584" s="1" t="s">
        <v>11340</v>
      </c>
      <c r="M2584" s="1" t="s">
        <v>718</v>
      </c>
    </row>
    <row r="2585" customFormat="false" ht="15" hidden="false" customHeight="false" outlineLevel="0" collapsed="false">
      <c r="A2585" s="1" t="s">
        <v>11341</v>
      </c>
      <c r="B2585" s="1" t="s">
        <v>11342</v>
      </c>
      <c r="C2585" s="1" t="s">
        <v>11343</v>
      </c>
      <c r="D2585" s="2" t="n">
        <v>30596</v>
      </c>
      <c r="E2585" s="1" t="s">
        <v>710</v>
      </c>
      <c r="F2585" s="1" t="s">
        <v>711</v>
      </c>
      <c r="G2585" s="1" t="s">
        <v>712</v>
      </c>
      <c r="H2585" s="1" t="s">
        <v>713</v>
      </c>
      <c r="I2585" s="1" t="s">
        <v>714</v>
      </c>
      <c r="J2585" s="1" t="s">
        <v>11344</v>
      </c>
      <c r="K2585" s="1" t="s">
        <v>11345</v>
      </c>
      <c r="L2585" s="1" t="s">
        <v>1418</v>
      </c>
      <c r="M2585" s="1" t="s">
        <v>718</v>
      </c>
    </row>
    <row r="2586" customFormat="false" ht="15" hidden="false" customHeight="false" outlineLevel="0" collapsed="false">
      <c r="A2586" s="1" t="s">
        <v>11346</v>
      </c>
      <c r="B2586" s="1" t="s">
        <v>11347</v>
      </c>
      <c r="C2586" s="1" t="s">
        <v>5439</v>
      </c>
      <c r="D2586" s="2" t="n">
        <v>35281</v>
      </c>
      <c r="E2586" s="1" t="s">
        <v>710</v>
      </c>
      <c r="F2586" s="1" t="s">
        <v>711</v>
      </c>
      <c r="G2586" s="1" t="s">
        <v>722</v>
      </c>
      <c r="H2586" s="1" t="s">
        <v>713</v>
      </c>
      <c r="I2586" s="1" t="s">
        <v>714</v>
      </c>
      <c r="J2586" s="1" t="s">
        <v>716</v>
      </c>
      <c r="K2586" s="1" t="s">
        <v>716</v>
      </c>
      <c r="L2586" s="1" t="s">
        <v>1418</v>
      </c>
      <c r="M2586" s="1" t="s">
        <v>718</v>
      </c>
    </row>
    <row r="2587" customFormat="false" ht="15" hidden="false" customHeight="false" outlineLevel="0" collapsed="false">
      <c r="A2587" s="1" t="s">
        <v>11348</v>
      </c>
      <c r="B2587" s="1" t="s">
        <v>11349</v>
      </c>
      <c r="C2587" s="1" t="s">
        <v>11350</v>
      </c>
      <c r="D2587" s="2" t="n">
        <v>37393</v>
      </c>
      <c r="E2587" s="1" t="s">
        <v>710</v>
      </c>
      <c r="F2587" s="1" t="s">
        <v>711</v>
      </c>
      <c r="G2587" s="1" t="s">
        <v>1220</v>
      </c>
      <c r="H2587" s="1" t="s">
        <v>713</v>
      </c>
      <c r="I2587" s="1" t="s">
        <v>714</v>
      </c>
      <c r="J2587" s="1" t="s">
        <v>3678</v>
      </c>
      <c r="K2587" s="1" t="s">
        <v>11351</v>
      </c>
      <c r="L2587" s="1" t="s">
        <v>11352</v>
      </c>
      <c r="M2587" s="1" t="s">
        <v>718</v>
      </c>
    </row>
    <row r="2588" customFormat="false" ht="15" hidden="false" customHeight="false" outlineLevel="0" collapsed="false">
      <c r="A2588" s="1" t="s">
        <v>11353</v>
      </c>
      <c r="B2588" s="1" t="s">
        <v>11354</v>
      </c>
      <c r="C2588" s="1" t="s">
        <v>5732</v>
      </c>
      <c r="D2588" s="2" t="n">
        <v>37484</v>
      </c>
      <c r="E2588" s="1" t="s">
        <v>763</v>
      </c>
      <c r="F2588" s="1" t="s">
        <v>711</v>
      </c>
      <c r="G2588" s="1" t="s">
        <v>712</v>
      </c>
      <c r="H2588" s="1" t="s">
        <v>713</v>
      </c>
      <c r="I2588" s="1" t="s">
        <v>714</v>
      </c>
      <c r="J2588" s="1" t="s">
        <v>790</v>
      </c>
      <c r="K2588" s="1" t="s">
        <v>11355</v>
      </c>
      <c r="L2588" s="1" t="s">
        <v>11356</v>
      </c>
      <c r="M2588" s="1" t="s">
        <v>718</v>
      </c>
    </row>
    <row r="2589" customFormat="false" ht="15" hidden="false" customHeight="false" outlineLevel="0" collapsed="false">
      <c r="A2589" s="1" t="s">
        <v>11357</v>
      </c>
      <c r="B2589" s="1" t="s">
        <v>11358</v>
      </c>
      <c r="C2589" s="1" t="s">
        <v>11359</v>
      </c>
      <c r="D2589" s="2" t="n">
        <v>27598</v>
      </c>
      <c r="E2589" s="1" t="s">
        <v>763</v>
      </c>
      <c r="F2589" s="1" t="s">
        <v>711</v>
      </c>
      <c r="G2589" s="1" t="s">
        <v>712</v>
      </c>
      <c r="H2589" s="1" t="s">
        <v>713</v>
      </c>
      <c r="I2589" s="1" t="s">
        <v>714</v>
      </c>
      <c r="J2589" s="1" t="s">
        <v>716</v>
      </c>
      <c r="K2589" s="1" t="s">
        <v>716</v>
      </c>
      <c r="L2589" s="1" t="s">
        <v>1418</v>
      </c>
      <c r="M2589" s="1" t="s">
        <v>718</v>
      </c>
    </row>
    <row r="2590" customFormat="false" ht="15" hidden="false" customHeight="false" outlineLevel="0" collapsed="false">
      <c r="A2590" s="1" t="s">
        <v>11360</v>
      </c>
      <c r="B2590" s="1" t="s">
        <v>11361</v>
      </c>
      <c r="C2590" s="1" t="s">
        <v>11362</v>
      </c>
      <c r="D2590" s="2" t="n">
        <v>33167</v>
      </c>
      <c r="E2590" s="1" t="s">
        <v>763</v>
      </c>
      <c r="F2590" s="1" t="s">
        <v>711</v>
      </c>
      <c r="G2590" s="1" t="s">
        <v>722</v>
      </c>
      <c r="H2590" s="1" t="s">
        <v>713</v>
      </c>
      <c r="I2590" s="1" t="s">
        <v>714</v>
      </c>
      <c r="J2590" s="1" t="s">
        <v>716</v>
      </c>
      <c r="K2590" s="1" t="s">
        <v>716</v>
      </c>
      <c r="L2590" s="1" t="s">
        <v>1418</v>
      </c>
      <c r="M2590" s="1" t="s">
        <v>718</v>
      </c>
    </row>
    <row r="2591" customFormat="false" ht="15" hidden="false" customHeight="false" outlineLevel="0" collapsed="false">
      <c r="A2591" s="1" t="s">
        <v>11363</v>
      </c>
      <c r="B2591" s="1" t="s">
        <v>11364</v>
      </c>
      <c r="C2591" s="1" t="s">
        <v>4996</v>
      </c>
      <c r="D2591" s="2" t="n">
        <v>35422</v>
      </c>
      <c r="E2591" s="1" t="s">
        <v>763</v>
      </c>
      <c r="F2591" s="1" t="s">
        <v>711</v>
      </c>
      <c r="G2591" s="1" t="s">
        <v>712</v>
      </c>
      <c r="H2591" s="1" t="s">
        <v>713</v>
      </c>
      <c r="I2591" s="1" t="s">
        <v>714</v>
      </c>
      <c r="J2591" s="1" t="s">
        <v>716</v>
      </c>
      <c r="K2591" s="1" t="s">
        <v>716</v>
      </c>
      <c r="L2591" s="1" t="s">
        <v>1418</v>
      </c>
      <c r="M2591" s="1" t="s">
        <v>718</v>
      </c>
    </row>
    <row r="2592" customFormat="false" ht="15" hidden="false" customHeight="false" outlineLevel="0" collapsed="false">
      <c r="A2592" s="1" t="s">
        <v>11365</v>
      </c>
      <c r="B2592" s="1" t="s">
        <v>11366</v>
      </c>
      <c r="C2592" s="1" t="s">
        <v>11367</v>
      </c>
      <c r="D2592" s="2" t="n">
        <v>33550</v>
      </c>
      <c r="E2592" s="1" t="s">
        <v>763</v>
      </c>
      <c r="F2592" s="1" t="s">
        <v>711</v>
      </c>
      <c r="G2592" s="1" t="s">
        <v>9029</v>
      </c>
      <c r="H2592" s="1" t="s">
        <v>713</v>
      </c>
      <c r="I2592" s="1" t="s">
        <v>714</v>
      </c>
      <c r="J2592" s="1" t="s">
        <v>716</v>
      </c>
      <c r="K2592" s="1" t="s">
        <v>716</v>
      </c>
      <c r="L2592" s="1" t="s">
        <v>1418</v>
      </c>
      <c r="M2592" s="1" t="s">
        <v>718</v>
      </c>
    </row>
    <row r="2593" customFormat="false" ht="15" hidden="false" customHeight="false" outlineLevel="0" collapsed="false">
      <c r="A2593" s="1" t="s">
        <v>11368</v>
      </c>
      <c r="B2593" s="1" t="s">
        <v>11369</v>
      </c>
      <c r="C2593" s="1" t="s">
        <v>8651</v>
      </c>
      <c r="D2593" s="2" t="n">
        <v>33608</v>
      </c>
      <c r="E2593" s="1" t="s">
        <v>710</v>
      </c>
      <c r="F2593" s="1" t="s">
        <v>711</v>
      </c>
      <c r="G2593" s="1" t="s">
        <v>3534</v>
      </c>
      <c r="H2593" s="1" t="s">
        <v>713</v>
      </c>
      <c r="I2593" s="1" t="s">
        <v>714</v>
      </c>
      <c r="J2593" s="1" t="s">
        <v>716</v>
      </c>
      <c r="K2593" s="1" t="s">
        <v>716</v>
      </c>
      <c r="L2593" s="1" t="s">
        <v>1418</v>
      </c>
      <c r="M2593" s="1" t="s">
        <v>718</v>
      </c>
    </row>
    <row r="2594" customFormat="false" ht="15" hidden="false" customHeight="false" outlineLevel="0" collapsed="false">
      <c r="A2594" s="1" t="s">
        <v>11370</v>
      </c>
      <c r="B2594" s="1" t="s">
        <v>11371</v>
      </c>
      <c r="C2594" s="1" t="s">
        <v>11372</v>
      </c>
      <c r="D2594" s="2" t="n">
        <v>32900</v>
      </c>
      <c r="E2594" s="1" t="s">
        <v>710</v>
      </c>
      <c r="F2594" s="1" t="s">
        <v>711</v>
      </c>
      <c r="G2594" s="1" t="s">
        <v>712</v>
      </c>
      <c r="H2594" s="1" t="s">
        <v>713</v>
      </c>
      <c r="I2594" s="1" t="s">
        <v>714</v>
      </c>
      <c r="J2594" s="1" t="s">
        <v>716</v>
      </c>
      <c r="K2594" s="1" t="s">
        <v>716</v>
      </c>
      <c r="L2594" s="1" t="s">
        <v>1418</v>
      </c>
      <c r="M2594" s="1" t="s">
        <v>718</v>
      </c>
    </row>
    <row r="2595" customFormat="false" ht="15" hidden="false" customHeight="false" outlineLevel="0" collapsed="false">
      <c r="A2595" s="1" t="s">
        <v>11373</v>
      </c>
      <c r="B2595" s="1" t="s">
        <v>1668</v>
      </c>
      <c r="C2595" s="1" t="s">
        <v>11374</v>
      </c>
      <c r="D2595" s="2" t="n">
        <v>36524</v>
      </c>
      <c r="E2595" s="1" t="s">
        <v>710</v>
      </c>
      <c r="F2595" s="1" t="s">
        <v>711</v>
      </c>
      <c r="G2595" s="1" t="s">
        <v>712</v>
      </c>
      <c r="H2595" s="1" t="s">
        <v>713</v>
      </c>
      <c r="I2595" s="1" t="s">
        <v>714</v>
      </c>
      <c r="J2595" s="1" t="s">
        <v>1131</v>
      </c>
      <c r="K2595" s="1" t="s">
        <v>11375</v>
      </c>
      <c r="L2595" s="1" t="s">
        <v>11376</v>
      </c>
      <c r="M2595" s="1" t="s">
        <v>718</v>
      </c>
    </row>
    <row r="2596" customFormat="false" ht="15" hidden="false" customHeight="false" outlineLevel="0" collapsed="false">
      <c r="A2596" s="1" t="s">
        <v>11377</v>
      </c>
      <c r="B2596" s="1" t="s">
        <v>981</v>
      </c>
      <c r="C2596" s="1" t="s">
        <v>11378</v>
      </c>
      <c r="D2596" s="2" t="n">
        <v>33167</v>
      </c>
      <c r="E2596" s="1" t="s">
        <v>710</v>
      </c>
      <c r="F2596" s="1" t="s">
        <v>711</v>
      </c>
      <c r="G2596" s="1" t="s">
        <v>712</v>
      </c>
      <c r="H2596" s="1" t="s">
        <v>713</v>
      </c>
      <c r="I2596" s="1" t="s">
        <v>714</v>
      </c>
      <c r="J2596" s="1" t="s">
        <v>716</v>
      </c>
      <c r="K2596" s="1" t="s">
        <v>716</v>
      </c>
      <c r="L2596" s="1" t="s">
        <v>1418</v>
      </c>
      <c r="M2596" s="1" t="s">
        <v>718</v>
      </c>
    </row>
    <row r="2597" customFormat="false" ht="15" hidden="false" customHeight="false" outlineLevel="0" collapsed="false">
      <c r="A2597" s="1" t="s">
        <v>11379</v>
      </c>
      <c r="B2597" s="1" t="s">
        <v>11380</v>
      </c>
      <c r="C2597" s="1" t="s">
        <v>2632</v>
      </c>
      <c r="D2597" s="2" t="n">
        <v>30943</v>
      </c>
      <c r="E2597" s="1" t="s">
        <v>763</v>
      </c>
      <c r="F2597" s="1" t="s">
        <v>711</v>
      </c>
      <c r="G2597" s="1" t="s">
        <v>712</v>
      </c>
      <c r="H2597" s="1" t="s">
        <v>713</v>
      </c>
      <c r="I2597" s="1" t="s">
        <v>714</v>
      </c>
      <c r="J2597" s="1" t="s">
        <v>716</v>
      </c>
      <c r="K2597" s="1" t="s">
        <v>716</v>
      </c>
      <c r="L2597" s="1" t="s">
        <v>834</v>
      </c>
      <c r="M2597" s="1" t="s">
        <v>718</v>
      </c>
    </row>
    <row r="2598" customFormat="false" ht="15" hidden="false" customHeight="false" outlineLevel="0" collapsed="false">
      <c r="A2598" s="1" t="s">
        <v>11381</v>
      </c>
      <c r="B2598" s="1" t="s">
        <v>11382</v>
      </c>
      <c r="C2598" s="1" t="s">
        <v>9080</v>
      </c>
      <c r="D2598" s="2" t="n">
        <v>31697</v>
      </c>
      <c r="E2598" s="1" t="s">
        <v>710</v>
      </c>
      <c r="F2598" s="1" t="s">
        <v>711</v>
      </c>
      <c r="G2598" s="1" t="s">
        <v>722</v>
      </c>
      <c r="H2598" s="1" t="s">
        <v>713</v>
      </c>
      <c r="I2598" s="1" t="s">
        <v>714</v>
      </c>
      <c r="J2598" s="1" t="s">
        <v>11383</v>
      </c>
      <c r="K2598" s="1" t="s">
        <v>11345</v>
      </c>
      <c r="L2598" s="1" t="s">
        <v>1418</v>
      </c>
      <c r="M2598" s="1" t="s">
        <v>718</v>
      </c>
    </row>
    <row r="2599" customFormat="false" ht="15" hidden="false" customHeight="false" outlineLevel="0" collapsed="false">
      <c r="A2599" s="1" t="s">
        <v>11384</v>
      </c>
      <c r="B2599" s="1" t="s">
        <v>11385</v>
      </c>
      <c r="C2599" s="1" t="s">
        <v>11386</v>
      </c>
      <c r="D2599" s="2" t="n">
        <v>37396</v>
      </c>
      <c r="E2599" s="1" t="s">
        <v>710</v>
      </c>
      <c r="F2599" s="1" t="s">
        <v>711</v>
      </c>
      <c r="G2599" s="1" t="s">
        <v>11387</v>
      </c>
      <c r="H2599" s="1" t="s">
        <v>5299</v>
      </c>
      <c r="I2599" s="1" t="s">
        <v>5300</v>
      </c>
      <c r="J2599" s="1" t="s">
        <v>892</v>
      </c>
      <c r="K2599" s="1" t="s">
        <v>11388</v>
      </c>
      <c r="L2599" s="1" t="s">
        <v>5953</v>
      </c>
      <c r="M2599" s="1" t="s">
        <v>718</v>
      </c>
    </row>
    <row r="2600" customFormat="false" ht="15" hidden="false" customHeight="false" outlineLevel="0" collapsed="false">
      <c r="A2600" s="1" t="s">
        <v>11389</v>
      </c>
      <c r="B2600" s="1" t="s">
        <v>11390</v>
      </c>
      <c r="C2600" s="1" t="s">
        <v>11391</v>
      </c>
      <c r="D2600" s="2" t="n">
        <v>38325</v>
      </c>
      <c r="E2600" s="1" t="s">
        <v>710</v>
      </c>
      <c r="F2600" s="1" t="s">
        <v>711</v>
      </c>
      <c r="G2600" s="1" t="s">
        <v>964</v>
      </c>
      <c r="H2600" s="1" t="s">
        <v>713</v>
      </c>
      <c r="I2600" s="1" t="s">
        <v>714</v>
      </c>
      <c r="J2600" s="1" t="s">
        <v>1244</v>
      </c>
      <c r="K2600" s="1" t="s">
        <v>11392</v>
      </c>
      <c r="L2600" s="1" t="s">
        <v>11393</v>
      </c>
      <c r="M2600" s="1" t="s">
        <v>718</v>
      </c>
    </row>
    <row r="2601" customFormat="false" ht="15" hidden="false" customHeight="false" outlineLevel="0" collapsed="false">
      <c r="A2601" s="1" t="s">
        <v>11394</v>
      </c>
      <c r="B2601" s="1" t="s">
        <v>11395</v>
      </c>
      <c r="C2601" s="1" t="s">
        <v>11396</v>
      </c>
      <c r="D2601" s="2" t="n">
        <v>36486</v>
      </c>
      <c r="E2601" s="1" t="s">
        <v>763</v>
      </c>
      <c r="F2601" s="1" t="s">
        <v>711</v>
      </c>
      <c r="G2601" s="1" t="s">
        <v>712</v>
      </c>
      <c r="H2601" s="1" t="s">
        <v>713</v>
      </c>
      <c r="I2601" s="1" t="s">
        <v>714</v>
      </c>
      <c r="J2601" s="1" t="s">
        <v>4239</v>
      </c>
      <c r="K2601" s="1" t="s">
        <v>716</v>
      </c>
      <c r="L2601" s="1" t="s">
        <v>11397</v>
      </c>
      <c r="M2601" s="1" t="s">
        <v>718</v>
      </c>
    </row>
    <row r="2602" customFormat="false" ht="15" hidden="false" customHeight="false" outlineLevel="0" collapsed="false">
      <c r="A2602" s="1" t="s">
        <v>11398</v>
      </c>
      <c r="B2602" s="1" t="s">
        <v>11399</v>
      </c>
      <c r="C2602" s="1" t="s">
        <v>7072</v>
      </c>
      <c r="D2602" s="2" t="n">
        <v>33518</v>
      </c>
      <c r="E2602" s="1" t="s">
        <v>763</v>
      </c>
      <c r="F2602" s="1" t="s">
        <v>711</v>
      </c>
      <c r="G2602" s="1" t="s">
        <v>722</v>
      </c>
      <c r="H2602" s="1" t="s">
        <v>713</v>
      </c>
      <c r="I2602" s="1" t="s">
        <v>714</v>
      </c>
      <c r="J2602" s="1" t="s">
        <v>716</v>
      </c>
      <c r="K2602" s="1" t="s">
        <v>10321</v>
      </c>
      <c r="L2602" s="1" t="s">
        <v>1418</v>
      </c>
      <c r="M2602" s="1" t="s">
        <v>718</v>
      </c>
    </row>
    <row r="2603" customFormat="false" ht="15" hidden="false" customHeight="false" outlineLevel="0" collapsed="false">
      <c r="A2603" s="1" t="s">
        <v>11400</v>
      </c>
      <c r="B2603" s="1" t="s">
        <v>11401</v>
      </c>
      <c r="C2603" s="1" t="s">
        <v>8833</v>
      </c>
      <c r="D2603" s="2" t="n">
        <v>34017</v>
      </c>
      <c r="E2603" s="1" t="s">
        <v>763</v>
      </c>
      <c r="F2603" s="1" t="s">
        <v>711</v>
      </c>
      <c r="G2603" s="1" t="s">
        <v>722</v>
      </c>
      <c r="H2603" s="1" t="s">
        <v>713</v>
      </c>
      <c r="I2603" s="1" t="s">
        <v>714</v>
      </c>
      <c r="J2603" s="1" t="s">
        <v>716</v>
      </c>
      <c r="K2603" s="1" t="s">
        <v>716</v>
      </c>
      <c r="L2603" s="1" t="s">
        <v>1418</v>
      </c>
      <c r="M2603" s="1" t="s">
        <v>718</v>
      </c>
    </row>
    <row r="2604" customFormat="false" ht="15" hidden="false" customHeight="false" outlineLevel="0" collapsed="false">
      <c r="A2604" s="1" t="s">
        <v>11402</v>
      </c>
      <c r="B2604" s="1" t="s">
        <v>11403</v>
      </c>
      <c r="C2604" s="1" t="s">
        <v>11404</v>
      </c>
      <c r="D2604" s="2" t="n">
        <v>36115</v>
      </c>
      <c r="E2604" s="1" t="s">
        <v>763</v>
      </c>
      <c r="F2604" s="1" t="s">
        <v>4714</v>
      </c>
      <c r="G2604" s="1" t="s">
        <v>11405</v>
      </c>
      <c r="H2604" s="1" t="s">
        <v>2083</v>
      </c>
      <c r="I2604" s="1" t="s">
        <v>2084</v>
      </c>
      <c r="J2604" s="1" t="s">
        <v>716</v>
      </c>
      <c r="K2604" s="1" t="s">
        <v>716</v>
      </c>
      <c r="L2604" s="1" t="s">
        <v>10138</v>
      </c>
      <c r="M2604" s="1" t="s">
        <v>2083</v>
      </c>
    </row>
    <row r="2605" customFormat="false" ht="15" hidden="false" customHeight="false" outlineLevel="0" collapsed="false">
      <c r="A2605" s="1" t="s">
        <v>11406</v>
      </c>
      <c r="B2605" s="1" t="s">
        <v>11407</v>
      </c>
      <c r="C2605" s="1" t="s">
        <v>3775</v>
      </c>
      <c r="D2605" s="2" t="n">
        <v>30974</v>
      </c>
      <c r="E2605" s="1" t="s">
        <v>710</v>
      </c>
      <c r="F2605" s="1" t="s">
        <v>711</v>
      </c>
      <c r="G2605" s="1" t="s">
        <v>712</v>
      </c>
      <c r="H2605" s="1" t="s">
        <v>713</v>
      </c>
      <c r="I2605" s="1" t="s">
        <v>714</v>
      </c>
      <c r="J2605" s="1" t="s">
        <v>716</v>
      </c>
      <c r="K2605" s="1" t="s">
        <v>716</v>
      </c>
      <c r="L2605" s="1" t="s">
        <v>1418</v>
      </c>
      <c r="M2605" s="1" t="s">
        <v>718</v>
      </c>
    </row>
    <row r="2606" customFormat="false" ht="15" hidden="false" customHeight="false" outlineLevel="0" collapsed="false">
      <c r="A2606" s="1" t="s">
        <v>11408</v>
      </c>
      <c r="B2606" s="1" t="s">
        <v>11409</v>
      </c>
      <c r="C2606" s="1" t="s">
        <v>1139</v>
      </c>
      <c r="D2606" s="2" t="n">
        <v>30430</v>
      </c>
      <c r="E2606" s="1" t="s">
        <v>763</v>
      </c>
      <c r="F2606" s="1" t="s">
        <v>711</v>
      </c>
      <c r="G2606" s="1" t="s">
        <v>712</v>
      </c>
      <c r="H2606" s="1" t="s">
        <v>713</v>
      </c>
      <c r="I2606" s="1" t="s">
        <v>714</v>
      </c>
      <c r="J2606" s="1" t="s">
        <v>716</v>
      </c>
      <c r="K2606" s="1" t="s">
        <v>716</v>
      </c>
      <c r="L2606" s="1" t="s">
        <v>1418</v>
      </c>
      <c r="M2606" s="1" t="s">
        <v>718</v>
      </c>
    </row>
    <row r="2607" customFormat="false" ht="15" hidden="false" customHeight="false" outlineLevel="0" collapsed="false">
      <c r="A2607" s="1" t="s">
        <v>11410</v>
      </c>
      <c r="B2607" s="1" t="s">
        <v>11411</v>
      </c>
      <c r="C2607" s="1" t="s">
        <v>1518</v>
      </c>
      <c r="D2607" s="2" t="n">
        <v>38649</v>
      </c>
      <c r="E2607" s="1" t="s">
        <v>710</v>
      </c>
      <c r="F2607" s="1" t="s">
        <v>711</v>
      </c>
      <c r="G2607" s="1" t="s">
        <v>722</v>
      </c>
      <c r="H2607" s="1" t="s">
        <v>713</v>
      </c>
      <c r="I2607" s="1" t="s">
        <v>714</v>
      </c>
      <c r="J2607" s="1" t="s">
        <v>11412</v>
      </c>
      <c r="K2607" s="1" t="s">
        <v>11413</v>
      </c>
      <c r="L2607" s="1" t="s">
        <v>5240</v>
      </c>
      <c r="M2607" s="1" t="s">
        <v>718</v>
      </c>
    </row>
    <row r="2608" customFormat="false" ht="15" hidden="false" customHeight="false" outlineLevel="0" collapsed="false">
      <c r="A2608" s="1" t="s">
        <v>11414</v>
      </c>
      <c r="B2608" s="1" t="s">
        <v>11415</v>
      </c>
      <c r="C2608" s="1" t="s">
        <v>11416</v>
      </c>
      <c r="D2608" s="2" t="n">
        <v>38676</v>
      </c>
      <c r="E2608" s="1" t="s">
        <v>763</v>
      </c>
      <c r="F2608" s="1" t="s">
        <v>711</v>
      </c>
      <c r="G2608" s="1" t="s">
        <v>712</v>
      </c>
      <c r="H2608" s="1" t="s">
        <v>713</v>
      </c>
      <c r="I2608" s="1" t="s">
        <v>714</v>
      </c>
      <c r="J2608" s="1" t="s">
        <v>3534</v>
      </c>
      <c r="K2608" s="1" t="s">
        <v>11417</v>
      </c>
      <c r="L2608" s="1" t="s">
        <v>1245</v>
      </c>
      <c r="M2608" s="1" t="s">
        <v>718</v>
      </c>
    </row>
    <row r="2609" customFormat="false" ht="15" hidden="false" customHeight="false" outlineLevel="0" collapsed="false">
      <c r="A2609" s="1" t="s">
        <v>11418</v>
      </c>
      <c r="B2609" s="1" t="s">
        <v>11419</v>
      </c>
      <c r="C2609" s="1" t="s">
        <v>3878</v>
      </c>
      <c r="D2609" s="2" t="n">
        <v>38308</v>
      </c>
      <c r="E2609" s="1" t="s">
        <v>710</v>
      </c>
      <c r="F2609" s="1" t="s">
        <v>711</v>
      </c>
      <c r="G2609" s="1" t="s">
        <v>712</v>
      </c>
      <c r="H2609" s="1" t="s">
        <v>713</v>
      </c>
      <c r="I2609" s="1" t="s">
        <v>714</v>
      </c>
      <c r="J2609" s="1" t="s">
        <v>1544</v>
      </c>
      <c r="K2609" s="1" t="s">
        <v>11420</v>
      </c>
      <c r="L2609" s="1" t="s">
        <v>3881</v>
      </c>
      <c r="M2609" s="1" t="s">
        <v>718</v>
      </c>
    </row>
    <row r="2610" customFormat="false" ht="15" hidden="false" customHeight="false" outlineLevel="0" collapsed="false">
      <c r="A2610" s="1" t="s">
        <v>11421</v>
      </c>
      <c r="B2610" s="1" t="s">
        <v>10637</v>
      </c>
      <c r="C2610" s="1" t="s">
        <v>4370</v>
      </c>
      <c r="D2610" s="2" t="n">
        <v>38604</v>
      </c>
      <c r="E2610" s="1" t="s">
        <v>763</v>
      </c>
      <c r="F2610" s="1" t="s">
        <v>711</v>
      </c>
      <c r="G2610" s="1" t="s">
        <v>712</v>
      </c>
      <c r="H2610" s="1" t="s">
        <v>713</v>
      </c>
      <c r="I2610" s="1" t="s">
        <v>714</v>
      </c>
      <c r="J2610" s="1" t="s">
        <v>821</v>
      </c>
      <c r="K2610" s="1" t="s">
        <v>11422</v>
      </c>
      <c r="L2610" s="1" t="s">
        <v>11423</v>
      </c>
      <c r="M2610" s="1" t="s">
        <v>718</v>
      </c>
    </row>
    <row r="2611" customFormat="false" ht="15" hidden="false" customHeight="false" outlineLevel="0" collapsed="false">
      <c r="A2611" s="1" t="s">
        <v>11424</v>
      </c>
      <c r="B2611" s="1" t="s">
        <v>11425</v>
      </c>
      <c r="C2611" s="1" t="s">
        <v>11426</v>
      </c>
      <c r="D2611" s="2" t="n">
        <v>38689</v>
      </c>
      <c r="E2611" s="1" t="s">
        <v>710</v>
      </c>
      <c r="F2611" s="1" t="s">
        <v>711</v>
      </c>
      <c r="G2611" s="1" t="s">
        <v>712</v>
      </c>
      <c r="H2611" s="1" t="s">
        <v>713</v>
      </c>
      <c r="I2611" s="1" t="s">
        <v>714</v>
      </c>
      <c r="J2611" s="1" t="s">
        <v>1530</v>
      </c>
      <c r="K2611" s="1" t="s">
        <v>11427</v>
      </c>
      <c r="L2611" s="1" t="s">
        <v>4552</v>
      </c>
      <c r="M2611" s="1" t="s">
        <v>718</v>
      </c>
    </row>
    <row r="2612" customFormat="false" ht="15" hidden="false" customHeight="false" outlineLevel="0" collapsed="false">
      <c r="A2612" s="1" t="s">
        <v>11428</v>
      </c>
      <c r="B2612" s="1" t="s">
        <v>11429</v>
      </c>
      <c r="C2612" s="1" t="s">
        <v>11430</v>
      </c>
      <c r="D2612" s="2" t="n">
        <v>38569</v>
      </c>
      <c r="E2612" s="1" t="s">
        <v>710</v>
      </c>
      <c r="F2612" s="1" t="s">
        <v>711</v>
      </c>
      <c r="G2612" s="1" t="s">
        <v>712</v>
      </c>
      <c r="H2612" s="1" t="s">
        <v>713</v>
      </c>
      <c r="I2612" s="1" t="s">
        <v>714</v>
      </c>
      <c r="J2612" s="1" t="s">
        <v>7543</v>
      </c>
      <c r="K2612" s="1" t="s">
        <v>11431</v>
      </c>
      <c r="L2612" s="1" t="s">
        <v>11432</v>
      </c>
      <c r="M2612" s="1" t="s">
        <v>718</v>
      </c>
    </row>
    <row r="2613" customFormat="false" ht="15" hidden="false" customHeight="false" outlineLevel="0" collapsed="false">
      <c r="A2613" s="1" t="s">
        <v>11433</v>
      </c>
      <c r="B2613" s="1" t="s">
        <v>11434</v>
      </c>
      <c r="C2613" s="1" t="s">
        <v>1148</v>
      </c>
      <c r="D2613" s="2" t="n">
        <v>38521</v>
      </c>
      <c r="E2613" s="1" t="s">
        <v>763</v>
      </c>
      <c r="F2613" s="1" t="s">
        <v>711</v>
      </c>
      <c r="G2613" s="1" t="s">
        <v>712</v>
      </c>
      <c r="H2613" s="1" t="s">
        <v>713</v>
      </c>
      <c r="I2613" s="1" t="s">
        <v>714</v>
      </c>
      <c r="J2613" s="1" t="s">
        <v>1149</v>
      </c>
      <c r="K2613" s="1" t="s">
        <v>11435</v>
      </c>
      <c r="L2613" s="1" t="s">
        <v>1151</v>
      </c>
      <c r="M2613" s="1" t="s">
        <v>718</v>
      </c>
    </row>
    <row r="2614" customFormat="false" ht="15" hidden="false" customHeight="false" outlineLevel="0" collapsed="false">
      <c r="A2614" s="1" t="s">
        <v>11436</v>
      </c>
      <c r="B2614" s="1" t="s">
        <v>11437</v>
      </c>
      <c r="C2614" s="1" t="s">
        <v>11438</v>
      </c>
      <c r="D2614" s="2" t="n">
        <v>38574</v>
      </c>
      <c r="E2614" s="1" t="s">
        <v>763</v>
      </c>
      <c r="F2614" s="1" t="s">
        <v>711</v>
      </c>
      <c r="G2614" s="1" t="s">
        <v>712</v>
      </c>
      <c r="H2614" s="1" t="s">
        <v>713</v>
      </c>
      <c r="I2614" s="1" t="s">
        <v>714</v>
      </c>
      <c r="J2614" s="1" t="s">
        <v>7374</v>
      </c>
      <c r="K2614" s="1" t="s">
        <v>11439</v>
      </c>
      <c r="L2614" s="1" t="s">
        <v>4419</v>
      </c>
      <c r="M2614" s="1" t="s">
        <v>718</v>
      </c>
    </row>
    <row r="2615" customFormat="false" ht="15" hidden="false" customHeight="false" outlineLevel="0" collapsed="false">
      <c r="A2615" s="1" t="s">
        <v>11440</v>
      </c>
      <c r="B2615" s="1" t="s">
        <v>4838</v>
      </c>
      <c r="C2615" s="1" t="s">
        <v>1588</v>
      </c>
      <c r="D2615" s="2" t="n">
        <v>38694</v>
      </c>
      <c r="E2615" s="1" t="s">
        <v>763</v>
      </c>
      <c r="F2615" s="1" t="s">
        <v>711</v>
      </c>
      <c r="G2615" s="1" t="s">
        <v>722</v>
      </c>
      <c r="H2615" s="1" t="s">
        <v>713</v>
      </c>
      <c r="I2615" s="1" t="s">
        <v>714</v>
      </c>
      <c r="J2615" s="1" t="s">
        <v>11412</v>
      </c>
      <c r="K2615" s="1" t="s">
        <v>11441</v>
      </c>
      <c r="L2615" s="1" t="s">
        <v>1589</v>
      </c>
      <c r="M2615" s="1" t="s">
        <v>718</v>
      </c>
    </row>
    <row r="2616" customFormat="false" ht="15" hidden="false" customHeight="false" outlineLevel="0" collapsed="false">
      <c r="A2616" s="1" t="s">
        <v>11442</v>
      </c>
      <c r="B2616" s="1" t="s">
        <v>11443</v>
      </c>
      <c r="C2616" s="1" t="s">
        <v>6888</v>
      </c>
      <c r="D2616" s="2" t="n">
        <v>38644</v>
      </c>
      <c r="E2616" s="1" t="s">
        <v>763</v>
      </c>
      <c r="F2616" s="1" t="s">
        <v>711</v>
      </c>
      <c r="G2616" s="1" t="s">
        <v>712</v>
      </c>
      <c r="H2616" s="1" t="s">
        <v>713</v>
      </c>
      <c r="I2616" s="1" t="s">
        <v>714</v>
      </c>
      <c r="J2616" s="1" t="s">
        <v>928</v>
      </c>
      <c r="K2616" s="1" t="s">
        <v>11444</v>
      </c>
      <c r="L2616" s="1" t="s">
        <v>11445</v>
      </c>
      <c r="M2616" s="1" t="s">
        <v>718</v>
      </c>
    </row>
    <row r="2617" customFormat="false" ht="15" hidden="false" customHeight="false" outlineLevel="0" collapsed="false">
      <c r="A2617" s="1" t="s">
        <v>11446</v>
      </c>
      <c r="B2617" s="1" t="s">
        <v>1668</v>
      </c>
      <c r="C2617" s="1" t="s">
        <v>11447</v>
      </c>
      <c r="D2617" s="2" t="n">
        <v>38420</v>
      </c>
      <c r="E2617" s="1" t="s">
        <v>710</v>
      </c>
      <c r="F2617" s="1" t="s">
        <v>711</v>
      </c>
      <c r="G2617" s="1" t="s">
        <v>722</v>
      </c>
      <c r="H2617" s="1" t="s">
        <v>713</v>
      </c>
      <c r="I2617" s="1" t="s">
        <v>714</v>
      </c>
      <c r="J2617" s="1" t="s">
        <v>838</v>
      </c>
      <c r="K2617" s="1" t="s">
        <v>11448</v>
      </c>
      <c r="L2617" s="1" t="s">
        <v>9676</v>
      </c>
      <c r="M2617" s="1" t="s">
        <v>718</v>
      </c>
    </row>
    <row r="2618" customFormat="false" ht="15" hidden="false" customHeight="false" outlineLevel="0" collapsed="false">
      <c r="A2618" s="1" t="s">
        <v>11449</v>
      </c>
      <c r="B2618" s="1" t="s">
        <v>11450</v>
      </c>
      <c r="C2618" s="1" t="s">
        <v>11451</v>
      </c>
      <c r="D2618" s="2" t="n">
        <v>38526</v>
      </c>
      <c r="E2618" s="1" t="s">
        <v>763</v>
      </c>
      <c r="F2618" s="1" t="s">
        <v>711</v>
      </c>
      <c r="G2618" s="1" t="s">
        <v>712</v>
      </c>
      <c r="H2618" s="1" t="s">
        <v>713</v>
      </c>
      <c r="I2618" s="1" t="s">
        <v>714</v>
      </c>
      <c r="J2618" s="1" t="s">
        <v>859</v>
      </c>
      <c r="K2618" s="1" t="s">
        <v>11452</v>
      </c>
      <c r="L2618" s="1" t="s">
        <v>1190</v>
      </c>
      <c r="M2618" s="1" t="s">
        <v>718</v>
      </c>
    </row>
    <row r="2619" customFormat="false" ht="15" hidden="false" customHeight="false" outlineLevel="0" collapsed="false">
      <c r="A2619" s="1" t="s">
        <v>11453</v>
      </c>
      <c r="B2619" s="1" t="s">
        <v>11454</v>
      </c>
      <c r="C2619" s="1" t="s">
        <v>1104</v>
      </c>
      <c r="D2619" s="2" t="n">
        <v>38611</v>
      </c>
      <c r="E2619" s="1" t="s">
        <v>710</v>
      </c>
      <c r="F2619" s="1" t="s">
        <v>711</v>
      </c>
      <c r="G2619" s="1" t="s">
        <v>712</v>
      </c>
      <c r="H2619" s="1" t="s">
        <v>713</v>
      </c>
      <c r="I2619" s="1" t="s">
        <v>714</v>
      </c>
      <c r="J2619" s="1" t="s">
        <v>11052</v>
      </c>
      <c r="K2619" s="1" t="s">
        <v>10943</v>
      </c>
      <c r="L2619" s="1" t="s">
        <v>1106</v>
      </c>
      <c r="M2619" s="1" t="s">
        <v>718</v>
      </c>
    </row>
    <row r="2620" customFormat="false" ht="15" hidden="false" customHeight="false" outlineLevel="0" collapsed="false">
      <c r="A2620" s="1" t="s">
        <v>11455</v>
      </c>
      <c r="B2620" s="1" t="s">
        <v>7404</v>
      </c>
      <c r="C2620" s="1" t="s">
        <v>11456</v>
      </c>
      <c r="D2620" s="2" t="n">
        <v>38244</v>
      </c>
      <c r="E2620" s="1" t="s">
        <v>710</v>
      </c>
      <c r="F2620" s="1" t="s">
        <v>711</v>
      </c>
      <c r="G2620" s="1" t="s">
        <v>712</v>
      </c>
      <c r="H2620" s="1" t="s">
        <v>713</v>
      </c>
      <c r="I2620" s="1" t="s">
        <v>714</v>
      </c>
      <c r="J2620" s="1" t="s">
        <v>1244</v>
      </c>
      <c r="K2620" s="1" t="s">
        <v>11457</v>
      </c>
      <c r="L2620" s="1" t="s">
        <v>11458</v>
      </c>
      <c r="M2620" s="1" t="s">
        <v>718</v>
      </c>
    </row>
    <row r="2621" customFormat="false" ht="15" hidden="false" customHeight="false" outlineLevel="0" collapsed="false">
      <c r="A2621" s="1" t="s">
        <v>11459</v>
      </c>
      <c r="B2621" s="1" t="s">
        <v>11460</v>
      </c>
      <c r="C2621" s="1" t="s">
        <v>11461</v>
      </c>
      <c r="D2621" s="2" t="n">
        <v>37643</v>
      </c>
      <c r="E2621" s="1" t="s">
        <v>763</v>
      </c>
      <c r="F2621" s="1" t="s">
        <v>711</v>
      </c>
      <c r="G2621" s="1" t="s">
        <v>722</v>
      </c>
      <c r="H2621" s="1" t="s">
        <v>713</v>
      </c>
      <c r="I2621" s="1" t="s">
        <v>714</v>
      </c>
      <c r="J2621" s="1" t="s">
        <v>1244</v>
      </c>
      <c r="K2621" s="1" t="s">
        <v>716</v>
      </c>
      <c r="L2621" s="1" t="s">
        <v>11462</v>
      </c>
      <c r="M2621" s="1" t="s">
        <v>718</v>
      </c>
    </row>
    <row r="2622" customFormat="false" ht="15" hidden="false" customHeight="false" outlineLevel="0" collapsed="false">
      <c r="A2622" s="1" t="s">
        <v>11463</v>
      </c>
      <c r="B2622" s="1" t="s">
        <v>11464</v>
      </c>
      <c r="C2622" s="1" t="s">
        <v>11465</v>
      </c>
      <c r="D2622" s="2" t="n">
        <v>38651</v>
      </c>
      <c r="E2622" s="1" t="s">
        <v>710</v>
      </c>
      <c r="F2622" s="1" t="s">
        <v>711</v>
      </c>
      <c r="G2622" s="1" t="s">
        <v>712</v>
      </c>
      <c r="H2622" s="1" t="s">
        <v>713</v>
      </c>
      <c r="I2622" s="1" t="s">
        <v>714</v>
      </c>
      <c r="J2622" s="1" t="s">
        <v>2001</v>
      </c>
      <c r="K2622" s="1" t="s">
        <v>716</v>
      </c>
      <c r="L2622" s="1" t="s">
        <v>7737</v>
      </c>
      <c r="M2622" s="1" t="s">
        <v>718</v>
      </c>
    </row>
    <row r="2623" customFormat="false" ht="15" hidden="false" customHeight="false" outlineLevel="0" collapsed="false">
      <c r="A2623" s="1" t="s">
        <v>11466</v>
      </c>
      <c r="B2623" s="1" t="s">
        <v>11467</v>
      </c>
      <c r="C2623" s="1" t="s">
        <v>11468</v>
      </c>
      <c r="D2623" s="2" t="n">
        <v>39020</v>
      </c>
      <c r="E2623" s="1" t="s">
        <v>763</v>
      </c>
      <c r="F2623" s="1" t="s">
        <v>711</v>
      </c>
      <c r="G2623" s="1" t="s">
        <v>712</v>
      </c>
      <c r="H2623" s="1" t="s">
        <v>713</v>
      </c>
      <c r="I2623" s="1" t="s">
        <v>714</v>
      </c>
      <c r="J2623" s="1" t="s">
        <v>1723</v>
      </c>
      <c r="K2623" s="1" t="s">
        <v>11469</v>
      </c>
      <c r="L2623" s="1" t="s">
        <v>11470</v>
      </c>
      <c r="M2623" s="1" t="s">
        <v>718</v>
      </c>
    </row>
    <row r="2624" customFormat="false" ht="15" hidden="false" customHeight="false" outlineLevel="0" collapsed="false">
      <c r="A2624" s="1" t="s">
        <v>11471</v>
      </c>
      <c r="B2624" s="1" t="s">
        <v>11472</v>
      </c>
      <c r="C2624" s="1" t="s">
        <v>2462</v>
      </c>
      <c r="D2624" s="2" t="n">
        <v>38513</v>
      </c>
      <c r="E2624" s="1" t="s">
        <v>710</v>
      </c>
      <c r="F2624" s="1" t="s">
        <v>711</v>
      </c>
      <c r="G2624" s="1" t="s">
        <v>722</v>
      </c>
      <c r="H2624" s="1" t="s">
        <v>713</v>
      </c>
      <c r="I2624" s="1" t="s">
        <v>714</v>
      </c>
      <c r="J2624" s="1" t="s">
        <v>2499</v>
      </c>
      <c r="K2624" s="1" t="s">
        <v>11473</v>
      </c>
      <c r="L2624" s="1" t="s">
        <v>9251</v>
      </c>
      <c r="M2624" s="1" t="s">
        <v>718</v>
      </c>
    </row>
    <row r="2625" customFormat="false" ht="15" hidden="false" customHeight="false" outlineLevel="0" collapsed="false">
      <c r="A2625" s="1" t="s">
        <v>11474</v>
      </c>
      <c r="B2625" s="1" t="s">
        <v>11475</v>
      </c>
      <c r="C2625" s="1" t="s">
        <v>11476</v>
      </c>
      <c r="D2625" s="2" t="n">
        <v>38556</v>
      </c>
      <c r="E2625" s="1" t="s">
        <v>763</v>
      </c>
      <c r="F2625" s="1" t="s">
        <v>711</v>
      </c>
      <c r="G2625" s="1" t="s">
        <v>712</v>
      </c>
      <c r="H2625" s="1" t="s">
        <v>713</v>
      </c>
      <c r="I2625" s="1" t="s">
        <v>714</v>
      </c>
      <c r="J2625" s="1" t="s">
        <v>1149</v>
      </c>
      <c r="K2625" s="1" t="s">
        <v>11477</v>
      </c>
      <c r="L2625" s="1" t="s">
        <v>11478</v>
      </c>
      <c r="M2625" s="1" t="s">
        <v>718</v>
      </c>
    </row>
    <row r="2626" customFormat="false" ht="15" hidden="false" customHeight="false" outlineLevel="0" collapsed="false">
      <c r="A2626" s="1" t="s">
        <v>11479</v>
      </c>
      <c r="B2626" s="1" t="s">
        <v>11480</v>
      </c>
      <c r="C2626" s="1" t="s">
        <v>7935</v>
      </c>
      <c r="D2626" s="2" t="n">
        <v>38591</v>
      </c>
      <c r="E2626" s="1" t="s">
        <v>710</v>
      </c>
      <c r="F2626" s="1" t="s">
        <v>711</v>
      </c>
      <c r="G2626" s="1" t="s">
        <v>712</v>
      </c>
      <c r="H2626" s="1" t="s">
        <v>713</v>
      </c>
      <c r="I2626" s="1" t="s">
        <v>714</v>
      </c>
      <c r="J2626" s="1" t="s">
        <v>11481</v>
      </c>
      <c r="K2626" s="1" t="s">
        <v>716</v>
      </c>
      <c r="L2626" s="1" t="s">
        <v>9593</v>
      </c>
      <c r="M2626" s="1" t="s">
        <v>718</v>
      </c>
    </row>
    <row r="2627" customFormat="false" ht="15" hidden="false" customHeight="false" outlineLevel="0" collapsed="false">
      <c r="A2627" s="1" t="s">
        <v>11482</v>
      </c>
      <c r="B2627" s="1" t="s">
        <v>11483</v>
      </c>
      <c r="C2627" s="1" t="s">
        <v>3220</v>
      </c>
      <c r="D2627" s="2" t="n">
        <v>38322</v>
      </c>
      <c r="E2627" s="1" t="s">
        <v>763</v>
      </c>
      <c r="F2627" s="1" t="s">
        <v>711</v>
      </c>
      <c r="G2627" s="1" t="s">
        <v>712</v>
      </c>
      <c r="H2627" s="1" t="s">
        <v>713</v>
      </c>
      <c r="I2627" s="1" t="s">
        <v>714</v>
      </c>
      <c r="J2627" s="1" t="s">
        <v>11484</v>
      </c>
      <c r="K2627" s="1" t="s">
        <v>11485</v>
      </c>
      <c r="L2627" s="1" t="s">
        <v>1875</v>
      </c>
      <c r="M2627" s="1" t="s">
        <v>718</v>
      </c>
    </row>
    <row r="2628" customFormat="false" ht="15" hidden="false" customHeight="false" outlineLevel="0" collapsed="false">
      <c r="A2628" s="1" t="s">
        <v>11486</v>
      </c>
      <c r="B2628" s="1" t="s">
        <v>11487</v>
      </c>
      <c r="C2628" s="1" t="s">
        <v>11488</v>
      </c>
      <c r="D2628" s="2" t="n">
        <v>39069</v>
      </c>
      <c r="E2628" s="1" t="s">
        <v>763</v>
      </c>
      <c r="F2628" s="1" t="s">
        <v>711</v>
      </c>
      <c r="G2628" s="1" t="s">
        <v>722</v>
      </c>
      <c r="H2628" s="1" t="s">
        <v>713</v>
      </c>
      <c r="I2628" s="1" t="s">
        <v>714</v>
      </c>
      <c r="J2628" s="1" t="s">
        <v>2000</v>
      </c>
      <c r="K2628" s="1" t="s">
        <v>11489</v>
      </c>
      <c r="L2628" s="1" t="s">
        <v>3778</v>
      </c>
      <c r="M2628" s="1" t="s">
        <v>718</v>
      </c>
    </row>
    <row r="2629" customFormat="false" ht="15" hidden="false" customHeight="false" outlineLevel="0" collapsed="false">
      <c r="A2629" s="1" t="s">
        <v>11490</v>
      </c>
      <c r="B2629" s="1" t="s">
        <v>11491</v>
      </c>
      <c r="C2629" s="1" t="s">
        <v>11492</v>
      </c>
      <c r="D2629" s="2" t="n">
        <v>38880</v>
      </c>
      <c r="E2629" s="1" t="s">
        <v>763</v>
      </c>
      <c r="F2629" s="1" t="s">
        <v>711</v>
      </c>
      <c r="G2629" s="1" t="s">
        <v>712</v>
      </c>
      <c r="H2629" s="1" t="s">
        <v>713</v>
      </c>
      <c r="I2629" s="1" t="s">
        <v>714</v>
      </c>
      <c r="J2629" s="1" t="s">
        <v>826</v>
      </c>
      <c r="K2629" s="1" t="s">
        <v>716</v>
      </c>
      <c r="L2629" s="1" t="s">
        <v>11493</v>
      </c>
      <c r="M2629" s="1" t="s">
        <v>718</v>
      </c>
    </row>
    <row r="2630" customFormat="false" ht="15" hidden="false" customHeight="false" outlineLevel="0" collapsed="false">
      <c r="A2630" s="1" t="s">
        <v>11494</v>
      </c>
      <c r="B2630" s="1" t="s">
        <v>11495</v>
      </c>
      <c r="C2630" s="1" t="s">
        <v>1940</v>
      </c>
      <c r="D2630" s="2" t="n">
        <v>38890</v>
      </c>
      <c r="E2630" s="1" t="s">
        <v>763</v>
      </c>
      <c r="F2630" s="1" t="s">
        <v>711</v>
      </c>
      <c r="G2630" s="1" t="s">
        <v>712</v>
      </c>
      <c r="H2630" s="1" t="s">
        <v>713</v>
      </c>
      <c r="I2630" s="1" t="s">
        <v>714</v>
      </c>
      <c r="J2630" s="1" t="s">
        <v>11484</v>
      </c>
      <c r="K2630" s="1" t="s">
        <v>11496</v>
      </c>
      <c r="L2630" s="1" t="s">
        <v>11497</v>
      </c>
      <c r="M2630" s="1" t="s">
        <v>718</v>
      </c>
    </row>
    <row r="2631" customFormat="false" ht="15" hidden="false" customHeight="false" outlineLevel="0" collapsed="false">
      <c r="A2631" s="1" t="s">
        <v>11498</v>
      </c>
      <c r="B2631" s="1" t="s">
        <v>11499</v>
      </c>
      <c r="C2631" s="1" t="s">
        <v>11500</v>
      </c>
      <c r="D2631" s="2" t="n">
        <v>38504</v>
      </c>
      <c r="E2631" s="1" t="s">
        <v>763</v>
      </c>
      <c r="F2631" s="1" t="s">
        <v>711</v>
      </c>
      <c r="G2631" s="1" t="s">
        <v>722</v>
      </c>
      <c r="H2631" s="1" t="s">
        <v>713</v>
      </c>
      <c r="I2631" s="1" t="s">
        <v>714</v>
      </c>
      <c r="J2631" s="1" t="s">
        <v>3534</v>
      </c>
      <c r="K2631" s="1" t="s">
        <v>11501</v>
      </c>
      <c r="L2631" s="1" t="s">
        <v>11502</v>
      </c>
      <c r="M2631" s="1" t="s">
        <v>718</v>
      </c>
    </row>
    <row r="2632" customFormat="false" ht="15" hidden="false" customHeight="false" outlineLevel="0" collapsed="false">
      <c r="A2632" s="1" t="s">
        <v>11503</v>
      </c>
      <c r="B2632" s="1" t="s">
        <v>11504</v>
      </c>
      <c r="C2632" s="1" t="s">
        <v>8375</v>
      </c>
      <c r="D2632" s="2" t="n">
        <v>38534</v>
      </c>
      <c r="E2632" s="1" t="s">
        <v>710</v>
      </c>
      <c r="F2632" s="1" t="s">
        <v>711</v>
      </c>
      <c r="G2632" s="1" t="s">
        <v>712</v>
      </c>
      <c r="H2632" s="1" t="s">
        <v>713</v>
      </c>
      <c r="I2632" s="1" t="s">
        <v>714</v>
      </c>
      <c r="J2632" s="1" t="s">
        <v>9647</v>
      </c>
      <c r="K2632" s="1" t="s">
        <v>11505</v>
      </c>
      <c r="L2632" s="1" t="s">
        <v>11506</v>
      </c>
      <c r="M2632" s="1" t="s">
        <v>718</v>
      </c>
    </row>
    <row r="2633" customFormat="false" ht="15" hidden="false" customHeight="false" outlineLevel="0" collapsed="false">
      <c r="A2633" s="1" t="s">
        <v>11507</v>
      </c>
      <c r="B2633" s="1" t="s">
        <v>11508</v>
      </c>
      <c r="C2633" s="1" t="s">
        <v>750</v>
      </c>
      <c r="D2633" s="2" t="n">
        <v>38391</v>
      </c>
      <c r="E2633" s="1" t="s">
        <v>710</v>
      </c>
      <c r="F2633" s="1" t="s">
        <v>711</v>
      </c>
      <c r="G2633" s="1" t="s">
        <v>712</v>
      </c>
      <c r="H2633" s="1" t="s">
        <v>713</v>
      </c>
      <c r="I2633" s="1" t="s">
        <v>714</v>
      </c>
      <c r="J2633" s="1" t="s">
        <v>10713</v>
      </c>
      <c r="K2633" s="1" t="s">
        <v>716</v>
      </c>
      <c r="L2633" s="1" t="s">
        <v>11509</v>
      </c>
      <c r="M2633" s="1" t="s">
        <v>718</v>
      </c>
    </row>
    <row r="2634" customFormat="false" ht="15" hidden="false" customHeight="false" outlineLevel="0" collapsed="false">
      <c r="A2634" s="1" t="s">
        <v>11510</v>
      </c>
      <c r="B2634" s="1" t="s">
        <v>11511</v>
      </c>
      <c r="C2634" s="1" t="s">
        <v>1889</v>
      </c>
      <c r="D2634" s="2" t="n">
        <v>38134</v>
      </c>
      <c r="E2634" s="1" t="s">
        <v>763</v>
      </c>
      <c r="F2634" s="1" t="s">
        <v>711</v>
      </c>
      <c r="G2634" s="1" t="s">
        <v>712</v>
      </c>
      <c r="H2634" s="1" t="s">
        <v>713</v>
      </c>
      <c r="I2634" s="1" t="s">
        <v>714</v>
      </c>
      <c r="J2634" s="1" t="s">
        <v>751</v>
      </c>
      <c r="K2634" s="1" t="s">
        <v>11512</v>
      </c>
      <c r="L2634" s="1" t="s">
        <v>4951</v>
      </c>
      <c r="M2634" s="1" t="s">
        <v>718</v>
      </c>
    </row>
    <row r="2635" customFormat="false" ht="15" hidden="false" customHeight="false" outlineLevel="0" collapsed="false">
      <c r="A2635" s="1" t="s">
        <v>11513</v>
      </c>
      <c r="B2635" s="1" t="s">
        <v>11514</v>
      </c>
      <c r="C2635" s="1" t="s">
        <v>8111</v>
      </c>
      <c r="D2635" s="2" t="n">
        <v>38524</v>
      </c>
      <c r="E2635" s="1" t="s">
        <v>763</v>
      </c>
      <c r="F2635" s="1" t="s">
        <v>711</v>
      </c>
      <c r="G2635" s="1" t="s">
        <v>722</v>
      </c>
      <c r="H2635" s="1" t="s">
        <v>713</v>
      </c>
      <c r="I2635" s="1" t="s">
        <v>714</v>
      </c>
      <c r="J2635" s="1" t="s">
        <v>3517</v>
      </c>
      <c r="K2635" s="1" t="s">
        <v>716</v>
      </c>
      <c r="L2635" s="1" t="s">
        <v>8114</v>
      </c>
      <c r="M2635" s="1" t="s">
        <v>718</v>
      </c>
    </row>
    <row r="2636" customFormat="false" ht="15" hidden="false" customHeight="false" outlineLevel="0" collapsed="false">
      <c r="A2636" s="1" t="s">
        <v>11515</v>
      </c>
      <c r="B2636" s="1" t="s">
        <v>11516</v>
      </c>
      <c r="C2636" s="1" t="s">
        <v>8538</v>
      </c>
      <c r="D2636" s="2" t="n">
        <v>38086</v>
      </c>
      <c r="E2636" s="1" t="s">
        <v>763</v>
      </c>
      <c r="F2636" s="1" t="s">
        <v>711</v>
      </c>
      <c r="G2636" s="1" t="s">
        <v>722</v>
      </c>
      <c r="H2636" s="1" t="s">
        <v>713</v>
      </c>
      <c r="I2636" s="1" t="s">
        <v>714</v>
      </c>
      <c r="J2636" s="1" t="s">
        <v>5117</v>
      </c>
      <c r="K2636" s="1" t="s">
        <v>11517</v>
      </c>
      <c r="L2636" s="1" t="s">
        <v>3039</v>
      </c>
      <c r="M2636" s="1" t="s">
        <v>718</v>
      </c>
    </row>
    <row r="2637" customFormat="false" ht="15" hidden="false" customHeight="false" outlineLevel="0" collapsed="false">
      <c r="A2637" s="1" t="s">
        <v>11518</v>
      </c>
      <c r="B2637" s="1" t="s">
        <v>11519</v>
      </c>
      <c r="C2637" s="1" t="s">
        <v>11520</v>
      </c>
      <c r="D2637" s="2" t="n">
        <v>38204</v>
      </c>
      <c r="E2637" s="1" t="s">
        <v>763</v>
      </c>
      <c r="F2637" s="1" t="s">
        <v>711</v>
      </c>
      <c r="G2637" s="1" t="s">
        <v>712</v>
      </c>
      <c r="H2637" s="1" t="s">
        <v>713</v>
      </c>
      <c r="I2637" s="1" t="s">
        <v>714</v>
      </c>
      <c r="J2637" s="1" t="s">
        <v>780</v>
      </c>
      <c r="K2637" s="1" t="s">
        <v>11521</v>
      </c>
      <c r="L2637" s="1" t="s">
        <v>11522</v>
      </c>
      <c r="M2637" s="1" t="s">
        <v>718</v>
      </c>
    </row>
    <row r="2638" customFormat="false" ht="15" hidden="false" customHeight="false" outlineLevel="0" collapsed="false">
      <c r="A2638" s="1" t="s">
        <v>11523</v>
      </c>
      <c r="B2638" s="1" t="s">
        <v>11524</v>
      </c>
      <c r="C2638" s="1" t="s">
        <v>4595</v>
      </c>
      <c r="D2638" s="2" t="n">
        <v>37998</v>
      </c>
      <c r="E2638" s="1" t="s">
        <v>710</v>
      </c>
      <c r="F2638" s="1" t="s">
        <v>711</v>
      </c>
      <c r="G2638" s="1" t="s">
        <v>722</v>
      </c>
      <c r="H2638" s="1" t="s">
        <v>713</v>
      </c>
      <c r="I2638" s="1" t="s">
        <v>714</v>
      </c>
      <c r="J2638" s="1" t="s">
        <v>11525</v>
      </c>
      <c r="K2638" s="1" t="s">
        <v>11526</v>
      </c>
      <c r="L2638" s="1" t="s">
        <v>7585</v>
      </c>
      <c r="M2638" s="1" t="s">
        <v>718</v>
      </c>
    </row>
    <row r="2639" customFormat="false" ht="15" hidden="false" customHeight="false" outlineLevel="0" collapsed="false">
      <c r="A2639" s="1" t="s">
        <v>11527</v>
      </c>
      <c r="B2639" s="1" t="s">
        <v>11528</v>
      </c>
      <c r="C2639" s="1" t="s">
        <v>1889</v>
      </c>
      <c r="D2639" s="2" t="n">
        <v>38134</v>
      </c>
      <c r="E2639" s="1" t="s">
        <v>763</v>
      </c>
      <c r="F2639" s="1" t="s">
        <v>711</v>
      </c>
      <c r="G2639" s="1" t="s">
        <v>712</v>
      </c>
      <c r="H2639" s="1" t="s">
        <v>713</v>
      </c>
      <c r="I2639" s="1" t="s">
        <v>714</v>
      </c>
      <c r="J2639" s="1" t="s">
        <v>751</v>
      </c>
      <c r="K2639" s="1" t="s">
        <v>11512</v>
      </c>
      <c r="L2639" s="1" t="s">
        <v>4951</v>
      </c>
      <c r="M2639" s="1" t="s">
        <v>718</v>
      </c>
    </row>
    <row r="2640" customFormat="false" ht="15" hidden="false" customHeight="false" outlineLevel="0" collapsed="false">
      <c r="A2640" s="1" t="s">
        <v>11529</v>
      </c>
      <c r="B2640" s="1" t="s">
        <v>3036</v>
      </c>
      <c r="C2640" s="1" t="s">
        <v>5181</v>
      </c>
      <c r="D2640" s="2" t="n">
        <v>38184</v>
      </c>
      <c r="E2640" s="1" t="s">
        <v>710</v>
      </c>
      <c r="F2640" s="1" t="s">
        <v>711</v>
      </c>
      <c r="G2640" s="1" t="s">
        <v>712</v>
      </c>
      <c r="H2640" s="1" t="s">
        <v>713</v>
      </c>
      <c r="I2640" s="1" t="s">
        <v>714</v>
      </c>
      <c r="J2640" s="1" t="s">
        <v>1530</v>
      </c>
      <c r="K2640" s="1" t="s">
        <v>11530</v>
      </c>
      <c r="L2640" s="1" t="s">
        <v>11531</v>
      </c>
      <c r="M2640" s="1" t="s">
        <v>718</v>
      </c>
    </row>
    <row r="2641" customFormat="false" ht="15" hidden="false" customHeight="false" outlineLevel="0" collapsed="false">
      <c r="A2641" s="1" t="s">
        <v>11532</v>
      </c>
      <c r="B2641" s="1" t="s">
        <v>11533</v>
      </c>
      <c r="C2641" s="1" t="s">
        <v>1049</v>
      </c>
      <c r="D2641" s="2" t="n">
        <v>38318</v>
      </c>
      <c r="E2641" s="1" t="s">
        <v>710</v>
      </c>
      <c r="F2641" s="1" t="s">
        <v>711</v>
      </c>
      <c r="G2641" s="1" t="s">
        <v>712</v>
      </c>
      <c r="H2641" s="1" t="s">
        <v>713</v>
      </c>
      <c r="I2641" s="1" t="s">
        <v>714</v>
      </c>
      <c r="J2641" s="1" t="s">
        <v>11534</v>
      </c>
      <c r="K2641" s="1" t="s">
        <v>11535</v>
      </c>
      <c r="L2641" s="1" t="s">
        <v>11536</v>
      </c>
      <c r="M2641" s="1" t="s">
        <v>718</v>
      </c>
    </row>
    <row r="2642" customFormat="false" ht="15" hidden="false" customHeight="false" outlineLevel="0" collapsed="false">
      <c r="A2642" s="1" t="s">
        <v>11537</v>
      </c>
      <c r="B2642" s="1" t="s">
        <v>3219</v>
      </c>
      <c r="C2642" s="1" t="s">
        <v>11538</v>
      </c>
      <c r="D2642" s="2" t="n">
        <v>37718</v>
      </c>
      <c r="E2642" s="1" t="s">
        <v>710</v>
      </c>
      <c r="F2642" s="1" t="s">
        <v>711</v>
      </c>
      <c r="G2642" s="1" t="s">
        <v>712</v>
      </c>
      <c r="H2642" s="1" t="s">
        <v>713</v>
      </c>
      <c r="I2642" s="1" t="s">
        <v>714</v>
      </c>
      <c r="J2642" s="1" t="s">
        <v>9030</v>
      </c>
      <c r="K2642" s="1" t="s">
        <v>11539</v>
      </c>
      <c r="L2642" s="1" t="s">
        <v>11540</v>
      </c>
      <c r="M2642" s="1" t="s">
        <v>718</v>
      </c>
    </row>
    <row r="2643" customFormat="false" ht="15" hidden="false" customHeight="false" outlineLevel="0" collapsed="false">
      <c r="A2643" s="1" t="s">
        <v>11541</v>
      </c>
      <c r="B2643" s="1" t="s">
        <v>11542</v>
      </c>
      <c r="C2643" s="1" t="s">
        <v>11543</v>
      </c>
      <c r="D2643" s="2" t="n">
        <v>38328</v>
      </c>
      <c r="E2643" s="1" t="s">
        <v>710</v>
      </c>
      <c r="F2643" s="1" t="s">
        <v>711</v>
      </c>
      <c r="G2643" s="1" t="s">
        <v>712</v>
      </c>
      <c r="H2643" s="1" t="s">
        <v>713</v>
      </c>
      <c r="I2643" s="1" t="s">
        <v>714</v>
      </c>
      <c r="J2643" s="1" t="s">
        <v>6508</v>
      </c>
      <c r="K2643" s="1" t="s">
        <v>11544</v>
      </c>
      <c r="L2643" s="1" t="s">
        <v>11545</v>
      </c>
      <c r="M2643" s="1" t="s">
        <v>718</v>
      </c>
    </row>
    <row r="2644" customFormat="false" ht="15" hidden="false" customHeight="false" outlineLevel="0" collapsed="false">
      <c r="A2644" s="1" t="s">
        <v>11546</v>
      </c>
      <c r="B2644" s="1" t="s">
        <v>11547</v>
      </c>
      <c r="C2644" s="1" t="s">
        <v>11548</v>
      </c>
      <c r="D2644" s="2" t="n">
        <v>37966</v>
      </c>
      <c r="E2644" s="1" t="s">
        <v>710</v>
      </c>
      <c r="F2644" s="1" t="s">
        <v>711</v>
      </c>
      <c r="G2644" s="1" t="s">
        <v>722</v>
      </c>
      <c r="H2644" s="1" t="s">
        <v>713</v>
      </c>
      <c r="I2644" s="1" t="s">
        <v>714</v>
      </c>
      <c r="J2644" s="1" t="s">
        <v>11549</v>
      </c>
      <c r="K2644" s="1" t="s">
        <v>11550</v>
      </c>
      <c r="L2644" s="1" t="s">
        <v>11551</v>
      </c>
      <c r="M2644" s="1" t="s">
        <v>718</v>
      </c>
    </row>
    <row r="2645" customFormat="false" ht="15" hidden="false" customHeight="false" outlineLevel="0" collapsed="false">
      <c r="A2645" s="1" t="s">
        <v>11552</v>
      </c>
      <c r="B2645" s="1" t="s">
        <v>11553</v>
      </c>
      <c r="C2645" s="1" t="s">
        <v>3309</v>
      </c>
      <c r="D2645" s="2" t="n">
        <v>38201</v>
      </c>
      <c r="E2645" s="1" t="s">
        <v>710</v>
      </c>
      <c r="F2645" s="1" t="s">
        <v>711</v>
      </c>
      <c r="G2645" s="1" t="s">
        <v>722</v>
      </c>
      <c r="H2645" s="1" t="s">
        <v>713</v>
      </c>
      <c r="I2645" s="1" t="s">
        <v>714</v>
      </c>
      <c r="J2645" s="1" t="s">
        <v>715</v>
      </c>
      <c r="K2645" s="1" t="s">
        <v>11554</v>
      </c>
      <c r="L2645" s="1" t="s">
        <v>11555</v>
      </c>
      <c r="M2645" s="1" t="s">
        <v>718</v>
      </c>
    </row>
    <row r="2646" customFormat="false" ht="15" hidden="false" customHeight="false" outlineLevel="0" collapsed="false">
      <c r="A2646" s="1" t="s">
        <v>11556</v>
      </c>
      <c r="B2646" s="1" t="s">
        <v>11557</v>
      </c>
      <c r="C2646" s="1" t="s">
        <v>7119</v>
      </c>
      <c r="D2646" s="2" t="n">
        <v>37468</v>
      </c>
      <c r="E2646" s="1" t="s">
        <v>763</v>
      </c>
      <c r="F2646" s="1" t="s">
        <v>711</v>
      </c>
      <c r="G2646" s="1" t="s">
        <v>722</v>
      </c>
      <c r="H2646" s="1" t="s">
        <v>713</v>
      </c>
      <c r="I2646" s="1" t="s">
        <v>714</v>
      </c>
      <c r="J2646" s="1" t="s">
        <v>716</v>
      </c>
      <c r="K2646" s="1" t="s">
        <v>716</v>
      </c>
      <c r="L2646" s="1" t="s">
        <v>7122</v>
      </c>
      <c r="M2646" s="1" t="s">
        <v>718</v>
      </c>
    </row>
    <row r="2647" customFormat="false" ht="15" hidden="false" customHeight="false" outlineLevel="0" collapsed="false">
      <c r="A2647" s="1" t="s">
        <v>11558</v>
      </c>
      <c r="B2647" s="1" t="s">
        <v>11559</v>
      </c>
      <c r="C2647" s="1" t="s">
        <v>1610</v>
      </c>
      <c r="D2647" s="2" t="n">
        <v>36399</v>
      </c>
      <c r="E2647" s="1" t="s">
        <v>710</v>
      </c>
      <c r="F2647" s="1" t="s">
        <v>711</v>
      </c>
      <c r="G2647" s="1" t="s">
        <v>722</v>
      </c>
      <c r="H2647" s="1" t="s">
        <v>713</v>
      </c>
      <c r="I2647" s="1" t="s">
        <v>714</v>
      </c>
      <c r="J2647" s="1" t="s">
        <v>716</v>
      </c>
      <c r="K2647" s="1" t="s">
        <v>716</v>
      </c>
      <c r="L2647" s="1" t="s">
        <v>11560</v>
      </c>
      <c r="M2647" s="1" t="s">
        <v>718</v>
      </c>
    </row>
    <row r="2648" customFormat="false" ht="15" hidden="false" customHeight="false" outlineLevel="0" collapsed="false">
      <c r="A2648" s="1" t="s">
        <v>11561</v>
      </c>
      <c r="B2648" s="1" t="s">
        <v>11562</v>
      </c>
      <c r="C2648" s="1" t="s">
        <v>7706</v>
      </c>
      <c r="D2648" s="2" t="n">
        <v>38229</v>
      </c>
      <c r="E2648" s="1" t="s">
        <v>710</v>
      </c>
      <c r="F2648" s="1" t="s">
        <v>711</v>
      </c>
      <c r="G2648" s="1" t="s">
        <v>712</v>
      </c>
      <c r="H2648" s="1" t="s">
        <v>713</v>
      </c>
      <c r="I2648" s="1" t="s">
        <v>714</v>
      </c>
      <c r="J2648" s="1" t="s">
        <v>1723</v>
      </c>
      <c r="K2648" s="1" t="s">
        <v>11563</v>
      </c>
      <c r="L2648" s="1" t="s">
        <v>7709</v>
      </c>
      <c r="M2648" s="1" t="s">
        <v>718</v>
      </c>
    </row>
    <row r="2649" customFormat="false" ht="15" hidden="false" customHeight="false" outlineLevel="0" collapsed="false">
      <c r="A2649" s="1" t="s">
        <v>11564</v>
      </c>
      <c r="B2649" s="1" t="s">
        <v>11565</v>
      </c>
      <c r="C2649" s="1" t="s">
        <v>1610</v>
      </c>
      <c r="D2649" s="2" t="n">
        <v>37367</v>
      </c>
      <c r="E2649" s="1" t="s">
        <v>710</v>
      </c>
      <c r="F2649" s="1" t="s">
        <v>711</v>
      </c>
      <c r="G2649" s="1" t="s">
        <v>722</v>
      </c>
      <c r="H2649" s="1" t="s">
        <v>713</v>
      </c>
      <c r="I2649" s="1" t="s">
        <v>714</v>
      </c>
      <c r="J2649" s="1" t="s">
        <v>716</v>
      </c>
      <c r="K2649" s="1" t="s">
        <v>716</v>
      </c>
      <c r="L2649" s="1" t="s">
        <v>1418</v>
      </c>
      <c r="M2649" s="1" t="s">
        <v>718</v>
      </c>
    </row>
    <row r="2650" customFormat="false" ht="15" hidden="false" customHeight="false" outlineLevel="0" collapsed="false">
      <c r="A2650" s="1" t="s">
        <v>11566</v>
      </c>
      <c r="B2650" s="1" t="s">
        <v>11567</v>
      </c>
      <c r="C2650" s="1" t="s">
        <v>11568</v>
      </c>
      <c r="D2650" s="2" t="n">
        <v>38152</v>
      </c>
      <c r="E2650" s="1" t="s">
        <v>763</v>
      </c>
      <c r="F2650" s="1" t="s">
        <v>711</v>
      </c>
      <c r="G2650" s="1" t="s">
        <v>712</v>
      </c>
      <c r="H2650" s="1" t="s">
        <v>713</v>
      </c>
      <c r="I2650" s="1" t="s">
        <v>714</v>
      </c>
      <c r="J2650" s="1" t="s">
        <v>11569</v>
      </c>
      <c r="K2650" s="1" t="s">
        <v>11570</v>
      </c>
      <c r="L2650" s="1" t="s">
        <v>11571</v>
      </c>
      <c r="M2650" s="1" t="s">
        <v>718</v>
      </c>
    </row>
    <row r="2651" customFormat="false" ht="15" hidden="false" customHeight="false" outlineLevel="0" collapsed="false">
      <c r="A2651" s="1" t="s">
        <v>11572</v>
      </c>
      <c r="B2651" s="1" t="s">
        <v>11573</v>
      </c>
      <c r="C2651" s="1" t="s">
        <v>11574</v>
      </c>
      <c r="D2651" s="2" t="n">
        <v>38094</v>
      </c>
      <c r="E2651" s="1" t="s">
        <v>710</v>
      </c>
      <c r="F2651" s="1" t="s">
        <v>711</v>
      </c>
      <c r="G2651" s="1" t="s">
        <v>722</v>
      </c>
      <c r="H2651" s="1" t="s">
        <v>713</v>
      </c>
      <c r="I2651" s="1" t="s">
        <v>714</v>
      </c>
      <c r="J2651" s="1" t="s">
        <v>11575</v>
      </c>
      <c r="K2651" s="1" t="s">
        <v>11576</v>
      </c>
      <c r="L2651" s="1" t="s">
        <v>11577</v>
      </c>
      <c r="M2651" s="1" t="s">
        <v>718</v>
      </c>
    </row>
    <row r="2652" customFormat="false" ht="15" hidden="false" customHeight="false" outlineLevel="0" collapsed="false">
      <c r="A2652" s="1" t="s">
        <v>11578</v>
      </c>
      <c r="B2652" s="1" t="s">
        <v>11579</v>
      </c>
      <c r="C2652" s="1" t="s">
        <v>11114</v>
      </c>
      <c r="D2652" s="2" t="n">
        <v>37860</v>
      </c>
      <c r="E2652" s="1" t="s">
        <v>763</v>
      </c>
      <c r="F2652" s="1" t="s">
        <v>711</v>
      </c>
      <c r="G2652" s="1" t="s">
        <v>712</v>
      </c>
      <c r="H2652" s="1" t="s">
        <v>713</v>
      </c>
      <c r="I2652" s="1" t="s">
        <v>714</v>
      </c>
      <c r="J2652" s="1" t="s">
        <v>11580</v>
      </c>
      <c r="K2652" s="1" t="s">
        <v>11581</v>
      </c>
      <c r="L2652" s="1" t="s">
        <v>1418</v>
      </c>
      <c r="M2652" s="1" t="s">
        <v>718</v>
      </c>
    </row>
    <row r="2653" customFormat="false" ht="15" hidden="false" customHeight="false" outlineLevel="0" collapsed="false">
      <c r="A2653" s="1" t="s">
        <v>11582</v>
      </c>
      <c r="B2653" s="1" t="s">
        <v>11583</v>
      </c>
      <c r="C2653" s="1" t="s">
        <v>11584</v>
      </c>
      <c r="D2653" s="2" t="n">
        <v>37605</v>
      </c>
      <c r="E2653" s="1" t="s">
        <v>710</v>
      </c>
      <c r="F2653" s="1" t="s">
        <v>711</v>
      </c>
      <c r="G2653" s="1" t="s">
        <v>722</v>
      </c>
      <c r="H2653" s="1" t="s">
        <v>713</v>
      </c>
      <c r="I2653" s="1" t="s">
        <v>714</v>
      </c>
      <c r="J2653" s="1" t="s">
        <v>5313</v>
      </c>
      <c r="K2653" s="1" t="s">
        <v>11585</v>
      </c>
      <c r="L2653" s="1" t="s">
        <v>2337</v>
      </c>
      <c r="M2653" s="1" t="s">
        <v>718</v>
      </c>
    </row>
    <row r="2654" customFormat="false" ht="15" hidden="false" customHeight="false" outlineLevel="0" collapsed="false">
      <c r="A2654" s="1" t="s">
        <v>11586</v>
      </c>
      <c r="B2654" s="1" t="s">
        <v>11587</v>
      </c>
      <c r="C2654" s="1" t="s">
        <v>1606</v>
      </c>
      <c r="D2654" s="2" t="n">
        <v>38271</v>
      </c>
      <c r="E2654" s="1" t="s">
        <v>710</v>
      </c>
      <c r="F2654" s="1" t="s">
        <v>711</v>
      </c>
      <c r="G2654" s="1" t="s">
        <v>712</v>
      </c>
      <c r="H2654" s="1" t="s">
        <v>713</v>
      </c>
      <c r="I2654" s="1" t="s">
        <v>714</v>
      </c>
      <c r="J2654" s="1" t="s">
        <v>2117</v>
      </c>
      <c r="K2654" s="1" t="s">
        <v>11588</v>
      </c>
      <c r="L2654" s="1" t="s">
        <v>1607</v>
      </c>
      <c r="M2654" s="1" t="s">
        <v>718</v>
      </c>
    </row>
    <row r="2655" customFormat="false" ht="15" hidden="false" customHeight="false" outlineLevel="0" collapsed="false">
      <c r="A2655" s="1" t="s">
        <v>11589</v>
      </c>
      <c r="B2655" s="1" t="s">
        <v>11590</v>
      </c>
      <c r="C2655" s="1" t="s">
        <v>11591</v>
      </c>
      <c r="D2655" s="2" t="n">
        <v>38244</v>
      </c>
      <c r="E2655" s="1" t="s">
        <v>710</v>
      </c>
      <c r="F2655" s="1" t="s">
        <v>711</v>
      </c>
      <c r="G2655" s="1" t="s">
        <v>712</v>
      </c>
      <c r="H2655" s="1" t="s">
        <v>713</v>
      </c>
      <c r="I2655" s="1" t="s">
        <v>714</v>
      </c>
      <c r="J2655" s="1" t="s">
        <v>9030</v>
      </c>
      <c r="K2655" s="1" t="s">
        <v>11592</v>
      </c>
      <c r="L2655" s="1" t="s">
        <v>11593</v>
      </c>
      <c r="M2655" s="1" t="s">
        <v>718</v>
      </c>
    </row>
    <row r="2656" customFormat="false" ht="15" hidden="false" customHeight="false" outlineLevel="0" collapsed="false">
      <c r="A2656" s="1" t="s">
        <v>11594</v>
      </c>
      <c r="B2656" s="1" t="s">
        <v>11467</v>
      </c>
      <c r="C2656" s="1" t="s">
        <v>11595</v>
      </c>
      <c r="D2656" s="2" t="n">
        <v>37483</v>
      </c>
      <c r="E2656" s="1" t="s">
        <v>763</v>
      </c>
      <c r="F2656" s="1" t="s">
        <v>711</v>
      </c>
      <c r="G2656" s="1" t="s">
        <v>722</v>
      </c>
      <c r="H2656" s="1" t="s">
        <v>713</v>
      </c>
      <c r="I2656" s="1" t="s">
        <v>714</v>
      </c>
      <c r="J2656" s="1" t="s">
        <v>1723</v>
      </c>
      <c r="K2656" s="1" t="s">
        <v>11596</v>
      </c>
      <c r="L2656" s="1" t="s">
        <v>11597</v>
      </c>
      <c r="M2656" s="1" t="s">
        <v>718</v>
      </c>
    </row>
    <row r="2657" customFormat="false" ht="15" hidden="false" customHeight="false" outlineLevel="0" collapsed="false">
      <c r="A2657" s="1" t="s">
        <v>11598</v>
      </c>
      <c r="B2657" s="1" t="s">
        <v>1175</v>
      </c>
      <c r="C2657" s="1" t="s">
        <v>10060</v>
      </c>
      <c r="D2657" s="2" t="n">
        <v>37923</v>
      </c>
      <c r="E2657" s="1" t="s">
        <v>710</v>
      </c>
      <c r="F2657" s="1" t="s">
        <v>711</v>
      </c>
      <c r="G2657" s="1" t="s">
        <v>11599</v>
      </c>
      <c r="H2657" s="1" t="s">
        <v>713</v>
      </c>
      <c r="I2657" s="1" t="s">
        <v>714</v>
      </c>
      <c r="J2657" s="1" t="s">
        <v>11600</v>
      </c>
      <c r="K2657" s="1" t="s">
        <v>11601</v>
      </c>
      <c r="L2657" s="1" t="s">
        <v>10061</v>
      </c>
      <c r="M2657" s="1" t="s">
        <v>718</v>
      </c>
    </row>
    <row r="2658" customFormat="false" ht="15" hidden="false" customHeight="false" outlineLevel="0" collapsed="false">
      <c r="A2658" s="1" t="s">
        <v>11602</v>
      </c>
      <c r="B2658" s="1" t="s">
        <v>11603</v>
      </c>
      <c r="C2658" s="1" t="s">
        <v>11604</v>
      </c>
      <c r="D2658" s="2" t="n">
        <v>38312</v>
      </c>
      <c r="E2658" s="1" t="s">
        <v>763</v>
      </c>
      <c r="F2658" s="1" t="s">
        <v>711</v>
      </c>
      <c r="G2658" s="1" t="s">
        <v>722</v>
      </c>
      <c r="H2658" s="1" t="s">
        <v>713</v>
      </c>
      <c r="I2658" s="1" t="s">
        <v>714</v>
      </c>
      <c r="J2658" s="1" t="s">
        <v>1530</v>
      </c>
      <c r="K2658" s="1" t="s">
        <v>11605</v>
      </c>
      <c r="L2658" s="1" t="s">
        <v>11606</v>
      </c>
      <c r="M2658" s="1" t="s">
        <v>718</v>
      </c>
    </row>
    <row r="2659" customFormat="false" ht="15" hidden="false" customHeight="false" outlineLevel="0" collapsed="false">
      <c r="A2659" s="1" t="s">
        <v>11607</v>
      </c>
      <c r="B2659" s="1" t="s">
        <v>11608</v>
      </c>
      <c r="C2659" s="1" t="s">
        <v>3191</v>
      </c>
      <c r="D2659" s="2" t="n">
        <v>38252</v>
      </c>
      <c r="E2659" s="1" t="s">
        <v>710</v>
      </c>
      <c r="F2659" s="1" t="s">
        <v>711</v>
      </c>
      <c r="G2659" s="1" t="s">
        <v>712</v>
      </c>
      <c r="H2659" s="1" t="s">
        <v>713</v>
      </c>
      <c r="I2659" s="1" t="s">
        <v>714</v>
      </c>
      <c r="J2659" s="1" t="s">
        <v>3274</v>
      </c>
      <c r="K2659" s="1" t="s">
        <v>11609</v>
      </c>
      <c r="L2659" s="1" t="s">
        <v>11610</v>
      </c>
      <c r="M2659" s="1" t="s">
        <v>718</v>
      </c>
    </row>
    <row r="2660" customFormat="false" ht="15" hidden="false" customHeight="false" outlineLevel="0" collapsed="false">
      <c r="A2660" s="1" t="s">
        <v>11611</v>
      </c>
      <c r="B2660" s="1" t="s">
        <v>11612</v>
      </c>
      <c r="C2660" s="1" t="s">
        <v>11613</v>
      </c>
      <c r="D2660" s="2" t="n">
        <v>37464</v>
      </c>
      <c r="E2660" s="1" t="s">
        <v>763</v>
      </c>
      <c r="F2660" s="1" t="s">
        <v>711</v>
      </c>
      <c r="G2660" s="1" t="s">
        <v>712</v>
      </c>
      <c r="H2660" s="1" t="s">
        <v>713</v>
      </c>
      <c r="I2660" s="1" t="s">
        <v>714</v>
      </c>
      <c r="J2660" s="1" t="s">
        <v>1398</v>
      </c>
      <c r="K2660" s="1" t="s">
        <v>11614</v>
      </c>
      <c r="L2660" s="1" t="s">
        <v>11615</v>
      </c>
      <c r="M2660" s="1" t="s">
        <v>718</v>
      </c>
    </row>
    <row r="2661" customFormat="false" ht="15" hidden="false" customHeight="false" outlineLevel="0" collapsed="false">
      <c r="A2661" s="1" t="s">
        <v>11616</v>
      </c>
      <c r="B2661" s="1" t="s">
        <v>4594</v>
      </c>
      <c r="C2661" s="1" t="s">
        <v>11617</v>
      </c>
      <c r="D2661" s="2" t="n">
        <v>37704</v>
      </c>
      <c r="E2661" s="1" t="s">
        <v>710</v>
      </c>
      <c r="F2661" s="1" t="s">
        <v>711</v>
      </c>
      <c r="G2661" s="1" t="s">
        <v>712</v>
      </c>
      <c r="H2661" s="1" t="s">
        <v>713</v>
      </c>
      <c r="I2661" s="1" t="s">
        <v>714</v>
      </c>
      <c r="J2661" s="1" t="s">
        <v>11618</v>
      </c>
      <c r="K2661" s="1" t="s">
        <v>11619</v>
      </c>
      <c r="L2661" s="1" t="s">
        <v>11620</v>
      </c>
      <c r="M2661" s="1" t="s">
        <v>718</v>
      </c>
    </row>
    <row r="2662" customFormat="false" ht="15" hidden="false" customHeight="false" outlineLevel="0" collapsed="false">
      <c r="A2662" s="1" t="s">
        <v>11621</v>
      </c>
      <c r="B2662" s="1" t="s">
        <v>11622</v>
      </c>
      <c r="C2662" s="1" t="s">
        <v>1376</v>
      </c>
      <c r="D2662" s="2" t="n">
        <v>38340</v>
      </c>
      <c r="E2662" s="1" t="s">
        <v>710</v>
      </c>
      <c r="F2662" s="1" t="s">
        <v>711</v>
      </c>
      <c r="G2662" s="1" t="s">
        <v>712</v>
      </c>
      <c r="H2662" s="1" t="s">
        <v>713</v>
      </c>
      <c r="I2662" s="1" t="s">
        <v>714</v>
      </c>
      <c r="J2662" s="1" t="s">
        <v>1723</v>
      </c>
      <c r="K2662" s="1" t="s">
        <v>11623</v>
      </c>
      <c r="L2662" s="1" t="s">
        <v>1377</v>
      </c>
      <c r="M2662" s="1" t="s">
        <v>718</v>
      </c>
    </row>
    <row r="2663" customFormat="false" ht="15" hidden="false" customHeight="false" outlineLevel="0" collapsed="false">
      <c r="A2663" s="1" t="s">
        <v>11624</v>
      </c>
      <c r="B2663" s="1" t="s">
        <v>11625</v>
      </c>
      <c r="C2663" s="1" t="s">
        <v>11626</v>
      </c>
      <c r="D2663" s="2" t="n">
        <v>36490</v>
      </c>
      <c r="E2663" s="1" t="s">
        <v>710</v>
      </c>
      <c r="F2663" s="1" t="s">
        <v>711</v>
      </c>
      <c r="G2663" s="1" t="s">
        <v>722</v>
      </c>
      <c r="H2663" s="1" t="s">
        <v>713</v>
      </c>
      <c r="I2663" s="1" t="s">
        <v>714</v>
      </c>
      <c r="J2663" s="1" t="s">
        <v>11627</v>
      </c>
      <c r="K2663" s="1" t="s">
        <v>11628</v>
      </c>
      <c r="L2663" s="1" t="s">
        <v>1418</v>
      </c>
      <c r="M2663" s="1" t="s">
        <v>718</v>
      </c>
    </row>
    <row r="2664" customFormat="false" ht="15" hidden="false" customHeight="false" outlineLevel="0" collapsed="false">
      <c r="A2664" s="1" t="s">
        <v>11629</v>
      </c>
      <c r="B2664" s="1" t="s">
        <v>11630</v>
      </c>
      <c r="C2664" s="1" t="s">
        <v>3789</v>
      </c>
      <c r="D2664" s="2" t="n">
        <v>36788</v>
      </c>
      <c r="E2664" s="1" t="s">
        <v>763</v>
      </c>
      <c r="F2664" s="1" t="s">
        <v>711</v>
      </c>
      <c r="G2664" s="1" t="s">
        <v>722</v>
      </c>
      <c r="H2664" s="1" t="s">
        <v>713</v>
      </c>
      <c r="I2664" s="1" t="s">
        <v>714</v>
      </c>
      <c r="J2664" s="1" t="s">
        <v>11631</v>
      </c>
      <c r="K2664" s="1" t="s">
        <v>11632</v>
      </c>
      <c r="L2664" s="1" t="s">
        <v>1418</v>
      </c>
      <c r="M2664" s="1" t="s">
        <v>718</v>
      </c>
    </row>
    <row r="2665" customFormat="false" ht="15" hidden="false" customHeight="false" outlineLevel="0" collapsed="false">
      <c r="A2665" s="1" t="s">
        <v>11633</v>
      </c>
      <c r="B2665" s="1" t="s">
        <v>11634</v>
      </c>
      <c r="C2665" s="1" t="s">
        <v>11635</v>
      </c>
      <c r="D2665" s="2" t="n">
        <v>37144</v>
      </c>
      <c r="E2665" s="1" t="s">
        <v>710</v>
      </c>
      <c r="F2665" s="1" t="s">
        <v>711</v>
      </c>
      <c r="G2665" s="1" t="s">
        <v>722</v>
      </c>
      <c r="H2665" s="1" t="s">
        <v>713</v>
      </c>
      <c r="I2665" s="1" t="s">
        <v>714</v>
      </c>
      <c r="J2665" s="1" t="s">
        <v>11636</v>
      </c>
      <c r="K2665" s="1" t="s">
        <v>716</v>
      </c>
      <c r="L2665" s="1" t="s">
        <v>1418</v>
      </c>
      <c r="M2665" s="1" t="s">
        <v>718</v>
      </c>
    </row>
    <row r="2666" customFormat="false" ht="15" hidden="false" customHeight="false" outlineLevel="0" collapsed="false">
      <c r="A2666" s="1" t="s">
        <v>11637</v>
      </c>
      <c r="B2666" s="1" t="s">
        <v>11638</v>
      </c>
      <c r="C2666" s="1" t="s">
        <v>10532</v>
      </c>
      <c r="D2666" s="2" t="n">
        <v>37149</v>
      </c>
      <c r="E2666" s="1" t="s">
        <v>763</v>
      </c>
      <c r="F2666" s="1" t="s">
        <v>711</v>
      </c>
      <c r="G2666" s="1" t="s">
        <v>712</v>
      </c>
      <c r="H2666" s="1" t="s">
        <v>713</v>
      </c>
      <c r="I2666" s="1" t="s">
        <v>714</v>
      </c>
      <c r="J2666" s="1" t="s">
        <v>11639</v>
      </c>
      <c r="K2666" s="1" t="s">
        <v>11640</v>
      </c>
      <c r="L2666" s="1" t="s">
        <v>1418</v>
      </c>
      <c r="M2666" s="1" t="s">
        <v>718</v>
      </c>
    </row>
    <row r="2667" customFormat="false" ht="15" hidden="false" customHeight="false" outlineLevel="0" collapsed="false">
      <c r="A2667" s="1" t="s">
        <v>11641</v>
      </c>
      <c r="B2667" s="1" t="s">
        <v>11642</v>
      </c>
      <c r="C2667" s="1" t="s">
        <v>2881</v>
      </c>
      <c r="D2667" s="2" t="n">
        <v>32812</v>
      </c>
      <c r="E2667" s="1" t="s">
        <v>710</v>
      </c>
      <c r="F2667" s="1" t="s">
        <v>711</v>
      </c>
      <c r="G2667" s="1" t="s">
        <v>712</v>
      </c>
      <c r="H2667" s="1" t="s">
        <v>713</v>
      </c>
      <c r="I2667" s="1" t="s">
        <v>714</v>
      </c>
      <c r="J2667" s="1" t="s">
        <v>716</v>
      </c>
      <c r="K2667" s="1" t="s">
        <v>716</v>
      </c>
      <c r="L2667" s="1" t="s">
        <v>1418</v>
      </c>
      <c r="M2667" s="1" t="s">
        <v>718</v>
      </c>
    </row>
    <row r="2668" customFormat="false" ht="15" hidden="false" customHeight="false" outlineLevel="0" collapsed="false">
      <c r="A2668" s="1" t="s">
        <v>11643</v>
      </c>
      <c r="B2668" s="1" t="s">
        <v>11644</v>
      </c>
      <c r="C2668" s="1" t="s">
        <v>1469</v>
      </c>
      <c r="D2668" s="2" t="n">
        <v>36718</v>
      </c>
      <c r="E2668" s="1" t="s">
        <v>710</v>
      </c>
      <c r="F2668" s="1" t="s">
        <v>711</v>
      </c>
      <c r="G2668" s="1" t="s">
        <v>712</v>
      </c>
      <c r="H2668" s="1" t="s">
        <v>713</v>
      </c>
      <c r="I2668" s="1" t="s">
        <v>714</v>
      </c>
      <c r="J2668" s="1" t="s">
        <v>1244</v>
      </c>
      <c r="K2668" s="1" t="s">
        <v>11645</v>
      </c>
      <c r="L2668" s="1" t="s">
        <v>3792</v>
      </c>
      <c r="M2668" s="1" t="s">
        <v>718</v>
      </c>
    </row>
    <row r="2669" customFormat="false" ht="15" hidden="false" customHeight="false" outlineLevel="0" collapsed="false">
      <c r="A2669" s="1" t="s">
        <v>11646</v>
      </c>
      <c r="B2669" s="1" t="s">
        <v>11647</v>
      </c>
      <c r="C2669" s="1" t="s">
        <v>11648</v>
      </c>
      <c r="D2669" s="2" t="n">
        <v>37023</v>
      </c>
      <c r="E2669" s="1" t="s">
        <v>763</v>
      </c>
      <c r="F2669" s="1" t="s">
        <v>711</v>
      </c>
      <c r="G2669" s="1" t="s">
        <v>712</v>
      </c>
      <c r="H2669" s="1" t="s">
        <v>713</v>
      </c>
      <c r="I2669" s="1" t="s">
        <v>714</v>
      </c>
      <c r="J2669" s="1" t="s">
        <v>838</v>
      </c>
      <c r="K2669" s="1" t="s">
        <v>11649</v>
      </c>
      <c r="L2669" s="1" t="s">
        <v>11650</v>
      </c>
      <c r="M2669" s="1" t="s">
        <v>718</v>
      </c>
    </row>
    <row r="2670" customFormat="false" ht="15" hidden="false" customHeight="false" outlineLevel="0" collapsed="false">
      <c r="A2670" s="1" t="s">
        <v>11651</v>
      </c>
      <c r="B2670" s="1" t="s">
        <v>11652</v>
      </c>
      <c r="C2670" s="1" t="s">
        <v>11653</v>
      </c>
      <c r="D2670" s="2" t="n">
        <v>32419</v>
      </c>
      <c r="E2670" s="1" t="s">
        <v>710</v>
      </c>
      <c r="F2670" s="1" t="s">
        <v>711</v>
      </c>
      <c r="G2670" s="1" t="s">
        <v>712</v>
      </c>
      <c r="H2670" s="1" t="s">
        <v>713</v>
      </c>
      <c r="I2670" s="1" t="s">
        <v>714</v>
      </c>
      <c r="J2670" s="1" t="s">
        <v>716</v>
      </c>
      <c r="K2670" s="1" t="s">
        <v>716</v>
      </c>
      <c r="L2670" s="1" t="s">
        <v>1418</v>
      </c>
      <c r="M2670" s="1" t="s">
        <v>718</v>
      </c>
    </row>
    <row r="2671" customFormat="false" ht="15" hidden="false" customHeight="false" outlineLevel="0" collapsed="false">
      <c r="A2671" s="1" t="s">
        <v>11654</v>
      </c>
      <c r="B2671" s="1" t="s">
        <v>4028</v>
      </c>
      <c r="C2671" s="1" t="s">
        <v>11655</v>
      </c>
      <c r="D2671" s="2" t="n">
        <v>33829</v>
      </c>
      <c r="E2671" s="1" t="s">
        <v>710</v>
      </c>
      <c r="F2671" s="1" t="s">
        <v>711</v>
      </c>
      <c r="G2671" s="1" t="s">
        <v>712</v>
      </c>
      <c r="H2671" s="1" t="s">
        <v>713</v>
      </c>
      <c r="I2671" s="1" t="s">
        <v>714</v>
      </c>
      <c r="J2671" s="1" t="s">
        <v>716</v>
      </c>
      <c r="K2671" s="1" t="s">
        <v>716</v>
      </c>
      <c r="L2671" s="1" t="s">
        <v>1418</v>
      </c>
      <c r="M2671" s="1" t="s">
        <v>718</v>
      </c>
    </row>
    <row r="2672" customFormat="false" ht="15" hidden="false" customHeight="false" outlineLevel="0" collapsed="false">
      <c r="A2672" s="1" t="s">
        <v>11656</v>
      </c>
      <c r="B2672" s="1" t="s">
        <v>11657</v>
      </c>
      <c r="C2672" s="1" t="s">
        <v>11658</v>
      </c>
      <c r="D2672" s="2" t="n">
        <v>38064</v>
      </c>
      <c r="E2672" s="1" t="s">
        <v>710</v>
      </c>
      <c r="F2672" s="1" t="s">
        <v>711</v>
      </c>
      <c r="G2672" s="1" t="s">
        <v>712</v>
      </c>
      <c r="H2672" s="1" t="s">
        <v>713</v>
      </c>
      <c r="I2672" s="1" t="s">
        <v>714</v>
      </c>
      <c r="J2672" s="1" t="s">
        <v>10633</v>
      </c>
      <c r="K2672" s="1" t="s">
        <v>11659</v>
      </c>
      <c r="L2672" s="1" t="s">
        <v>11660</v>
      </c>
      <c r="M2672" s="1" t="s">
        <v>718</v>
      </c>
    </row>
    <row r="2673" customFormat="false" ht="15" hidden="false" customHeight="false" outlineLevel="0" collapsed="false">
      <c r="A2673" s="1" t="s">
        <v>11661</v>
      </c>
      <c r="B2673" s="1" t="s">
        <v>11662</v>
      </c>
      <c r="C2673" s="1" t="s">
        <v>11663</v>
      </c>
      <c r="D2673" s="2" t="n">
        <v>38187</v>
      </c>
      <c r="E2673" s="1" t="s">
        <v>763</v>
      </c>
      <c r="F2673" s="1" t="s">
        <v>711</v>
      </c>
      <c r="G2673" s="1" t="s">
        <v>712</v>
      </c>
      <c r="H2673" s="1" t="s">
        <v>713</v>
      </c>
      <c r="I2673" s="1" t="s">
        <v>714</v>
      </c>
      <c r="J2673" s="1" t="s">
        <v>11664</v>
      </c>
      <c r="K2673" s="1" t="s">
        <v>11665</v>
      </c>
      <c r="L2673" s="1" t="s">
        <v>11666</v>
      </c>
      <c r="M2673" s="1" t="s">
        <v>718</v>
      </c>
    </row>
    <row r="2674" customFormat="false" ht="15" hidden="false" customHeight="false" outlineLevel="0" collapsed="false">
      <c r="A2674" s="1" t="s">
        <v>11667</v>
      </c>
      <c r="B2674" s="1" t="s">
        <v>11668</v>
      </c>
      <c r="C2674" s="1" t="s">
        <v>4012</v>
      </c>
      <c r="D2674" s="2" t="n">
        <v>38315</v>
      </c>
      <c r="E2674" s="1" t="s">
        <v>710</v>
      </c>
      <c r="F2674" s="1" t="s">
        <v>711</v>
      </c>
      <c r="G2674" s="1" t="s">
        <v>712</v>
      </c>
      <c r="H2674" s="1" t="s">
        <v>713</v>
      </c>
      <c r="I2674" s="1" t="s">
        <v>714</v>
      </c>
      <c r="J2674" s="1" t="s">
        <v>11669</v>
      </c>
      <c r="K2674" s="1" t="s">
        <v>11670</v>
      </c>
      <c r="L2674" s="1" t="s">
        <v>4015</v>
      </c>
      <c r="M2674" s="1" t="s">
        <v>718</v>
      </c>
    </row>
    <row r="2675" customFormat="false" ht="15" hidden="false" customHeight="false" outlineLevel="0" collapsed="false">
      <c r="A2675" s="1" t="s">
        <v>11671</v>
      </c>
      <c r="B2675" s="1" t="s">
        <v>11672</v>
      </c>
      <c r="C2675" s="1" t="s">
        <v>854</v>
      </c>
      <c r="D2675" s="2" t="n">
        <v>38077</v>
      </c>
      <c r="E2675" s="1" t="s">
        <v>710</v>
      </c>
      <c r="F2675" s="1" t="s">
        <v>711</v>
      </c>
      <c r="G2675" s="1" t="s">
        <v>712</v>
      </c>
      <c r="H2675" s="1" t="s">
        <v>713</v>
      </c>
      <c r="I2675" s="1" t="s">
        <v>714</v>
      </c>
      <c r="J2675" s="1" t="s">
        <v>1244</v>
      </c>
      <c r="K2675" s="1" t="s">
        <v>11673</v>
      </c>
      <c r="L2675" s="1" t="s">
        <v>856</v>
      </c>
      <c r="M2675" s="1" t="s">
        <v>718</v>
      </c>
    </row>
    <row r="2676" customFormat="false" ht="15" hidden="false" customHeight="false" outlineLevel="0" collapsed="false">
      <c r="A2676" s="1" t="s">
        <v>11674</v>
      </c>
      <c r="B2676" s="1" t="s">
        <v>9371</v>
      </c>
      <c r="C2676" s="1" t="s">
        <v>11675</v>
      </c>
      <c r="D2676" s="2" t="n">
        <v>38483</v>
      </c>
      <c r="E2676" s="1" t="s">
        <v>763</v>
      </c>
      <c r="F2676" s="1" t="s">
        <v>711</v>
      </c>
      <c r="G2676" s="1" t="s">
        <v>712</v>
      </c>
      <c r="H2676" s="1" t="s">
        <v>713</v>
      </c>
      <c r="I2676" s="1" t="s">
        <v>714</v>
      </c>
      <c r="J2676" s="1" t="s">
        <v>10514</v>
      </c>
      <c r="K2676" s="1" t="s">
        <v>11676</v>
      </c>
      <c r="L2676" s="1" t="s">
        <v>11677</v>
      </c>
      <c r="M2676" s="1" t="s">
        <v>718</v>
      </c>
    </row>
    <row r="2677" customFormat="false" ht="15" hidden="false" customHeight="false" outlineLevel="0" collapsed="false">
      <c r="A2677" s="1" t="s">
        <v>11678</v>
      </c>
      <c r="B2677" s="1" t="s">
        <v>3333</v>
      </c>
      <c r="C2677" s="1" t="s">
        <v>11679</v>
      </c>
      <c r="D2677" s="2" t="n">
        <v>36912</v>
      </c>
      <c r="E2677" s="1" t="s">
        <v>763</v>
      </c>
      <c r="F2677" s="1" t="s">
        <v>711</v>
      </c>
      <c r="G2677" s="1" t="s">
        <v>11680</v>
      </c>
      <c r="H2677" s="1" t="s">
        <v>11681</v>
      </c>
      <c r="I2677" s="1" t="s">
        <v>11682</v>
      </c>
      <c r="J2677" s="1" t="s">
        <v>11683</v>
      </c>
      <c r="K2677" s="1" t="s">
        <v>11512</v>
      </c>
      <c r="L2677" s="1" t="s">
        <v>1418</v>
      </c>
      <c r="M2677" s="1" t="s">
        <v>718</v>
      </c>
    </row>
    <row r="2678" customFormat="false" ht="15" hidden="false" customHeight="false" outlineLevel="0" collapsed="false">
      <c r="A2678" s="1" t="s">
        <v>11684</v>
      </c>
      <c r="B2678" s="1" t="s">
        <v>11685</v>
      </c>
      <c r="C2678" s="1" t="s">
        <v>11686</v>
      </c>
      <c r="D2678" s="2" t="n">
        <v>38263</v>
      </c>
      <c r="E2678" s="1" t="s">
        <v>763</v>
      </c>
      <c r="F2678" s="1" t="s">
        <v>711</v>
      </c>
      <c r="G2678" s="1" t="s">
        <v>712</v>
      </c>
      <c r="H2678" s="1" t="s">
        <v>713</v>
      </c>
      <c r="I2678" s="1" t="s">
        <v>714</v>
      </c>
      <c r="J2678" s="1" t="s">
        <v>11687</v>
      </c>
      <c r="K2678" s="1" t="s">
        <v>11688</v>
      </c>
      <c r="L2678" s="1" t="s">
        <v>11689</v>
      </c>
      <c r="M2678" s="1" t="s">
        <v>718</v>
      </c>
    </row>
    <row r="2679" customFormat="false" ht="15" hidden="false" customHeight="false" outlineLevel="0" collapsed="false">
      <c r="A2679" s="1" t="s">
        <v>11690</v>
      </c>
      <c r="B2679" s="1" t="s">
        <v>6470</v>
      </c>
      <c r="C2679" s="1" t="s">
        <v>11686</v>
      </c>
      <c r="D2679" s="2" t="n">
        <v>38602</v>
      </c>
      <c r="E2679" s="1" t="s">
        <v>763</v>
      </c>
      <c r="F2679" s="1" t="s">
        <v>711</v>
      </c>
      <c r="G2679" s="1" t="s">
        <v>722</v>
      </c>
      <c r="H2679" s="1" t="s">
        <v>713</v>
      </c>
      <c r="I2679" s="1" t="s">
        <v>714</v>
      </c>
      <c r="J2679" s="1" t="s">
        <v>11691</v>
      </c>
      <c r="K2679" s="1" t="s">
        <v>11692</v>
      </c>
      <c r="L2679" s="1" t="s">
        <v>11689</v>
      </c>
      <c r="M2679" s="1" t="s">
        <v>718</v>
      </c>
    </row>
    <row r="2680" customFormat="false" ht="15" hidden="false" customHeight="false" outlineLevel="0" collapsed="false">
      <c r="A2680" s="1" t="s">
        <v>11693</v>
      </c>
      <c r="B2680" s="1" t="s">
        <v>11694</v>
      </c>
      <c r="C2680" s="1" t="s">
        <v>11695</v>
      </c>
      <c r="D2680" s="2" t="n">
        <v>37308</v>
      </c>
      <c r="E2680" s="1" t="s">
        <v>763</v>
      </c>
      <c r="F2680" s="1" t="s">
        <v>711</v>
      </c>
      <c r="G2680" s="1" t="s">
        <v>722</v>
      </c>
      <c r="H2680" s="1" t="s">
        <v>713</v>
      </c>
      <c r="I2680" s="1" t="s">
        <v>714</v>
      </c>
      <c r="J2680" s="1" t="s">
        <v>11696</v>
      </c>
      <c r="K2680" s="1" t="s">
        <v>11697</v>
      </c>
      <c r="L2680" s="1" t="s">
        <v>1418</v>
      </c>
      <c r="M2680" s="1" t="s">
        <v>718</v>
      </c>
    </row>
    <row r="2681" customFormat="false" ht="15" hidden="false" customHeight="false" outlineLevel="0" collapsed="false">
      <c r="A2681" s="1" t="s">
        <v>11698</v>
      </c>
      <c r="B2681" s="1" t="s">
        <v>4594</v>
      </c>
      <c r="C2681" s="1" t="s">
        <v>4005</v>
      </c>
      <c r="D2681" s="2" t="n">
        <v>38209</v>
      </c>
      <c r="E2681" s="1" t="s">
        <v>710</v>
      </c>
      <c r="F2681" s="1" t="s">
        <v>711</v>
      </c>
      <c r="G2681" s="1" t="s">
        <v>712</v>
      </c>
      <c r="H2681" s="1" t="s">
        <v>713</v>
      </c>
      <c r="I2681" s="1" t="s">
        <v>714</v>
      </c>
      <c r="J2681" s="1" t="s">
        <v>11699</v>
      </c>
      <c r="K2681" s="1" t="s">
        <v>3202</v>
      </c>
      <c r="L2681" s="1" t="s">
        <v>11700</v>
      </c>
      <c r="M2681" s="1" t="s">
        <v>718</v>
      </c>
    </row>
    <row r="2682" customFormat="false" ht="15" hidden="false" customHeight="false" outlineLevel="0" collapsed="false">
      <c r="A2682" s="1" t="s">
        <v>11701</v>
      </c>
      <c r="B2682" s="1" t="s">
        <v>11702</v>
      </c>
      <c r="C2682" s="1" t="s">
        <v>2121</v>
      </c>
      <c r="D2682" s="2" t="n">
        <v>38707</v>
      </c>
      <c r="E2682" s="1" t="s">
        <v>763</v>
      </c>
      <c r="F2682" s="1" t="s">
        <v>711</v>
      </c>
      <c r="G2682" s="1" t="s">
        <v>712</v>
      </c>
      <c r="H2682" s="1" t="s">
        <v>713</v>
      </c>
      <c r="I2682" s="1" t="s">
        <v>714</v>
      </c>
      <c r="J2682" s="1" t="s">
        <v>8708</v>
      </c>
      <c r="K2682" s="1" t="s">
        <v>11703</v>
      </c>
      <c r="L2682" s="1" t="s">
        <v>11704</v>
      </c>
      <c r="M2682" s="1" t="s">
        <v>718</v>
      </c>
    </row>
    <row r="2683" customFormat="false" ht="15" hidden="false" customHeight="false" outlineLevel="0" collapsed="false">
      <c r="A2683" s="1" t="s">
        <v>11705</v>
      </c>
      <c r="B2683" s="1" t="s">
        <v>11706</v>
      </c>
      <c r="C2683" s="1" t="s">
        <v>10358</v>
      </c>
      <c r="D2683" s="2" t="n">
        <v>38460</v>
      </c>
      <c r="E2683" s="1" t="s">
        <v>763</v>
      </c>
      <c r="F2683" s="1" t="s">
        <v>711</v>
      </c>
      <c r="G2683" s="1" t="s">
        <v>712</v>
      </c>
      <c r="H2683" s="1" t="s">
        <v>713</v>
      </c>
      <c r="I2683" s="1" t="s">
        <v>714</v>
      </c>
      <c r="J2683" s="1" t="s">
        <v>11707</v>
      </c>
      <c r="K2683" s="1" t="s">
        <v>11708</v>
      </c>
      <c r="L2683" s="1" t="s">
        <v>11709</v>
      </c>
      <c r="M2683" s="1" t="s">
        <v>718</v>
      </c>
    </row>
    <row r="2684" customFormat="false" ht="15" hidden="false" customHeight="false" outlineLevel="0" collapsed="false">
      <c r="A2684" s="1" t="s">
        <v>11710</v>
      </c>
      <c r="B2684" s="1" t="s">
        <v>1636</v>
      </c>
      <c r="C2684" s="1" t="s">
        <v>11711</v>
      </c>
      <c r="D2684" s="2" t="n">
        <v>38040</v>
      </c>
      <c r="E2684" s="1" t="s">
        <v>710</v>
      </c>
      <c r="F2684" s="1" t="s">
        <v>711</v>
      </c>
      <c r="G2684" s="1" t="s">
        <v>722</v>
      </c>
      <c r="H2684" s="1" t="s">
        <v>713</v>
      </c>
      <c r="I2684" s="1" t="s">
        <v>714</v>
      </c>
      <c r="J2684" s="1" t="s">
        <v>928</v>
      </c>
      <c r="K2684" s="1" t="s">
        <v>11712</v>
      </c>
      <c r="L2684" s="1" t="s">
        <v>8697</v>
      </c>
      <c r="M2684" s="1" t="s">
        <v>718</v>
      </c>
    </row>
    <row r="2685" customFormat="false" ht="15" hidden="false" customHeight="false" outlineLevel="0" collapsed="false">
      <c r="A2685" s="1" t="s">
        <v>11713</v>
      </c>
      <c r="B2685" s="1" t="s">
        <v>7977</v>
      </c>
      <c r="C2685" s="1" t="s">
        <v>11714</v>
      </c>
      <c r="D2685" s="2" t="n">
        <v>38298</v>
      </c>
      <c r="E2685" s="1" t="s">
        <v>710</v>
      </c>
      <c r="F2685" s="1" t="s">
        <v>711</v>
      </c>
      <c r="G2685" s="1" t="s">
        <v>712</v>
      </c>
      <c r="H2685" s="1" t="s">
        <v>713</v>
      </c>
      <c r="I2685" s="1" t="s">
        <v>714</v>
      </c>
      <c r="J2685" s="1" t="s">
        <v>1244</v>
      </c>
      <c r="K2685" s="1" t="s">
        <v>11715</v>
      </c>
      <c r="L2685" s="1" t="s">
        <v>11716</v>
      </c>
      <c r="M2685" s="1" t="s">
        <v>718</v>
      </c>
    </row>
    <row r="2686" customFormat="false" ht="15" hidden="false" customHeight="false" outlineLevel="0" collapsed="false">
      <c r="A2686" s="1" t="s">
        <v>11717</v>
      </c>
      <c r="B2686" s="1" t="s">
        <v>4125</v>
      </c>
      <c r="C2686" s="1" t="s">
        <v>11718</v>
      </c>
      <c r="D2686" s="2" t="n">
        <v>38496</v>
      </c>
      <c r="E2686" s="1" t="s">
        <v>710</v>
      </c>
      <c r="F2686" s="1" t="s">
        <v>711</v>
      </c>
      <c r="G2686" s="1" t="s">
        <v>712</v>
      </c>
      <c r="H2686" s="1" t="s">
        <v>713</v>
      </c>
      <c r="I2686" s="1" t="s">
        <v>714</v>
      </c>
      <c r="J2686" s="1" t="s">
        <v>9336</v>
      </c>
      <c r="K2686" s="1" t="s">
        <v>11719</v>
      </c>
      <c r="L2686" s="1" t="s">
        <v>11720</v>
      </c>
      <c r="M2686" s="1" t="s">
        <v>718</v>
      </c>
    </row>
    <row r="2687" customFormat="false" ht="15" hidden="false" customHeight="false" outlineLevel="0" collapsed="false">
      <c r="A2687" s="1" t="s">
        <v>11721</v>
      </c>
      <c r="B2687" s="1" t="s">
        <v>2441</v>
      </c>
      <c r="C2687" s="1" t="s">
        <v>11722</v>
      </c>
      <c r="D2687" s="2" t="n">
        <v>37537</v>
      </c>
      <c r="E2687" s="1" t="s">
        <v>763</v>
      </c>
      <c r="F2687" s="1" t="s">
        <v>711</v>
      </c>
      <c r="G2687" s="1" t="s">
        <v>712</v>
      </c>
      <c r="H2687" s="1" t="s">
        <v>713</v>
      </c>
      <c r="I2687" s="1" t="s">
        <v>714</v>
      </c>
      <c r="J2687" s="1" t="s">
        <v>9336</v>
      </c>
      <c r="K2687" s="1" t="s">
        <v>716</v>
      </c>
      <c r="L2687" s="1" t="s">
        <v>5319</v>
      </c>
      <c r="M2687" s="1" t="s">
        <v>718</v>
      </c>
    </row>
    <row r="2688" customFormat="false" ht="15" hidden="false" customHeight="false" outlineLevel="0" collapsed="false">
      <c r="A2688" s="1" t="s">
        <v>11723</v>
      </c>
      <c r="B2688" s="1" t="s">
        <v>11724</v>
      </c>
      <c r="C2688" s="1" t="s">
        <v>5777</v>
      </c>
      <c r="D2688" s="2" t="n">
        <v>37837</v>
      </c>
      <c r="E2688" s="1" t="s">
        <v>763</v>
      </c>
      <c r="F2688" s="1" t="s">
        <v>711</v>
      </c>
      <c r="G2688" s="1" t="s">
        <v>712</v>
      </c>
      <c r="H2688" s="1" t="s">
        <v>713</v>
      </c>
      <c r="I2688" s="1" t="s">
        <v>714</v>
      </c>
      <c r="J2688" s="1" t="s">
        <v>838</v>
      </c>
      <c r="K2688" s="1" t="s">
        <v>11725</v>
      </c>
      <c r="L2688" s="1" t="s">
        <v>5780</v>
      </c>
      <c r="M2688" s="1" t="s">
        <v>718</v>
      </c>
    </row>
    <row r="2689" customFormat="false" ht="15" hidden="false" customHeight="false" outlineLevel="0" collapsed="false">
      <c r="A2689" s="1" t="s">
        <v>11726</v>
      </c>
      <c r="B2689" s="1" t="s">
        <v>11727</v>
      </c>
      <c r="C2689" s="1" t="s">
        <v>5777</v>
      </c>
      <c r="D2689" s="2" t="n">
        <v>37837</v>
      </c>
      <c r="E2689" s="1" t="s">
        <v>763</v>
      </c>
      <c r="F2689" s="1" t="s">
        <v>711</v>
      </c>
      <c r="G2689" s="1" t="s">
        <v>712</v>
      </c>
      <c r="H2689" s="1" t="s">
        <v>713</v>
      </c>
      <c r="I2689" s="1" t="s">
        <v>714</v>
      </c>
      <c r="J2689" s="1" t="s">
        <v>838</v>
      </c>
      <c r="K2689" s="1" t="s">
        <v>11725</v>
      </c>
      <c r="L2689" s="1" t="s">
        <v>5780</v>
      </c>
      <c r="M2689" s="1" t="s">
        <v>718</v>
      </c>
    </row>
    <row r="2690" customFormat="false" ht="15" hidden="false" customHeight="false" outlineLevel="0" collapsed="false">
      <c r="A2690" s="1" t="s">
        <v>11728</v>
      </c>
      <c r="B2690" s="1" t="s">
        <v>11729</v>
      </c>
      <c r="C2690" s="1" t="s">
        <v>820</v>
      </c>
      <c r="D2690" s="2" t="n">
        <v>38341</v>
      </c>
      <c r="E2690" s="1" t="s">
        <v>763</v>
      </c>
      <c r="F2690" s="1" t="s">
        <v>711</v>
      </c>
      <c r="G2690" s="1" t="s">
        <v>712</v>
      </c>
      <c r="H2690" s="1" t="s">
        <v>713</v>
      </c>
      <c r="I2690" s="1" t="s">
        <v>714</v>
      </c>
      <c r="J2690" s="1" t="s">
        <v>1445</v>
      </c>
      <c r="K2690" s="1" t="s">
        <v>11730</v>
      </c>
      <c r="L2690" s="1" t="s">
        <v>822</v>
      </c>
      <c r="M2690" s="1" t="s">
        <v>718</v>
      </c>
    </row>
    <row r="2691" customFormat="false" ht="15" hidden="false" customHeight="false" outlineLevel="0" collapsed="false">
      <c r="A2691" s="1" t="s">
        <v>11731</v>
      </c>
      <c r="B2691" s="1" t="s">
        <v>11732</v>
      </c>
      <c r="C2691" s="1" t="s">
        <v>11733</v>
      </c>
      <c r="D2691" s="2" t="n">
        <v>38466</v>
      </c>
      <c r="E2691" s="1" t="s">
        <v>763</v>
      </c>
      <c r="F2691" s="1" t="s">
        <v>711</v>
      </c>
      <c r="G2691" s="1" t="s">
        <v>722</v>
      </c>
      <c r="H2691" s="1" t="s">
        <v>713</v>
      </c>
      <c r="I2691" s="1" t="s">
        <v>714</v>
      </c>
      <c r="J2691" s="1" t="s">
        <v>2298</v>
      </c>
      <c r="K2691" s="1" t="s">
        <v>11734</v>
      </c>
      <c r="L2691" s="1" t="s">
        <v>3643</v>
      </c>
      <c r="M2691" s="1" t="s">
        <v>718</v>
      </c>
    </row>
    <row r="2692" customFormat="false" ht="15" hidden="false" customHeight="false" outlineLevel="0" collapsed="false">
      <c r="A2692" s="1" t="s">
        <v>11735</v>
      </c>
      <c r="B2692" s="1" t="s">
        <v>11736</v>
      </c>
      <c r="C2692" s="1" t="s">
        <v>11737</v>
      </c>
      <c r="D2692" s="2" t="n">
        <v>38159</v>
      </c>
      <c r="E2692" s="1" t="s">
        <v>710</v>
      </c>
      <c r="F2692" s="1" t="s">
        <v>711</v>
      </c>
      <c r="G2692" s="1" t="s">
        <v>712</v>
      </c>
      <c r="H2692" s="1" t="s">
        <v>713</v>
      </c>
      <c r="I2692" s="1" t="s">
        <v>714</v>
      </c>
      <c r="J2692" s="1" t="s">
        <v>1584</v>
      </c>
      <c r="K2692" s="1" t="s">
        <v>11738</v>
      </c>
      <c r="L2692" s="1" t="s">
        <v>11739</v>
      </c>
      <c r="M2692" s="1" t="s">
        <v>718</v>
      </c>
    </row>
    <row r="2693" customFormat="false" ht="15" hidden="false" customHeight="false" outlineLevel="0" collapsed="false">
      <c r="A2693" s="1" t="s">
        <v>11740</v>
      </c>
      <c r="B2693" s="1" t="s">
        <v>11741</v>
      </c>
      <c r="C2693" s="1" t="s">
        <v>1086</v>
      </c>
      <c r="D2693" s="2" t="n">
        <v>38219</v>
      </c>
      <c r="E2693" s="1" t="s">
        <v>710</v>
      </c>
      <c r="F2693" s="1" t="s">
        <v>711</v>
      </c>
      <c r="G2693" s="1" t="s">
        <v>712</v>
      </c>
      <c r="H2693" s="1" t="s">
        <v>713</v>
      </c>
      <c r="I2693" s="1" t="s">
        <v>714</v>
      </c>
      <c r="J2693" s="1" t="s">
        <v>928</v>
      </c>
      <c r="K2693" s="1" t="s">
        <v>716</v>
      </c>
      <c r="L2693" s="1" t="s">
        <v>1879</v>
      </c>
      <c r="M2693" s="1" t="s">
        <v>718</v>
      </c>
    </row>
    <row r="2694" customFormat="false" ht="15" hidden="false" customHeight="false" outlineLevel="0" collapsed="false">
      <c r="A2694" s="1" t="s">
        <v>11742</v>
      </c>
      <c r="B2694" s="1" t="s">
        <v>11743</v>
      </c>
      <c r="C2694" s="1" t="s">
        <v>750</v>
      </c>
      <c r="D2694" s="2" t="n">
        <v>38412</v>
      </c>
      <c r="E2694" s="1" t="s">
        <v>763</v>
      </c>
      <c r="F2694" s="1" t="s">
        <v>711</v>
      </c>
      <c r="G2694" s="1" t="s">
        <v>712</v>
      </c>
      <c r="H2694" s="1" t="s">
        <v>713</v>
      </c>
      <c r="I2694" s="1" t="s">
        <v>714</v>
      </c>
      <c r="J2694" s="1" t="s">
        <v>870</v>
      </c>
      <c r="K2694" s="1" t="s">
        <v>11744</v>
      </c>
      <c r="L2694" s="1" t="s">
        <v>11745</v>
      </c>
      <c r="M2694" s="1" t="s">
        <v>718</v>
      </c>
    </row>
    <row r="2695" customFormat="false" ht="15" hidden="false" customHeight="false" outlineLevel="0" collapsed="false">
      <c r="A2695" s="1" t="s">
        <v>11746</v>
      </c>
      <c r="B2695" s="1" t="s">
        <v>11747</v>
      </c>
      <c r="C2695" s="1" t="s">
        <v>11748</v>
      </c>
      <c r="D2695" s="2" t="n">
        <v>38695</v>
      </c>
      <c r="E2695" s="1" t="s">
        <v>710</v>
      </c>
      <c r="F2695" s="1" t="s">
        <v>711</v>
      </c>
      <c r="G2695" s="1" t="s">
        <v>722</v>
      </c>
      <c r="H2695" s="1" t="s">
        <v>713</v>
      </c>
      <c r="I2695" s="1" t="s">
        <v>714</v>
      </c>
      <c r="J2695" s="1" t="s">
        <v>740</v>
      </c>
      <c r="K2695" s="1" t="s">
        <v>716</v>
      </c>
      <c r="L2695" s="1" t="s">
        <v>11749</v>
      </c>
      <c r="M2695" s="1" t="s">
        <v>718</v>
      </c>
    </row>
    <row r="2696" customFormat="false" ht="15" hidden="false" customHeight="false" outlineLevel="0" collapsed="false">
      <c r="A2696" s="1" t="s">
        <v>11750</v>
      </c>
      <c r="B2696" s="1" t="s">
        <v>1397</v>
      </c>
      <c r="C2696" s="1" t="s">
        <v>11751</v>
      </c>
      <c r="D2696" s="2" t="n">
        <v>38590</v>
      </c>
      <c r="E2696" s="1" t="s">
        <v>710</v>
      </c>
      <c r="F2696" s="1" t="s">
        <v>711</v>
      </c>
      <c r="G2696" s="1" t="s">
        <v>712</v>
      </c>
      <c r="H2696" s="1" t="s">
        <v>713</v>
      </c>
      <c r="I2696" s="1" t="s">
        <v>714</v>
      </c>
      <c r="J2696" s="1" t="s">
        <v>1693</v>
      </c>
      <c r="K2696" s="1" t="s">
        <v>11752</v>
      </c>
      <c r="L2696" s="1" t="s">
        <v>11753</v>
      </c>
      <c r="M2696" s="1" t="s">
        <v>718</v>
      </c>
    </row>
    <row r="2697" customFormat="false" ht="15" hidden="false" customHeight="false" outlineLevel="0" collapsed="false">
      <c r="A2697" s="1" t="s">
        <v>11754</v>
      </c>
      <c r="B2697" s="1" t="s">
        <v>11755</v>
      </c>
      <c r="C2697" s="1" t="s">
        <v>11756</v>
      </c>
      <c r="D2697" s="2" t="n">
        <v>38978</v>
      </c>
      <c r="E2697" s="1" t="s">
        <v>763</v>
      </c>
      <c r="F2697" s="1" t="s">
        <v>711</v>
      </c>
      <c r="G2697" s="1" t="s">
        <v>712</v>
      </c>
      <c r="H2697" s="1" t="s">
        <v>713</v>
      </c>
      <c r="I2697" s="1" t="s">
        <v>714</v>
      </c>
      <c r="J2697" s="1" t="s">
        <v>826</v>
      </c>
      <c r="K2697" s="1" t="s">
        <v>11757</v>
      </c>
      <c r="L2697" s="1" t="s">
        <v>11758</v>
      </c>
      <c r="M2697" s="1" t="s">
        <v>718</v>
      </c>
    </row>
    <row r="2698" customFormat="false" ht="15" hidden="false" customHeight="false" outlineLevel="0" collapsed="false">
      <c r="A2698" s="1" t="s">
        <v>11759</v>
      </c>
      <c r="B2698" s="1" t="s">
        <v>738</v>
      </c>
      <c r="C2698" s="1" t="s">
        <v>11760</v>
      </c>
      <c r="D2698" s="2" t="n">
        <v>38393</v>
      </c>
      <c r="E2698" s="1" t="s">
        <v>710</v>
      </c>
      <c r="F2698" s="1" t="s">
        <v>711</v>
      </c>
      <c r="G2698" s="1" t="s">
        <v>712</v>
      </c>
      <c r="H2698" s="1" t="s">
        <v>713</v>
      </c>
      <c r="I2698" s="1" t="s">
        <v>714</v>
      </c>
      <c r="J2698" s="1" t="s">
        <v>838</v>
      </c>
      <c r="K2698" s="1" t="s">
        <v>6320</v>
      </c>
      <c r="L2698" s="1" t="s">
        <v>11761</v>
      </c>
      <c r="M2698" s="1" t="s">
        <v>718</v>
      </c>
    </row>
    <row r="2699" customFormat="false" ht="15" hidden="false" customHeight="false" outlineLevel="0" collapsed="false">
      <c r="A2699" s="1" t="s">
        <v>11762</v>
      </c>
      <c r="B2699" s="1" t="s">
        <v>11763</v>
      </c>
      <c r="C2699" s="1" t="s">
        <v>11764</v>
      </c>
      <c r="D2699" s="2" t="n">
        <v>38595</v>
      </c>
      <c r="E2699" s="1" t="s">
        <v>763</v>
      </c>
      <c r="F2699" s="1" t="s">
        <v>711</v>
      </c>
      <c r="G2699" s="1" t="s">
        <v>712</v>
      </c>
      <c r="H2699" s="1" t="s">
        <v>713</v>
      </c>
      <c r="I2699" s="1" t="s">
        <v>714</v>
      </c>
      <c r="J2699" s="1" t="s">
        <v>2438</v>
      </c>
      <c r="K2699" s="1" t="s">
        <v>11765</v>
      </c>
      <c r="L2699" s="1" t="s">
        <v>11766</v>
      </c>
      <c r="M2699" s="1" t="s">
        <v>718</v>
      </c>
    </row>
    <row r="2700" customFormat="false" ht="15" hidden="false" customHeight="false" outlineLevel="0" collapsed="false">
      <c r="A2700" s="1" t="s">
        <v>11767</v>
      </c>
      <c r="B2700" s="1" t="s">
        <v>7110</v>
      </c>
      <c r="C2700" s="1" t="s">
        <v>11002</v>
      </c>
      <c r="D2700" s="2" t="n">
        <v>38085</v>
      </c>
      <c r="E2700" s="1" t="s">
        <v>710</v>
      </c>
      <c r="F2700" s="1" t="s">
        <v>711</v>
      </c>
      <c r="G2700" s="1" t="s">
        <v>722</v>
      </c>
      <c r="H2700" s="1" t="s">
        <v>713</v>
      </c>
      <c r="I2700" s="1" t="s">
        <v>714</v>
      </c>
      <c r="J2700" s="1" t="s">
        <v>1544</v>
      </c>
      <c r="K2700" s="1" t="s">
        <v>11004</v>
      </c>
      <c r="L2700" s="1" t="s">
        <v>4880</v>
      </c>
      <c r="M2700" s="1" t="s">
        <v>718</v>
      </c>
    </row>
    <row r="2701" customFormat="false" ht="15" hidden="false" customHeight="false" outlineLevel="0" collapsed="false">
      <c r="A2701" s="1" t="s">
        <v>11768</v>
      </c>
      <c r="B2701" s="1" t="s">
        <v>11769</v>
      </c>
      <c r="C2701" s="1" t="s">
        <v>11770</v>
      </c>
      <c r="D2701" s="2" t="n">
        <v>38688</v>
      </c>
      <c r="E2701" s="1" t="s">
        <v>763</v>
      </c>
      <c r="F2701" s="1" t="s">
        <v>711</v>
      </c>
      <c r="G2701" s="1" t="s">
        <v>712</v>
      </c>
      <c r="H2701" s="1" t="s">
        <v>713</v>
      </c>
      <c r="I2701" s="1" t="s">
        <v>714</v>
      </c>
      <c r="J2701" s="1" t="s">
        <v>11771</v>
      </c>
      <c r="K2701" s="1" t="s">
        <v>11772</v>
      </c>
      <c r="L2701" s="1" t="s">
        <v>11773</v>
      </c>
      <c r="M2701" s="1" t="s">
        <v>718</v>
      </c>
    </row>
    <row r="2702" customFormat="false" ht="15" hidden="false" customHeight="false" outlineLevel="0" collapsed="false">
      <c r="A2702" s="1" t="s">
        <v>11774</v>
      </c>
      <c r="B2702" s="1" t="s">
        <v>11775</v>
      </c>
      <c r="C2702" s="1" t="s">
        <v>11776</v>
      </c>
      <c r="D2702" s="2" t="n">
        <v>38729</v>
      </c>
      <c r="E2702" s="1" t="s">
        <v>763</v>
      </c>
      <c r="F2702" s="1" t="s">
        <v>711</v>
      </c>
      <c r="G2702" s="1" t="s">
        <v>2386</v>
      </c>
      <c r="H2702" s="1" t="s">
        <v>2387</v>
      </c>
      <c r="I2702" s="1" t="s">
        <v>2388</v>
      </c>
      <c r="J2702" s="1" t="s">
        <v>11777</v>
      </c>
      <c r="K2702" s="1" t="s">
        <v>11778</v>
      </c>
      <c r="L2702" s="1" t="s">
        <v>11779</v>
      </c>
      <c r="M2702" s="1" t="s">
        <v>718</v>
      </c>
    </row>
    <row r="2703" customFormat="false" ht="15" hidden="false" customHeight="false" outlineLevel="0" collapsed="false">
      <c r="A2703" s="1" t="s">
        <v>11780</v>
      </c>
      <c r="B2703" s="1" t="s">
        <v>11781</v>
      </c>
      <c r="C2703" s="1" t="s">
        <v>3823</v>
      </c>
      <c r="D2703" s="2" t="n">
        <v>38404</v>
      </c>
      <c r="E2703" s="1" t="s">
        <v>763</v>
      </c>
      <c r="F2703" s="1" t="s">
        <v>711</v>
      </c>
      <c r="G2703" s="1" t="s">
        <v>712</v>
      </c>
      <c r="H2703" s="1" t="s">
        <v>713</v>
      </c>
      <c r="I2703" s="1" t="s">
        <v>714</v>
      </c>
      <c r="J2703" s="1" t="s">
        <v>740</v>
      </c>
      <c r="K2703" s="1" t="s">
        <v>11782</v>
      </c>
      <c r="L2703" s="1" t="s">
        <v>11783</v>
      </c>
      <c r="M2703" s="1" t="s">
        <v>718</v>
      </c>
    </row>
    <row r="2704" customFormat="false" ht="15" hidden="false" customHeight="false" outlineLevel="0" collapsed="false">
      <c r="A2704" s="1" t="s">
        <v>11784</v>
      </c>
      <c r="B2704" s="1" t="s">
        <v>11785</v>
      </c>
      <c r="C2704" s="1" t="s">
        <v>11786</v>
      </c>
      <c r="D2704" s="2" t="n">
        <v>38532</v>
      </c>
      <c r="E2704" s="1" t="s">
        <v>710</v>
      </c>
      <c r="F2704" s="1" t="s">
        <v>711</v>
      </c>
      <c r="G2704" s="1" t="s">
        <v>722</v>
      </c>
      <c r="H2704" s="1" t="s">
        <v>713</v>
      </c>
      <c r="I2704" s="1" t="s">
        <v>714</v>
      </c>
      <c r="J2704" s="1" t="s">
        <v>11787</v>
      </c>
      <c r="K2704" s="1" t="s">
        <v>716</v>
      </c>
      <c r="L2704" s="1" t="s">
        <v>11788</v>
      </c>
      <c r="M2704" s="1" t="s">
        <v>718</v>
      </c>
    </row>
    <row r="2705" customFormat="false" ht="15" hidden="false" customHeight="false" outlineLevel="0" collapsed="false">
      <c r="A2705" s="1" t="s">
        <v>11789</v>
      </c>
      <c r="B2705" s="1" t="s">
        <v>11790</v>
      </c>
      <c r="C2705" s="1" t="s">
        <v>11791</v>
      </c>
      <c r="D2705" s="2" t="n">
        <v>38564</v>
      </c>
      <c r="E2705" s="1" t="s">
        <v>763</v>
      </c>
      <c r="F2705" s="1" t="s">
        <v>711</v>
      </c>
      <c r="G2705" s="1" t="s">
        <v>712</v>
      </c>
      <c r="H2705" s="1" t="s">
        <v>713</v>
      </c>
      <c r="I2705" s="1" t="s">
        <v>714</v>
      </c>
      <c r="J2705" s="1" t="s">
        <v>821</v>
      </c>
      <c r="K2705" s="1" t="s">
        <v>11792</v>
      </c>
      <c r="L2705" s="1" t="s">
        <v>11793</v>
      </c>
      <c r="M2705" s="1" t="s">
        <v>718</v>
      </c>
    </row>
    <row r="2706" customFormat="false" ht="15" hidden="false" customHeight="false" outlineLevel="0" collapsed="false">
      <c r="A2706" s="1" t="s">
        <v>11794</v>
      </c>
      <c r="B2706" s="1" t="s">
        <v>11795</v>
      </c>
      <c r="C2706" s="1" t="s">
        <v>2831</v>
      </c>
      <c r="D2706" s="2" t="n">
        <v>38483</v>
      </c>
      <c r="E2706" s="1" t="s">
        <v>763</v>
      </c>
      <c r="F2706" s="1" t="s">
        <v>711</v>
      </c>
      <c r="G2706" s="1" t="s">
        <v>712</v>
      </c>
      <c r="H2706" s="1" t="s">
        <v>713</v>
      </c>
      <c r="I2706" s="1" t="s">
        <v>714</v>
      </c>
      <c r="J2706" s="1" t="s">
        <v>3517</v>
      </c>
      <c r="K2706" s="1" t="s">
        <v>11796</v>
      </c>
      <c r="L2706" s="1" t="s">
        <v>11797</v>
      </c>
      <c r="M2706" s="1" t="s">
        <v>718</v>
      </c>
    </row>
    <row r="2707" customFormat="false" ht="15" hidden="false" customHeight="false" outlineLevel="0" collapsed="false">
      <c r="A2707" s="1" t="s">
        <v>11798</v>
      </c>
      <c r="B2707" s="1" t="s">
        <v>11799</v>
      </c>
      <c r="C2707" s="1" t="s">
        <v>9129</v>
      </c>
      <c r="D2707" s="2" t="n">
        <v>38671</v>
      </c>
      <c r="E2707" s="1" t="s">
        <v>763</v>
      </c>
      <c r="F2707" s="1" t="s">
        <v>711</v>
      </c>
      <c r="G2707" s="1" t="s">
        <v>712</v>
      </c>
      <c r="H2707" s="1" t="s">
        <v>713</v>
      </c>
      <c r="I2707" s="1" t="s">
        <v>714</v>
      </c>
      <c r="J2707" s="1" t="s">
        <v>1584</v>
      </c>
      <c r="K2707" s="1" t="s">
        <v>11800</v>
      </c>
      <c r="L2707" s="1" t="s">
        <v>11801</v>
      </c>
      <c r="M2707" s="1" t="s">
        <v>718</v>
      </c>
    </row>
    <row r="2708" customFormat="false" ht="15" hidden="false" customHeight="false" outlineLevel="0" collapsed="false">
      <c r="A2708" s="1" t="s">
        <v>11802</v>
      </c>
      <c r="B2708" s="1" t="s">
        <v>11803</v>
      </c>
      <c r="C2708" s="1" t="s">
        <v>7941</v>
      </c>
      <c r="D2708" s="2" t="n">
        <v>38667</v>
      </c>
      <c r="E2708" s="1" t="s">
        <v>763</v>
      </c>
      <c r="F2708" s="1" t="s">
        <v>711</v>
      </c>
      <c r="G2708" s="1" t="s">
        <v>722</v>
      </c>
      <c r="H2708" s="1" t="s">
        <v>713</v>
      </c>
      <c r="I2708" s="1" t="s">
        <v>714</v>
      </c>
      <c r="J2708" s="1" t="s">
        <v>1244</v>
      </c>
      <c r="K2708" s="1" t="s">
        <v>7943</v>
      </c>
      <c r="L2708" s="1" t="s">
        <v>7944</v>
      </c>
      <c r="M2708" s="1" t="s">
        <v>718</v>
      </c>
    </row>
    <row r="2709" customFormat="false" ht="15" hidden="false" customHeight="false" outlineLevel="0" collapsed="false">
      <c r="A2709" s="1" t="s">
        <v>11804</v>
      </c>
      <c r="B2709" s="1" t="s">
        <v>11805</v>
      </c>
      <c r="C2709" s="1" t="s">
        <v>11806</v>
      </c>
      <c r="D2709" s="2" t="n">
        <v>38041</v>
      </c>
      <c r="E2709" s="1" t="s">
        <v>763</v>
      </c>
      <c r="F2709" s="1" t="s">
        <v>711</v>
      </c>
      <c r="G2709" s="1" t="s">
        <v>712</v>
      </c>
      <c r="H2709" s="1" t="s">
        <v>713</v>
      </c>
      <c r="I2709" s="1" t="s">
        <v>714</v>
      </c>
      <c r="J2709" s="1" t="s">
        <v>1445</v>
      </c>
      <c r="K2709" s="1" t="s">
        <v>11807</v>
      </c>
      <c r="L2709" s="1" t="s">
        <v>11808</v>
      </c>
      <c r="M2709" s="1" t="s">
        <v>718</v>
      </c>
    </row>
    <row r="2710" customFormat="false" ht="15" hidden="false" customHeight="false" outlineLevel="0" collapsed="false">
      <c r="A2710" s="1" t="s">
        <v>11809</v>
      </c>
      <c r="B2710" s="1" t="s">
        <v>11810</v>
      </c>
      <c r="C2710" s="1" t="s">
        <v>4976</v>
      </c>
      <c r="D2710" s="2" t="n">
        <v>38871</v>
      </c>
      <c r="E2710" s="1" t="s">
        <v>763</v>
      </c>
      <c r="F2710" s="1" t="s">
        <v>711</v>
      </c>
      <c r="G2710" s="1" t="s">
        <v>1563</v>
      </c>
      <c r="H2710" s="1" t="s">
        <v>713</v>
      </c>
      <c r="I2710" s="1" t="s">
        <v>714</v>
      </c>
      <c r="J2710" s="1" t="s">
        <v>1530</v>
      </c>
      <c r="K2710" s="1" t="s">
        <v>11811</v>
      </c>
      <c r="L2710" s="1" t="s">
        <v>11812</v>
      </c>
      <c r="M2710" s="1" t="s">
        <v>718</v>
      </c>
    </row>
    <row r="2711" customFormat="false" ht="15" hidden="false" customHeight="false" outlineLevel="0" collapsed="false">
      <c r="A2711" s="1" t="s">
        <v>11813</v>
      </c>
      <c r="B2711" s="1" t="s">
        <v>11814</v>
      </c>
      <c r="C2711" s="1" t="s">
        <v>5542</v>
      </c>
      <c r="D2711" s="2" t="n">
        <v>38799</v>
      </c>
      <c r="E2711" s="1" t="s">
        <v>763</v>
      </c>
      <c r="F2711" s="1" t="s">
        <v>711</v>
      </c>
      <c r="G2711" s="1" t="s">
        <v>712</v>
      </c>
      <c r="H2711" s="1" t="s">
        <v>713</v>
      </c>
      <c r="I2711" s="1" t="s">
        <v>714</v>
      </c>
      <c r="J2711" s="1" t="s">
        <v>740</v>
      </c>
      <c r="K2711" s="1" t="s">
        <v>11815</v>
      </c>
      <c r="L2711" s="1" t="s">
        <v>11816</v>
      </c>
      <c r="M2711" s="1" t="s">
        <v>718</v>
      </c>
    </row>
    <row r="2712" customFormat="false" ht="15" hidden="false" customHeight="false" outlineLevel="0" collapsed="false">
      <c r="A2712" s="1" t="s">
        <v>11817</v>
      </c>
      <c r="B2712" s="1" t="s">
        <v>11818</v>
      </c>
      <c r="C2712" s="1" t="s">
        <v>6742</v>
      </c>
      <c r="D2712" s="2" t="n">
        <v>38579</v>
      </c>
      <c r="E2712" s="1" t="s">
        <v>710</v>
      </c>
      <c r="F2712" s="1" t="s">
        <v>711</v>
      </c>
      <c r="G2712" s="1" t="s">
        <v>712</v>
      </c>
      <c r="H2712" s="1" t="s">
        <v>713</v>
      </c>
      <c r="I2712" s="1" t="s">
        <v>714</v>
      </c>
      <c r="J2712" s="1" t="s">
        <v>4940</v>
      </c>
      <c r="K2712" s="1" t="s">
        <v>6744</v>
      </c>
      <c r="L2712" s="1" t="s">
        <v>7527</v>
      </c>
      <c r="M2712" s="1" t="s">
        <v>718</v>
      </c>
    </row>
    <row r="2713" customFormat="false" ht="15" hidden="false" customHeight="false" outlineLevel="0" collapsed="false">
      <c r="A2713" s="1" t="s">
        <v>11819</v>
      </c>
      <c r="B2713" s="1" t="s">
        <v>11820</v>
      </c>
      <c r="C2713" s="1" t="s">
        <v>9086</v>
      </c>
      <c r="D2713" s="2" t="n">
        <v>38439</v>
      </c>
      <c r="E2713" s="1" t="s">
        <v>710</v>
      </c>
      <c r="F2713" s="1" t="s">
        <v>711</v>
      </c>
      <c r="G2713" s="1" t="s">
        <v>712</v>
      </c>
      <c r="H2713" s="1" t="s">
        <v>713</v>
      </c>
      <c r="I2713" s="1" t="s">
        <v>714</v>
      </c>
      <c r="J2713" s="1" t="s">
        <v>1898</v>
      </c>
      <c r="K2713" s="1" t="s">
        <v>7359</v>
      </c>
      <c r="L2713" s="1" t="s">
        <v>7360</v>
      </c>
      <c r="M2713" s="1" t="s">
        <v>718</v>
      </c>
    </row>
    <row r="2714" customFormat="false" ht="15" hidden="false" customHeight="false" outlineLevel="0" collapsed="false">
      <c r="A2714" s="1" t="s">
        <v>11821</v>
      </c>
      <c r="B2714" s="1" t="s">
        <v>11822</v>
      </c>
      <c r="C2714" s="1" t="s">
        <v>9086</v>
      </c>
      <c r="D2714" s="2" t="n">
        <v>37857</v>
      </c>
      <c r="E2714" s="1" t="s">
        <v>763</v>
      </c>
      <c r="F2714" s="1" t="s">
        <v>711</v>
      </c>
      <c r="G2714" s="1" t="s">
        <v>712</v>
      </c>
      <c r="H2714" s="1" t="s">
        <v>713</v>
      </c>
      <c r="I2714" s="1" t="s">
        <v>714</v>
      </c>
      <c r="J2714" s="1" t="s">
        <v>1544</v>
      </c>
      <c r="K2714" s="1" t="s">
        <v>7359</v>
      </c>
      <c r="L2714" s="1" t="s">
        <v>7360</v>
      </c>
      <c r="M2714" s="1" t="s">
        <v>718</v>
      </c>
    </row>
    <row r="2715" customFormat="false" ht="15" hidden="false" customHeight="false" outlineLevel="0" collapsed="false">
      <c r="A2715" s="1" t="s">
        <v>11823</v>
      </c>
      <c r="B2715" s="1" t="s">
        <v>11824</v>
      </c>
      <c r="C2715" s="1" t="s">
        <v>1086</v>
      </c>
      <c r="D2715" s="2" t="n">
        <v>38601</v>
      </c>
      <c r="E2715" s="1" t="s">
        <v>763</v>
      </c>
      <c r="F2715" s="1" t="s">
        <v>711</v>
      </c>
      <c r="G2715" s="1" t="s">
        <v>712</v>
      </c>
      <c r="H2715" s="1" t="s">
        <v>713</v>
      </c>
      <c r="I2715" s="1" t="s">
        <v>714</v>
      </c>
      <c r="J2715" s="1" t="s">
        <v>1723</v>
      </c>
      <c r="K2715" s="1" t="s">
        <v>11825</v>
      </c>
      <c r="L2715" s="1" t="s">
        <v>1087</v>
      </c>
      <c r="M2715" s="1" t="s">
        <v>718</v>
      </c>
    </row>
    <row r="2716" customFormat="false" ht="15" hidden="false" customHeight="false" outlineLevel="0" collapsed="false">
      <c r="A2716" s="1" t="s">
        <v>11826</v>
      </c>
      <c r="B2716" s="1" t="s">
        <v>11827</v>
      </c>
      <c r="C2716" s="1" t="s">
        <v>5271</v>
      </c>
      <c r="D2716" s="2" t="n">
        <v>38676</v>
      </c>
      <c r="E2716" s="1" t="s">
        <v>710</v>
      </c>
      <c r="F2716" s="1" t="s">
        <v>711</v>
      </c>
      <c r="G2716" s="1" t="s">
        <v>712</v>
      </c>
      <c r="H2716" s="1" t="s">
        <v>713</v>
      </c>
      <c r="I2716" s="1" t="s">
        <v>714</v>
      </c>
      <c r="J2716" s="1" t="s">
        <v>8463</v>
      </c>
      <c r="K2716" s="1" t="s">
        <v>11828</v>
      </c>
      <c r="L2716" s="1" t="s">
        <v>8465</v>
      </c>
      <c r="M2716" s="1" t="s">
        <v>718</v>
      </c>
    </row>
    <row r="2717" customFormat="false" ht="15" hidden="false" customHeight="false" outlineLevel="0" collapsed="false">
      <c r="A2717" s="1" t="s">
        <v>11829</v>
      </c>
      <c r="B2717" s="1" t="s">
        <v>11830</v>
      </c>
      <c r="C2717" s="1" t="s">
        <v>11831</v>
      </c>
      <c r="D2717" s="2" t="n">
        <v>38622</v>
      </c>
      <c r="E2717" s="1" t="s">
        <v>763</v>
      </c>
      <c r="F2717" s="1" t="s">
        <v>711</v>
      </c>
      <c r="G2717" s="1" t="s">
        <v>11832</v>
      </c>
      <c r="H2717" s="1" t="s">
        <v>1574</v>
      </c>
      <c r="I2717" s="1" t="s">
        <v>1575</v>
      </c>
      <c r="J2717" s="1" t="s">
        <v>1584</v>
      </c>
      <c r="K2717" s="1" t="s">
        <v>11833</v>
      </c>
      <c r="L2717" s="1" t="s">
        <v>11834</v>
      </c>
      <c r="M2717" s="1" t="s">
        <v>718</v>
      </c>
    </row>
    <row r="2718" customFormat="false" ht="15" hidden="false" customHeight="false" outlineLevel="0" collapsed="false">
      <c r="A2718" s="1" t="s">
        <v>11835</v>
      </c>
      <c r="B2718" s="1" t="s">
        <v>11836</v>
      </c>
      <c r="C2718" s="1" t="s">
        <v>11837</v>
      </c>
      <c r="D2718" s="2" t="n">
        <v>38425</v>
      </c>
      <c r="E2718" s="1" t="s">
        <v>710</v>
      </c>
      <c r="F2718" s="1" t="s">
        <v>711</v>
      </c>
      <c r="G2718" s="1" t="s">
        <v>722</v>
      </c>
      <c r="H2718" s="1" t="s">
        <v>713</v>
      </c>
      <c r="I2718" s="1" t="s">
        <v>714</v>
      </c>
      <c r="J2718" s="1" t="s">
        <v>1530</v>
      </c>
      <c r="K2718" s="1" t="s">
        <v>11838</v>
      </c>
      <c r="L2718" s="1" t="s">
        <v>11839</v>
      </c>
      <c r="M2718" s="1" t="s">
        <v>718</v>
      </c>
    </row>
    <row r="2719" customFormat="false" ht="15" hidden="false" customHeight="false" outlineLevel="0" collapsed="false">
      <c r="A2719" s="1" t="s">
        <v>11840</v>
      </c>
      <c r="B2719" s="1" t="s">
        <v>11841</v>
      </c>
      <c r="C2719" s="1" t="s">
        <v>1491</v>
      </c>
      <c r="D2719" s="2" t="n">
        <v>38493</v>
      </c>
      <c r="E2719" s="1" t="s">
        <v>763</v>
      </c>
      <c r="F2719" s="1" t="s">
        <v>711</v>
      </c>
      <c r="G2719" s="1" t="s">
        <v>712</v>
      </c>
      <c r="H2719" s="1" t="s">
        <v>713</v>
      </c>
      <c r="I2719" s="1" t="s">
        <v>714</v>
      </c>
      <c r="J2719" s="1" t="s">
        <v>11842</v>
      </c>
      <c r="K2719" s="1" t="s">
        <v>11843</v>
      </c>
      <c r="L2719" s="1" t="s">
        <v>1492</v>
      </c>
      <c r="M2719" s="1" t="s">
        <v>718</v>
      </c>
    </row>
    <row r="2720" customFormat="false" ht="15" hidden="false" customHeight="false" outlineLevel="0" collapsed="false">
      <c r="A2720" s="1" t="s">
        <v>11844</v>
      </c>
      <c r="B2720" s="1" t="s">
        <v>11845</v>
      </c>
      <c r="C2720" s="1" t="s">
        <v>11846</v>
      </c>
      <c r="D2720" s="2" t="n">
        <v>38634</v>
      </c>
      <c r="E2720" s="1" t="s">
        <v>763</v>
      </c>
      <c r="F2720" s="1" t="s">
        <v>711</v>
      </c>
      <c r="G2720" s="1" t="s">
        <v>712</v>
      </c>
      <c r="H2720" s="1" t="s">
        <v>713</v>
      </c>
      <c r="I2720" s="1" t="s">
        <v>714</v>
      </c>
      <c r="J2720" s="1" t="s">
        <v>1244</v>
      </c>
      <c r="K2720" s="1" t="s">
        <v>11847</v>
      </c>
      <c r="L2720" s="1" t="s">
        <v>11848</v>
      </c>
      <c r="M2720" s="1" t="s">
        <v>718</v>
      </c>
    </row>
    <row r="2721" customFormat="false" ht="15" hidden="false" customHeight="false" outlineLevel="0" collapsed="false">
      <c r="A2721" s="1" t="s">
        <v>11849</v>
      </c>
      <c r="B2721" s="1" t="s">
        <v>11850</v>
      </c>
      <c r="C2721" s="1" t="s">
        <v>11851</v>
      </c>
      <c r="D2721" s="2" t="n">
        <v>38531</v>
      </c>
      <c r="E2721" s="1" t="s">
        <v>710</v>
      </c>
      <c r="F2721" s="1" t="s">
        <v>711</v>
      </c>
      <c r="G2721" s="1" t="s">
        <v>712</v>
      </c>
      <c r="H2721" s="1" t="s">
        <v>713</v>
      </c>
      <c r="I2721" s="1" t="s">
        <v>714</v>
      </c>
      <c r="J2721" s="1" t="s">
        <v>11412</v>
      </c>
      <c r="K2721" s="1" t="s">
        <v>11852</v>
      </c>
      <c r="L2721" s="1" t="s">
        <v>11853</v>
      </c>
      <c r="M2721" s="1" t="s">
        <v>718</v>
      </c>
    </row>
    <row r="2722" customFormat="false" ht="15" hidden="false" customHeight="false" outlineLevel="0" collapsed="false">
      <c r="A2722" s="1" t="s">
        <v>11854</v>
      </c>
      <c r="B2722" s="1" t="s">
        <v>11855</v>
      </c>
      <c r="C2722" s="1" t="s">
        <v>8576</v>
      </c>
      <c r="D2722" s="2" t="n">
        <v>38712</v>
      </c>
      <c r="E2722" s="1" t="s">
        <v>763</v>
      </c>
      <c r="F2722" s="1" t="s">
        <v>711</v>
      </c>
      <c r="G2722" s="1" t="s">
        <v>722</v>
      </c>
      <c r="H2722" s="1" t="s">
        <v>713</v>
      </c>
      <c r="I2722" s="1" t="s">
        <v>714</v>
      </c>
      <c r="J2722" s="1" t="s">
        <v>2807</v>
      </c>
      <c r="K2722" s="1" t="s">
        <v>8572</v>
      </c>
      <c r="L2722" s="1" t="s">
        <v>8573</v>
      </c>
      <c r="M2722" s="1" t="s">
        <v>718</v>
      </c>
    </row>
    <row r="2723" customFormat="false" ht="15" hidden="false" customHeight="false" outlineLevel="0" collapsed="false">
      <c r="A2723" s="1" t="s">
        <v>11856</v>
      </c>
      <c r="B2723" s="1" t="s">
        <v>11857</v>
      </c>
      <c r="C2723" s="1" t="s">
        <v>8561</v>
      </c>
      <c r="D2723" s="2" t="n">
        <v>37833</v>
      </c>
      <c r="E2723" s="1" t="s">
        <v>710</v>
      </c>
      <c r="F2723" s="1" t="s">
        <v>711</v>
      </c>
      <c r="G2723" s="1" t="s">
        <v>712</v>
      </c>
      <c r="H2723" s="1" t="s">
        <v>713</v>
      </c>
      <c r="I2723" s="1" t="s">
        <v>714</v>
      </c>
      <c r="J2723" s="1" t="s">
        <v>832</v>
      </c>
      <c r="K2723" s="1" t="s">
        <v>11858</v>
      </c>
      <c r="L2723" s="1" t="s">
        <v>11859</v>
      </c>
      <c r="M2723" s="1" t="s">
        <v>718</v>
      </c>
    </row>
    <row r="2724" customFormat="false" ht="15" hidden="false" customHeight="false" outlineLevel="0" collapsed="false">
      <c r="A2724" s="1" t="s">
        <v>11860</v>
      </c>
      <c r="B2724" s="1" t="s">
        <v>6606</v>
      </c>
      <c r="C2724" s="1" t="s">
        <v>11861</v>
      </c>
      <c r="D2724" s="2" t="n">
        <v>38597</v>
      </c>
      <c r="E2724" s="1" t="s">
        <v>710</v>
      </c>
      <c r="F2724" s="1" t="s">
        <v>711</v>
      </c>
      <c r="G2724" s="1" t="s">
        <v>722</v>
      </c>
      <c r="H2724" s="1" t="s">
        <v>713</v>
      </c>
      <c r="I2724" s="1" t="s">
        <v>714</v>
      </c>
      <c r="J2724" s="1" t="s">
        <v>1530</v>
      </c>
      <c r="K2724" s="1" t="s">
        <v>11862</v>
      </c>
      <c r="L2724" s="1" t="s">
        <v>11863</v>
      </c>
      <c r="M2724" s="1" t="s">
        <v>718</v>
      </c>
    </row>
    <row r="2725" customFormat="false" ht="15" hidden="false" customHeight="false" outlineLevel="0" collapsed="false">
      <c r="A2725" s="1" t="s">
        <v>11864</v>
      </c>
      <c r="B2725" s="1" t="s">
        <v>8427</v>
      </c>
      <c r="C2725" s="1" t="s">
        <v>2864</v>
      </c>
      <c r="D2725" s="2" t="n">
        <v>37642</v>
      </c>
      <c r="E2725" s="1" t="s">
        <v>710</v>
      </c>
      <c r="F2725" s="1" t="s">
        <v>711</v>
      </c>
      <c r="G2725" s="1" t="s">
        <v>722</v>
      </c>
      <c r="H2725" s="1" t="s">
        <v>713</v>
      </c>
      <c r="I2725" s="1" t="s">
        <v>714</v>
      </c>
      <c r="J2725" s="1" t="s">
        <v>1244</v>
      </c>
      <c r="K2725" s="1" t="s">
        <v>11865</v>
      </c>
      <c r="L2725" s="1" t="s">
        <v>7005</v>
      </c>
      <c r="M2725" s="1" t="s">
        <v>718</v>
      </c>
    </row>
    <row r="2726" customFormat="false" ht="15" hidden="false" customHeight="false" outlineLevel="0" collapsed="false">
      <c r="A2726" s="1" t="s">
        <v>11866</v>
      </c>
      <c r="B2726" s="1" t="s">
        <v>6896</v>
      </c>
      <c r="C2726" s="1" t="s">
        <v>901</v>
      </c>
      <c r="D2726" s="2" t="n">
        <v>37435</v>
      </c>
      <c r="E2726" s="1" t="s">
        <v>763</v>
      </c>
      <c r="F2726" s="1" t="s">
        <v>711</v>
      </c>
      <c r="G2726" s="1" t="s">
        <v>712</v>
      </c>
      <c r="H2726" s="1" t="s">
        <v>713</v>
      </c>
      <c r="I2726" s="1" t="s">
        <v>714</v>
      </c>
      <c r="J2726" s="1" t="s">
        <v>2438</v>
      </c>
      <c r="K2726" s="1" t="s">
        <v>11867</v>
      </c>
      <c r="L2726" s="1" t="s">
        <v>904</v>
      </c>
      <c r="M2726" s="1" t="s">
        <v>718</v>
      </c>
    </row>
    <row r="2727" customFormat="false" ht="15" hidden="false" customHeight="false" outlineLevel="0" collapsed="false">
      <c r="A2727" s="1" t="s">
        <v>11868</v>
      </c>
      <c r="B2727" s="1" t="s">
        <v>11869</v>
      </c>
      <c r="C2727" s="1" t="s">
        <v>11870</v>
      </c>
      <c r="D2727" s="2" t="n">
        <v>38618</v>
      </c>
      <c r="E2727" s="1" t="s">
        <v>763</v>
      </c>
      <c r="F2727" s="1" t="s">
        <v>711</v>
      </c>
      <c r="G2727" s="1" t="s">
        <v>722</v>
      </c>
      <c r="H2727" s="1" t="s">
        <v>713</v>
      </c>
      <c r="I2727" s="1" t="s">
        <v>714</v>
      </c>
      <c r="J2727" s="1" t="s">
        <v>2438</v>
      </c>
      <c r="K2727" s="1" t="s">
        <v>11867</v>
      </c>
      <c r="L2727" s="1" t="s">
        <v>904</v>
      </c>
      <c r="M2727" s="1" t="s">
        <v>718</v>
      </c>
    </row>
    <row r="2728" customFormat="false" ht="15" hidden="false" customHeight="false" outlineLevel="0" collapsed="false">
      <c r="A2728" s="1" t="s">
        <v>11871</v>
      </c>
      <c r="B2728" s="1" t="s">
        <v>11872</v>
      </c>
      <c r="C2728" s="1" t="s">
        <v>11873</v>
      </c>
      <c r="D2728" s="2" t="n">
        <v>38395</v>
      </c>
      <c r="E2728" s="1" t="s">
        <v>710</v>
      </c>
      <c r="F2728" s="1" t="s">
        <v>711</v>
      </c>
      <c r="G2728" s="1" t="s">
        <v>712</v>
      </c>
      <c r="H2728" s="1" t="s">
        <v>713</v>
      </c>
      <c r="I2728" s="1" t="s">
        <v>714</v>
      </c>
      <c r="J2728" s="1" t="s">
        <v>2117</v>
      </c>
      <c r="K2728" s="1" t="s">
        <v>11874</v>
      </c>
      <c r="L2728" s="1" t="s">
        <v>11875</v>
      </c>
      <c r="M2728" s="1" t="s">
        <v>718</v>
      </c>
    </row>
    <row r="2729" customFormat="false" ht="15" hidden="false" customHeight="false" outlineLevel="0" collapsed="false">
      <c r="A2729" s="1" t="s">
        <v>11876</v>
      </c>
      <c r="B2729" s="1" t="s">
        <v>11877</v>
      </c>
      <c r="C2729" s="1" t="s">
        <v>7473</v>
      </c>
      <c r="D2729" s="2" t="n">
        <v>38637</v>
      </c>
      <c r="E2729" s="1" t="s">
        <v>763</v>
      </c>
      <c r="F2729" s="1" t="s">
        <v>711</v>
      </c>
      <c r="G2729" s="1" t="s">
        <v>712</v>
      </c>
      <c r="H2729" s="1" t="s">
        <v>713</v>
      </c>
      <c r="I2729" s="1" t="s">
        <v>714</v>
      </c>
      <c r="J2729" s="1" t="s">
        <v>751</v>
      </c>
      <c r="K2729" s="1" t="s">
        <v>716</v>
      </c>
      <c r="L2729" s="1" t="s">
        <v>11878</v>
      </c>
      <c r="M2729" s="1" t="s">
        <v>718</v>
      </c>
    </row>
    <row r="2730" customFormat="false" ht="15" hidden="false" customHeight="false" outlineLevel="0" collapsed="false">
      <c r="A2730" s="1" t="s">
        <v>11879</v>
      </c>
      <c r="B2730" s="1" t="s">
        <v>1668</v>
      </c>
      <c r="C2730" s="1" t="s">
        <v>11880</v>
      </c>
      <c r="D2730" s="2" t="n">
        <v>37622</v>
      </c>
      <c r="E2730" s="1" t="s">
        <v>710</v>
      </c>
      <c r="F2730" s="1" t="s">
        <v>711</v>
      </c>
      <c r="G2730" s="1" t="s">
        <v>722</v>
      </c>
      <c r="H2730" s="1" t="s">
        <v>713</v>
      </c>
      <c r="I2730" s="1" t="s">
        <v>714</v>
      </c>
      <c r="J2730" s="1" t="s">
        <v>2001</v>
      </c>
      <c r="K2730" s="1" t="s">
        <v>11881</v>
      </c>
      <c r="L2730" s="1" t="s">
        <v>11882</v>
      </c>
      <c r="M2730" s="1" t="s">
        <v>718</v>
      </c>
    </row>
    <row r="2731" customFormat="false" ht="15" hidden="false" customHeight="false" outlineLevel="0" collapsed="false">
      <c r="A2731" s="1" t="s">
        <v>11883</v>
      </c>
      <c r="B2731" s="1" t="s">
        <v>4843</v>
      </c>
      <c r="C2731" s="1" t="s">
        <v>11880</v>
      </c>
      <c r="D2731" s="2" t="n">
        <v>38639</v>
      </c>
      <c r="E2731" s="1" t="s">
        <v>763</v>
      </c>
      <c r="F2731" s="1" t="s">
        <v>711</v>
      </c>
      <c r="G2731" s="1" t="s">
        <v>712</v>
      </c>
      <c r="H2731" s="1" t="s">
        <v>713</v>
      </c>
      <c r="I2731" s="1" t="s">
        <v>714</v>
      </c>
      <c r="J2731" s="1" t="s">
        <v>7565</v>
      </c>
      <c r="K2731" s="1" t="s">
        <v>11881</v>
      </c>
      <c r="L2731" s="1" t="s">
        <v>11882</v>
      </c>
      <c r="M2731" s="1" t="s">
        <v>718</v>
      </c>
    </row>
    <row r="2732" customFormat="false" ht="15" hidden="false" customHeight="false" outlineLevel="0" collapsed="false">
      <c r="A2732" s="1" t="s">
        <v>11884</v>
      </c>
      <c r="B2732" s="1" t="s">
        <v>11885</v>
      </c>
      <c r="C2732" s="1" t="s">
        <v>11886</v>
      </c>
      <c r="D2732" s="2" t="n">
        <v>39083</v>
      </c>
      <c r="E2732" s="1" t="s">
        <v>710</v>
      </c>
      <c r="F2732" s="1" t="s">
        <v>711</v>
      </c>
      <c r="G2732" s="1" t="s">
        <v>722</v>
      </c>
      <c r="H2732" s="1" t="s">
        <v>713</v>
      </c>
      <c r="I2732" s="1" t="s">
        <v>714</v>
      </c>
      <c r="J2732" s="1" t="s">
        <v>7565</v>
      </c>
      <c r="K2732" s="1" t="s">
        <v>11881</v>
      </c>
      <c r="L2732" s="1" t="s">
        <v>11882</v>
      </c>
      <c r="M2732" s="1" t="s">
        <v>718</v>
      </c>
    </row>
    <row r="2733" customFormat="false" ht="15" hidden="false" customHeight="false" outlineLevel="0" collapsed="false">
      <c r="A2733" s="1" t="s">
        <v>11887</v>
      </c>
      <c r="B2733" s="1" t="s">
        <v>11888</v>
      </c>
      <c r="C2733" s="1" t="s">
        <v>11889</v>
      </c>
      <c r="D2733" s="2" t="n">
        <v>38503</v>
      </c>
      <c r="E2733" s="1" t="s">
        <v>763</v>
      </c>
      <c r="F2733" s="1" t="s">
        <v>711</v>
      </c>
      <c r="G2733" s="1" t="s">
        <v>712</v>
      </c>
      <c r="H2733" s="1" t="s">
        <v>713</v>
      </c>
      <c r="I2733" s="1" t="s">
        <v>714</v>
      </c>
      <c r="J2733" s="1" t="s">
        <v>715</v>
      </c>
      <c r="K2733" s="1" t="s">
        <v>11890</v>
      </c>
      <c r="L2733" s="1" t="s">
        <v>3304</v>
      </c>
      <c r="M2733" s="1" t="s">
        <v>718</v>
      </c>
    </row>
    <row r="2734" customFormat="false" ht="15" hidden="false" customHeight="false" outlineLevel="0" collapsed="false">
      <c r="A2734" s="1" t="s">
        <v>11891</v>
      </c>
      <c r="B2734" s="1" t="s">
        <v>11892</v>
      </c>
      <c r="C2734" s="1" t="s">
        <v>11893</v>
      </c>
      <c r="D2734" s="2" t="n">
        <v>38422</v>
      </c>
      <c r="E2734" s="1" t="s">
        <v>710</v>
      </c>
      <c r="F2734" s="1" t="s">
        <v>711</v>
      </c>
      <c r="G2734" s="1" t="s">
        <v>722</v>
      </c>
      <c r="H2734" s="1" t="s">
        <v>713</v>
      </c>
      <c r="I2734" s="1" t="s">
        <v>714</v>
      </c>
      <c r="J2734" s="1" t="s">
        <v>1244</v>
      </c>
      <c r="K2734" s="1" t="s">
        <v>11894</v>
      </c>
      <c r="L2734" s="1" t="s">
        <v>4909</v>
      </c>
      <c r="M2734" s="1" t="s">
        <v>718</v>
      </c>
    </row>
    <row r="2735" customFormat="false" ht="15" hidden="false" customHeight="false" outlineLevel="0" collapsed="false">
      <c r="A2735" s="1" t="s">
        <v>11895</v>
      </c>
      <c r="B2735" s="1" t="s">
        <v>738</v>
      </c>
      <c r="C2735" s="1" t="s">
        <v>4403</v>
      </c>
      <c r="D2735" s="2" t="n">
        <v>38556</v>
      </c>
      <c r="E2735" s="1" t="s">
        <v>710</v>
      </c>
      <c r="F2735" s="1" t="s">
        <v>711</v>
      </c>
      <c r="G2735" s="1" t="s">
        <v>712</v>
      </c>
      <c r="H2735" s="1" t="s">
        <v>713</v>
      </c>
      <c r="I2735" s="1" t="s">
        <v>714</v>
      </c>
      <c r="J2735" s="1" t="s">
        <v>826</v>
      </c>
      <c r="K2735" s="1" t="s">
        <v>11896</v>
      </c>
      <c r="L2735" s="1" t="s">
        <v>1749</v>
      </c>
      <c r="M2735" s="1" t="s">
        <v>718</v>
      </c>
    </row>
    <row r="2736" customFormat="false" ht="15" hidden="false" customHeight="false" outlineLevel="0" collapsed="false">
      <c r="A2736" s="1" t="s">
        <v>11897</v>
      </c>
      <c r="B2736" s="1" t="s">
        <v>11898</v>
      </c>
      <c r="C2736" s="1" t="s">
        <v>5312</v>
      </c>
      <c r="D2736" s="2" t="n">
        <v>38273</v>
      </c>
      <c r="E2736" s="1" t="s">
        <v>763</v>
      </c>
      <c r="F2736" s="1" t="s">
        <v>711</v>
      </c>
      <c r="G2736" s="1" t="s">
        <v>712</v>
      </c>
      <c r="H2736" s="1" t="s">
        <v>713</v>
      </c>
      <c r="I2736" s="1" t="s">
        <v>714</v>
      </c>
      <c r="J2736" s="1" t="s">
        <v>7865</v>
      </c>
      <c r="K2736" s="1" t="s">
        <v>11899</v>
      </c>
      <c r="L2736" s="1" t="s">
        <v>11900</v>
      </c>
      <c r="M2736" s="1" t="s">
        <v>718</v>
      </c>
    </row>
    <row r="2737" customFormat="false" ht="15" hidden="false" customHeight="false" outlineLevel="0" collapsed="false">
      <c r="A2737" s="1" t="s">
        <v>11901</v>
      </c>
      <c r="B2737" s="1" t="s">
        <v>11902</v>
      </c>
      <c r="C2737" s="1" t="s">
        <v>1465</v>
      </c>
      <c r="D2737" s="2" t="n">
        <v>38645</v>
      </c>
      <c r="E2737" s="1" t="s">
        <v>763</v>
      </c>
      <c r="F2737" s="1" t="s">
        <v>711</v>
      </c>
      <c r="G2737" s="1" t="s">
        <v>722</v>
      </c>
      <c r="H2737" s="1" t="s">
        <v>713</v>
      </c>
      <c r="I2737" s="1" t="s">
        <v>714</v>
      </c>
      <c r="J2737" s="1" t="s">
        <v>1723</v>
      </c>
      <c r="K2737" s="1" t="s">
        <v>11903</v>
      </c>
      <c r="L2737" s="1" t="s">
        <v>1466</v>
      </c>
      <c r="M2737" s="1" t="s">
        <v>718</v>
      </c>
    </row>
    <row r="2738" customFormat="false" ht="15" hidden="false" customHeight="false" outlineLevel="0" collapsed="false">
      <c r="A2738" s="1" t="s">
        <v>11904</v>
      </c>
      <c r="B2738" s="1" t="s">
        <v>11905</v>
      </c>
      <c r="C2738" s="1" t="s">
        <v>7701</v>
      </c>
      <c r="D2738" s="2" t="n">
        <v>37908</v>
      </c>
      <c r="E2738" s="1" t="s">
        <v>710</v>
      </c>
      <c r="F2738" s="1" t="s">
        <v>711</v>
      </c>
      <c r="G2738" s="1" t="s">
        <v>712</v>
      </c>
      <c r="H2738" s="1" t="s">
        <v>713</v>
      </c>
      <c r="I2738" s="1" t="s">
        <v>714</v>
      </c>
      <c r="J2738" s="1" t="s">
        <v>11906</v>
      </c>
      <c r="K2738" s="1" t="s">
        <v>11907</v>
      </c>
      <c r="L2738" s="1" t="s">
        <v>5330</v>
      </c>
      <c r="M2738" s="1" t="s">
        <v>718</v>
      </c>
    </row>
    <row r="2739" customFormat="false" ht="15" hidden="false" customHeight="false" outlineLevel="0" collapsed="false">
      <c r="A2739" s="1" t="s">
        <v>11908</v>
      </c>
      <c r="B2739" s="1" t="s">
        <v>7325</v>
      </c>
      <c r="C2739" s="1" t="s">
        <v>6972</v>
      </c>
      <c r="D2739" s="2" t="n">
        <v>38455</v>
      </c>
      <c r="E2739" s="1" t="s">
        <v>763</v>
      </c>
      <c r="F2739" s="1" t="s">
        <v>711</v>
      </c>
      <c r="G2739" s="1" t="s">
        <v>712</v>
      </c>
      <c r="H2739" s="1" t="s">
        <v>713</v>
      </c>
      <c r="I2739" s="1" t="s">
        <v>714</v>
      </c>
      <c r="J2739" s="1" t="s">
        <v>3517</v>
      </c>
      <c r="K2739" s="1" t="s">
        <v>9935</v>
      </c>
      <c r="L2739" s="1" t="s">
        <v>9936</v>
      </c>
      <c r="M2739" s="1" t="s">
        <v>718</v>
      </c>
    </row>
    <row r="2740" customFormat="false" ht="15" hidden="false" customHeight="false" outlineLevel="0" collapsed="false">
      <c r="A2740" s="1" t="s">
        <v>11909</v>
      </c>
      <c r="B2740" s="1" t="s">
        <v>11910</v>
      </c>
      <c r="C2740" s="1" t="s">
        <v>11911</v>
      </c>
      <c r="D2740" s="2" t="n">
        <v>38644</v>
      </c>
      <c r="E2740" s="1" t="s">
        <v>763</v>
      </c>
      <c r="F2740" s="1" t="s">
        <v>711</v>
      </c>
      <c r="G2740" s="1" t="s">
        <v>712</v>
      </c>
      <c r="H2740" s="1" t="s">
        <v>713</v>
      </c>
      <c r="I2740" s="1" t="s">
        <v>714</v>
      </c>
      <c r="J2740" s="1" t="s">
        <v>2807</v>
      </c>
      <c r="K2740" s="1" t="s">
        <v>716</v>
      </c>
      <c r="L2740" s="1" t="s">
        <v>11912</v>
      </c>
      <c r="M2740" s="1" t="s">
        <v>718</v>
      </c>
    </row>
    <row r="2741" customFormat="false" ht="15" hidden="false" customHeight="false" outlineLevel="0" collapsed="false">
      <c r="A2741" s="1" t="s">
        <v>11913</v>
      </c>
      <c r="B2741" s="1" t="s">
        <v>11914</v>
      </c>
      <c r="C2741" s="1" t="s">
        <v>1815</v>
      </c>
      <c r="D2741" s="2" t="n">
        <v>38655</v>
      </c>
      <c r="E2741" s="1" t="s">
        <v>763</v>
      </c>
      <c r="F2741" s="1" t="s">
        <v>711</v>
      </c>
      <c r="G2741" s="1" t="s">
        <v>712</v>
      </c>
      <c r="H2741" s="1" t="s">
        <v>713</v>
      </c>
      <c r="I2741" s="1" t="s">
        <v>714</v>
      </c>
      <c r="J2741" s="1" t="s">
        <v>11915</v>
      </c>
      <c r="K2741" s="1" t="s">
        <v>11916</v>
      </c>
      <c r="L2741" s="1" t="s">
        <v>1817</v>
      </c>
      <c r="M2741" s="1" t="s">
        <v>718</v>
      </c>
    </row>
    <row r="2742" customFormat="false" ht="15" hidden="false" customHeight="false" outlineLevel="0" collapsed="false">
      <c r="A2742" s="1" t="s">
        <v>11917</v>
      </c>
      <c r="B2742" s="1" t="s">
        <v>11918</v>
      </c>
      <c r="C2742" s="1" t="s">
        <v>11919</v>
      </c>
      <c r="D2742" s="2" t="n">
        <v>38571</v>
      </c>
      <c r="E2742" s="1" t="s">
        <v>763</v>
      </c>
      <c r="F2742" s="1" t="s">
        <v>711</v>
      </c>
      <c r="G2742" s="1" t="s">
        <v>775</v>
      </c>
      <c r="H2742" s="1" t="s">
        <v>713</v>
      </c>
      <c r="I2742" s="1" t="s">
        <v>714</v>
      </c>
      <c r="J2742" s="1" t="s">
        <v>8511</v>
      </c>
      <c r="K2742" s="1" t="s">
        <v>10705</v>
      </c>
      <c r="L2742" s="1" t="s">
        <v>5460</v>
      </c>
      <c r="M2742" s="1" t="s">
        <v>718</v>
      </c>
    </row>
    <row r="2743" customFormat="false" ht="15" hidden="false" customHeight="false" outlineLevel="0" collapsed="false">
      <c r="A2743" s="1" t="s">
        <v>11920</v>
      </c>
      <c r="B2743" s="1" t="s">
        <v>11921</v>
      </c>
      <c r="C2743" s="1" t="s">
        <v>9551</v>
      </c>
      <c r="D2743" s="2" t="n">
        <v>38260</v>
      </c>
      <c r="E2743" s="1" t="s">
        <v>710</v>
      </c>
      <c r="F2743" s="1" t="s">
        <v>711</v>
      </c>
      <c r="G2743" s="1" t="s">
        <v>722</v>
      </c>
      <c r="H2743" s="1" t="s">
        <v>713</v>
      </c>
      <c r="I2743" s="1" t="s">
        <v>714</v>
      </c>
      <c r="J2743" s="1" t="s">
        <v>6941</v>
      </c>
      <c r="K2743" s="1" t="s">
        <v>11922</v>
      </c>
      <c r="L2743" s="1" t="s">
        <v>9554</v>
      </c>
      <c r="M2743" s="1" t="s">
        <v>718</v>
      </c>
    </row>
    <row r="2744" customFormat="false" ht="15" hidden="false" customHeight="false" outlineLevel="0" collapsed="false">
      <c r="A2744" s="1" t="s">
        <v>11923</v>
      </c>
      <c r="B2744" s="1" t="s">
        <v>10955</v>
      </c>
      <c r="C2744" s="1" t="s">
        <v>9313</v>
      </c>
      <c r="D2744" s="2" t="n">
        <v>38322</v>
      </c>
      <c r="E2744" s="1" t="s">
        <v>710</v>
      </c>
      <c r="F2744" s="1" t="s">
        <v>711</v>
      </c>
      <c r="G2744" s="1" t="s">
        <v>722</v>
      </c>
      <c r="H2744" s="1" t="s">
        <v>713</v>
      </c>
      <c r="I2744" s="1" t="s">
        <v>714</v>
      </c>
      <c r="J2744" s="1" t="s">
        <v>8511</v>
      </c>
      <c r="K2744" s="1" t="s">
        <v>11924</v>
      </c>
      <c r="L2744" s="1" t="s">
        <v>9316</v>
      </c>
      <c r="M2744" s="1" t="s">
        <v>718</v>
      </c>
    </row>
    <row r="2745" customFormat="false" ht="15" hidden="false" customHeight="false" outlineLevel="0" collapsed="false">
      <c r="A2745" s="1" t="s">
        <v>11925</v>
      </c>
      <c r="B2745" s="1" t="s">
        <v>11926</v>
      </c>
      <c r="C2745" s="1" t="s">
        <v>11927</v>
      </c>
      <c r="D2745" s="2" t="n">
        <v>37347</v>
      </c>
      <c r="E2745" s="1" t="s">
        <v>710</v>
      </c>
      <c r="F2745" s="1" t="s">
        <v>4714</v>
      </c>
      <c r="G2745" s="1" t="s">
        <v>2083</v>
      </c>
      <c r="H2745" s="1" t="s">
        <v>2083</v>
      </c>
      <c r="I2745" s="1" t="s">
        <v>2084</v>
      </c>
      <c r="J2745" s="1" t="s">
        <v>7565</v>
      </c>
      <c r="K2745" s="1" t="s">
        <v>11928</v>
      </c>
      <c r="L2745" s="1" t="s">
        <v>11929</v>
      </c>
      <c r="M2745" s="1" t="s">
        <v>2083</v>
      </c>
    </row>
    <row r="2746" customFormat="false" ht="15" hidden="false" customHeight="false" outlineLevel="0" collapsed="false">
      <c r="A2746" s="1" t="s">
        <v>11930</v>
      </c>
      <c r="B2746" s="1" t="s">
        <v>2374</v>
      </c>
      <c r="C2746" s="1" t="s">
        <v>2488</v>
      </c>
      <c r="D2746" s="2" t="n">
        <v>38434</v>
      </c>
      <c r="E2746" s="1" t="s">
        <v>710</v>
      </c>
      <c r="F2746" s="1" t="s">
        <v>711</v>
      </c>
      <c r="G2746" s="1" t="s">
        <v>722</v>
      </c>
      <c r="H2746" s="1" t="s">
        <v>713</v>
      </c>
      <c r="I2746" s="1" t="s">
        <v>714</v>
      </c>
      <c r="J2746" s="1" t="s">
        <v>1723</v>
      </c>
      <c r="K2746" s="1" t="s">
        <v>11931</v>
      </c>
      <c r="L2746" s="1" t="s">
        <v>2490</v>
      </c>
      <c r="M2746" s="1" t="s">
        <v>718</v>
      </c>
    </row>
    <row r="2747" customFormat="false" ht="15" hidden="false" customHeight="false" outlineLevel="0" collapsed="false">
      <c r="A2747" s="1" t="s">
        <v>11932</v>
      </c>
      <c r="B2747" s="1" t="s">
        <v>11933</v>
      </c>
      <c r="C2747" s="1" t="s">
        <v>4996</v>
      </c>
      <c r="D2747" s="2" t="n">
        <v>38389</v>
      </c>
      <c r="E2747" s="1" t="s">
        <v>763</v>
      </c>
      <c r="F2747" s="1" t="s">
        <v>711</v>
      </c>
      <c r="G2747" s="1" t="s">
        <v>712</v>
      </c>
      <c r="H2747" s="1" t="s">
        <v>713</v>
      </c>
      <c r="I2747" s="1" t="s">
        <v>714</v>
      </c>
      <c r="J2747" s="1" t="s">
        <v>7543</v>
      </c>
      <c r="K2747" s="1" t="s">
        <v>11934</v>
      </c>
      <c r="L2747" s="1" t="s">
        <v>11935</v>
      </c>
      <c r="M2747" s="1" t="s">
        <v>718</v>
      </c>
    </row>
    <row r="2748" customFormat="false" ht="15" hidden="false" customHeight="false" outlineLevel="0" collapsed="false">
      <c r="A2748" s="1" t="s">
        <v>11936</v>
      </c>
      <c r="B2748" s="1" t="s">
        <v>11937</v>
      </c>
      <c r="C2748" s="1" t="s">
        <v>4996</v>
      </c>
      <c r="D2748" s="2" t="n">
        <v>38034</v>
      </c>
      <c r="E2748" s="1" t="s">
        <v>710</v>
      </c>
      <c r="F2748" s="1" t="s">
        <v>711</v>
      </c>
      <c r="G2748" s="1" t="s">
        <v>712</v>
      </c>
      <c r="H2748" s="1" t="s">
        <v>713</v>
      </c>
      <c r="I2748" s="1" t="s">
        <v>714</v>
      </c>
      <c r="J2748" s="1" t="s">
        <v>7543</v>
      </c>
      <c r="K2748" s="1" t="s">
        <v>11934</v>
      </c>
      <c r="L2748" s="1" t="s">
        <v>11935</v>
      </c>
      <c r="M2748" s="1" t="s">
        <v>718</v>
      </c>
    </row>
    <row r="2749" customFormat="false" ht="15" hidden="false" customHeight="false" outlineLevel="0" collapsed="false">
      <c r="A2749" s="1" t="s">
        <v>11938</v>
      </c>
      <c r="B2749" s="1" t="s">
        <v>11939</v>
      </c>
      <c r="C2749" s="1" t="s">
        <v>6623</v>
      </c>
      <c r="D2749" s="2" t="n">
        <v>39267</v>
      </c>
      <c r="E2749" s="1" t="s">
        <v>763</v>
      </c>
      <c r="F2749" s="1" t="s">
        <v>711</v>
      </c>
      <c r="G2749" s="1" t="s">
        <v>712</v>
      </c>
      <c r="H2749" s="1" t="s">
        <v>713</v>
      </c>
      <c r="I2749" s="1" t="s">
        <v>714</v>
      </c>
      <c r="J2749" s="1" t="s">
        <v>805</v>
      </c>
      <c r="K2749" s="1" t="s">
        <v>11940</v>
      </c>
      <c r="L2749" s="1" t="s">
        <v>11941</v>
      </c>
      <c r="M2749" s="1" t="s">
        <v>718</v>
      </c>
    </row>
    <row r="2750" customFormat="false" ht="15" hidden="false" customHeight="false" outlineLevel="0" collapsed="false">
      <c r="A2750" s="1" t="s">
        <v>11942</v>
      </c>
      <c r="B2750" s="1" t="s">
        <v>11943</v>
      </c>
      <c r="C2750" s="1" t="s">
        <v>1845</v>
      </c>
      <c r="D2750" s="2" t="n">
        <v>38574</v>
      </c>
      <c r="E2750" s="1" t="s">
        <v>763</v>
      </c>
      <c r="F2750" s="1" t="s">
        <v>711</v>
      </c>
      <c r="G2750" s="1" t="s">
        <v>712</v>
      </c>
      <c r="H2750" s="1" t="s">
        <v>713</v>
      </c>
      <c r="I2750" s="1" t="s">
        <v>714</v>
      </c>
      <c r="J2750" s="1" t="s">
        <v>9030</v>
      </c>
      <c r="K2750" s="1" t="s">
        <v>11944</v>
      </c>
      <c r="L2750" s="1" t="s">
        <v>11945</v>
      </c>
      <c r="M2750" s="1" t="s">
        <v>718</v>
      </c>
    </row>
    <row r="2751" customFormat="false" ht="15" hidden="false" customHeight="false" outlineLevel="0" collapsed="false">
      <c r="A2751" s="1" t="s">
        <v>11946</v>
      </c>
      <c r="B2751" s="1" t="s">
        <v>11947</v>
      </c>
      <c r="C2751" s="1" t="s">
        <v>11948</v>
      </c>
      <c r="D2751" s="2" t="n">
        <v>38609</v>
      </c>
      <c r="E2751" s="1" t="s">
        <v>763</v>
      </c>
      <c r="F2751" s="1" t="s">
        <v>711</v>
      </c>
      <c r="G2751" s="1" t="s">
        <v>712</v>
      </c>
      <c r="H2751" s="1" t="s">
        <v>713</v>
      </c>
      <c r="I2751" s="1" t="s">
        <v>714</v>
      </c>
      <c r="J2751" s="1" t="s">
        <v>11481</v>
      </c>
      <c r="K2751" s="1" t="s">
        <v>11949</v>
      </c>
      <c r="L2751" s="1" t="s">
        <v>11950</v>
      </c>
      <c r="M2751" s="1" t="s">
        <v>718</v>
      </c>
    </row>
    <row r="2752" customFormat="false" ht="15" hidden="false" customHeight="false" outlineLevel="0" collapsed="false">
      <c r="A2752" s="1" t="s">
        <v>11951</v>
      </c>
      <c r="B2752" s="1" t="s">
        <v>11952</v>
      </c>
      <c r="C2752" s="1" t="s">
        <v>11953</v>
      </c>
      <c r="D2752" s="2" t="n">
        <v>39444</v>
      </c>
      <c r="E2752" s="1" t="s">
        <v>763</v>
      </c>
      <c r="F2752" s="1" t="s">
        <v>711</v>
      </c>
      <c r="G2752" s="1" t="s">
        <v>1220</v>
      </c>
      <c r="H2752" s="1" t="s">
        <v>713</v>
      </c>
      <c r="I2752" s="1" t="s">
        <v>714</v>
      </c>
      <c r="J2752" s="1" t="s">
        <v>821</v>
      </c>
      <c r="K2752" s="1" t="s">
        <v>11954</v>
      </c>
      <c r="L2752" s="1" t="s">
        <v>11955</v>
      </c>
      <c r="M2752" s="1" t="s">
        <v>718</v>
      </c>
    </row>
    <row r="2753" customFormat="false" ht="15" hidden="false" customHeight="false" outlineLevel="0" collapsed="false">
      <c r="A2753" s="1" t="s">
        <v>11956</v>
      </c>
      <c r="B2753" s="1" t="s">
        <v>10465</v>
      </c>
      <c r="C2753" s="1" t="s">
        <v>7003</v>
      </c>
      <c r="D2753" s="2" t="n">
        <v>38224</v>
      </c>
      <c r="E2753" s="1" t="s">
        <v>763</v>
      </c>
      <c r="F2753" s="1" t="s">
        <v>711</v>
      </c>
      <c r="G2753" s="1" t="s">
        <v>712</v>
      </c>
      <c r="H2753" s="1" t="s">
        <v>713</v>
      </c>
      <c r="I2753" s="1" t="s">
        <v>714</v>
      </c>
      <c r="J2753" s="1" t="s">
        <v>740</v>
      </c>
      <c r="K2753" s="1" t="s">
        <v>11957</v>
      </c>
      <c r="L2753" s="1" t="s">
        <v>11958</v>
      </c>
      <c r="M2753" s="1" t="s">
        <v>718</v>
      </c>
    </row>
    <row r="2754" customFormat="false" ht="15" hidden="false" customHeight="false" outlineLevel="0" collapsed="false">
      <c r="A2754" s="1" t="s">
        <v>11959</v>
      </c>
      <c r="B2754" s="1" t="s">
        <v>6531</v>
      </c>
      <c r="C2754" s="1" t="s">
        <v>7003</v>
      </c>
      <c r="D2754" s="2" t="n">
        <v>38646</v>
      </c>
      <c r="E2754" s="1" t="s">
        <v>763</v>
      </c>
      <c r="F2754" s="1" t="s">
        <v>711</v>
      </c>
      <c r="G2754" s="1" t="s">
        <v>712</v>
      </c>
      <c r="H2754" s="1" t="s">
        <v>713</v>
      </c>
      <c r="I2754" s="1" t="s">
        <v>714</v>
      </c>
      <c r="J2754" s="1" t="s">
        <v>740</v>
      </c>
      <c r="K2754" s="1" t="s">
        <v>11960</v>
      </c>
      <c r="L2754" s="1" t="s">
        <v>11958</v>
      </c>
      <c r="M2754" s="1" t="s">
        <v>718</v>
      </c>
    </row>
    <row r="2755" customFormat="false" ht="15" hidden="false" customHeight="false" outlineLevel="0" collapsed="false">
      <c r="A2755" s="1" t="s">
        <v>11961</v>
      </c>
      <c r="B2755" s="1" t="s">
        <v>11962</v>
      </c>
      <c r="C2755" s="1" t="s">
        <v>11963</v>
      </c>
      <c r="D2755" s="2" t="n">
        <v>38476</v>
      </c>
      <c r="E2755" s="1" t="s">
        <v>763</v>
      </c>
      <c r="F2755" s="1" t="s">
        <v>711</v>
      </c>
      <c r="G2755" s="1" t="s">
        <v>712</v>
      </c>
      <c r="H2755" s="1" t="s">
        <v>713</v>
      </c>
      <c r="I2755" s="1" t="s">
        <v>714</v>
      </c>
      <c r="J2755" s="1" t="s">
        <v>11481</v>
      </c>
      <c r="K2755" s="1" t="s">
        <v>11964</v>
      </c>
      <c r="L2755" s="1" t="s">
        <v>1446</v>
      </c>
      <c r="M2755" s="1" t="s">
        <v>718</v>
      </c>
    </row>
    <row r="2756" customFormat="false" ht="15" hidden="false" customHeight="false" outlineLevel="0" collapsed="false">
      <c r="A2756" s="1" t="s">
        <v>11965</v>
      </c>
      <c r="B2756" s="1" t="s">
        <v>11966</v>
      </c>
      <c r="C2756" s="1" t="s">
        <v>3565</v>
      </c>
      <c r="D2756" s="2" t="n">
        <v>38350</v>
      </c>
      <c r="E2756" s="1" t="s">
        <v>710</v>
      </c>
      <c r="F2756" s="1" t="s">
        <v>711</v>
      </c>
      <c r="G2756" s="1" t="s">
        <v>722</v>
      </c>
      <c r="H2756" s="1" t="s">
        <v>713</v>
      </c>
      <c r="I2756" s="1" t="s">
        <v>714</v>
      </c>
      <c r="J2756" s="1" t="s">
        <v>6876</v>
      </c>
      <c r="K2756" s="1" t="s">
        <v>716</v>
      </c>
      <c r="L2756" s="1" t="s">
        <v>3568</v>
      </c>
      <c r="M2756" s="1" t="s">
        <v>718</v>
      </c>
    </row>
    <row r="2757" customFormat="false" ht="15" hidden="false" customHeight="false" outlineLevel="0" collapsed="false">
      <c r="A2757" s="1" t="s">
        <v>11967</v>
      </c>
      <c r="B2757" s="1" t="s">
        <v>11968</v>
      </c>
      <c r="C2757" s="1" t="s">
        <v>11969</v>
      </c>
      <c r="D2757" s="2" t="n">
        <v>38040</v>
      </c>
      <c r="E2757" s="1" t="s">
        <v>763</v>
      </c>
      <c r="F2757" s="1" t="s">
        <v>711</v>
      </c>
      <c r="G2757" s="1" t="s">
        <v>712</v>
      </c>
      <c r="H2757" s="1" t="s">
        <v>713</v>
      </c>
      <c r="I2757" s="1" t="s">
        <v>714</v>
      </c>
      <c r="J2757" s="1" t="s">
        <v>11970</v>
      </c>
      <c r="K2757" s="1" t="s">
        <v>11971</v>
      </c>
      <c r="L2757" s="1" t="s">
        <v>1689</v>
      </c>
      <c r="M2757" s="1" t="s">
        <v>718</v>
      </c>
    </row>
    <row r="2758" customFormat="false" ht="15" hidden="false" customHeight="false" outlineLevel="0" collapsed="false">
      <c r="A2758" s="1" t="s">
        <v>11972</v>
      </c>
      <c r="B2758" s="1" t="s">
        <v>1561</v>
      </c>
      <c r="C2758" s="1" t="s">
        <v>8339</v>
      </c>
      <c r="D2758" s="2" t="n">
        <v>38222</v>
      </c>
      <c r="E2758" s="1" t="s">
        <v>710</v>
      </c>
      <c r="F2758" s="1" t="s">
        <v>711</v>
      </c>
      <c r="G2758" s="1" t="s">
        <v>712</v>
      </c>
      <c r="H2758" s="1" t="s">
        <v>713</v>
      </c>
      <c r="I2758" s="1" t="s">
        <v>714</v>
      </c>
      <c r="J2758" s="1" t="s">
        <v>751</v>
      </c>
      <c r="K2758" s="1" t="s">
        <v>11973</v>
      </c>
      <c r="L2758" s="1" t="s">
        <v>8342</v>
      </c>
      <c r="M2758" s="1" t="s">
        <v>718</v>
      </c>
    </row>
    <row r="2759" customFormat="false" ht="15" hidden="false" customHeight="false" outlineLevel="0" collapsed="false">
      <c r="A2759" s="1" t="s">
        <v>11974</v>
      </c>
      <c r="B2759" s="1" t="s">
        <v>1285</v>
      </c>
      <c r="C2759" s="1" t="s">
        <v>3865</v>
      </c>
      <c r="D2759" s="2" t="n">
        <v>38484</v>
      </c>
      <c r="E2759" s="1" t="s">
        <v>710</v>
      </c>
      <c r="F2759" s="1" t="s">
        <v>711</v>
      </c>
      <c r="G2759" s="1" t="s">
        <v>1220</v>
      </c>
      <c r="H2759" s="1" t="s">
        <v>713</v>
      </c>
      <c r="I2759" s="1" t="s">
        <v>714</v>
      </c>
      <c r="J2759" s="1" t="s">
        <v>1723</v>
      </c>
      <c r="K2759" s="1" t="s">
        <v>11975</v>
      </c>
      <c r="L2759" s="1" t="s">
        <v>3867</v>
      </c>
      <c r="M2759" s="1" t="s">
        <v>718</v>
      </c>
    </row>
    <row r="2760" customFormat="false" ht="15" hidden="false" customHeight="false" outlineLevel="0" collapsed="false">
      <c r="A2760" s="1" t="s">
        <v>11976</v>
      </c>
      <c r="B2760" s="1" t="s">
        <v>11977</v>
      </c>
      <c r="C2760" s="1" t="s">
        <v>6722</v>
      </c>
      <c r="D2760" s="2" t="n">
        <v>38728</v>
      </c>
      <c r="E2760" s="1" t="s">
        <v>763</v>
      </c>
      <c r="F2760" s="1" t="s">
        <v>711</v>
      </c>
      <c r="G2760" s="1" t="s">
        <v>722</v>
      </c>
      <c r="H2760" s="1" t="s">
        <v>713</v>
      </c>
      <c r="I2760" s="1" t="s">
        <v>714</v>
      </c>
      <c r="J2760" s="1" t="s">
        <v>751</v>
      </c>
      <c r="K2760" s="1" t="s">
        <v>11978</v>
      </c>
      <c r="L2760" s="1" t="s">
        <v>6724</v>
      </c>
      <c r="M2760" s="1" t="s">
        <v>718</v>
      </c>
    </row>
    <row r="2761" customFormat="false" ht="15" hidden="false" customHeight="false" outlineLevel="0" collapsed="false">
      <c r="A2761" s="1" t="s">
        <v>11979</v>
      </c>
      <c r="B2761" s="1" t="s">
        <v>5583</v>
      </c>
      <c r="C2761" s="1" t="s">
        <v>2236</v>
      </c>
      <c r="D2761" s="2" t="n">
        <v>38546</v>
      </c>
      <c r="E2761" s="1" t="s">
        <v>763</v>
      </c>
      <c r="F2761" s="1" t="s">
        <v>711</v>
      </c>
      <c r="G2761" s="1" t="s">
        <v>712</v>
      </c>
      <c r="H2761" s="1" t="s">
        <v>713</v>
      </c>
      <c r="I2761" s="1" t="s">
        <v>714</v>
      </c>
      <c r="J2761" s="1" t="s">
        <v>4940</v>
      </c>
      <c r="K2761" s="1" t="s">
        <v>11980</v>
      </c>
      <c r="L2761" s="1" t="s">
        <v>11981</v>
      </c>
      <c r="M2761" s="1" t="s">
        <v>718</v>
      </c>
    </row>
    <row r="2762" customFormat="false" ht="15" hidden="false" customHeight="false" outlineLevel="0" collapsed="false">
      <c r="A2762" s="1" t="s">
        <v>11982</v>
      </c>
      <c r="B2762" s="1" t="s">
        <v>11983</v>
      </c>
      <c r="C2762" s="1" t="s">
        <v>11984</v>
      </c>
      <c r="D2762" s="2" t="n">
        <v>38539</v>
      </c>
      <c r="E2762" s="1" t="s">
        <v>763</v>
      </c>
      <c r="F2762" s="1" t="s">
        <v>711</v>
      </c>
      <c r="G2762" s="1" t="s">
        <v>775</v>
      </c>
      <c r="H2762" s="1" t="s">
        <v>713</v>
      </c>
      <c r="I2762" s="1" t="s">
        <v>714</v>
      </c>
      <c r="J2762" s="1" t="s">
        <v>1723</v>
      </c>
      <c r="K2762" s="1" t="s">
        <v>11985</v>
      </c>
      <c r="L2762" s="1" t="s">
        <v>7728</v>
      </c>
      <c r="M2762" s="1" t="s">
        <v>718</v>
      </c>
    </row>
    <row r="2763" customFormat="false" ht="15" hidden="false" customHeight="false" outlineLevel="0" collapsed="false">
      <c r="A2763" s="1" t="s">
        <v>11986</v>
      </c>
      <c r="B2763" s="1" t="s">
        <v>11987</v>
      </c>
      <c r="C2763" s="1" t="s">
        <v>11988</v>
      </c>
      <c r="D2763" s="2" t="n">
        <v>38569</v>
      </c>
      <c r="E2763" s="1" t="s">
        <v>710</v>
      </c>
      <c r="F2763" s="1" t="s">
        <v>711</v>
      </c>
      <c r="G2763" s="1" t="s">
        <v>775</v>
      </c>
      <c r="H2763" s="1" t="s">
        <v>713</v>
      </c>
      <c r="I2763" s="1" t="s">
        <v>714</v>
      </c>
      <c r="J2763" s="1" t="s">
        <v>11906</v>
      </c>
      <c r="K2763" s="1" t="s">
        <v>11985</v>
      </c>
      <c r="L2763" s="1" t="s">
        <v>7728</v>
      </c>
      <c r="M2763" s="1" t="s">
        <v>718</v>
      </c>
    </row>
    <row r="2764" customFormat="false" ht="15" hidden="false" customHeight="false" outlineLevel="0" collapsed="false">
      <c r="A2764" s="1" t="s">
        <v>11989</v>
      </c>
      <c r="B2764" s="1" t="s">
        <v>11990</v>
      </c>
      <c r="C2764" s="1" t="s">
        <v>11991</v>
      </c>
      <c r="D2764" s="2" t="n">
        <v>38789</v>
      </c>
      <c r="E2764" s="1" t="s">
        <v>763</v>
      </c>
      <c r="F2764" s="1" t="s">
        <v>711</v>
      </c>
      <c r="G2764" s="1" t="s">
        <v>5862</v>
      </c>
      <c r="H2764" s="1" t="s">
        <v>713</v>
      </c>
      <c r="I2764" s="1" t="s">
        <v>714</v>
      </c>
      <c r="J2764" s="1" t="s">
        <v>6508</v>
      </c>
      <c r="K2764" s="1" t="s">
        <v>11992</v>
      </c>
      <c r="L2764" s="1" t="s">
        <v>11993</v>
      </c>
      <c r="M2764" s="1" t="s">
        <v>718</v>
      </c>
    </row>
    <row r="2765" customFormat="false" ht="15" hidden="false" customHeight="false" outlineLevel="0" collapsed="false">
      <c r="A2765" s="1" t="s">
        <v>11994</v>
      </c>
      <c r="B2765" s="1" t="s">
        <v>11995</v>
      </c>
      <c r="C2765" s="1" t="s">
        <v>11996</v>
      </c>
      <c r="D2765" s="2" t="n">
        <v>38552</v>
      </c>
      <c r="E2765" s="1" t="s">
        <v>710</v>
      </c>
      <c r="F2765" s="1" t="s">
        <v>711</v>
      </c>
      <c r="G2765" s="1" t="s">
        <v>712</v>
      </c>
      <c r="H2765" s="1" t="s">
        <v>713</v>
      </c>
      <c r="I2765" s="1" t="s">
        <v>714</v>
      </c>
      <c r="J2765" s="1" t="s">
        <v>2499</v>
      </c>
      <c r="K2765" s="1" t="s">
        <v>11997</v>
      </c>
      <c r="L2765" s="1" t="s">
        <v>11998</v>
      </c>
      <c r="M2765" s="1" t="s">
        <v>718</v>
      </c>
    </row>
    <row r="2766" customFormat="false" ht="15" hidden="false" customHeight="false" outlineLevel="0" collapsed="false">
      <c r="A2766" s="1" t="s">
        <v>11999</v>
      </c>
      <c r="B2766" s="1" t="s">
        <v>12000</v>
      </c>
      <c r="C2766" s="1" t="s">
        <v>6660</v>
      </c>
      <c r="D2766" s="2" t="n">
        <v>38630</v>
      </c>
      <c r="E2766" s="1" t="s">
        <v>710</v>
      </c>
      <c r="F2766" s="1" t="s">
        <v>711</v>
      </c>
      <c r="G2766" s="1" t="s">
        <v>722</v>
      </c>
      <c r="H2766" s="1" t="s">
        <v>713</v>
      </c>
      <c r="I2766" s="1" t="s">
        <v>714</v>
      </c>
      <c r="J2766" s="1" t="s">
        <v>838</v>
      </c>
      <c r="K2766" s="1" t="s">
        <v>12001</v>
      </c>
      <c r="L2766" s="1" t="s">
        <v>6663</v>
      </c>
      <c r="M2766" s="1" t="s">
        <v>718</v>
      </c>
    </row>
    <row r="2767" customFormat="false" ht="15" hidden="false" customHeight="false" outlineLevel="0" collapsed="false">
      <c r="A2767" s="1" t="s">
        <v>12002</v>
      </c>
      <c r="B2767" s="1" t="s">
        <v>12003</v>
      </c>
      <c r="C2767" s="1" t="s">
        <v>12004</v>
      </c>
      <c r="D2767" s="2" t="n">
        <v>37434</v>
      </c>
      <c r="E2767" s="1" t="s">
        <v>763</v>
      </c>
      <c r="F2767" s="1" t="s">
        <v>711</v>
      </c>
      <c r="G2767" s="1" t="s">
        <v>722</v>
      </c>
      <c r="H2767" s="1" t="s">
        <v>713</v>
      </c>
      <c r="I2767" s="1" t="s">
        <v>714</v>
      </c>
      <c r="J2767" s="1" t="s">
        <v>821</v>
      </c>
      <c r="K2767" s="1" t="s">
        <v>12005</v>
      </c>
      <c r="L2767" s="1" t="s">
        <v>12006</v>
      </c>
      <c r="M2767" s="1" t="s">
        <v>718</v>
      </c>
    </row>
    <row r="2768" customFormat="false" ht="15" hidden="false" customHeight="false" outlineLevel="0" collapsed="false">
      <c r="A2768" s="1" t="s">
        <v>12007</v>
      </c>
      <c r="B2768" s="1" t="s">
        <v>12008</v>
      </c>
      <c r="C2768" s="1" t="s">
        <v>12009</v>
      </c>
      <c r="D2768" s="2" t="n">
        <v>38156</v>
      </c>
      <c r="E2768" s="1" t="s">
        <v>763</v>
      </c>
      <c r="F2768" s="1" t="s">
        <v>711</v>
      </c>
      <c r="G2768" s="1" t="s">
        <v>712</v>
      </c>
      <c r="H2768" s="1" t="s">
        <v>713</v>
      </c>
      <c r="I2768" s="1" t="s">
        <v>714</v>
      </c>
      <c r="J2768" s="1" t="s">
        <v>2638</v>
      </c>
      <c r="K2768" s="1" t="s">
        <v>12010</v>
      </c>
      <c r="L2768" s="1" t="s">
        <v>12011</v>
      </c>
      <c r="M2768" s="1" t="s">
        <v>718</v>
      </c>
    </row>
    <row r="2769" customFormat="false" ht="15" hidden="false" customHeight="false" outlineLevel="0" collapsed="false">
      <c r="A2769" s="1" t="s">
        <v>12012</v>
      </c>
      <c r="B2769" s="1" t="s">
        <v>7637</v>
      </c>
      <c r="C2769" s="1" t="s">
        <v>7734</v>
      </c>
      <c r="D2769" s="2" t="n">
        <v>38124</v>
      </c>
      <c r="E2769" s="1" t="s">
        <v>763</v>
      </c>
      <c r="F2769" s="1" t="s">
        <v>711</v>
      </c>
      <c r="G2769" s="1" t="s">
        <v>712</v>
      </c>
      <c r="H2769" s="1" t="s">
        <v>713</v>
      </c>
      <c r="I2769" s="1" t="s">
        <v>714</v>
      </c>
      <c r="J2769" s="1" t="s">
        <v>7565</v>
      </c>
      <c r="K2769" s="1" t="s">
        <v>10927</v>
      </c>
      <c r="L2769" s="1" t="s">
        <v>7737</v>
      </c>
      <c r="M2769" s="1" t="s">
        <v>718</v>
      </c>
    </row>
    <row r="2770" customFormat="false" ht="15" hidden="false" customHeight="false" outlineLevel="0" collapsed="false">
      <c r="A2770" s="1" t="s">
        <v>12013</v>
      </c>
      <c r="B2770" s="1" t="s">
        <v>12014</v>
      </c>
      <c r="C2770" s="1" t="s">
        <v>12015</v>
      </c>
      <c r="D2770" s="2" t="n">
        <v>37912</v>
      </c>
      <c r="E2770" s="1" t="s">
        <v>710</v>
      </c>
      <c r="F2770" s="1" t="s">
        <v>711</v>
      </c>
      <c r="G2770" s="1" t="s">
        <v>712</v>
      </c>
      <c r="H2770" s="1" t="s">
        <v>713</v>
      </c>
      <c r="I2770" s="1" t="s">
        <v>714</v>
      </c>
      <c r="J2770" s="1" t="s">
        <v>7565</v>
      </c>
      <c r="K2770" s="1" t="s">
        <v>12016</v>
      </c>
      <c r="L2770" s="1" t="s">
        <v>12017</v>
      </c>
      <c r="M2770" s="1" t="s">
        <v>718</v>
      </c>
    </row>
    <row r="2771" customFormat="false" ht="15" hidden="false" customHeight="false" outlineLevel="0" collapsed="false">
      <c r="A2771" s="1" t="s">
        <v>12018</v>
      </c>
      <c r="B2771" s="1" t="s">
        <v>12019</v>
      </c>
      <c r="C2771" s="1" t="s">
        <v>12015</v>
      </c>
      <c r="D2771" s="2" t="n">
        <v>38686</v>
      </c>
      <c r="E2771" s="1" t="s">
        <v>763</v>
      </c>
      <c r="F2771" s="1" t="s">
        <v>711</v>
      </c>
      <c r="G2771" s="1" t="s">
        <v>712</v>
      </c>
      <c r="H2771" s="1" t="s">
        <v>713</v>
      </c>
      <c r="I2771" s="1" t="s">
        <v>714</v>
      </c>
      <c r="J2771" s="1" t="s">
        <v>7565</v>
      </c>
      <c r="K2771" s="1" t="s">
        <v>12016</v>
      </c>
      <c r="L2771" s="1" t="s">
        <v>12017</v>
      </c>
      <c r="M2771" s="1" t="s">
        <v>718</v>
      </c>
    </row>
    <row r="2772" customFormat="false" ht="15" hidden="false" customHeight="false" outlineLevel="0" collapsed="false">
      <c r="A2772" s="1" t="s">
        <v>12020</v>
      </c>
      <c r="B2772" s="1" t="s">
        <v>12021</v>
      </c>
      <c r="C2772" s="1" t="s">
        <v>12022</v>
      </c>
      <c r="D2772" s="2" t="n">
        <v>38738</v>
      </c>
      <c r="E2772" s="1" t="s">
        <v>763</v>
      </c>
      <c r="F2772" s="1" t="s">
        <v>711</v>
      </c>
      <c r="G2772" s="1" t="s">
        <v>712</v>
      </c>
      <c r="H2772" s="1" t="s">
        <v>713</v>
      </c>
      <c r="I2772" s="1" t="s">
        <v>714</v>
      </c>
      <c r="J2772" s="1" t="s">
        <v>2000</v>
      </c>
      <c r="K2772" s="1" t="s">
        <v>6544</v>
      </c>
      <c r="L2772" s="1" t="s">
        <v>6545</v>
      </c>
      <c r="M2772" s="1" t="s">
        <v>718</v>
      </c>
    </row>
    <row r="2773" customFormat="false" ht="15" hidden="false" customHeight="false" outlineLevel="0" collapsed="false">
      <c r="A2773" s="1" t="s">
        <v>12023</v>
      </c>
      <c r="B2773" s="1" t="s">
        <v>12024</v>
      </c>
      <c r="C2773" s="1" t="s">
        <v>12025</v>
      </c>
      <c r="D2773" s="2" t="n">
        <v>38995</v>
      </c>
      <c r="E2773" s="1" t="s">
        <v>763</v>
      </c>
      <c r="F2773" s="1" t="s">
        <v>711</v>
      </c>
      <c r="G2773" s="1" t="s">
        <v>712</v>
      </c>
      <c r="H2773" s="1" t="s">
        <v>713</v>
      </c>
      <c r="I2773" s="1" t="s">
        <v>714</v>
      </c>
      <c r="J2773" s="1" t="s">
        <v>892</v>
      </c>
      <c r="K2773" s="1" t="s">
        <v>12026</v>
      </c>
      <c r="L2773" s="1" t="s">
        <v>12027</v>
      </c>
      <c r="M2773" s="1" t="s">
        <v>718</v>
      </c>
    </row>
    <row r="2774" customFormat="false" ht="15" hidden="false" customHeight="false" outlineLevel="0" collapsed="false">
      <c r="A2774" s="1" t="s">
        <v>12028</v>
      </c>
      <c r="B2774" s="1" t="s">
        <v>12029</v>
      </c>
      <c r="C2774" s="1" t="s">
        <v>12025</v>
      </c>
      <c r="D2774" s="2" t="n">
        <v>39335</v>
      </c>
      <c r="E2774" s="1" t="s">
        <v>763</v>
      </c>
      <c r="F2774" s="1" t="s">
        <v>711</v>
      </c>
      <c r="G2774" s="1" t="s">
        <v>12030</v>
      </c>
      <c r="H2774" s="1" t="s">
        <v>713</v>
      </c>
      <c r="I2774" s="1" t="s">
        <v>714</v>
      </c>
      <c r="J2774" s="1" t="s">
        <v>892</v>
      </c>
      <c r="K2774" s="1" t="s">
        <v>12026</v>
      </c>
      <c r="L2774" s="1" t="s">
        <v>12027</v>
      </c>
      <c r="M2774" s="1" t="s">
        <v>718</v>
      </c>
    </row>
    <row r="2775" customFormat="false" ht="15" hidden="false" customHeight="false" outlineLevel="0" collapsed="false">
      <c r="A2775" s="1" t="s">
        <v>12031</v>
      </c>
      <c r="B2775" s="1" t="s">
        <v>12032</v>
      </c>
      <c r="C2775" s="1" t="s">
        <v>9002</v>
      </c>
      <c r="D2775" s="2" t="n">
        <v>38393</v>
      </c>
      <c r="E2775" s="1" t="s">
        <v>710</v>
      </c>
      <c r="F2775" s="1" t="s">
        <v>711</v>
      </c>
      <c r="G2775" s="1" t="s">
        <v>722</v>
      </c>
      <c r="H2775" s="1" t="s">
        <v>713</v>
      </c>
      <c r="I2775" s="1" t="s">
        <v>714</v>
      </c>
      <c r="J2775" s="1" t="s">
        <v>821</v>
      </c>
      <c r="K2775" s="1" t="s">
        <v>12033</v>
      </c>
      <c r="L2775" s="1" t="s">
        <v>9004</v>
      </c>
      <c r="M2775" s="1" t="s">
        <v>718</v>
      </c>
    </row>
    <row r="2776" customFormat="false" ht="15" hidden="false" customHeight="false" outlineLevel="0" collapsed="false">
      <c r="A2776" s="1" t="s">
        <v>12034</v>
      </c>
      <c r="B2776" s="1" t="s">
        <v>12035</v>
      </c>
      <c r="C2776" s="1" t="s">
        <v>750</v>
      </c>
      <c r="D2776" s="2" t="n">
        <v>38405</v>
      </c>
      <c r="E2776" s="1" t="s">
        <v>710</v>
      </c>
      <c r="F2776" s="1" t="s">
        <v>711</v>
      </c>
      <c r="G2776" s="1" t="s">
        <v>722</v>
      </c>
      <c r="H2776" s="1" t="s">
        <v>713</v>
      </c>
      <c r="I2776" s="1" t="s">
        <v>714</v>
      </c>
      <c r="J2776" s="1" t="s">
        <v>12036</v>
      </c>
      <c r="K2776" s="1" t="s">
        <v>716</v>
      </c>
      <c r="L2776" s="1" t="s">
        <v>2906</v>
      </c>
      <c r="M2776" s="1" t="s">
        <v>718</v>
      </c>
    </row>
    <row r="2777" customFormat="false" ht="15" hidden="false" customHeight="false" outlineLevel="0" collapsed="false">
      <c r="A2777" s="1" t="s">
        <v>12037</v>
      </c>
      <c r="B2777" s="1" t="s">
        <v>12038</v>
      </c>
      <c r="C2777" s="1" t="s">
        <v>12039</v>
      </c>
      <c r="D2777" s="2" t="n">
        <v>38596</v>
      </c>
      <c r="E2777" s="1" t="s">
        <v>710</v>
      </c>
      <c r="F2777" s="1" t="s">
        <v>711</v>
      </c>
      <c r="G2777" s="1" t="s">
        <v>712</v>
      </c>
      <c r="H2777" s="1" t="s">
        <v>713</v>
      </c>
      <c r="I2777" s="1" t="s">
        <v>714</v>
      </c>
      <c r="J2777" s="1" t="s">
        <v>1530</v>
      </c>
      <c r="K2777" s="1" t="s">
        <v>12040</v>
      </c>
      <c r="L2777" s="1" t="s">
        <v>12041</v>
      </c>
      <c r="M2777" s="1" t="s">
        <v>718</v>
      </c>
    </row>
    <row r="2778" customFormat="false" ht="15" hidden="false" customHeight="false" outlineLevel="0" collapsed="false">
      <c r="A2778" s="1" t="s">
        <v>12042</v>
      </c>
      <c r="B2778" s="1" t="s">
        <v>12043</v>
      </c>
      <c r="C2778" s="1" t="s">
        <v>12044</v>
      </c>
      <c r="D2778" s="2" t="n">
        <v>38423</v>
      </c>
      <c r="E2778" s="1" t="s">
        <v>763</v>
      </c>
      <c r="F2778" s="1" t="s">
        <v>711</v>
      </c>
      <c r="G2778" s="1" t="s">
        <v>712</v>
      </c>
      <c r="H2778" s="1" t="s">
        <v>713</v>
      </c>
      <c r="I2778" s="1" t="s">
        <v>714</v>
      </c>
      <c r="J2778" s="1" t="s">
        <v>2000</v>
      </c>
      <c r="K2778" s="1" t="s">
        <v>12045</v>
      </c>
      <c r="L2778" s="1" t="s">
        <v>12046</v>
      </c>
      <c r="M2778" s="1" t="s">
        <v>718</v>
      </c>
    </row>
    <row r="2779" customFormat="false" ht="15" hidden="false" customHeight="false" outlineLevel="0" collapsed="false">
      <c r="A2779" s="1" t="s">
        <v>12047</v>
      </c>
      <c r="B2779" s="1" t="s">
        <v>12048</v>
      </c>
      <c r="C2779" s="1" t="s">
        <v>2081</v>
      </c>
      <c r="D2779" s="2" t="n">
        <v>38443</v>
      </c>
      <c r="E2779" s="1" t="s">
        <v>710</v>
      </c>
      <c r="F2779" s="1" t="s">
        <v>711</v>
      </c>
      <c r="G2779" s="1" t="s">
        <v>712</v>
      </c>
      <c r="H2779" s="1" t="s">
        <v>713</v>
      </c>
      <c r="I2779" s="1" t="s">
        <v>714</v>
      </c>
      <c r="J2779" s="1" t="s">
        <v>2499</v>
      </c>
      <c r="K2779" s="1" t="s">
        <v>12049</v>
      </c>
      <c r="L2779" s="1" t="s">
        <v>2086</v>
      </c>
      <c r="M2779" s="1" t="s">
        <v>718</v>
      </c>
    </row>
    <row r="2780" customFormat="false" ht="15" hidden="false" customHeight="false" outlineLevel="0" collapsed="false">
      <c r="A2780" s="1" t="s">
        <v>12050</v>
      </c>
      <c r="B2780" s="1" t="s">
        <v>12051</v>
      </c>
      <c r="C2780" s="1" t="s">
        <v>6054</v>
      </c>
      <c r="D2780" s="2" t="n">
        <v>38380</v>
      </c>
      <c r="E2780" s="1" t="s">
        <v>710</v>
      </c>
      <c r="F2780" s="1" t="s">
        <v>711</v>
      </c>
      <c r="G2780" s="1" t="s">
        <v>722</v>
      </c>
      <c r="H2780" s="1" t="s">
        <v>713</v>
      </c>
      <c r="I2780" s="1" t="s">
        <v>714</v>
      </c>
      <c r="J2780" s="1" t="s">
        <v>715</v>
      </c>
      <c r="K2780" s="1" t="s">
        <v>716</v>
      </c>
      <c r="L2780" s="1" t="s">
        <v>12052</v>
      </c>
      <c r="M2780" s="1" t="s">
        <v>718</v>
      </c>
    </row>
    <row r="2781" customFormat="false" ht="15" hidden="false" customHeight="false" outlineLevel="0" collapsed="false">
      <c r="A2781" s="1" t="s">
        <v>12053</v>
      </c>
      <c r="B2781" s="1" t="s">
        <v>12054</v>
      </c>
      <c r="C2781" s="1" t="s">
        <v>9832</v>
      </c>
      <c r="D2781" s="2" t="n">
        <v>38529</v>
      </c>
      <c r="E2781" s="1" t="s">
        <v>763</v>
      </c>
      <c r="F2781" s="1" t="s">
        <v>711</v>
      </c>
      <c r="G2781" s="1" t="s">
        <v>722</v>
      </c>
      <c r="H2781" s="1" t="s">
        <v>713</v>
      </c>
      <c r="I2781" s="1" t="s">
        <v>714</v>
      </c>
      <c r="J2781" s="1" t="s">
        <v>2000</v>
      </c>
      <c r="K2781" s="1" t="s">
        <v>12055</v>
      </c>
      <c r="L2781" s="1" t="s">
        <v>1483</v>
      </c>
      <c r="M2781" s="1" t="s">
        <v>718</v>
      </c>
    </row>
    <row r="2782" customFormat="false" ht="15" hidden="false" customHeight="false" outlineLevel="0" collapsed="false">
      <c r="A2782" s="1" t="s">
        <v>12056</v>
      </c>
      <c r="B2782" s="1" t="s">
        <v>12057</v>
      </c>
      <c r="C2782" s="1" t="s">
        <v>12058</v>
      </c>
      <c r="D2782" s="2" t="n">
        <v>37241</v>
      </c>
      <c r="E2782" s="1" t="s">
        <v>763</v>
      </c>
      <c r="F2782" s="1" t="s">
        <v>711</v>
      </c>
      <c r="G2782" s="1" t="s">
        <v>712</v>
      </c>
      <c r="H2782" s="1" t="s">
        <v>713</v>
      </c>
      <c r="I2782" s="1" t="s">
        <v>714</v>
      </c>
      <c r="J2782" s="1" t="s">
        <v>12059</v>
      </c>
      <c r="K2782" s="1" t="s">
        <v>12060</v>
      </c>
      <c r="L2782" s="1" t="s">
        <v>12061</v>
      </c>
      <c r="M2782" s="1" t="s">
        <v>718</v>
      </c>
    </row>
    <row r="2783" customFormat="false" ht="15" hidden="false" customHeight="false" outlineLevel="0" collapsed="false">
      <c r="A2783" s="1" t="s">
        <v>12062</v>
      </c>
      <c r="B2783" s="1" t="s">
        <v>12063</v>
      </c>
      <c r="C2783" s="1" t="s">
        <v>12064</v>
      </c>
      <c r="D2783" s="2" t="n">
        <v>38354</v>
      </c>
      <c r="E2783" s="1" t="s">
        <v>710</v>
      </c>
      <c r="F2783" s="1" t="s">
        <v>711</v>
      </c>
      <c r="G2783" s="1" t="s">
        <v>722</v>
      </c>
      <c r="H2783" s="1" t="s">
        <v>713</v>
      </c>
      <c r="I2783" s="1" t="s">
        <v>714</v>
      </c>
      <c r="J2783" s="1" t="s">
        <v>2807</v>
      </c>
      <c r="K2783" s="1" t="s">
        <v>12065</v>
      </c>
      <c r="L2783" s="1" t="s">
        <v>7178</v>
      </c>
      <c r="M2783" s="1" t="s">
        <v>718</v>
      </c>
    </row>
    <row r="2784" customFormat="false" ht="15" hidden="false" customHeight="false" outlineLevel="0" collapsed="false">
      <c r="A2784" s="1" t="s">
        <v>12066</v>
      </c>
      <c r="B2784" s="1" t="s">
        <v>12067</v>
      </c>
      <c r="C2784" s="1" t="s">
        <v>2801</v>
      </c>
      <c r="D2784" s="2" t="n">
        <v>38577</v>
      </c>
      <c r="E2784" s="1" t="s">
        <v>710</v>
      </c>
      <c r="F2784" s="1" t="s">
        <v>711</v>
      </c>
      <c r="G2784" s="1" t="s">
        <v>712</v>
      </c>
      <c r="H2784" s="1" t="s">
        <v>713</v>
      </c>
      <c r="I2784" s="1" t="s">
        <v>714</v>
      </c>
      <c r="J2784" s="1" t="s">
        <v>715</v>
      </c>
      <c r="K2784" s="1" t="s">
        <v>12068</v>
      </c>
      <c r="L2784" s="1" t="s">
        <v>2803</v>
      </c>
      <c r="M2784" s="1" t="s">
        <v>718</v>
      </c>
    </row>
    <row r="2785" customFormat="false" ht="15" hidden="false" customHeight="false" outlineLevel="0" collapsed="false">
      <c r="A2785" s="1" t="s">
        <v>12069</v>
      </c>
      <c r="B2785" s="1" t="s">
        <v>12070</v>
      </c>
      <c r="C2785" s="1" t="s">
        <v>4945</v>
      </c>
      <c r="D2785" s="2" t="n">
        <v>38057</v>
      </c>
      <c r="E2785" s="1" t="s">
        <v>763</v>
      </c>
      <c r="F2785" s="1" t="s">
        <v>711</v>
      </c>
      <c r="G2785" s="1" t="s">
        <v>722</v>
      </c>
      <c r="H2785" s="1" t="s">
        <v>713</v>
      </c>
      <c r="I2785" s="1" t="s">
        <v>714</v>
      </c>
      <c r="J2785" s="1" t="s">
        <v>12071</v>
      </c>
      <c r="K2785" s="1" t="s">
        <v>12072</v>
      </c>
      <c r="L2785" s="1" t="s">
        <v>4947</v>
      </c>
      <c r="M2785" s="1" t="s">
        <v>718</v>
      </c>
    </row>
    <row r="2786" customFormat="false" ht="15" hidden="false" customHeight="false" outlineLevel="0" collapsed="false">
      <c r="A2786" s="1" t="s">
        <v>12073</v>
      </c>
      <c r="B2786" s="1" t="s">
        <v>12074</v>
      </c>
      <c r="C2786" s="1" t="s">
        <v>1323</v>
      </c>
      <c r="D2786" s="2" t="n">
        <v>38280</v>
      </c>
      <c r="E2786" s="1" t="s">
        <v>710</v>
      </c>
      <c r="F2786" s="1" t="s">
        <v>711</v>
      </c>
      <c r="G2786" s="1" t="s">
        <v>712</v>
      </c>
      <c r="H2786" s="1" t="s">
        <v>713</v>
      </c>
      <c r="I2786" s="1" t="s">
        <v>714</v>
      </c>
      <c r="J2786" s="1" t="s">
        <v>1131</v>
      </c>
      <c r="K2786" s="1" t="s">
        <v>12075</v>
      </c>
      <c r="L2786" s="1" t="s">
        <v>12076</v>
      </c>
      <c r="M2786" s="1" t="s">
        <v>718</v>
      </c>
    </row>
    <row r="2787" customFormat="false" ht="15" hidden="false" customHeight="false" outlineLevel="0" collapsed="false">
      <c r="A2787" s="1" t="s">
        <v>12077</v>
      </c>
      <c r="B2787" s="1" t="s">
        <v>1142</v>
      </c>
      <c r="C2787" s="1" t="s">
        <v>12078</v>
      </c>
      <c r="D2787" s="2" t="n">
        <v>38204</v>
      </c>
      <c r="E2787" s="1" t="s">
        <v>763</v>
      </c>
      <c r="F2787" s="1" t="s">
        <v>711</v>
      </c>
      <c r="G2787" s="1" t="s">
        <v>722</v>
      </c>
      <c r="H2787" s="1" t="s">
        <v>713</v>
      </c>
      <c r="I2787" s="1" t="s">
        <v>714</v>
      </c>
      <c r="J2787" s="1" t="s">
        <v>3517</v>
      </c>
      <c r="K2787" s="1" t="s">
        <v>12079</v>
      </c>
      <c r="L2787" s="1" t="s">
        <v>12080</v>
      </c>
      <c r="M2787" s="1" t="s">
        <v>718</v>
      </c>
    </row>
    <row r="2788" customFormat="false" ht="15" hidden="false" customHeight="false" outlineLevel="0" collapsed="false">
      <c r="A2788" s="1" t="s">
        <v>12081</v>
      </c>
      <c r="B2788" s="1" t="s">
        <v>12082</v>
      </c>
      <c r="C2788" s="1" t="s">
        <v>8091</v>
      </c>
      <c r="D2788" s="2" t="n">
        <v>38219</v>
      </c>
      <c r="E2788" s="1" t="s">
        <v>710</v>
      </c>
      <c r="F2788" s="1" t="s">
        <v>711</v>
      </c>
      <c r="G2788" s="1" t="s">
        <v>1220</v>
      </c>
      <c r="H2788" s="1" t="s">
        <v>713</v>
      </c>
      <c r="I2788" s="1" t="s">
        <v>714</v>
      </c>
      <c r="J2788" s="1" t="s">
        <v>716</v>
      </c>
      <c r="K2788" s="1" t="s">
        <v>716</v>
      </c>
      <c r="L2788" s="1" t="s">
        <v>4936</v>
      </c>
      <c r="M2788" s="1" t="s">
        <v>718</v>
      </c>
    </row>
    <row r="2789" customFormat="false" ht="15" hidden="false" customHeight="false" outlineLevel="0" collapsed="false">
      <c r="A2789" s="1" t="s">
        <v>12083</v>
      </c>
      <c r="B2789" s="1" t="s">
        <v>12084</v>
      </c>
      <c r="C2789" s="1" t="s">
        <v>6407</v>
      </c>
      <c r="D2789" s="2" t="n">
        <v>37005</v>
      </c>
      <c r="E2789" s="1" t="s">
        <v>710</v>
      </c>
      <c r="F2789" s="1" t="s">
        <v>711</v>
      </c>
      <c r="G2789" s="1" t="s">
        <v>712</v>
      </c>
      <c r="H2789" s="1" t="s">
        <v>713</v>
      </c>
      <c r="I2789" s="1" t="s">
        <v>714</v>
      </c>
      <c r="J2789" s="1" t="s">
        <v>1131</v>
      </c>
      <c r="K2789" s="1" t="s">
        <v>12085</v>
      </c>
      <c r="L2789" s="1" t="s">
        <v>6409</v>
      </c>
      <c r="M2789" s="1" t="s">
        <v>718</v>
      </c>
    </row>
    <row r="2790" customFormat="false" ht="15" hidden="false" customHeight="false" outlineLevel="0" collapsed="false">
      <c r="A2790" s="1" t="s">
        <v>12086</v>
      </c>
      <c r="B2790" s="1" t="s">
        <v>1481</v>
      </c>
      <c r="C2790" s="1" t="s">
        <v>6701</v>
      </c>
      <c r="D2790" s="2" t="n">
        <v>38299</v>
      </c>
      <c r="E2790" s="1" t="s">
        <v>710</v>
      </c>
      <c r="F2790" s="1" t="s">
        <v>711</v>
      </c>
      <c r="G2790" s="1" t="s">
        <v>712</v>
      </c>
      <c r="H2790" s="1" t="s">
        <v>713</v>
      </c>
      <c r="I2790" s="1" t="s">
        <v>714</v>
      </c>
      <c r="J2790" s="1" t="s">
        <v>1723</v>
      </c>
      <c r="K2790" s="1" t="s">
        <v>12087</v>
      </c>
      <c r="L2790" s="1" t="s">
        <v>6703</v>
      </c>
      <c r="M2790" s="1" t="s">
        <v>718</v>
      </c>
    </row>
    <row r="2791" customFormat="false" ht="15" hidden="false" customHeight="false" outlineLevel="0" collapsed="false">
      <c r="A2791" s="1" t="s">
        <v>12088</v>
      </c>
      <c r="B2791" s="1" t="s">
        <v>12089</v>
      </c>
      <c r="C2791" s="1" t="s">
        <v>12090</v>
      </c>
      <c r="D2791" s="2" t="n">
        <v>38184</v>
      </c>
      <c r="E2791" s="1" t="s">
        <v>763</v>
      </c>
      <c r="F2791" s="1" t="s">
        <v>711</v>
      </c>
      <c r="G2791" s="1" t="s">
        <v>712</v>
      </c>
      <c r="H2791" s="1" t="s">
        <v>713</v>
      </c>
      <c r="I2791" s="1" t="s">
        <v>714</v>
      </c>
      <c r="J2791" s="1" t="s">
        <v>1723</v>
      </c>
      <c r="K2791" s="1" t="s">
        <v>12091</v>
      </c>
      <c r="L2791" s="1" t="s">
        <v>12092</v>
      </c>
      <c r="M2791" s="1" t="s">
        <v>718</v>
      </c>
    </row>
    <row r="2792" customFormat="false" ht="15" hidden="false" customHeight="false" outlineLevel="0" collapsed="false">
      <c r="A2792" s="1" t="s">
        <v>12093</v>
      </c>
      <c r="B2792" s="1" t="s">
        <v>12094</v>
      </c>
      <c r="C2792" s="1" t="s">
        <v>1362</v>
      </c>
      <c r="D2792" s="2" t="n">
        <v>38161</v>
      </c>
      <c r="E2792" s="1" t="s">
        <v>710</v>
      </c>
      <c r="F2792" s="1" t="s">
        <v>711</v>
      </c>
      <c r="G2792" s="1" t="s">
        <v>722</v>
      </c>
      <c r="H2792" s="1" t="s">
        <v>713</v>
      </c>
      <c r="I2792" s="1" t="s">
        <v>714</v>
      </c>
      <c r="J2792" s="1" t="s">
        <v>2117</v>
      </c>
      <c r="K2792" s="1" t="s">
        <v>12095</v>
      </c>
      <c r="L2792" s="1" t="s">
        <v>1363</v>
      </c>
      <c r="M2792" s="1" t="s">
        <v>718</v>
      </c>
    </row>
    <row r="2793" customFormat="false" ht="15" hidden="false" customHeight="false" outlineLevel="0" collapsed="false">
      <c r="A2793" s="1" t="s">
        <v>12096</v>
      </c>
      <c r="B2793" s="1" t="s">
        <v>12097</v>
      </c>
      <c r="C2793" s="1" t="s">
        <v>12098</v>
      </c>
      <c r="D2793" s="2" t="n">
        <v>38083</v>
      </c>
      <c r="E2793" s="1" t="s">
        <v>763</v>
      </c>
      <c r="F2793" s="1" t="s">
        <v>711</v>
      </c>
      <c r="G2793" s="1" t="s">
        <v>712</v>
      </c>
      <c r="H2793" s="1" t="s">
        <v>713</v>
      </c>
      <c r="I2793" s="1" t="s">
        <v>714</v>
      </c>
      <c r="J2793" s="1" t="s">
        <v>12099</v>
      </c>
      <c r="K2793" s="1" t="s">
        <v>12100</v>
      </c>
      <c r="L2793" s="1" t="s">
        <v>12101</v>
      </c>
      <c r="M2793" s="1" t="s">
        <v>718</v>
      </c>
    </row>
    <row r="2794" customFormat="false" ht="15" hidden="false" customHeight="false" outlineLevel="0" collapsed="false">
      <c r="A2794" s="1" t="s">
        <v>12102</v>
      </c>
      <c r="B2794" s="1" t="s">
        <v>12103</v>
      </c>
      <c r="C2794" s="1" t="s">
        <v>12104</v>
      </c>
      <c r="D2794" s="2" t="n">
        <v>38079</v>
      </c>
      <c r="E2794" s="1" t="s">
        <v>763</v>
      </c>
      <c r="F2794" s="1" t="s">
        <v>711</v>
      </c>
      <c r="G2794" s="1" t="s">
        <v>712</v>
      </c>
      <c r="H2794" s="1" t="s">
        <v>713</v>
      </c>
      <c r="I2794" s="1" t="s">
        <v>714</v>
      </c>
      <c r="J2794" s="1" t="s">
        <v>821</v>
      </c>
      <c r="K2794" s="1" t="s">
        <v>716</v>
      </c>
      <c r="L2794" s="1" t="s">
        <v>12105</v>
      </c>
      <c r="M2794" s="1" t="s">
        <v>718</v>
      </c>
    </row>
    <row r="2795" customFormat="false" ht="15" hidden="false" customHeight="false" outlineLevel="0" collapsed="false">
      <c r="A2795" s="1" t="s">
        <v>12106</v>
      </c>
      <c r="B2795" s="1" t="s">
        <v>1448</v>
      </c>
      <c r="C2795" s="1" t="s">
        <v>12107</v>
      </c>
      <c r="D2795" s="2" t="n">
        <v>38147</v>
      </c>
      <c r="E2795" s="1" t="s">
        <v>763</v>
      </c>
      <c r="F2795" s="1" t="s">
        <v>711</v>
      </c>
      <c r="G2795" s="1" t="s">
        <v>712</v>
      </c>
      <c r="H2795" s="1" t="s">
        <v>713</v>
      </c>
      <c r="I2795" s="1" t="s">
        <v>714</v>
      </c>
      <c r="J2795" s="1" t="s">
        <v>821</v>
      </c>
      <c r="K2795" s="1" t="s">
        <v>12108</v>
      </c>
      <c r="L2795" s="1" t="s">
        <v>12109</v>
      </c>
      <c r="M2795" s="1" t="s">
        <v>718</v>
      </c>
    </row>
    <row r="2796" customFormat="false" ht="15" hidden="false" customHeight="false" outlineLevel="0" collapsed="false">
      <c r="A2796" s="1" t="s">
        <v>12110</v>
      </c>
      <c r="B2796" s="1" t="s">
        <v>900</v>
      </c>
      <c r="C2796" s="1" t="s">
        <v>2121</v>
      </c>
      <c r="D2796" s="2" t="n">
        <v>37642</v>
      </c>
      <c r="E2796" s="1" t="s">
        <v>710</v>
      </c>
      <c r="F2796" s="1" t="s">
        <v>711</v>
      </c>
      <c r="G2796" s="1" t="s">
        <v>722</v>
      </c>
      <c r="H2796" s="1" t="s">
        <v>713</v>
      </c>
      <c r="I2796" s="1" t="s">
        <v>714</v>
      </c>
      <c r="J2796" s="1" t="s">
        <v>12111</v>
      </c>
      <c r="K2796" s="1" t="s">
        <v>12112</v>
      </c>
      <c r="L2796" s="1" t="s">
        <v>3809</v>
      </c>
      <c r="M2796" s="1" t="s">
        <v>718</v>
      </c>
    </row>
    <row r="2797" customFormat="false" ht="15" hidden="false" customHeight="false" outlineLevel="0" collapsed="false">
      <c r="A2797" s="1" t="s">
        <v>12113</v>
      </c>
      <c r="B2797" s="1" t="s">
        <v>12114</v>
      </c>
      <c r="C2797" s="1" t="s">
        <v>1444</v>
      </c>
      <c r="D2797" s="2" t="n">
        <v>38199</v>
      </c>
      <c r="E2797" s="1" t="s">
        <v>710</v>
      </c>
      <c r="F2797" s="1" t="s">
        <v>711</v>
      </c>
      <c r="G2797" s="1" t="s">
        <v>712</v>
      </c>
      <c r="H2797" s="1" t="s">
        <v>713</v>
      </c>
      <c r="I2797" s="1" t="s">
        <v>714</v>
      </c>
      <c r="J2797" s="1" t="s">
        <v>1723</v>
      </c>
      <c r="K2797" s="1" t="s">
        <v>10528</v>
      </c>
      <c r="L2797" s="1" t="s">
        <v>10791</v>
      </c>
      <c r="M2797" s="1" t="s">
        <v>718</v>
      </c>
    </row>
    <row r="2798" customFormat="false" ht="15" hidden="false" customHeight="false" outlineLevel="0" collapsed="false">
      <c r="A2798" s="1" t="s">
        <v>12115</v>
      </c>
      <c r="B2798" s="1" t="s">
        <v>5106</v>
      </c>
      <c r="C2798" s="1" t="s">
        <v>12116</v>
      </c>
      <c r="D2798" s="2" t="n">
        <v>38189</v>
      </c>
      <c r="E2798" s="1" t="s">
        <v>710</v>
      </c>
      <c r="F2798" s="1" t="s">
        <v>711</v>
      </c>
      <c r="G2798" s="1" t="s">
        <v>722</v>
      </c>
      <c r="H2798" s="1" t="s">
        <v>713</v>
      </c>
      <c r="I2798" s="1" t="s">
        <v>714</v>
      </c>
      <c r="J2798" s="1" t="s">
        <v>3534</v>
      </c>
      <c r="K2798" s="1" t="s">
        <v>12117</v>
      </c>
      <c r="L2798" s="1" t="s">
        <v>5213</v>
      </c>
      <c r="M2798" s="1" t="s">
        <v>718</v>
      </c>
    </row>
    <row r="2799" customFormat="false" ht="15" hidden="false" customHeight="false" outlineLevel="0" collapsed="false">
      <c r="A2799" s="1" t="s">
        <v>12118</v>
      </c>
      <c r="B2799" s="1" t="s">
        <v>7404</v>
      </c>
      <c r="C2799" s="1" t="s">
        <v>12119</v>
      </c>
      <c r="D2799" s="2" t="n">
        <v>38244</v>
      </c>
      <c r="E2799" s="1" t="s">
        <v>710</v>
      </c>
      <c r="F2799" s="1" t="s">
        <v>711</v>
      </c>
      <c r="G2799" s="1" t="s">
        <v>712</v>
      </c>
      <c r="H2799" s="1" t="s">
        <v>713</v>
      </c>
      <c r="I2799" s="1" t="s">
        <v>714</v>
      </c>
      <c r="J2799" s="1" t="s">
        <v>1244</v>
      </c>
      <c r="K2799" s="1" t="s">
        <v>12120</v>
      </c>
      <c r="L2799" s="1" t="s">
        <v>11458</v>
      </c>
      <c r="M2799" s="1" t="s">
        <v>718</v>
      </c>
    </row>
    <row r="2800" customFormat="false" ht="15" hidden="false" customHeight="false" outlineLevel="0" collapsed="false">
      <c r="A2800" s="1" t="s">
        <v>12121</v>
      </c>
      <c r="B2800" s="1" t="s">
        <v>3626</v>
      </c>
      <c r="C2800" s="1" t="s">
        <v>5996</v>
      </c>
      <c r="D2800" s="2" t="n">
        <v>33999</v>
      </c>
      <c r="E2800" s="1" t="s">
        <v>710</v>
      </c>
      <c r="F2800" s="1" t="s">
        <v>711</v>
      </c>
      <c r="G2800" s="1" t="s">
        <v>712</v>
      </c>
      <c r="H2800" s="1" t="s">
        <v>713</v>
      </c>
      <c r="I2800" s="1" t="s">
        <v>714</v>
      </c>
      <c r="J2800" s="1" t="s">
        <v>716</v>
      </c>
      <c r="K2800" s="1" t="s">
        <v>716</v>
      </c>
      <c r="L2800" s="1" t="s">
        <v>1418</v>
      </c>
      <c r="M2800" s="1" t="s">
        <v>718</v>
      </c>
    </row>
    <row r="2801" customFormat="false" ht="15" hidden="false" customHeight="false" outlineLevel="0" collapsed="false">
      <c r="A2801" s="1" t="s">
        <v>12122</v>
      </c>
      <c r="B2801" s="1" t="s">
        <v>12123</v>
      </c>
      <c r="C2801" s="1" t="s">
        <v>8736</v>
      </c>
      <c r="D2801" s="2" t="n">
        <v>37871</v>
      </c>
      <c r="E2801" s="1" t="s">
        <v>763</v>
      </c>
      <c r="F2801" s="1" t="s">
        <v>711</v>
      </c>
      <c r="G2801" s="1" t="s">
        <v>5660</v>
      </c>
      <c r="H2801" s="1" t="s">
        <v>713</v>
      </c>
      <c r="I2801" s="1" t="s">
        <v>714</v>
      </c>
      <c r="J2801" s="1" t="s">
        <v>821</v>
      </c>
      <c r="K2801" s="1" t="s">
        <v>12124</v>
      </c>
      <c r="L2801" s="1" t="s">
        <v>12125</v>
      </c>
      <c r="M2801" s="1" t="s">
        <v>718</v>
      </c>
    </row>
    <row r="2802" customFormat="false" ht="15" hidden="false" customHeight="false" outlineLevel="0" collapsed="false">
      <c r="A2802" s="1" t="s">
        <v>12126</v>
      </c>
      <c r="B2802" s="1" t="s">
        <v>7376</v>
      </c>
      <c r="C2802" s="1" t="s">
        <v>12127</v>
      </c>
      <c r="D2802" s="2" t="n">
        <v>37875</v>
      </c>
      <c r="E2802" s="1" t="s">
        <v>710</v>
      </c>
      <c r="F2802" s="1" t="s">
        <v>711</v>
      </c>
      <c r="G2802" s="1" t="s">
        <v>712</v>
      </c>
      <c r="H2802" s="1" t="s">
        <v>713</v>
      </c>
      <c r="I2802" s="1" t="s">
        <v>714</v>
      </c>
      <c r="J2802" s="1" t="s">
        <v>716</v>
      </c>
      <c r="K2802" s="1" t="s">
        <v>716</v>
      </c>
      <c r="L2802" s="1" t="s">
        <v>12128</v>
      </c>
      <c r="M2802" s="1" t="s">
        <v>718</v>
      </c>
    </row>
    <row r="2803" customFormat="false" ht="15" hidden="false" customHeight="false" outlineLevel="0" collapsed="false">
      <c r="A2803" s="1" t="s">
        <v>12129</v>
      </c>
      <c r="B2803" s="1" t="s">
        <v>12130</v>
      </c>
      <c r="C2803" s="1" t="s">
        <v>12131</v>
      </c>
      <c r="D2803" s="2" t="n">
        <v>37734</v>
      </c>
      <c r="E2803" s="1" t="s">
        <v>763</v>
      </c>
      <c r="F2803" s="1" t="s">
        <v>711</v>
      </c>
      <c r="G2803" s="1" t="s">
        <v>722</v>
      </c>
      <c r="H2803" s="1" t="s">
        <v>713</v>
      </c>
      <c r="I2803" s="1" t="s">
        <v>714</v>
      </c>
      <c r="J2803" s="1" t="s">
        <v>8314</v>
      </c>
      <c r="K2803" s="1" t="s">
        <v>716</v>
      </c>
      <c r="L2803" s="1" t="s">
        <v>1418</v>
      </c>
      <c r="M2803" s="1" t="s">
        <v>718</v>
      </c>
    </row>
    <row r="2804" customFormat="false" ht="15" hidden="false" customHeight="false" outlineLevel="0" collapsed="false">
      <c r="A2804" s="1" t="s">
        <v>12132</v>
      </c>
      <c r="B2804" s="1" t="s">
        <v>12133</v>
      </c>
      <c r="C2804" s="1" t="s">
        <v>9018</v>
      </c>
      <c r="D2804" s="2" t="n">
        <v>37407</v>
      </c>
      <c r="E2804" s="1" t="s">
        <v>763</v>
      </c>
      <c r="F2804" s="1" t="s">
        <v>711</v>
      </c>
      <c r="G2804" s="1" t="s">
        <v>712</v>
      </c>
      <c r="H2804" s="1" t="s">
        <v>713</v>
      </c>
      <c r="I2804" s="1" t="s">
        <v>714</v>
      </c>
      <c r="J2804" s="1" t="s">
        <v>716</v>
      </c>
      <c r="K2804" s="1" t="s">
        <v>716</v>
      </c>
      <c r="L2804" s="1" t="s">
        <v>9020</v>
      </c>
      <c r="M2804" s="1" t="s">
        <v>718</v>
      </c>
    </row>
    <row r="2805" customFormat="false" ht="15" hidden="false" customHeight="false" outlineLevel="0" collapsed="false">
      <c r="A2805" s="1" t="s">
        <v>12134</v>
      </c>
      <c r="B2805" s="1" t="s">
        <v>12135</v>
      </c>
      <c r="C2805" s="1" t="s">
        <v>1455</v>
      </c>
      <c r="D2805" s="2" t="n">
        <v>38114</v>
      </c>
      <c r="E2805" s="1" t="s">
        <v>710</v>
      </c>
      <c r="F2805" s="1" t="s">
        <v>711</v>
      </c>
      <c r="G2805" s="1" t="s">
        <v>722</v>
      </c>
      <c r="H2805" s="1" t="s">
        <v>713</v>
      </c>
      <c r="I2805" s="1" t="s">
        <v>714</v>
      </c>
      <c r="J2805" s="1" t="s">
        <v>1045</v>
      </c>
      <c r="K2805" s="1" t="s">
        <v>1924</v>
      </c>
      <c r="L2805" s="1" t="s">
        <v>3477</v>
      </c>
      <c r="M2805" s="1" t="s">
        <v>718</v>
      </c>
    </row>
    <row r="2806" customFormat="false" ht="15" hidden="false" customHeight="false" outlineLevel="0" collapsed="false">
      <c r="A2806" s="1" t="s">
        <v>12136</v>
      </c>
      <c r="B2806" s="1" t="s">
        <v>12137</v>
      </c>
      <c r="C2806" s="1" t="s">
        <v>12138</v>
      </c>
      <c r="D2806" s="2" t="n">
        <v>38265</v>
      </c>
      <c r="E2806" s="1" t="s">
        <v>710</v>
      </c>
      <c r="F2806" s="1" t="s">
        <v>711</v>
      </c>
      <c r="G2806" s="1" t="s">
        <v>712</v>
      </c>
      <c r="H2806" s="1" t="s">
        <v>713</v>
      </c>
      <c r="I2806" s="1" t="s">
        <v>714</v>
      </c>
      <c r="J2806" s="1" t="s">
        <v>959</v>
      </c>
      <c r="K2806" s="1" t="s">
        <v>12139</v>
      </c>
      <c r="L2806" s="1" t="s">
        <v>12140</v>
      </c>
      <c r="M2806" s="1" t="s">
        <v>718</v>
      </c>
    </row>
    <row r="2807" customFormat="false" ht="15" hidden="false" customHeight="false" outlineLevel="0" collapsed="false">
      <c r="A2807" s="1" t="s">
        <v>12141</v>
      </c>
      <c r="B2807" s="1" t="s">
        <v>12142</v>
      </c>
      <c r="C2807" s="1" t="s">
        <v>12143</v>
      </c>
      <c r="D2807" s="2" t="n">
        <v>38293</v>
      </c>
      <c r="E2807" s="1" t="s">
        <v>763</v>
      </c>
      <c r="F2807" s="1" t="s">
        <v>711</v>
      </c>
      <c r="G2807" s="1" t="s">
        <v>712</v>
      </c>
      <c r="H2807" s="1" t="s">
        <v>713</v>
      </c>
      <c r="I2807" s="1" t="s">
        <v>714</v>
      </c>
      <c r="J2807" s="1" t="s">
        <v>1723</v>
      </c>
      <c r="K2807" s="1" t="s">
        <v>12144</v>
      </c>
      <c r="L2807" s="1" t="s">
        <v>7262</v>
      </c>
      <c r="M2807" s="1" t="s">
        <v>718</v>
      </c>
    </row>
    <row r="2808" customFormat="false" ht="15" hidden="false" customHeight="false" outlineLevel="0" collapsed="false">
      <c r="A2808" s="1" t="s">
        <v>12145</v>
      </c>
      <c r="B2808" s="1" t="s">
        <v>12146</v>
      </c>
      <c r="C2808" s="1" t="s">
        <v>8640</v>
      </c>
      <c r="D2808" s="2" t="n">
        <v>38198</v>
      </c>
      <c r="E2808" s="1" t="s">
        <v>710</v>
      </c>
      <c r="F2808" s="1" t="s">
        <v>711</v>
      </c>
      <c r="G2808" s="1" t="s">
        <v>712</v>
      </c>
      <c r="H2808" s="1" t="s">
        <v>713</v>
      </c>
      <c r="I2808" s="1" t="s">
        <v>714</v>
      </c>
      <c r="J2808" s="1" t="s">
        <v>928</v>
      </c>
      <c r="K2808" s="1" t="s">
        <v>8641</v>
      </c>
      <c r="L2808" s="1" t="s">
        <v>12147</v>
      </c>
      <c r="M2808" s="1" t="s">
        <v>718</v>
      </c>
    </row>
    <row r="2809" customFormat="false" ht="15" hidden="false" customHeight="false" outlineLevel="0" collapsed="false">
      <c r="A2809" s="1" t="s">
        <v>12148</v>
      </c>
      <c r="B2809" s="1" t="s">
        <v>12149</v>
      </c>
      <c r="C2809" s="1" t="s">
        <v>1756</v>
      </c>
      <c r="D2809" s="2" t="n">
        <v>38176</v>
      </c>
      <c r="E2809" s="1" t="s">
        <v>710</v>
      </c>
      <c r="F2809" s="1" t="s">
        <v>711</v>
      </c>
      <c r="G2809" s="1" t="s">
        <v>1220</v>
      </c>
      <c r="H2809" s="1" t="s">
        <v>713</v>
      </c>
      <c r="I2809" s="1" t="s">
        <v>714</v>
      </c>
      <c r="J2809" s="1" t="s">
        <v>715</v>
      </c>
      <c r="K2809" s="1" t="s">
        <v>12150</v>
      </c>
      <c r="L2809" s="1" t="s">
        <v>11230</v>
      </c>
      <c r="M2809" s="1" t="s">
        <v>718</v>
      </c>
    </row>
    <row r="2810" customFormat="false" ht="15" hidden="false" customHeight="false" outlineLevel="0" collapsed="false">
      <c r="A2810" s="1" t="s">
        <v>12151</v>
      </c>
      <c r="B2810" s="1" t="s">
        <v>727</v>
      </c>
      <c r="C2810" s="1" t="s">
        <v>12152</v>
      </c>
      <c r="D2810" s="2" t="n">
        <v>37873</v>
      </c>
      <c r="E2810" s="1" t="s">
        <v>710</v>
      </c>
      <c r="F2810" s="1" t="s">
        <v>711</v>
      </c>
      <c r="G2810" s="1" t="s">
        <v>712</v>
      </c>
      <c r="H2810" s="1" t="s">
        <v>713</v>
      </c>
      <c r="I2810" s="1" t="s">
        <v>714</v>
      </c>
      <c r="J2810" s="1" t="s">
        <v>886</v>
      </c>
      <c r="K2810" s="1" t="s">
        <v>12153</v>
      </c>
      <c r="L2810" s="1" t="s">
        <v>12140</v>
      </c>
      <c r="M2810" s="1" t="s">
        <v>718</v>
      </c>
    </row>
    <row r="2811" customFormat="false" ht="15" hidden="false" customHeight="false" outlineLevel="0" collapsed="false">
      <c r="A2811" s="1" t="s">
        <v>12154</v>
      </c>
      <c r="B2811" s="1" t="s">
        <v>12155</v>
      </c>
      <c r="C2811" s="1" t="s">
        <v>9353</v>
      </c>
      <c r="D2811" s="2" t="n">
        <v>37018</v>
      </c>
      <c r="E2811" s="1" t="s">
        <v>710</v>
      </c>
      <c r="F2811" s="1" t="s">
        <v>711</v>
      </c>
      <c r="G2811" s="1" t="s">
        <v>8853</v>
      </c>
      <c r="H2811" s="1" t="s">
        <v>713</v>
      </c>
      <c r="I2811" s="1" t="s">
        <v>714</v>
      </c>
      <c r="J2811" s="1" t="s">
        <v>12156</v>
      </c>
      <c r="K2811" s="1" t="s">
        <v>12157</v>
      </c>
      <c r="L2811" s="1" t="s">
        <v>12158</v>
      </c>
      <c r="M2811" s="1" t="s">
        <v>718</v>
      </c>
    </row>
    <row r="2812" customFormat="false" ht="15" hidden="false" customHeight="false" outlineLevel="0" collapsed="false">
      <c r="A2812" s="1" t="s">
        <v>12159</v>
      </c>
      <c r="B2812" s="1" t="s">
        <v>12160</v>
      </c>
      <c r="C2812" s="1" t="s">
        <v>11635</v>
      </c>
      <c r="D2812" s="2" t="n">
        <v>37642</v>
      </c>
      <c r="E2812" s="1" t="s">
        <v>710</v>
      </c>
      <c r="F2812" s="1" t="s">
        <v>711</v>
      </c>
      <c r="G2812" s="1" t="s">
        <v>712</v>
      </c>
      <c r="H2812" s="1" t="s">
        <v>713</v>
      </c>
      <c r="I2812" s="1" t="s">
        <v>714</v>
      </c>
      <c r="J2812" s="1" t="s">
        <v>1505</v>
      </c>
      <c r="K2812" s="1" t="s">
        <v>12161</v>
      </c>
      <c r="L2812" s="1" t="s">
        <v>12162</v>
      </c>
      <c r="M2812" s="1" t="s">
        <v>718</v>
      </c>
    </row>
    <row r="2813" customFormat="false" ht="15" hidden="false" customHeight="false" outlineLevel="0" collapsed="false">
      <c r="A2813" s="1" t="s">
        <v>12163</v>
      </c>
      <c r="B2813" s="1" t="s">
        <v>4489</v>
      </c>
      <c r="C2813" s="1" t="s">
        <v>3200</v>
      </c>
      <c r="D2813" s="2" t="n">
        <v>37768</v>
      </c>
      <c r="E2813" s="1" t="s">
        <v>710</v>
      </c>
      <c r="F2813" s="1" t="s">
        <v>711</v>
      </c>
      <c r="G2813" s="1" t="s">
        <v>712</v>
      </c>
      <c r="H2813" s="1" t="s">
        <v>713</v>
      </c>
      <c r="I2813" s="1" t="s">
        <v>714</v>
      </c>
      <c r="J2813" s="1" t="s">
        <v>1244</v>
      </c>
      <c r="K2813" s="1" t="s">
        <v>716</v>
      </c>
      <c r="L2813" s="1" t="s">
        <v>12164</v>
      </c>
      <c r="M2813" s="1" t="s">
        <v>718</v>
      </c>
    </row>
    <row r="2814" customFormat="false" ht="15" hidden="false" customHeight="false" outlineLevel="0" collapsed="false">
      <c r="A2814" s="1" t="s">
        <v>12165</v>
      </c>
      <c r="B2814" s="1" t="s">
        <v>12166</v>
      </c>
      <c r="C2814" s="1" t="s">
        <v>750</v>
      </c>
      <c r="D2814" s="2" t="n">
        <v>38186</v>
      </c>
      <c r="E2814" s="1" t="s">
        <v>710</v>
      </c>
      <c r="F2814" s="1" t="s">
        <v>711</v>
      </c>
      <c r="G2814" s="1" t="s">
        <v>722</v>
      </c>
      <c r="H2814" s="1" t="s">
        <v>713</v>
      </c>
      <c r="I2814" s="1" t="s">
        <v>714</v>
      </c>
      <c r="J2814" s="1" t="s">
        <v>12167</v>
      </c>
      <c r="K2814" s="1" t="s">
        <v>12168</v>
      </c>
      <c r="L2814" s="1" t="s">
        <v>12169</v>
      </c>
      <c r="M2814" s="1" t="s">
        <v>718</v>
      </c>
    </row>
    <row r="2815" customFormat="false" ht="15" hidden="false" customHeight="false" outlineLevel="0" collapsed="false">
      <c r="A2815" s="1" t="s">
        <v>12170</v>
      </c>
      <c r="B2815" s="1" t="s">
        <v>12171</v>
      </c>
      <c r="C2815" s="1" t="s">
        <v>750</v>
      </c>
      <c r="D2815" s="2" t="n">
        <v>38312</v>
      </c>
      <c r="E2815" s="1" t="s">
        <v>710</v>
      </c>
      <c r="F2815" s="1" t="s">
        <v>711</v>
      </c>
      <c r="G2815" s="1" t="s">
        <v>712</v>
      </c>
      <c r="H2815" s="1" t="s">
        <v>713</v>
      </c>
      <c r="I2815" s="1" t="s">
        <v>714</v>
      </c>
      <c r="J2815" s="1" t="s">
        <v>12172</v>
      </c>
      <c r="K2815" s="1" t="s">
        <v>12173</v>
      </c>
      <c r="L2815" s="1" t="s">
        <v>12174</v>
      </c>
      <c r="M2815" s="1" t="s">
        <v>718</v>
      </c>
    </row>
    <row r="2816" customFormat="false" ht="15" hidden="false" customHeight="false" outlineLevel="0" collapsed="false">
      <c r="A2816" s="1" t="s">
        <v>12175</v>
      </c>
      <c r="B2816" s="1" t="s">
        <v>12176</v>
      </c>
      <c r="C2816" s="1" t="s">
        <v>958</v>
      </c>
      <c r="D2816" s="2" t="n">
        <v>38205</v>
      </c>
      <c r="E2816" s="1" t="s">
        <v>763</v>
      </c>
      <c r="F2816" s="1" t="s">
        <v>711</v>
      </c>
      <c r="G2816" s="1" t="s">
        <v>722</v>
      </c>
      <c r="H2816" s="1" t="s">
        <v>713</v>
      </c>
      <c r="I2816" s="1" t="s">
        <v>714</v>
      </c>
      <c r="J2816" s="1" t="s">
        <v>12177</v>
      </c>
      <c r="K2816" s="1" t="s">
        <v>12178</v>
      </c>
      <c r="L2816" s="1" t="s">
        <v>960</v>
      </c>
      <c r="M2816" s="1" t="s">
        <v>718</v>
      </c>
    </row>
    <row r="2817" customFormat="false" ht="15" hidden="false" customHeight="false" outlineLevel="0" collapsed="false">
      <c r="A2817" s="1" t="s">
        <v>12179</v>
      </c>
      <c r="B2817" s="1" t="s">
        <v>12180</v>
      </c>
      <c r="C2817" s="1" t="s">
        <v>6774</v>
      </c>
      <c r="D2817" s="2" t="n">
        <v>37567</v>
      </c>
      <c r="E2817" s="1" t="s">
        <v>710</v>
      </c>
      <c r="F2817" s="1" t="s">
        <v>711</v>
      </c>
      <c r="G2817" s="1" t="s">
        <v>722</v>
      </c>
      <c r="H2817" s="1" t="s">
        <v>713</v>
      </c>
      <c r="I2817" s="1" t="s">
        <v>714</v>
      </c>
      <c r="J2817" s="1" t="s">
        <v>12181</v>
      </c>
      <c r="K2817" s="1" t="s">
        <v>12182</v>
      </c>
      <c r="L2817" s="1" t="s">
        <v>6776</v>
      </c>
      <c r="M2817" s="1" t="s">
        <v>718</v>
      </c>
    </row>
    <row r="2818" customFormat="false" ht="15" hidden="false" customHeight="false" outlineLevel="0" collapsed="false">
      <c r="A2818" s="1" t="s">
        <v>12183</v>
      </c>
      <c r="B2818" s="1" t="s">
        <v>830</v>
      </c>
      <c r="C2818" s="1" t="s">
        <v>5757</v>
      </c>
      <c r="D2818" s="2" t="n">
        <v>37742</v>
      </c>
      <c r="E2818" s="1" t="s">
        <v>710</v>
      </c>
      <c r="F2818" s="1" t="s">
        <v>711</v>
      </c>
      <c r="G2818" s="1" t="s">
        <v>722</v>
      </c>
      <c r="H2818" s="1" t="s">
        <v>713</v>
      </c>
      <c r="I2818" s="1" t="s">
        <v>714</v>
      </c>
      <c r="J2818" s="1" t="s">
        <v>928</v>
      </c>
      <c r="K2818" s="1" t="s">
        <v>12184</v>
      </c>
      <c r="L2818" s="1" t="s">
        <v>12185</v>
      </c>
      <c r="M2818" s="1" t="s">
        <v>718</v>
      </c>
    </row>
    <row r="2819" customFormat="false" ht="15" hidden="false" customHeight="false" outlineLevel="0" collapsed="false">
      <c r="A2819" s="1" t="s">
        <v>12186</v>
      </c>
      <c r="B2819" s="1" t="s">
        <v>12187</v>
      </c>
      <c r="C2819" s="1" t="s">
        <v>4216</v>
      </c>
      <c r="D2819" s="2" t="n">
        <v>37799</v>
      </c>
      <c r="E2819" s="1" t="s">
        <v>763</v>
      </c>
      <c r="F2819" s="1" t="s">
        <v>711</v>
      </c>
      <c r="G2819" s="1" t="s">
        <v>712</v>
      </c>
      <c r="H2819" s="1" t="s">
        <v>713</v>
      </c>
      <c r="I2819" s="1" t="s">
        <v>714</v>
      </c>
      <c r="J2819" s="1" t="s">
        <v>1244</v>
      </c>
      <c r="K2819" s="1" t="s">
        <v>12188</v>
      </c>
      <c r="L2819" s="1" t="s">
        <v>5877</v>
      </c>
      <c r="M2819" s="1" t="s">
        <v>718</v>
      </c>
    </row>
    <row r="2820" customFormat="false" ht="15" hidden="false" customHeight="false" outlineLevel="0" collapsed="false">
      <c r="A2820" s="1" t="s">
        <v>12189</v>
      </c>
      <c r="B2820" s="1" t="s">
        <v>12190</v>
      </c>
      <c r="C2820" s="1" t="s">
        <v>5030</v>
      </c>
      <c r="D2820" s="2" t="n">
        <v>38275</v>
      </c>
      <c r="E2820" s="1" t="s">
        <v>763</v>
      </c>
      <c r="F2820" s="1" t="s">
        <v>711</v>
      </c>
      <c r="G2820" s="1" t="s">
        <v>712</v>
      </c>
      <c r="H2820" s="1" t="s">
        <v>713</v>
      </c>
      <c r="I2820" s="1" t="s">
        <v>714</v>
      </c>
      <c r="J2820" s="1" t="s">
        <v>2664</v>
      </c>
      <c r="K2820" s="1" t="s">
        <v>12191</v>
      </c>
      <c r="L2820" s="1" t="s">
        <v>12192</v>
      </c>
      <c r="M2820" s="1" t="s">
        <v>718</v>
      </c>
    </row>
    <row r="2821" customFormat="false" ht="15" hidden="false" customHeight="false" outlineLevel="0" collapsed="false">
      <c r="A2821" s="1" t="s">
        <v>12193</v>
      </c>
      <c r="B2821" s="1" t="s">
        <v>12194</v>
      </c>
      <c r="C2821" s="1" t="s">
        <v>12195</v>
      </c>
      <c r="D2821" s="2" t="n">
        <v>37986</v>
      </c>
      <c r="E2821" s="1" t="s">
        <v>710</v>
      </c>
      <c r="F2821" s="1" t="s">
        <v>711</v>
      </c>
      <c r="G2821" s="1" t="s">
        <v>712</v>
      </c>
      <c r="H2821" s="1" t="s">
        <v>713</v>
      </c>
      <c r="I2821" s="1" t="s">
        <v>714</v>
      </c>
      <c r="J2821" s="1" t="s">
        <v>12196</v>
      </c>
      <c r="K2821" s="1" t="s">
        <v>12197</v>
      </c>
      <c r="L2821" s="1" t="s">
        <v>955</v>
      </c>
      <c r="M2821" s="1" t="s">
        <v>718</v>
      </c>
    </row>
    <row r="2822" customFormat="false" ht="15" hidden="false" customHeight="false" outlineLevel="0" collapsed="false">
      <c r="A2822" s="1" t="s">
        <v>12198</v>
      </c>
      <c r="B2822" s="1" t="s">
        <v>12199</v>
      </c>
      <c r="C2822" s="1" t="s">
        <v>750</v>
      </c>
      <c r="D2822" s="2" t="n">
        <v>38372</v>
      </c>
      <c r="E2822" s="1" t="s">
        <v>763</v>
      </c>
      <c r="F2822" s="1" t="s">
        <v>711</v>
      </c>
      <c r="G2822" s="1" t="s">
        <v>712</v>
      </c>
      <c r="H2822" s="1" t="s">
        <v>713</v>
      </c>
      <c r="I2822" s="1" t="s">
        <v>714</v>
      </c>
      <c r="J2822" s="1" t="s">
        <v>1398</v>
      </c>
      <c r="K2822" s="1" t="s">
        <v>12200</v>
      </c>
      <c r="L2822" s="1" t="s">
        <v>8362</v>
      </c>
      <c r="M2822" s="1" t="s">
        <v>718</v>
      </c>
    </row>
    <row r="2823" customFormat="false" ht="15" hidden="false" customHeight="false" outlineLevel="0" collapsed="false">
      <c r="A2823" s="1" t="s">
        <v>12201</v>
      </c>
      <c r="B2823" s="1" t="s">
        <v>12202</v>
      </c>
      <c r="C2823" s="1" t="s">
        <v>5177</v>
      </c>
      <c r="D2823" s="2" t="n">
        <v>37836</v>
      </c>
      <c r="E2823" s="1" t="s">
        <v>710</v>
      </c>
      <c r="F2823" s="1" t="s">
        <v>711</v>
      </c>
      <c r="G2823" s="1" t="s">
        <v>722</v>
      </c>
      <c r="H2823" s="1" t="s">
        <v>713</v>
      </c>
      <c r="I2823" s="1" t="s">
        <v>714</v>
      </c>
      <c r="J2823" s="1" t="s">
        <v>12203</v>
      </c>
      <c r="K2823" s="1" t="s">
        <v>12204</v>
      </c>
      <c r="L2823" s="1" t="s">
        <v>3653</v>
      </c>
      <c r="M2823" s="1" t="s">
        <v>718</v>
      </c>
    </row>
    <row r="2824" customFormat="false" ht="15" hidden="false" customHeight="false" outlineLevel="0" collapsed="false">
      <c r="A2824" s="1" t="s">
        <v>12205</v>
      </c>
      <c r="B2824" s="1" t="s">
        <v>12206</v>
      </c>
      <c r="C2824" s="1" t="s">
        <v>12207</v>
      </c>
      <c r="D2824" s="2" t="n">
        <v>38649</v>
      </c>
      <c r="E2824" s="1" t="s">
        <v>763</v>
      </c>
      <c r="F2824" s="1" t="s">
        <v>711</v>
      </c>
      <c r="G2824" s="1" t="s">
        <v>712</v>
      </c>
      <c r="H2824" s="1" t="s">
        <v>713</v>
      </c>
      <c r="I2824" s="1" t="s">
        <v>714</v>
      </c>
      <c r="J2824" s="1" t="s">
        <v>6508</v>
      </c>
      <c r="K2824" s="1" t="s">
        <v>12208</v>
      </c>
      <c r="L2824" s="1" t="s">
        <v>12209</v>
      </c>
      <c r="M2824" s="1" t="s">
        <v>718</v>
      </c>
    </row>
    <row r="2825" customFormat="false" ht="15" hidden="false" customHeight="false" outlineLevel="0" collapsed="false">
      <c r="A2825" s="1" t="s">
        <v>12210</v>
      </c>
      <c r="B2825" s="1" t="s">
        <v>12211</v>
      </c>
      <c r="C2825" s="1" t="s">
        <v>2006</v>
      </c>
      <c r="D2825" s="2" t="n">
        <v>38663</v>
      </c>
      <c r="E2825" s="1" t="s">
        <v>763</v>
      </c>
      <c r="F2825" s="1" t="s">
        <v>711</v>
      </c>
      <c r="G2825" s="1" t="s">
        <v>712</v>
      </c>
      <c r="H2825" s="1" t="s">
        <v>713</v>
      </c>
      <c r="I2825" s="1" t="s">
        <v>714</v>
      </c>
      <c r="J2825" s="1" t="s">
        <v>12036</v>
      </c>
      <c r="K2825" s="1" t="s">
        <v>12212</v>
      </c>
      <c r="L2825" s="1" t="s">
        <v>6346</v>
      </c>
      <c r="M2825" s="1" t="s">
        <v>718</v>
      </c>
    </row>
    <row r="2826" customFormat="false" ht="15" hidden="false" customHeight="false" outlineLevel="0" collapsed="false">
      <c r="A2826" s="1" t="s">
        <v>12213</v>
      </c>
      <c r="B2826" s="1" t="s">
        <v>4594</v>
      </c>
      <c r="C2826" s="1" t="s">
        <v>12214</v>
      </c>
      <c r="D2826" s="2" t="n">
        <v>37754</v>
      </c>
      <c r="E2826" s="1" t="s">
        <v>710</v>
      </c>
      <c r="F2826" s="1" t="s">
        <v>711</v>
      </c>
      <c r="G2826" s="1" t="s">
        <v>722</v>
      </c>
      <c r="H2826" s="1" t="s">
        <v>713</v>
      </c>
      <c r="I2826" s="1" t="s">
        <v>714</v>
      </c>
      <c r="J2826" s="1" t="s">
        <v>12215</v>
      </c>
      <c r="K2826" s="1" t="s">
        <v>12216</v>
      </c>
      <c r="L2826" s="1" t="s">
        <v>12217</v>
      </c>
      <c r="M2826" s="1" t="s">
        <v>718</v>
      </c>
    </row>
    <row r="2827" customFormat="false" ht="15" hidden="false" customHeight="false" outlineLevel="0" collapsed="false">
      <c r="A2827" s="1" t="s">
        <v>12218</v>
      </c>
      <c r="B2827" s="1" t="s">
        <v>12219</v>
      </c>
      <c r="C2827" s="1" t="s">
        <v>12220</v>
      </c>
      <c r="D2827" s="2" t="n">
        <v>38258</v>
      </c>
      <c r="E2827" s="1" t="s">
        <v>710</v>
      </c>
      <c r="F2827" s="1" t="s">
        <v>711</v>
      </c>
      <c r="G2827" s="1" t="s">
        <v>712</v>
      </c>
      <c r="H2827" s="1" t="s">
        <v>713</v>
      </c>
      <c r="I2827" s="1" t="s">
        <v>714</v>
      </c>
      <c r="J2827" s="1" t="s">
        <v>12221</v>
      </c>
      <c r="K2827" s="1" t="s">
        <v>12222</v>
      </c>
      <c r="L2827" s="1" t="s">
        <v>12223</v>
      </c>
      <c r="M2827" s="1" t="s">
        <v>718</v>
      </c>
    </row>
    <row r="2828" customFormat="false" ht="15" hidden="false" customHeight="false" outlineLevel="0" collapsed="false">
      <c r="A2828" s="1" t="s">
        <v>12224</v>
      </c>
      <c r="B2828" s="1" t="s">
        <v>12225</v>
      </c>
      <c r="C2828" s="1" t="s">
        <v>1722</v>
      </c>
      <c r="D2828" s="2" t="n">
        <v>38577</v>
      </c>
      <c r="E2828" s="1" t="s">
        <v>710</v>
      </c>
      <c r="F2828" s="1" t="s">
        <v>711</v>
      </c>
      <c r="G2828" s="1" t="s">
        <v>712</v>
      </c>
      <c r="H2828" s="1" t="s">
        <v>713</v>
      </c>
      <c r="I2828" s="1" t="s">
        <v>714</v>
      </c>
      <c r="J2828" s="1" t="s">
        <v>12226</v>
      </c>
      <c r="K2828" s="1" t="s">
        <v>12227</v>
      </c>
      <c r="L2828" s="1" t="s">
        <v>1724</v>
      </c>
      <c r="M2828" s="1" t="s">
        <v>718</v>
      </c>
    </row>
    <row r="2829" customFormat="false" ht="15" hidden="false" customHeight="false" outlineLevel="0" collapsed="false">
      <c r="A2829" s="1" t="s">
        <v>12228</v>
      </c>
      <c r="B2829" s="1" t="s">
        <v>5064</v>
      </c>
      <c r="C2829" s="1" t="s">
        <v>1956</v>
      </c>
      <c r="D2829" s="2" t="n">
        <v>38694</v>
      </c>
      <c r="E2829" s="1" t="s">
        <v>710</v>
      </c>
      <c r="F2829" s="1" t="s">
        <v>711</v>
      </c>
      <c r="G2829" s="1" t="s">
        <v>722</v>
      </c>
      <c r="H2829" s="1" t="s">
        <v>713</v>
      </c>
      <c r="I2829" s="1" t="s">
        <v>714</v>
      </c>
      <c r="J2829" s="1" t="s">
        <v>10400</v>
      </c>
      <c r="K2829" s="1" t="s">
        <v>12229</v>
      </c>
      <c r="L2829" s="1" t="s">
        <v>1957</v>
      </c>
      <c r="M2829" s="1" t="s">
        <v>718</v>
      </c>
    </row>
    <row r="2830" customFormat="false" ht="15" hidden="false" customHeight="false" outlineLevel="0" collapsed="false">
      <c r="A2830" s="1" t="s">
        <v>12230</v>
      </c>
      <c r="B2830" s="1" t="s">
        <v>12231</v>
      </c>
      <c r="C2830" s="1" t="s">
        <v>12107</v>
      </c>
      <c r="D2830" s="2" t="n">
        <v>38082</v>
      </c>
      <c r="E2830" s="1" t="s">
        <v>763</v>
      </c>
      <c r="F2830" s="1" t="s">
        <v>711</v>
      </c>
      <c r="G2830" s="1" t="s">
        <v>712</v>
      </c>
      <c r="H2830" s="1" t="s">
        <v>713</v>
      </c>
      <c r="I2830" s="1" t="s">
        <v>714</v>
      </c>
      <c r="J2830" s="1" t="s">
        <v>8676</v>
      </c>
      <c r="K2830" s="1" t="s">
        <v>12232</v>
      </c>
      <c r="L2830" s="1" t="s">
        <v>12233</v>
      </c>
      <c r="M2830" s="1" t="s">
        <v>718</v>
      </c>
    </row>
    <row r="2831" customFormat="false" ht="15" hidden="false" customHeight="false" outlineLevel="0" collapsed="false">
      <c r="A2831" s="1" t="s">
        <v>12234</v>
      </c>
      <c r="B2831" s="1" t="s">
        <v>12235</v>
      </c>
      <c r="C2831" s="1" t="s">
        <v>12236</v>
      </c>
      <c r="D2831" s="2" t="n">
        <v>38510</v>
      </c>
      <c r="E2831" s="1" t="s">
        <v>763</v>
      </c>
      <c r="F2831" s="1" t="s">
        <v>711</v>
      </c>
      <c r="G2831" s="1" t="s">
        <v>712</v>
      </c>
      <c r="H2831" s="1" t="s">
        <v>713</v>
      </c>
      <c r="I2831" s="1" t="s">
        <v>714</v>
      </c>
      <c r="J2831" s="1" t="s">
        <v>12237</v>
      </c>
      <c r="K2831" s="1" t="s">
        <v>12238</v>
      </c>
      <c r="L2831" s="1" t="s">
        <v>12239</v>
      </c>
      <c r="M2831" s="1" t="s">
        <v>718</v>
      </c>
    </row>
    <row r="2832" customFormat="false" ht="15" hidden="false" customHeight="false" outlineLevel="0" collapsed="false">
      <c r="A2832" s="1" t="s">
        <v>12240</v>
      </c>
      <c r="B2832" s="1" t="s">
        <v>12241</v>
      </c>
      <c r="C2832" s="1" t="s">
        <v>6623</v>
      </c>
      <c r="D2832" s="2" t="n">
        <v>38006</v>
      </c>
      <c r="E2832" s="1" t="s">
        <v>763</v>
      </c>
      <c r="F2832" s="1" t="s">
        <v>711</v>
      </c>
      <c r="G2832" s="1" t="s">
        <v>712</v>
      </c>
      <c r="H2832" s="1" t="s">
        <v>713</v>
      </c>
      <c r="I2832" s="1" t="s">
        <v>714</v>
      </c>
      <c r="J2832" s="1" t="s">
        <v>12242</v>
      </c>
      <c r="K2832" s="1" t="s">
        <v>12243</v>
      </c>
      <c r="L2832" s="1" t="s">
        <v>12244</v>
      </c>
      <c r="M2832" s="1" t="s">
        <v>718</v>
      </c>
    </row>
    <row r="2833" customFormat="false" ht="15" hidden="false" customHeight="false" outlineLevel="0" collapsed="false">
      <c r="A2833" s="1" t="s">
        <v>12245</v>
      </c>
      <c r="B2833" s="1" t="s">
        <v>12246</v>
      </c>
      <c r="C2833" s="1" t="s">
        <v>12247</v>
      </c>
      <c r="D2833" s="2" t="n">
        <v>38283</v>
      </c>
      <c r="E2833" s="1" t="s">
        <v>710</v>
      </c>
      <c r="F2833" s="1" t="s">
        <v>711</v>
      </c>
      <c r="G2833" s="1" t="s">
        <v>712</v>
      </c>
      <c r="H2833" s="1" t="s">
        <v>713</v>
      </c>
      <c r="I2833" s="1" t="s">
        <v>714</v>
      </c>
      <c r="J2833" s="1" t="s">
        <v>7565</v>
      </c>
      <c r="K2833" s="1" t="s">
        <v>12248</v>
      </c>
      <c r="L2833" s="1" t="s">
        <v>12249</v>
      </c>
      <c r="M2833" s="1" t="s">
        <v>718</v>
      </c>
    </row>
    <row r="2834" customFormat="false" ht="15" hidden="false" customHeight="false" outlineLevel="0" collapsed="false">
      <c r="A2834" s="1" t="s">
        <v>12250</v>
      </c>
      <c r="B2834" s="1" t="s">
        <v>9450</v>
      </c>
      <c r="C2834" s="1" t="s">
        <v>12247</v>
      </c>
      <c r="D2834" s="2" t="n">
        <v>38691</v>
      </c>
      <c r="E2834" s="1" t="s">
        <v>763</v>
      </c>
      <c r="F2834" s="1" t="s">
        <v>711</v>
      </c>
      <c r="G2834" s="1" t="s">
        <v>722</v>
      </c>
      <c r="H2834" s="1" t="s">
        <v>713</v>
      </c>
      <c r="I2834" s="1" t="s">
        <v>714</v>
      </c>
      <c r="J2834" s="1" t="s">
        <v>7565</v>
      </c>
      <c r="K2834" s="1" t="s">
        <v>12248</v>
      </c>
      <c r="L2834" s="1" t="s">
        <v>12249</v>
      </c>
      <c r="M2834" s="1" t="s">
        <v>718</v>
      </c>
    </row>
    <row r="2835" customFormat="false" ht="15" hidden="false" customHeight="false" outlineLevel="0" collapsed="false">
      <c r="A2835" s="1" t="s">
        <v>12251</v>
      </c>
      <c r="B2835" s="1" t="s">
        <v>12252</v>
      </c>
      <c r="C2835" s="1" t="s">
        <v>849</v>
      </c>
      <c r="D2835" s="2" t="n">
        <v>38157</v>
      </c>
      <c r="E2835" s="1" t="s">
        <v>710</v>
      </c>
      <c r="F2835" s="1" t="s">
        <v>711</v>
      </c>
      <c r="G2835" s="1" t="s">
        <v>712</v>
      </c>
      <c r="H2835" s="1" t="s">
        <v>713</v>
      </c>
      <c r="I2835" s="1" t="s">
        <v>714</v>
      </c>
      <c r="J2835" s="1" t="s">
        <v>978</v>
      </c>
      <c r="K2835" s="1" t="s">
        <v>12253</v>
      </c>
      <c r="L2835" s="1" t="s">
        <v>851</v>
      </c>
      <c r="M2835" s="1" t="s">
        <v>718</v>
      </c>
    </row>
    <row r="2836" customFormat="false" ht="15" hidden="false" customHeight="false" outlineLevel="0" collapsed="false">
      <c r="A2836" s="1" t="s">
        <v>12254</v>
      </c>
      <c r="B2836" s="1" t="s">
        <v>12255</v>
      </c>
      <c r="C2836" s="1" t="s">
        <v>12256</v>
      </c>
      <c r="D2836" s="2" t="n">
        <v>37958</v>
      </c>
      <c r="E2836" s="1" t="s">
        <v>763</v>
      </c>
      <c r="F2836" s="1" t="s">
        <v>711</v>
      </c>
      <c r="G2836" s="1" t="s">
        <v>712</v>
      </c>
      <c r="H2836" s="1" t="s">
        <v>713</v>
      </c>
      <c r="I2836" s="1" t="s">
        <v>714</v>
      </c>
      <c r="J2836" s="1" t="s">
        <v>5972</v>
      </c>
      <c r="K2836" s="1" t="s">
        <v>12257</v>
      </c>
      <c r="L2836" s="1" t="s">
        <v>12258</v>
      </c>
      <c r="M2836" s="1" t="s">
        <v>718</v>
      </c>
    </row>
    <row r="2837" customFormat="false" ht="15" hidden="false" customHeight="false" outlineLevel="0" collapsed="false">
      <c r="A2837" s="1" t="s">
        <v>12259</v>
      </c>
      <c r="B2837" s="1" t="s">
        <v>12260</v>
      </c>
      <c r="C2837" s="1" t="s">
        <v>12261</v>
      </c>
      <c r="D2837" s="2" t="n">
        <v>38043</v>
      </c>
      <c r="E2837" s="1" t="s">
        <v>710</v>
      </c>
      <c r="F2837" s="1" t="s">
        <v>711</v>
      </c>
      <c r="G2837" s="1" t="s">
        <v>712</v>
      </c>
      <c r="H2837" s="1" t="s">
        <v>713</v>
      </c>
      <c r="I2837" s="1" t="s">
        <v>714</v>
      </c>
      <c r="J2837" s="1" t="s">
        <v>4239</v>
      </c>
      <c r="K2837" s="1" t="s">
        <v>12262</v>
      </c>
      <c r="L2837" s="1" t="s">
        <v>12263</v>
      </c>
      <c r="M2837" s="1" t="s">
        <v>718</v>
      </c>
    </row>
    <row r="2838" customFormat="false" ht="15" hidden="false" customHeight="false" outlineLevel="0" collapsed="false">
      <c r="A2838" s="1" t="s">
        <v>12264</v>
      </c>
      <c r="B2838" s="1" t="s">
        <v>7404</v>
      </c>
      <c r="C2838" s="1" t="s">
        <v>2212</v>
      </c>
      <c r="D2838" s="2" t="n">
        <v>37904</v>
      </c>
      <c r="E2838" s="1" t="s">
        <v>710</v>
      </c>
      <c r="F2838" s="1" t="s">
        <v>711</v>
      </c>
      <c r="G2838" s="1" t="s">
        <v>712</v>
      </c>
      <c r="H2838" s="1" t="s">
        <v>713</v>
      </c>
      <c r="I2838" s="1" t="s">
        <v>714</v>
      </c>
      <c r="J2838" s="1" t="s">
        <v>9891</v>
      </c>
      <c r="K2838" s="1" t="s">
        <v>12265</v>
      </c>
      <c r="L2838" s="1" t="s">
        <v>2119</v>
      </c>
      <c r="M2838" s="1" t="s">
        <v>718</v>
      </c>
    </row>
    <row r="2839" customFormat="false" ht="15" hidden="false" customHeight="false" outlineLevel="0" collapsed="false">
      <c r="A2839" s="1" t="s">
        <v>12266</v>
      </c>
      <c r="B2839" s="1" t="s">
        <v>12267</v>
      </c>
      <c r="C2839" s="1" t="s">
        <v>5382</v>
      </c>
      <c r="D2839" s="2" t="n">
        <v>38464</v>
      </c>
      <c r="E2839" s="1" t="s">
        <v>710</v>
      </c>
      <c r="F2839" s="1" t="s">
        <v>711</v>
      </c>
      <c r="G2839" s="1" t="s">
        <v>712</v>
      </c>
      <c r="H2839" s="1" t="s">
        <v>713</v>
      </c>
      <c r="I2839" s="1" t="s">
        <v>714</v>
      </c>
      <c r="J2839" s="1" t="s">
        <v>2000</v>
      </c>
      <c r="K2839" s="1" t="s">
        <v>716</v>
      </c>
      <c r="L2839" s="1" t="s">
        <v>10382</v>
      </c>
      <c r="M2839" s="1" t="s">
        <v>718</v>
      </c>
    </row>
    <row r="2840" customFormat="false" ht="15" hidden="false" customHeight="false" outlineLevel="0" collapsed="false">
      <c r="A2840" s="1" t="s">
        <v>12268</v>
      </c>
      <c r="B2840" s="1" t="s">
        <v>12269</v>
      </c>
      <c r="C2840" s="1" t="s">
        <v>7326</v>
      </c>
      <c r="D2840" s="2" t="n">
        <v>39290</v>
      </c>
      <c r="E2840" s="1" t="s">
        <v>710</v>
      </c>
      <c r="F2840" s="1" t="s">
        <v>711</v>
      </c>
      <c r="G2840" s="1" t="s">
        <v>722</v>
      </c>
      <c r="H2840" s="1" t="s">
        <v>713</v>
      </c>
      <c r="I2840" s="1" t="s">
        <v>714</v>
      </c>
      <c r="J2840" s="1" t="s">
        <v>821</v>
      </c>
      <c r="K2840" s="1" t="s">
        <v>12270</v>
      </c>
      <c r="L2840" s="1" t="s">
        <v>12271</v>
      </c>
      <c r="M2840" s="1" t="s">
        <v>718</v>
      </c>
    </row>
    <row r="2841" customFormat="false" ht="15" hidden="false" customHeight="false" outlineLevel="0" collapsed="false">
      <c r="A2841" s="1" t="s">
        <v>12272</v>
      </c>
      <c r="B2841" s="1" t="s">
        <v>12273</v>
      </c>
      <c r="C2841" s="1" t="s">
        <v>9807</v>
      </c>
      <c r="D2841" s="2" t="n">
        <v>38288</v>
      </c>
      <c r="E2841" s="1" t="s">
        <v>710</v>
      </c>
      <c r="F2841" s="1" t="s">
        <v>711</v>
      </c>
      <c r="G2841" s="1" t="s">
        <v>712</v>
      </c>
      <c r="H2841" s="1" t="s">
        <v>713</v>
      </c>
      <c r="I2841" s="1" t="s">
        <v>714</v>
      </c>
      <c r="J2841" s="1" t="s">
        <v>978</v>
      </c>
      <c r="K2841" s="1" t="s">
        <v>12274</v>
      </c>
      <c r="L2841" s="1" t="s">
        <v>9809</v>
      </c>
      <c r="M2841" s="1" t="s">
        <v>718</v>
      </c>
    </row>
    <row r="2842" customFormat="false" ht="15" hidden="false" customHeight="false" outlineLevel="0" collapsed="false">
      <c r="A2842" s="1" t="s">
        <v>12275</v>
      </c>
      <c r="B2842" s="1" t="s">
        <v>12276</v>
      </c>
      <c r="C2842" s="1" t="s">
        <v>3017</v>
      </c>
      <c r="D2842" s="2" t="n">
        <v>37165</v>
      </c>
      <c r="E2842" s="1" t="s">
        <v>763</v>
      </c>
      <c r="F2842" s="1" t="s">
        <v>711</v>
      </c>
      <c r="G2842" s="1" t="s">
        <v>712</v>
      </c>
      <c r="H2842" s="1" t="s">
        <v>713</v>
      </c>
      <c r="I2842" s="1" t="s">
        <v>714</v>
      </c>
      <c r="J2842" s="1" t="s">
        <v>7565</v>
      </c>
      <c r="K2842" s="1" t="s">
        <v>716</v>
      </c>
      <c r="L2842" s="1" t="s">
        <v>3927</v>
      </c>
      <c r="M2842" s="1" t="s">
        <v>718</v>
      </c>
    </row>
    <row r="2843" customFormat="false" ht="15" hidden="false" customHeight="false" outlineLevel="0" collapsed="false">
      <c r="A2843" s="1" t="s">
        <v>12277</v>
      </c>
      <c r="B2843" s="1" t="s">
        <v>12278</v>
      </c>
      <c r="C2843" s="1" t="s">
        <v>7223</v>
      </c>
      <c r="D2843" s="2" t="n">
        <v>38294</v>
      </c>
      <c r="E2843" s="1" t="s">
        <v>710</v>
      </c>
      <c r="F2843" s="1" t="s">
        <v>711</v>
      </c>
      <c r="G2843" s="1" t="s">
        <v>712</v>
      </c>
      <c r="H2843" s="1" t="s">
        <v>713</v>
      </c>
      <c r="I2843" s="1" t="s">
        <v>714</v>
      </c>
      <c r="J2843" s="1" t="s">
        <v>2638</v>
      </c>
      <c r="K2843" s="1" t="s">
        <v>716</v>
      </c>
      <c r="L2843" s="1" t="s">
        <v>7226</v>
      </c>
      <c r="M2843" s="1" t="s">
        <v>718</v>
      </c>
    </row>
    <row r="2844" customFormat="false" ht="15" hidden="false" customHeight="false" outlineLevel="0" collapsed="false">
      <c r="A2844" s="1" t="s">
        <v>12279</v>
      </c>
      <c r="B2844" s="1" t="s">
        <v>12280</v>
      </c>
      <c r="C2844" s="1" t="s">
        <v>12281</v>
      </c>
      <c r="D2844" s="2" t="n">
        <v>37390</v>
      </c>
      <c r="E2844" s="1" t="s">
        <v>710</v>
      </c>
      <c r="F2844" s="1" t="s">
        <v>711</v>
      </c>
      <c r="G2844" s="1" t="s">
        <v>712</v>
      </c>
      <c r="H2844" s="1" t="s">
        <v>713</v>
      </c>
      <c r="I2844" s="1" t="s">
        <v>714</v>
      </c>
      <c r="J2844" s="1" t="s">
        <v>9451</v>
      </c>
      <c r="K2844" s="1" t="s">
        <v>716</v>
      </c>
      <c r="L2844" s="1" t="s">
        <v>12282</v>
      </c>
      <c r="M2844" s="1" t="s">
        <v>718</v>
      </c>
    </row>
    <row r="2845" customFormat="false" ht="15" hidden="false" customHeight="false" outlineLevel="0" collapsed="false">
      <c r="A2845" s="1" t="s">
        <v>12283</v>
      </c>
      <c r="B2845" s="1" t="s">
        <v>11743</v>
      </c>
      <c r="C2845" s="1" t="s">
        <v>6692</v>
      </c>
      <c r="D2845" s="2" t="n">
        <v>38436</v>
      </c>
      <c r="E2845" s="1" t="s">
        <v>763</v>
      </c>
      <c r="F2845" s="1" t="s">
        <v>711</v>
      </c>
      <c r="G2845" s="1" t="s">
        <v>722</v>
      </c>
      <c r="H2845" s="1" t="s">
        <v>713</v>
      </c>
      <c r="I2845" s="1" t="s">
        <v>714</v>
      </c>
      <c r="J2845" s="1" t="s">
        <v>12284</v>
      </c>
      <c r="K2845" s="1" t="s">
        <v>12285</v>
      </c>
      <c r="L2845" s="1" t="s">
        <v>6694</v>
      </c>
      <c r="M2845" s="1" t="s">
        <v>718</v>
      </c>
    </row>
    <row r="2846" customFormat="false" ht="15" hidden="false" customHeight="false" outlineLevel="0" collapsed="false">
      <c r="A2846" s="1" t="s">
        <v>12286</v>
      </c>
      <c r="B2846" s="1" t="s">
        <v>3082</v>
      </c>
      <c r="C2846" s="1" t="s">
        <v>12287</v>
      </c>
      <c r="D2846" s="2" t="n">
        <v>37918</v>
      </c>
      <c r="E2846" s="1" t="s">
        <v>763</v>
      </c>
      <c r="F2846" s="1" t="s">
        <v>711</v>
      </c>
      <c r="G2846" s="1" t="s">
        <v>712</v>
      </c>
      <c r="H2846" s="1" t="s">
        <v>713</v>
      </c>
      <c r="I2846" s="1" t="s">
        <v>714</v>
      </c>
      <c r="J2846" s="1" t="s">
        <v>3678</v>
      </c>
      <c r="K2846" s="1" t="s">
        <v>12288</v>
      </c>
      <c r="L2846" s="1" t="s">
        <v>12289</v>
      </c>
      <c r="M2846" s="1" t="s">
        <v>718</v>
      </c>
    </row>
    <row r="2847" customFormat="false" ht="15" hidden="false" customHeight="false" outlineLevel="0" collapsed="false">
      <c r="A2847" s="1" t="s">
        <v>12290</v>
      </c>
      <c r="B2847" s="1" t="s">
        <v>12291</v>
      </c>
      <c r="C2847" s="1" t="s">
        <v>12292</v>
      </c>
      <c r="D2847" s="2" t="n">
        <v>38651</v>
      </c>
      <c r="E2847" s="1" t="s">
        <v>710</v>
      </c>
      <c r="F2847" s="1" t="s">
        <v>711</v>
      </c>
      <c r="G2847" s="1" t="s">
        <v>712</v>
      </c>
      <c r="H2847" s="1" t="s">
        <v>713</v>
      </c>
      <c r="I2847" s="1" t="s">
        <v>714</v>
      </c>
      <c r="J2847" s="1" t="s">
        <v>2000</v>
      </c>
      <c r="K2847" s="1" t="s">
        <v>716</v>
      </c>
      <c r="L2847" s="1" t="s">
        <v>3019</v>
      </c>
      <c r="M2847" s="1" t="s">
        <v>718</v>
      </c>
    </row>
    <row r="2848" customFormat="false" ht="15" hidden="false" customHeight="false" outlineLevel="0" collapsed="false">
      <c r="A2848" s="1" t="s">
        <v>12293</v>
      </c>
      <c r="B2848" s="1" t="s">
        <v>12294</v>
      </c>
      <c r="C2848" s="1" t="s">
        <v>12295</v>
      </c>
      <c r="D2848" s="2" t="n">
        <v>37771</v>
      </c>
      <c r="E2848" s="1" t="s">
        <v>710</v>
      </c>
      <c r="F2848" s="1" t="s">
        <v>711</v>
      </c>
      <c r="G2848" s="1" t="s">
        <v>712</v>
      </c>
      <c r="H2848" s="1" t="s">
        <v>713</v>
      </c>
      <c r="I2848" s="1" t="s">
        <v>714</v>
      </c>
      <c r="J2848" s="1" t="s">
        <v>4940</v>
      </c>
      <c r="K2848" s="1" t="s">
        <v>716</v>
      </c>
      <c r="L2848" s="1" t="s">
        <v>12296</v>
      </c>
      <c r="M2848" s="1" t="s">
        <v>718</v>
      </c>
    </row>
    <row r="2849" customFormat="false" ht="15" hidden="false" customHeight="false" outlineLevel="0" collapsed="false">
      <c r="A2849" s="1" t="s">
        <v>12297</v>
      </c>
      <c r="B2849" s="1" t="s">
        <v>12298</v>
      </c>
      <c r="C2849" s="1" t="s">
        <v>4605</v>
      </c>
      <c r="D2849" s="2" t="n">
        <v>37721</v>
      </c>
      <c r="E2849" s="1" t="s">
        <v>763</v>
      </c>
      <c r="F2849" s="1" t="s">
        <v>711</v>
      </c>
      <c r="G2849" s="1" t="s">
        <v>722</v>
      </c>
      <c r="H2849" s="1" t="s">
        <v>713</v>
      </c>
      <c r="I2849" s="1" t="s">
        <v>714</v>
      </c>
      <c r="J2849" s="1" t="s">
        <v>2841</v>
      </c>
      <c r="K2849" s="1" t="s">
        <v>12299</v>
      </c>
      <c r="L2849" s="1" t="s">
        <v>12300</v>
      </c>
      <c r="M2849" s="1" t="s">
        <v>718</v>
      </c>
    </row>
    <row r="2850" customFormat="false" ht="15" hidden="false" customHeight="false" outlineLevel="0" collapsed="false">
      <c r="A2850" s="1" t="s">
        <v>12301</v>
      </c>
      <c r="B2850" s="1" t="s">
        <v>12302</v>
      </c>
      <c r="C2850" s="1" t="s">
        <v>7125</v>
      </c>
      <c r="D2850" s="2" t="n">
        <v>38638</v>
      </c>
      <c r="E2850" s="1" t="s">
        <v>710</v>
      </c>
      <c r="F2850" s="1" t="s">
        <v>711</v>
      </c>
      <c r="G2850" s="1" t="s">
        <v>712</v>
      </c>
      <c r="H2850" s="1" t="s">
        <v>713</v>
      </c>
      <c r="I2850" s="1" t="s">
        <v>714</v>
      </c>
      <c r="J2850" s="1" t="s">
        <v>838</v>
      </c>
      <c r="K2850" s="1" t="s">
        <v>12303</v>
      </c>
      <c r="L2850" s="1" t="s">
        <v>7079</v>
      </c>
      <c r="M2850" s="1" t="s">
        <v>718</v>
      </c>
    </row>
    <row r="2851" customFormat="false" ht="15" hidden="false" customHeight="false" outlineLevel="0" collapsed="false">
      <c r="A2851" s="1" t="s">
        <v>12304</v>
      </c>
      <c r="B2851" s="1" t="s">
        <v>12305</v>
      </c>
      <c r="C2851" s="1" t="s">
        <v>12306</v>
      </c>
      <c r="D2851" s="2" t="n">
        <v>37577</v>
      </c>
      <c r="E2851" s="1" t="s">
        <v>710</v>
      </c>
      <c r="F2851" s="1" t="s">
        <v>711</v>
      </c>
      <c r="G2851" s="1" t="s">
        <v>712</v>
      </c>
      <c r="H2851" s="1" t="s">
        <v>713</v>
      </c>
      <c r="I2851" s="1" t="s">
        <v>714</v>
      </c>
      <c r="J2851" s="1" t="s">
        <v>1131</v>
      </c>
      <c r="K2851" s="1" t="s">
        <v>12307</v>
      </c>
      <c r="L2851" s="1" t="s">
        <v>12308</v>
      </c>
      <c r="M2851" s="1" t="s">
        <v>718</v>
      </c>
    </row>
    <row r="2852" customFormat="false" ht="15" hidden="false" customHeight="false" outlineLevel="0" collapsed="false">
      <c r="A2852" s="1" t="s">
        <v>12309</v>
      </c>
      <c r="B2852" s="1" t="s">
        <v>7192</v>
      </c>
      <c r="C2852" s="1" t="s">
        <v>12306</v>
      </c>
      <c r="D2852" s="2" t="n">
        <v>38183</v>
      </c>
      <c r="E2852" s="1" t="s">
        <v>710</v>
      </c>
      <c r="F2852" s="1" t="s">
        <v>711</v>
      </c>
      <c r="G2852" s="1" t="s">
        <v>712</v>
      </c>
      <c r="H2852" s="1" t="s">
        <v>713</v>
      </c>
      <c r="I2852" s="1" t="s">
        <v>714</v>
      </c>
      <c r="J2852" s="1" t="s">
        <v>1131</v>
      </c>
      <c r="K2852" s="1" t="s">
        <v>716</v>
      </c>
      <c r="L2852" s="1" t="s">
        <v>12308</v>
      </c>
      <c r="M2852" s="1" t="s">
        <v>718</v>
      </c>
    </row>
    <row r="2853" customFormat="false" ht="15" hidden="false" customHeight="false" outlineLevel="0" collapsed="false">
      <c r="A2853" s="1" t="s">
        <v>12310</v>
      </c>
      <c r="B2853" s="1" t="s">
        <v>12311</v>
      </c>
      <c r="C2853" s="1" t="s">
        <v>4605</v>
      </c>
      <c r="D2853" s="2" t="n">
        <v>38269</v>
      </c>
      <c r="E2853" s="1" t="s">
        <v>763</v>
      </c>
      <c r="F2853" s="1" t="s">
        <v>711</v>
      </c>
      <c r="G2853" s="1" t="s">
        <v>722</v>
      </c>
      <c r="H2853" s="1" t="s">
        <v>713</v>
      </c>
      <c r="I2853" s="1" t="s">
        <v>714</v>
      </c>
      <c r="J2853" s="1" t="s">
        <v>7565</v>
      </c>
      <c r="K2853" s="1" t="s">
        <v>12299</v>
      </c>
      <c r="L2853" s="1" t="s">
        <v>12300</v>
      </c>
      <c r="M2853" s="1" t="s">
        <v>718</v>
      </c>
    </row>
    <row r="2854" customFormat="false" ht="15" hidden="false" customHeight="false" outlineLevel="0" collapsed="false">
      <c r="A2854" s="1" t="s">
        <v>12312</v>
      </c>
      <c r="B2854" s="1" t="s">
        <v>12313</v>
      </c>
      <c r="C2854" s="1" t="s">
        <v>6485</v>
      </c>
      <c r="D2854" s="2" t="n">
        <v>38335</v>
      </c>
      <c r="E2854" s="1" t="s">
        <v>763</v>
      </c>
      <c r="F2854" s="1" t="s">
        <v>711</v>
      </c>
      <c r="G2854" s="1" t="s">
        <v>712</v>
      </c>
      <c r="H2854" s="1" t="s">
        <v>713</v>
      </c>
      <c r="I2854" s="1" t="s">
        <v>714</v>
      </c>
      <c r="J2854" s="1" t="s">
        <v>978</v>
      </c>
      <c r="K2854" s="1" t="s">
        <v>716</v>
      </c>
      <c r="L2854" s="1" t="s">
        <v>12314</v>
      </c>
      <c r="M2854" s="1" t="s">
        <v>718</v>
      </c>
    </row>
    <row r="2855" customFormat="false" ht="15" hidden="false" customHeight="false" outlineLevel="0" collapsed="false">
      <c r="A2855" s="1" t="s">
        <v>12315</v>
      </c>
      <c r="B2855" s="1" t="s">
        <v>12316</v>
      </c>
      <c r="C2855" s="1" t="s">
        <v>12317</v>
      </c>
      <c r="D2855" s="2" t="n">
        <v>38632</v>
      </c>
      <c r="E2855" s="1" t="s">
        <v>763</v>
      </c>
      <c r="F2855" s="1" t="s">
        <v>711</v>
      </c>
      <c r="G2855" s="1" t="s">
        <v>712</v>
      </c>
      <c r="H2855" s="1" t="s">
        <v>713</v>
      </c>
      <c r="I2855" s="1" t="s">
        <v>714</v>
      </c>
      <c r="J2855" s="1" t="s">
        <v>5117</v>
      </c>
      <c r="K2855" s="1" t="s">
        <v>12318</v>
      </c>
      <c r="L2855" s="1" t="s">
        <v>12319</v>
      </c>
      <c r="M2855" s="1" t="s">
        <v>718</v>
      </c>
    </row>
    <row r="2856" customFormat="false" ht="15" hidden="false" customHeight="false" outlineLevel="0" collapsed="false">
      <c r="A2856" s="1" t="s">
        <v>12320</v>
      </c>
      <c r="B2856" s="1" t="s">
        <v>935</v>
      </c>
      <c r="C2856" s="1" t="s">
        <v>12321</v>
      </c>
      <c r="D2856" s="2" t="n">
        <v>38167</v>
      </c>
      <c r="E2856" s="1" t="s">
        <v>710</v>
      </c>
      <c r="F2856" s="1" t="s">
        <v>711</v>
      </c>
      <c r="G2856" s="1" t="s">
        <v>712</v>
      </c>
      <c r="H2856" s="1" t="s">
        <v>713</v>
      </c>
      <c r="I2856" s="1" t="s">
        <v>714</v>
      </c>
      <c r="J2856" s="1" t="s">
        <v>892</v>
      </c>
      <c r="K2856" s="1" t="s">
        <v>12322</v>
      </c>
      <c r="L2856" s="1" t="s">
        <v>12323</v>
      </c>
      <c r="M2856" s="1" t="s">
        <v>718</v>
      </c>
    </row>
    <row r="2857" customFormat="false" ht="15" hidden="false" customHeight="false" outlineLevel="0" collapsed="false">
      <c r="A2857" s="1" t="s">
        <v>12324</v>
      </c>
      <c r="B2857" s="1" t="s">
        <v>12325</v>
      </c>
      <c r="C2857" s="1" t="s">
        <v>750</v>
      </c>
      <c r="D2857" s="2" t="n">
        <v>37471</v>
      </c>
      <c r="E2857" s="1" t="s">
        <v>763</v>
      </c>
      <c r="F2857" s="1" t="s">
        <v>711</v>
      </c>
      <c r="G2857" s="1" t="s">
        <v>722</v>
      </c>
      <c r="H2857" s="1" t="s">
        <v>713</v>
      </c>
      <c r="I2857" s="1" t="s">
        <v>714</v>
      </c>
      <c r="J2857" s="1" t="s">
        <v>978</v>
      </c>
      <c r="K2857" s="1" t="s">
        <v>12326</v>
      </c>
      <c r="L2857" s="1" t="s">
        <v>12327</v>
      </c>
      <c r="M2857" s="1" t="s">
        <v>718</v>
      </c>
    </row>
    <row r="2858" customFormat="false" ht="15" hidden="false" customHeight="false" outlineLevel="0" collapsed="false">
      <c r="A2858" s="1" t="s">
        <v>12328</v>
      </c>
      <c r="B2858" s="1" t="s">
        <v>12329</v>
      </c>
      <c r="C2858" s="1" t="s">
        <v>7193</v>
      </c>
      <c r="D2858" s="2" t="n">
        <v>38882</v>
      </c>
      <c r="E2858" s="1" t="s">
        <v>710</v>
      </c>
      <c r="F2858" s="1" t="s">
        <v>711</v>
      </c>
      <c r="G2858" s="1" t="s">
        <v>712</v>
      </c>
      <c r="H2858" s="1" t="s">
        <v>713</v>
      </c>
      <c r="I2858" s="1" t="s">
        <v>714</v>
      </c>
      <c r="J2858" s="1" t="s">
        <v>12330</v>
      </c>
      <c r="K2858" s="1" t="s">
        <v>12331</v>
      </c>
      <c r="L2858" s="1" t="s">
        <v>7196</v>
      </c>
      <c r="M2858" s="1" t="s">
        <v>718</v>
      </c>
    </row>
    <row r="2859" customFormat="false" ht="15" hidden="false" customHeight="false" outlineLevel="0" collapsed="false">
      <c r="A2859" s="1" t="s">
        <v>12332</v>
      </c>
      <c r="B2859" s="1" t="s">
        <v>12333</v>
      </c>
      <c r="C2859" s="1" t="s">
        <v>12334</v>
      </c>
      <c r="D2859" s="2" t="n">
        <v>37299</v>
      </c>
      <c r="E2859" s="1" t="s">
        <v>763</v>
      </c>
      <c r="F2859" s="1" t="s">
        <v>711</v>
      </c>
      <c r="G2859" s="1" t="s">
        <v>712</v>
      </c>
      <c r="H2859" s="1" t="s">
        <v>713</v>
      </c>
      <c r="I2859" s="1" t="s">
        <v>714</v>
      </c>
      <c r="J2859" s="1" t="s">
        <v>716</v>
      </c>
      <c r="K2859" s="1" t="s">
        <v>716</v>
      </c>
      <c r="L2859" s="1" t="s">
        <v>12335</v>
      </c>
      <c r="M2859" s="1" t="s">
        <v>718</v>
      </c>
    </row>
    <row r="2860" customFormat="false" ht="15" hidden="false" customHeight="false" outlineLevel="0" collapsed="false">
      <c r="A2860" s="1" t="s">
        <v>12336</v>
      </c>
      <c r="B2860" s="1" t="s">
        <v>11926</v>
      </c>
      <c r="C2860" s="1" t="s">
        <v>12337</v>
      </c>
      <c r="D2860" s="2" t="n">
        <v>38686</v>
      </c>
      <c r="E2860" s="1" t="s">
        <v>710</v>
      </c>
      <c r="F2860" s="1" t="s">
        <v>711</v>
      </c>
      <c r="G2860" s="1" t="s">
        <v>722</v>
      </c>
      <c r="H2860" s="1" t="s">
        <v>713</v>
      </c>
      <c r="I2860" s="1" t="s">
        <v>714</v>
      </c>
      <c r="J2860" s="1" t="s">
        <v>2000</v>
      </c>
      <c r="K2860" s="1" t="s">
        <v>12338</v>
      </c>
      <c r="L2860" s="1" t="s">
        <v>12339</v>
      </c>
      <c r="M2860" s="1" t="s">
        <v>718</v>
      </c>
    </row>
    <row r="2861" customFormat="false" ht="15" hidden="false" customHeight="false" outlineLevel="0" collapsed="false">
      <c r="A2861" s="1" t="s">
        <v>12340</v>
      </c>
      <c r="B2861" s="1" t="s">
        <v>12341</v>
      </c>
      <c r="C2861" s="1" t="s">
        <v>12342</v>
      </c>
      <c r="D2861" s="2" t="n">
        <v>38783</v>
      </c>
      <c r="E2861" s="1" t="s">
        <v>763</v>
      </c>
      <c r="F2861" s="1" t="s">
        <v>711</v>
      </c>
      <c r="G2861" s="1" t="s">
        <v>712</v>
      </c>
      <c r="H2861" s="1" t="s">
        <v>713</v>
      </c>
      <c r="I2861" s="1" t="s">
        <v>714</v>
      </c>
      <c r="J2861" s="1" t="s">
        <v>2000</v>
      </c>
      <c r="K2861" s="1" t="s">
        <v>12343</v>
      </c>
      <c r="L2861" s="1" t="s">
        <v>12344</v>
      </c>
      <c r="M2861" s="1" t="s">
        <v>718</v>
      </c>
    </row>
    <row r="2862" customFormat="false" ht="15" hidden="false" customHeight="false" outlineLevel="0" collapsed="false">
      <c r="A2862" s="1" t="s">
        <v>12345</v>
      </c>
      <c r="B2862" s="1" t="s">
        <v>12346</v>
      </c>
      <c r="C2862" s="1" t="s">
        <v>7119</v>
      </c>
      <c r="D2862" s="2" t="n">
        <v>38665</v>
      </c>
      <c r="E2862" s="1" t="s">
        <v>763</v>
      </c>
      <c r="F2862" s="1" t="s">
        <v>711</v>
      </c>
      <c r="G2862" s="1" t="s">
        <v>712</v>
      </c>
      <c r="H2862" s="1" t="s">
        <v>713</v>
      </c>
      <c r="I2862" s="1" t="s">
        <v>714</v>
      </c>
      <c r="J2862" s="1" t="s">
        <v>12284</v>
      </c>
      <c r="K2862" s="1" t="s">
        <v>716</v>
      </c>
      <c r="L2862" s="1" t="s">
        <v>7122</v>
      </c>
      <c r="M2862" s="1" t="s">
        <v>718</v>
      </c>
    </row>
    <row r="2863" customFormat="false" ht="15" hidden="false" customHeight="false" outlineLevel="0" collapsed="false">
      <c r="A2863" s="1" t="s">
        <v>12347</v>
      </c>
      <c r="B2863" s="1" t="s">
        <v>12348</v>
      </c>
      <c r="C2863" s="1" t="s">
        <v>12349</v>
      </c>
      <c r="D2863" s="2" t="n">
        <v>37366</v>
      </c>
      <c r="E2863" s="1" t="s">
        <v>763</v>
      </c>
      <c r="F2863" s="1" t="s">
        <v>711</v>
      </c>
      <c r="G2863" s="1" t="s">
        <v>712</v>
      </c>
      <c r="H2863" s="1" t="s">
        <v>713</v>
      </c>
      <c r="I2863" s="1" t="s">
        <v>714</v>
      </c>
      <c r="J2863" s="1" t="s">
        <v>12350</v>
      </c>
      <c r="K2863" s="1" t="s">
        <v>12351</v>
      </c>
      <c r="L2863" s="1" t="s">
        <v>12352</v>
      </c>
      <c r="M2863" s="1" t="s">
        <v>718</v>
      </c>
    </row>
    <row r="2864" customFormat="false" ht="15" hidden="false" customHeight="false" outlineLevel="0" collapsed="false">
      <c r="A2864" s="1" t="s">
        <v>12353</v>
      </c>
      <c r="B2864" s="1" t="s">
        <v>3432</v>
      </c>
      <c r="C2864" s="1" t="s">
        <v>4996</v>
      </c>
      <c r="D2864" s="2" t="n">
        <v>37965</v>
      </c>
      <c r="E2864" s="1" t="s">
        <v>710</v>
      </c>
      <c r="F2864" s="1" t="s">
        <v>711</v>
      </c>
      <c r="G2864" s="1" t="s">
        <v>712</v>
      </c>
      <c r="H2864" s="1" t="s">
        <v>713</v>
      </c>
      <c r="I2864" s="1" t="s">
        <v>714</v>
      </c>
      <c r="J2864" s="1" t="s">
        <v>716</v>
      </c>
      <c r="K2864" s="1" t="s">
        <v>716</v>
      </c>
      <c r="L2864" s="1" t="s">
        <v>1418</v>
      </c>
      <c r="M2864" s="1" t="s">
        <v>718</v>
      </c>
    </row>
    <row r="2865" customFormat="false" ht="15" hidden="false" customHeight="false" outlineLevel="0" collapsed="false">
      <c r="A2865" s="1" t="s">
        <v>12354</v>
      </c>
      <c r="B2865" s="1" t="s">
        <v>8283</v>
      </c>
      <c r="C2865" s="1" t="s">
        <v>7181</v>
      </c>
      <c r="D2865" s="2" t="n">
        <v>37750</v>
      </c>
      <c r="E2865" s="1" t="s">
        <v>710</v>
      </c>
      <c r="F2865" s="1" t="s">
        <v>711</v>
      </c>
      <c r="G2865" s="1" t="s">
        <v>712</v>
      </c>
      <c r="H2865" s="1" t="s">
        <v>713</v>
      </c>
      <c r="I2865" s="1" t="s">
        <v>714</v>
      </c>
      <c r="J2865" s="1" t="s">
        <v>716</v>
      </c>
      <c r="K2865" s="1" t="s">
        <v>716</v>
      </c>
      <c r="L2865" s="1" t="s">
        <v>1418</v>
      </c>
      <c r="M2865" s="1" t="s">
        <v>718</v>
      </c>
    </row>
    <row r="2866" customFormat="false" ht="15" hidden="false" customHeight="false" outlineLevel="0" collapsed="false">
      <c r="A2866" s="1" t="s">
        <v>12355</v>
      </c>
      <c r="B2866" s="1" t="s">
        <v>12356</v>
      </c>
      <c r="C2866" s="1" t="s">
        <v>3640</v>
      </c>
      <c r="D2866" s="2" t="n">
        <v>33937</v>
      </c>
      <c r="E2866" s="1" t="s">
        <v>763</v>
      </c>
      <c r="F2866" s="1" t="s">
        <v>711</v>
      </c>
      <c r="G2866" s="1" t="s">
        <v>722</v>
      </c>
      <c r="H2866" s="1" t="s">
        <v>713</v>
      </c>
      <c r="I2866" s="1" t="s">
        <v>714</v>
      </c>
      <c r="J2866" s="1" t="s">
        <v>716</v>
      </c>
      <c r="K2866" s="1" t="s">
        <v>716</v>
      </c>
      <c r="L2866" s="1" t="s">
        <v>1418</v>
      </c>
      <c r="M2866" s="1" t="s">
        <v>718</v>
      </c>
    </row>
    <row r="2867" customFormat="false" ht="15" hidden="false" customHeight="false" outlineLevel="0" collapsed="false">
      <c r="A2867" s="1" t="s">
        <v>12357</v>
      </c>
      <c r="B2867" s="1" t="s">
        <v>12358</v>
      </c>
      <c r="C2867" s="1" t="s">
        <v>3640</v>
      </c>
      <c r="D2867" s="2" t="n">
        <v>32257</v>
      </c>
      <c r="E2867" s="1" t="s">
        <v>763</v>
      </c>
      <c r="F2867" s="1" t="s">
        <v>711</v>
      </c>
      <c r="G2867" s="1" t="s">
        <v>1220</v>
      </c>
      <c r="H2867" s="1" t="s">
        <v>713</v>
      </c>
      <c r="I2867" s="1" t="s">
        <v>714</v>
      </c>
      <c r="J2867" s="1" t="s">
        <v>716</v>
      </c>
      <c r="K2867" s="1" t="s">
        <v>716</v>
      </c>
      <c r="L2867" s="1" t="s">
        <v>1418</v>
      </c>
      <c r="M2867" s="1" t="s">
        <v>718</v>
      </c>
    </row>
    <row r="2868" customFormat="false" ht="15" hidden="false" customHeight="false" outlineLevel="0" collapsed="false">
      <c r="A2868" s="1" t="s">
        <v>12359</v>
      </c>
      <c r="B2868" s="1" t="s">
        <v>12360</v>
      </c>
      <c r="C2868" s="1" t="s">
        <v>3737</v>
      </c>
      <c r="D2868" s="2" t="n">
        <v>32216</v>
      </c>
      <c r="E2868" s="1" t="s">
        <v>710</v>
      </c>
      <c r="F2868" s="1" t="s">
        <v>711</v>
      </c>
      <c r="G2868" s="1" t="s">
        <v>712</v>
      </c>
      <c r="H2868" s="1" t="s">
        <v>713</v>
      </c>
      <c r="I2868" s="1" t="s">
        <v>714</v>
      </c>
      <c r="J2868" s="1" t="s">
        <v>716</v>
      </c>
      <c r="K2868" s="1" t="s">
        <v>716</v>
      </c>
      <c r="L2868" s="1" t="s">
        <v>1418</v>
      </c>
      <c r="M2868" s="1" t="s">
        <v>718</v>
      </c>
    </row>
    <row r="2869" customFormat="false" ht="15" hidden="false" customHeight="false" outlineLevel="0" collapsed="false">
      <c r="A2869" s="1" t="s">
        <v>12361</v>
      </c>
      <c r="B2869" s="1" t="s">
        <v>12362</v>
      </c>
      <c r="C2869" s="1" t="s">
        <v>12363</v>
      </c>
      <c r="D2869" s="2" t="n">
        <v>32458</v>
      </c>
      <c r="E2869" s="1" t="s">
        <v>763</v>
      </c>
      <c r="F2869" s="1" t="s">
        <v>711</v>
      </c>
      <c r="G2869" s="1" t="s">
        <v>12364</v>
      </c>
      <c r="H2869" s="1" t="s">
        <v>713</v>
      </c>
      <c r="I2869" s="1" t="s">
        <v>714</v>
      </c>
      <c r="J2869" s="1" t="s">
        <v>716</v>
      </c>
      <c r="K2869" s="1" t="s">
        <v>716</v>
      </c>
      <c r="L2869" s="1" t="s">
        <v>1418</v>
      </c>
      <c r="M2869" s="1" t="s">
        <v>718</v>
      </c>
    </row>
    <row r="2870" customFormat="false" ht="15" hidden="false" customHeight="false" outlineLevel="0" collapsed="false">
      <c r="A2870" s="1" t="s">
        <v>12365</v>
      </c>
      <c r="B2870" s="1" t="s">
        <v>12366</v>
      </c>
      <c r="C2870" s="1" t="s">
        <v>1820</v>
      </c>
      <c r="D2870" s="2" t="n">
        <v>35103</v>
      </c>
      <c r="E2870" s="1" t="s">
        <v>763</v>
      </c>
      <c r="F2870" s="1" t="s">
        <v>711</v>
      </c>
      <c r="G2870" s="1" t="s">
        <v>712</v>
      </c>
      <c r="H2870" s="1" t="s">
        <v>713</v>
      </c>
      <c r="I2870" s="1" t="s">
        <v>714</v>
      </c>
      <c r="J2870" s="1" t="s">
        <v>716</v>
      </c>
      <c r="K2870" s="1" t="s">
        <v>716</v>
      </c>
      <c r="L2870" s="1" t="s">
        <v>1418</v>
      </c>
      <c r="M2870" s="1" t="s">
        <v>718</v>
      </c>
    </row>
    <row r="2871" customFormat="false" ht="15" hidden="false" customHeight="false" outlineLevel="0" collapsed="false">
      <c r="A2871" s="1" t="s">
        <v>12367</v>
      </c>
      <c r="B2871" s="1" t="s">
        <v>11652</v>
      </c>
      <c r="C2871" s="1" t="s">
        <v>5026</v>
      </c>
      <c r="D2871" s="2" t="n">
        <v>34568</v>
      </c>
      <c r="E2871" s="1" t="s">
        <v>710</v>
      </c>
      <c r="F2871" s="1" t="s">
        <v>711</v>
      </c>
      <c r="G2871" s="1" t="s">
        <v>712</v>
      </c>
      <c r="H2871" s="1" t="s">
        <v>713</v>
      </c>
      <c r="I2871" s="1" t="s">
        <v>714</v>
      </c>
      <c r="J2871" s="1" t="s">
        <v>716</v>
      </c>
      <c r="K2871" s="1" t="s">
        <v>716</v>
      </c>
      <c r="L2871" s="1" t="s">
        <v>1418</v>
      </c>
      <c r="M2871" s="1" t="s">
        <v>718</v>
      </c>
    </row>
    <row r="2872" customFormat="false" ht="15" hidden="false" customHeight="false" outlineLevel="0" collapsed="false">
      <c r="A2872" s="1" t="s">
        <v>12368</v>
      </c>
      <c r="B2872" s="1" t="s">
        <v>12369</v>
      </c>
      <c r="C2872" s="1" t="s">
        <v>12370</v>
      </c>
      <c r="D2872" s="2" t="n">
        <v>34800</v>
      </c>
      <c r="E2872" s="1" t="s">
        <v>763</v>
      </c>
      <c r="F2872" s="1" t="s">
        <v>711</v>
      </c>
      <c r="G2872" s="1" t="s">
        <v>722</v>
      </c>
      <c r="H2872" s="1" t="s">
        <v>713</v>
      </c>
      <c r="I2872" s="1" t="s">
        <v>714</v>
      </c>
      <c r="J2872" s="1" t="s">
        <v>716</v>
      </c>
      <c r="K2872" s="1" t="s">
        <v>716</v>
      </c>
      <c r="L2872" s="1" t="s">
        <v>1418</v>
      </c>
      <c r="M2872" s="1" t="s">
        <v>718</v>
      </c>
    </row>
    <row r="2873" customFormat="false" ht="15" hidden="false" customHeight="false" outlineLevel="0" collapsed="false">
      <c r="A2873" s="1" t="s">
        <v>12371</v>
      </c>
      <c r="B2873" s="1" t="s">
        <v>12372</v>
      </c>
      <c r="C2873" s="1" t="s">
        <v>1403</v>
      </c>
      <c r="D2873" s="2" t="n">
        <v>38321</v>
      </c>
      <c r="E2873" s="1" t="s">
        <v>763</v>
      </c>
      <c r="F2873" s="1" t="s">
        <v>711</v>
      </c>
      <c r="G2873" s="1" t="s">
        <v>722</v>
      </c>
      <c r="H2873" s="1" t="s">
        <v>713</v>
      </c>
      <c r="I2873" s="1" t="s">
        <v>714</v>
      </c>
      <c r="J2873" s="1" t="s">
        <v>12373</v>
      </c>
      <c r="K2873" s="1" t="s">
        <v>12374</v>
      </c>
      <c r="L2873" s="1" t="s">
        <v>2476</v>
      </c>
      <c r="M2873" s="1" t="s">
        <v>718</v>
      </c>
    </row>
    <row r="2874" customFormat="false" ht="15" hidden="false" customHeight="false" outlineLevel="0" collapsed="false">
      <c r="A2874" s="1" t="s">
        <v>12375</v>
      </c>
      <c r="B2874" s="1" t="s">
        <v>7662</v>
      </c>
      <c r="C2874" s="1" t="s">
        <v>6914</v>
      </c>
      <c r="D2874" s="2" t="n">
        <v>38039</v>
      </c>
      <c r="E2874" s="1" t="s">
        <v>763</v>
      </c>
      <c r="F2874" s="1" t="s">
        <v>711</v>
      </c>
      <c r="G2874" s="1" t="s">
        <v>722</v>
      </c>
      <c r="H2874" s="1" t="s">
        <v>713</v>
      </c>
      <c r="I2874" s="1" t="s">
        <v>714</v>
      </c>
      <c r="J2874" s="1" t="s">
        <v>1723</v>
      </c>
      <c r="K2874" s="1" t="s">
        <v>6915</v>
      </c>
      <c r="L2874" s="1" t="s">
        <v>6916</v>
      </c>
      <c r="M2874" s="1" t="s">
        <v>718</v>
      </c>
    </row>
    <row r="2875" customFormat="false" ht="15" hidden="false" customHeight="false" outlineLevel="0" collapsed="false">
      <c r="A2875" s="1" t="s">
        <v>12376</v>
      </c>
      <c r="B2875" s="1" t="s">
        <v>7192</v>
      </c>
      <c r="C2875" s="1" t="s">
        <v>2783</v>
      </c>
      <c r="D2875" s="2" t="n">
        <v>38468</v>
      </c>
      <c r="E2875" s="1" t="s">
        <v>710</v>
      </c>
      <c r="F2875" s="1" t="s">
        <v>711</v>
      </c>
      <c r="G2875" s="1" t="s">
        <v>712</v>
      </c>
      <c r="H2875" s="1" t="s">
        <v>713</v>
      </c>
      <c r="I2875" s="1" t="s">
        <v>714</v>
      </c>
      <c r="J2875" s="1" t="s">
        <v>1723</v>
      </c>
      <c r="K2875" s="1" t="s">
        <v>12377</v>
      </c>
      <c r="L2875" s="1" t="s">
        <v>1531</v>
      </c>
      <c r="M2875" s="1" t="s">
        <v>718</v>
      </c>
    </row>
    <row r="2876" customFormat="false" ht="15" hidden="false" customHeight="false" outlineLevel="0" collapsed="false">
      <c r="A2876" s="1" t="s">
        <v>12378</v>
      </c>
      <c r="B2876" s="1" t="s">
        <v>12379</v>
      </c>
      <c r="C2876" s="1" t="s">
        <v>2470</v>
      </c>
      <c r="D2876" s="2" t="n">
        <v>38119</v>
      </c>
      <c r="E2876" s="1" t="s">
        <v>763</v>
      </c>
      <c r="F2876" s="1" t="s">
        <v>711</v>
      </c>
      <c r="G2876" s="1" t="s">
        <v>712</v>
      </c>
      <c r="H2876" s="1" t="s">
        <v>713</v>
      </c>
      <c r="I2876" s="1" t="s">
        <v>714</v>
      </c>
      <c r="J2876" s="1" t="s">
        <v>12373</v>
      </c>
      <c r="K2876" s="1" t="s">
        <v>12380</v>
      </c>
      <c r="L2876" s="1" t="s">
        <v>2472</v>
      </c>
      <c r="M2876" s="1" t="s">
        <v>718</v>
      </c>
    </row>
    <row r="2877" customFormat="false" ht="15" hidden="false" customHeight="false" outlineLevel="0" collapsed="false">
      <c r="A2877" s="1" t="s">
        <v>12381</v>
      </c>
      <c r="B2877" s="1" t="s">
        <v>12382</v>
      </c>
      <c r="C2877" s="1" t="s">
        <v>12383</v>
      </c>
      <c r="D2877" s="2" t="n">
        <v>38075</v>
      </c>
      <c r="E2877" s="1" t="s">
        <v>710</v>
      </c>
      <c r="F2877" s="1" t="s">
        <v>711</v>
      </c>
      <c r="G2877" s="1" t="s">
        <v>712</v>
      </c>
      <c r="H2877" s="1" t="s">
        <v>713</v>
      </c>
      <c r="I2877" s="1" t="s">
        <v>714</v>
      </c>
      <c r="J2877" s="1" t="s">
        <v>1723</v>
      </c>
      <c r="K2877" s="1" t="s">
        <v>12384</v>
      </c>
      <c r="L2877" s="1" t="s">
        <v>12385</v>
      </c>
      <c r="M2877" s="1" t="s">
        <v>718</v>
      </c>
    </row>
    <row r="2878" customFormat="false" ht="15" hidden="false" customHeight="false" outlineLevel="0" collapsed="false">
      <c r="A2878" s="1" t="s">
        <v>12386</v>
      </c>
      <c r="B2878" s="1" t="s">
        <v>12387</v>
      </c>
      <c r="C2878" s="1" t="s">
        <v>994</v>
      </c>
      <c r="D2878" s="2" t="n">
        <v>38209</v>
      </c>
      <c r="E2878" s="1" t="s">
        <v>763</v>
      </c>
      <c r="F2878" s="1" t="s">
        <v>711</v>
      </c>
      <c r="G2878" s="1" t="s">
        <v>712</v>
      </c>
      <c r="H2878" s="1" t="s">
        <v>713</v>
      </c>
      <c r="I2878" s="1" t="s">
        <v>714</v>
      </c>
      <c r="J2878" s="1" t="s">
        <v>2117</v>
      </c>
      <c r="K2878" s="1" t="s">
        <v>12388</v>
      </c>
      <c r="L2878" s="1" t="s">
        <v>12389</v>
      </c>
      <c r="M2878" s="1" t="s">
        <v>718</v>
      </c>
    </row>
    <row r="2879" customFormat="false" ht="15" hidden="false" customHeight="false" outlineLevel="0" collapsed="false">
      <c r="A2879" s="1" t="s">
        <v>12390</v>
      </c>
      <c r="B2879" s="1" t="s">
        <v>12391</v>
      </c>
      <c r="C2879" s="1" t="s">
        <v>12392</v>
      </c>
      <c r="D2879" s="2" t="n">
        <v>38170</v>
      </c>
      <c r="E2879" s="1" t="s">
        <v>763</v>
      </c>
      <c r="F2879" s="1" t="s">
        <v>711</v>
      </c>
      <c r="G2879" s="1" t="s">
        <v>722</v>
      </c>
      <c r="H2879" s="1" t="s">
        <v>713</v>
      </c>
      <c r="I2879" s="1" t="s">
        <v>714</v>
      </c>
      <c r="J2879" s="1" t="s">
        <v>805</v>
      </c>
      <c r="K2879" s="1" t="s">
        <v>12393</v>
      </c>
      <c r="L2879" s="1" t="s">
        <v>12394</v>
      </c>
      <c r="M2879" s="1" t="s">
        <v>718</v>
      </c>
    </row>
    <row r="2880" customFormat="false" ht="15" hidden="false" customHeight="false" outlineLevel="0" collapsed="false">
      <c r="A2880" s="1" t="s">
        <v>12395</v>
      </c>
      <c r="B2880" s="1" t="s">
        <v>2071</v>
      </c>
      <c r="C2880" s="1" t="s">
        <v>5382</v>
      </c>
      <c r="D2880" s="2" t="n">
        <v>37999</v>
      </c>
      <c r="E2880" s="1" t="s">
        <v>710</v>
      </c>
      <c r="F2880" s="1" t="s">
        <v>711</v>
      </c>
      <c r="G2880" s="1" t="s">
        <v>712</v>
      </c>
      <c r="H2880" s="1" t="s">
        <v>713</v>
      </c>
      <c r="I2880" s="1" t="s">
        <v>714</v>
      </c>
      <c r="J2880" s="1" t="s">
        <v>821</v>
      </c>
      <c r="K2880" s="1" t="s">
        <v>12396</v>
      </c>
      <c r="L2880" s="1" t="s">
        <v>5384</v>
      </c>
      <c r="M2880" s="1" t="s">
        <v>718</v>
      </c>
    </row>
    <row r="2881" customFormat="false" ht="15" hidden="false" customHeight="false" outlineLevel="0" collapsed="false">
      <c r="A2881" s="1" t="s">
        <v>12397</v>
      </c>
      <c r="B2881" s="1" t="s">
        <v>12398</v>
      </c>
      <c r="C2881" s="1" t="s">
        <v>12399</v>
      </c>
      <c r="D2881" s="2" t="n">
        <v>37320</v>
      </c>
      <c r="E2881" s="1" t="s">
        <v>763</v>
      </c>
      <c r="F2881" s="1" t="s">
        <v>711</v>
      </c>
      <c r="G2881" s="1" t="s">
        <v>712</v>
      </c>
      <c r="H2881" s="1" t="s">
        <v>713</v>
      </c>
      <c r="I2881" s="1" t="s">
        <v>714</v>
      </c>
      <c r="J2881" s="1" t="s">
        <v>716</v>
      </c>
      <c r="K2881" s="1" t="s">
        <v>716</v>
      </c>
      <c r="L2881" s="1" t="s">
        <v>1418</v>
      </c>
      <c r="M2881" s="1" t="s">
        <v>718</v>
      </c>
    </row>
    <row r="2882" customFormat="false" ht="15" hidden="false" customHeight="false" outlineLevel="0" collapsed="false">
      <c r="A2882" s="1" t="s">
        <v>12400</v>
      </c>
      <c r="B2882" s="1" t="s">
        <v>12401</v>
      </c>
      <c r="C2882" s="1" t="s">
        <v>12402</v>
      </c>
      <c r="D2882" s="2" t="n">
        <v>38044</v>
      </c>
      <c r="E2882" s="1" t="s">
        <v>763</v>
      </c>
      <c r="F2882" s="1" t="s">
        <v>711</v>
      </c>
      <c r="G2882" s="1" t="s">
        <v>712</v>
      </c>
      <c r="H2882" s="1" t="s">
        <v>713</v>
      </c>
      <c r="I2882" s="1" t="s">
        <v>714</v>
      </c>
      <c r="J2882" s="1" t="s">
        <v>1530</v>
      </c>
      <c r="K2882" s="1" t="s">
        <v>12403</v>
      </c>
      <c r="L2882" s="1" t="s">
        <v>12404</v>
      </c>
      <c r="M2882" s="1" t="s">
        <v>718</v>
      </c>
    </row>
    <row r="2883" customFormat="false" ht="15" hidden="false" customHeight="false" outlineLevel="0" collapsed="false">
      <c r="A2883" s="1" t="s">
        <v>12405</v>
      </c>
      <c r="B2883" s="1" t="s">
        <v>12406</v>
      </c>
      <c r="C2883" s="1" t="s">
        <v>12407</v>
      </c>
      <c r="D2883" s="2" t="n">
        <v>38284</v>
      </c>
      <c r="E2883" s="1" t="s">
        <v>763</v>
      </c>
      <c r="F2883" s="1" t="s">
        <v>711</v>
      </c>
      <c r="G2883" s="1" t="s">
        <v>722</v>
      </c>
      <c r="H2883" s="1" t="s">
        <v>713</v>
      </c>
      <c r="I2883" s="1" t="s">
        <v>714</v>
      </c>
      <c r="J2883" s="1" t="s">
        <v>2117</v>
      </c>
      <c r="K2883" s="1" t="s">
        <v>12408</v>
      </c>
      <c r="L2883" s="1" t="s">
        <v>1162</v>
      </c>
      <c r="M2883" s="1" t="s">
        <v>718</v>
      </c>
    </row>
    <row r="2884" customFormat="false" ht="15" hidden="false" customHeight="false" outlineLevel="0" collapsed="false">
      <c r="A2884" s="1" t="s">
        <v>12409</v>
      </c>
      <c r="B2884" s="1" t="s">
        <v>7192</v>
      </c>
      <c r="C2884" s="1" t="s">
        <v>12410</v>
      </c>
      <c r="D2884" s="2" t="n">
        <v>38203</v>
      </c>
      <c r="E2884" s="1" t="s">
        <v>710</v>
      </c>
      <c r="F2884" s="1" t="s">
        <v>4714</v>
      </c>
      <c r="G2884" s="1" t="s">
        <v>2083</v>
      </c>
      <c r="H2884" s="1" t="s">
        <v>2083</v>
      </c>
      <c r="I2884" s="1" t="s">
        <v>2084</v>
      </c>
      <c r="J2884" s="1" t="s">
        <v>2204</v>
      </c>
      <c r="K2884" s="1" t="s">
        <v>12411</v>
      </c>
      <c r="L2884" s="1" t="s">
        <v>12412</v>
      </c>
      <c r="M2884" s="1" t="s">
        <v>2083</v>
      </c>
    </row>
    <row r="2885" customFormat="false" ht="15" hidden="false" customHeight="false" outlineLevel="0" collapsed="false">
      <c r="A2885" s="1" t="s">
        <v>12413</v>
      </c>
      <c r="B2885" s="1" t="s">
        <v>12414</v>
      </c>
      <c r="C2885" s="1" t="s">
        <v>12415</v>
      </c>
      <c r="D2885" s="2" t="n">
        <v>37394</v>
      </c>
      <c r="E2885" s="1" t="s">
        <v>710</v>
      </c>
      <c r="F2885" s="1" t="s">
        <v>711</v>
      </c>
      <c r="G2885" s="1" t="s">
        <v>12416</v>
      </c>
      <c r="H2885" s="1" t="s">
        <v>713</v>
      </c>
      <c r="I2885" s="1" t="s">
        <v>714</v>
      </c>
      <c r="J2885" s="1" t="s">
        <v>6736</v>
      </c>
      <c r="K2885" s="1" t="s">
        <v>12417</v>
      </c>
      <c r="L2885" s="1" t="s">
        <v>12418</v>
      </c>
      <c r="M2885" s="1" t="s">
        <v>718</v>
      </c>
    </row>
    <row r="2886" customFormat="false" ht="15" hidden="false" customHeight="false" outlineLevel="0" collapsed="false">
      <c r="A2886" s="1" t="s">
        <v>12419</v>
      </c>
      <c r="B2886" s="1" t="s">
        <v>12420</v>
      </c>
      <c r="C2886" s="1" t="s">
        <v>12143</v>
      </c>
      <c r="D2886" s="2" t="n">
        <v>37855</v>
      </c>
      <c r="E2886" s="1" t="s">
        <v>710</v>
      </c>
      <c r="F2886" s="1" t="s">
        <v>711</v>
      </c>
      <c r="G2886" s="1" t="s">
        <v>712</v>
      </c>
      <c r="H2886" s="1" t="s">
        <v>713</v>
      </c>
      <c r="I2886" s="1" t="s">
        <v>714</v>
      </c>
      <c r="J2886" s="1" t="s">
        <v>2000</v>
      </c>
      <c r="K2886" s="1" t="s">
        <v>12144</v>
      </c>
      <c r="L2886" s="1" t="s">
        <v>7262</v>
      </c>
      <c r="M2886" s="1" t="s">
        <v>718</v>
      </c>
    </row>
    <row r="2887" customFormat="false" ht="15" hidden="false" customHeight="false" outlineLevel="0" collapsed="false">
      <c r="A2887" s="1" t="s">
        <v>12421</v>
      </c>
      <c r="B2887" s="1" t="s">
        <v>12422</v>
      </c>
      <c r="C2887" s="1" t="s">
        <v>8566</v>
      </c>
      <c r="D2887" s="2" t="n">
        <v>37772</v>
      </c>
      <c r="E2887" s="1" t="s">
        <v>710</v>
      </c>
      <c r="F2887" s="1" t="s">
        <v>711</v>
      </c>
      <c r="G2887" s="1" t="s">
        <v>775</v>
      </c>
      <c r="H2887" s="1" t="s">
        <v>713</v>
      </c>
      <c r="I2887" s="1" t="s">
        <v>714</v>
      </c>
      <c r="J2887" s="1" t="s">
        <v>12423</v>
      </c>
      <c r="K2887" s="1" t="s">
        <v>12424</v>
      </c>
      <c r="L2887" s="1" t="s">
        <v>8568</v>
      </c>
      <c r="M2887" s="1" t="s">
        <v>718</v>
      </c>
    </row>
    <row r="2888" customFormat="false" ht="15" hidden="false" customHeight="false" outlineLevel="0" collapsed="false">
      <c r="A2888" s="1" t="s">
        <v>12425</v>
      </c>
      <c r="B2888" s="1" t="s">
        <v>12426</v>
      </c>
      <c r="C2888" s="1" t="s">
        <v>1675</v>
      </c>
      <c r="D2888" s="2" t="n">
        <v>37974</v>
      </c>
      <c r="E2888" s="1" t="s">
        <v>710</v>
      </c>
      <c r="F2888" s="1" t="s">
        <v>711</v>
      </c>
      <c r="G2888" s="1" t="s">
        <v>712</v>
      </c>
      <c r="H2888" s="1" t="s">
        <v>713</v>
      </c>
      <c r="I2888" s="1" t="s">
        <v>714</v>
      </c>
      <c r="J2888" s="1" t="s">
        <v>6775</v>
      </c>
      <c r="K2888" s="1" t="s">
        <v>9026</v>
      </c>
      <c r="L2888" s="1" t="s">
        <v>1676</v>
      </c>
      <c r="M2888" s="1" t="s">
        <v>718</v>
      </c>
    </row>
    <row r="2889" customFormat="false" ht="15" hidden="false" customHeight="false" outlineLevel="0" collapsed="false">
      <c r="A2889" s="1" t="s">
        <v>12427</v>
      </c>
      <c r="B2889" s="1" t="s">
        <v>12428</v>
      </c>
      <c r="C2889" s="1" t="s">
        <v>804</v>
      </c>
      <c r="D2889" s="2" t="n">
        <v>38225</v>
      </c>
      <c r="E2889" s="1" t="s">
        <v>763</v>
      </c>
      <c r="F2889" s="1" t="s">
        <v>711</v>
      </c>
      <c r="G2889" s="1" t="s">
        <v>722</v>
      </c>
      <c r="H2889" s="1" t="s">
        <v>713</v>
      </c>
      <c r="I2889" s="1" t="s">
        <v>714</v>
      </c>
      <c r="J2889" s="1" t="s">
        <v>7758</v>
      </c>
      <c r="K2889" s="1" t="s">
        <v>12429</v>
      </c>
      <c r="L2889" s="1" t="s">
        <v>806</v>
      </c>
      <c r="M2889" s="1" t="s">
        <v>718</v>
      </c>
    </row>
    <row r="2890" customFormat="false" ht="15" hidden="false" customHeight="false" outlineLevel="0" collapsed="false">
      <c r="A2890" s="1" t="s">
        <v>12430</v>
      </c>
      <c r="B2890" s="1" t="s">
        <v>8229</v>
      </c>
      <c r="C2890" s="1" t="s">
        <v>963</v>
      </c>
      <c r="D2890" s="2" t="n">
        <v>36819</v>
      </c>
      <c r="E2890" s="1" t="s">
        <v>710</v>
      </c>
      <c r="F2890" s="1" t="s">
        <v>711</v>
      </c>
      <c r="G2890" s="1" t="s">
        <v>9865</v>
      </c>
      <c r="H2890" s="1" t="s">
        <v>713</v>
      </c>
      <c r="I2890" s="1" t="s">
        <v>714</v>
      </c>
      <c r="J2890" s="1" t="s">
        <v>1244</v>
      </c>
      <c r="K2890" s="1" t="s">
        <v>716</v>
      </c>
      <c r="L2890" s="1" t="s">
        <v>9866</v>
      </c>
      <c r="M2890" s="1" t="s">
        <v>718</v>
      </c>
    </row>
    <row r="2891" customFormat="false" ht="15" hidden="false" customHeight="false" outlineLevel="0" collapsed="false">
      <c r="A2891" s="1" t="s">
        <v>12431</v>
      </c>
      <c r="B2891" s="1" t="s">
        <v>12432</v>
      </c>
      <c r="C2891" s="1" t="s">
        <v>1885</v>
      </c>
      <c r="D2891" s="2" t="n">
        <v>38095</v>
      </c>
      <c r="E2891" s="1" t="s">
        <v>710</v>
      </c>
      <c r="F2891" s="1" t="s">
        <v>711</v>
      </c>
      <c r="G2891" s="1" t="s">
        <v>712</v>
      </c>
      <c r="H2891" s="1" t="s">
        <v>713</v>
      </c>
      <c r="I2891" s="1" t="s">
        <v>714</v>
      </c>
      <c r="J2891" s="1" t="s">
        <v>1244</v>
      </c>
      <c r="K2891" s="1" t="s">
        <v>12433</v>
      </c>
      <c r="L2891" s="1" t="s">
        <v>1886</v>
      </c>
      <c r="M2891" s="1" t="s">
        <v>718</v>
      </c>
    </row>
    <row r="2892" customFormat="false" ht="15" hidden="false" customHeight="false" outlineLevel="0" collapsed="false">
      <c r="A2892" s="1" t="s">
        <v>12434</v>
      </c>
      <c r="B2892" s="1" t="s">
        <v>12435</v>
      </c>
      <c r="C2892" s="1" t="s">
        <v>7003</v>
      </c>
      <c r="D2892" s="2" t="n">
        <v>37910</v>
      </c>
      <c r="E2892" s="1" t="s">
        <v>763</v>
      </c>
      <c r="F2892" s="1" t="s">
        <v>711</v>
      </c>
      <c r="G2892" s="1" t="s">
        <v>712</v>
      </c>
      <c r="H2892" s="1" t="s">
        <v>713</v>
      </c>
      <c r="I2892" s="1" t="s">
        <v>714</v>
      </c>
      <c r="J2892" s="1" t="s">
        <v>3678</v>
      </c>
      <c r="K2892" s="1" t="s">
        <v>12436</v>
      </c>
      <c r="L2892" s="1" t="s">
        <v>10259</v>
      </c>
      <c r="M2892" s="1" t="s">
        <v>718</v>
      </c>
    </row>
    <row r="2893" customFormat="false" ht="15" hidden="false" customHeight="false" outlineLevel="0" collapsed="false">
      <c r="A2893" s="1" t="s">
        <v>12437</v>
      </c>
      <c r="B2893" s="1" t="s">
        <v>12438</v>
      </c>
      <c r="C2893" s="1" t="s">
        <v>3238</v>
      </c>
      <c r="D2893" s="2" t="n">
        <v>38288</v>
      </c>
      <c r="E2893" s="1" t="s">
        <v>763</v>
      </c>
      <c r="F2893" s="1" t="s">
        <v>711</v>
      </c>
      <c r="G2893" s="1" t="s">
        <v>712</v>
      </c>
      <c r="H2893" s="1" t="s">
        <v>713</v>
      </c>
      <c r="I2893" s="1" t="s">
        <v>714</v>
      </c>
      <c r="J2893" s="1" t="s">
        <v>1390</v>
      </c>
      <c r="K2893" s="1" t="s">
        <v>12439</v>
      </c>
      <c r="L2893" s="1" t="s">
        <v>12440</v>
      </c>
      <c r="M2893" s="1" t="s">
        <v>718</v>
      </c>
    </row>
    <row r="2894" customFormat="false" ht="15" hidden="false" customHeight="false" outlineLevel="0" collapsed="false">
      <c r="A2894" s="1" t="s">
        <v>12441</v>
      </c>
      <c r="B2894" s="1" t="s">
        <v>12442</v>
      </c>
      <c r="C2894" s="1" t="s">
        <v>12443</v>
      </c>
      <c r="D2894" s="2" t="n">
        <v>37135</v>
      </c>
      <c r="E2894" s="1" t="s">
        <v>710</v>
      </c>
      <c r="F2894" s="1" t="s">
        <v>711</v>
      </c>
      <c r="G2894" s="1" t="s">
        <v>712</v>
      </c>
      <c r="H2894" s="1" t="s">
        <v>713</v>
      </c>
      <c r="I2894" s="1" t="s">
        <v>714</v>
      </c>
      <c r="J2894" s="1" t="s">
        <v>5211</v>
      </c>
      <c r="K2894" s="1" t="s">
        <v>716</v>
      </c>
      <c r="L2894" s="1" t="s">
        <v>12444</v>
      </c>
      <c r="M2894" s="1" t="s">
        <v>718</v>
      </c>
    </row>
    <row r="2895" customFormat="false" ht="15" hidden="false" customHeight="false" outlineLevel="0" collapsed="false">
      <c r="A2895" s="1" t="s">
        <v>12445</v>
      </c>
      <c r="B2895" s="1" t="s">
        <v>12446</v>
      </c>
      <c r="C2895" s="1" t="s">
        <v>12447</v>
      </c>
      <c r="D2895" s="2" t="n">
        <v>38118</v>
      </c>
      <c r="E2895" s="1" t="s">
        <v>763</v>
      </c>
      <c r="F2895" s="1" t="s">
        <v>711</v>
      </c>
      <c r="G2895" s="1" t="s">
        <v>1220</v>
      </c>
      <c r="H2895" s="1" t="s">
        <v>713</v>
      </c>
      <c r="I2895" s="1" t="s">
        <v>714</v>
      </c>
      <c r="J2895" s="1" t="s">
        <v>3678</v>
      </c>
      <c r="K2895" s="1" t="s">
        <v>12448</v>
      </c>
      <c r="L2895" s="1" t="s">
        <v>12449</v>
      </c>
      <c r="M2895" s="1" t="s">
        <v>718</v>
      </c>
    </row>
    <row r="2896" customFormat="false" ht="15" hidden="false" customHeight="false" outlineLevel="0" collapsed="false">
      <c r="A2896" s="1" t="s">
        <v>12450</v>
      </c>
      <c r="B2896" s="1" t="s">
        <v>12451</v>
      </c>
      <c r="C2896" s="1" t="s">
        <v>8730</v>
      </c>
      <c r="D2896" s="2" t="n">
        <v>38232</v>
      </c>
      <c r="E2896" s="1" t="s">
        <v>763</v>
      </c>
      <c r="F2896" s="1" t="s">
        <v>711</v>
      </c>
      <c r="G2896" s="1" t="s">
        <v>722</v>
      </c>
      <c r="H2896" s="1" t="s">
        <v>713</v>
      </c>
      <c r="I2896" s="1" t="s">
        <v>714</v>
      </c>
      <c r="J2896" s="1" t="s">
        <v>12452</v>
      </c>
      <c r="K2896" s="1" t="s">
        <v>716</v>
      </c>
      <c r="L2896" s="1" t="s">
        <v>8733</v>
      </c>
      <c r="M2896" s="1" t="s">
        <v>718</v>
      </c>
    </row>
    <row r="2897" customFormat="false" ht="15" hidden="false" customHeight="false" outlineLevel="0" collapsed="false">
      <c r="A2897" s="1" t="s">
        <v>12453</v>
      </c>
      <c r="B2897" s="1" t="s">
        <v>10578</v>
      </c>
      <c r="C2897" s="1" t="s">
        <v>12454</v>
      </c>
      <c r="D2897" s="2" t="n">
        <v>37269</v>
      </c>
      <c r="E2897" s="1" t="s">
        <v>763</v>
      </c>
      <c r="F2897" s="1" t="s">
        <v>711</v>
      </c>
      <c r="G2897" s="1" t="s">
        <v>712</v>
      </c>
      <c r="H2897" s="1" t="s">
        <v>713</v>
      </c>
      <c r="I2897" s="1" t="s">
        <v>714</v>
      </c>
      <c r="J2897" s="1" t="s">
        <v>12455</v>
      </c>
      <c r="K2897" s="1" t="s">
        <v>12456</v>
      </c>
      <c r="L2897" s="1" t="s">
        <v>12457</v>
      </c>
      <c r="M2897" s="1" t="s">
        <v>718</v>
      </c>
    </row>
    <row r="2898" customFormat="false" ht="15" hidden="false" customHeight="false" outlineLevel="0" collapsed="false">
      <c r="A2898" s="1" t="s">
        <v>12458</v>
      </c>
      <c r="B2898" s="1" t="s">
        <v>12459</v>
      </c>
      <c r="C2898" s="1" t="s">
        <v>12454</v>
      </c>
      <c r="D2898" s="2" t="n">
        <v>36357</v>
      </c>
      <c r="E2898" s="1" t="s">
        <v>710</v>
      </c>
      <c r="F2898" s="1" t="s">
        <v>711</v>
      </c>
      <c r="G2898" s="1" t="s">
        <v>712</v>
      </c>
      <c r="H2898" s="1" t="s">
        <v>713</v>
      </c>
      <c r="I2898" s="1" t="s">
        <v>714</v>
      </c>
      <c r="J2898" s="1" t="s">
        <v>12460</v>
      </c>
      <c r="K2898" s="1" t="s">
        <v>12461</v>
      </c>
      <c r="L2898" s="1" t="s">
        <v>12457</v>
      </c>
      <c r="M2898" s="1" t="s">
        <v>718</v>
      </c>
    </row>
    <row r="2899" customFormat="false" ht="15" hidden="false" customHeight="false" outlineLevel="0" collapsed="false">
      <c r="A2899" s="1" t="s">
        <v>12462</v>
      </c>
      <c r="B2899" s="1" t="s">
        <v>12463</v>
      </c>
      <c r="C2899" s="1" t="s">
        <v>12464</v>
      </c>
      <c r="D2899" s="2" t="n">
        <v>38138</v>
      </c>
      <c r="E2899" s="1" t="s">
        <v>763</v>
      </c>
      <c r="F2899" s="1" t="s">
        <v>711</v>
      </c>
      <c r="G2899" s="1" t="s">
        <v>712</v>
      </c>
      <c r="H2899" s="1" t="s">
        <v>713</v>
      </c>
      <c r="I2899" s="1" t="s">
        <v>714</v>
      </c>
      <c r="J2899" s="1" t="s">
        <v>12465</v>
      </c>
      <c r="K2899" s="1" t="s">
        <v>12466</v>
      </c>
      <c r="L2899" s="1" t="s">
        <v>1418</v>
      </c>
      <c r="M2899" s="1" t="s">
        <v>718</v>
      </c>
    </row>
    <row r="2900" customFormat="false" ht="15" hidden="false" customHeight="false" outlineLevel="0" collapsed="false">
      <c r="A2900" s="1" t="s">
        <v>12467</v>
      </c>
      <c r="B2900" s="1" t="s">
        <v>11504</v>
      </c>
      <c r="C2900" s="1" t="s">
        <v>12468</v>
      </c>
      <c r="D2900" s="2" t="n">
        <v>38239</v>
      </c>
      <c r="E2900" s="1" t="s">
        <v>710</v>
      </c>
      <c r="F2900" s="1" t="s">
        <v>711</v>
      </c>
      <c r="G2900" s="1" t="s">
        <v>712</v>
      </c>
      <c r="H2900" s="1" t="s">
        <v>713</v>
      </c>
      <c r="I2900" s="1" t="s">
        <v>714</v>
      </c>
      <c r="J2900" s="1" t="s">
        <v>12469</v>
      </c>
      <c r="K2900" s="1" t="s">
        <v>12470</v>
      </c>
      <c r="L2900" s="1" t="s">
        <v>1418</v>
      </c>
      <c r="M2900" s="1" t="s">
        <v>718</v>
      </c>
    </row>
    <row r="2901" customFormat="false" ht="15" hidden="false" customHeight="false" outlineLevel="0" collapsed="false">
      <c r="A2901" s="1" t="s">
        <v>12471</v>
      </c>
      <c r="B2901" s="1" t="s">
        <v>12194</v>
      </c>
      <c r="C2901" s="1" t="s">
        <v>8647</v>
      </c>
      <c r="D2901" s="2" t="n">
        <v>37986</v>
      </c>
      <c r="E2901" s="1" t="s">
        <v>710</v>
      </c>
      <c r="F2901" s="1" t="s">
        <v>711</v>
      </c>
      <c r="G2901" s="1" t="s">
        <v>712</v>
      </c>
      <c r="H2901" s="1" t="s">
        <v>713</v>
      </c>
      <c r="I2901" s="1" t="s">
        <v>714</v>
      </c>
      <c r="J2901" s="1" t="s">
        <v>12465</v>
      </c>
      <c r="K2901" s="1" t="s">
        <v>12472</v>
      </c>
      <c r="L2901" s="1" t="s">
        <v>1418</v>
      </c>
      <c r="M2901" s="1" t="s">
        <v>718</v>
      </c>
    </row>
    <row r="2902" customFormat="false" ht="15" hidden="false" customHeight="false" outlineLevel="0" collapsed="false">
      <c r="A2902" s="1" t="s">
        <v>12473</v>
      </c>
      <c r="B2902" s="1" t="s">
        <v>12474</v>
      </c>
      <c r="C2902" s="1" t="s">
        <v>2796</v>
      </c>
      <c r="D2902" s="2" t="n">
        <v>38379</v>
      </c>
      <c r="E2902" s="1" t="s">
        <v>763</v>
      </c>
      <c r="F2902" s="1" t="s">
        <v>711</v>
      </c>
      <c r="G2902" s="1" t="s">
        <v>722</v>
      </c>
      <c r="H2902" s="1" t="s">
        <v>713</v>
      </c>
      <c r="I2902" s="1" t="s">
        <v>714</v>
      </c>
      <c r="J2902" s="1" t="s">
        <v>8416</v>
      </c>
      <c r="K2902" s="1" t="s">
        <v>12475</v>
      </c>
      <c r="L2902" s="1" t="s">
        <v>1418</v>
      </c>
      <c r="M2902" s="1" t="s">
        <v>718</v>
      </c>
    </row>
    <row r="2903" customFormat="false" ht="15" hidden="false" customHeight="false" outlineLevel="0" collapsed="false">
      <c r="A2903" s="1" t="s">
        <v>12476</v>
      </c>
      <c r="B2903" s="1" t="s">
        <v>12477</v>
      </c>
      <c r="C2903" s="1" t="s">
        <v>3314</v>
      </c>
      <c r="D2903" s="2" t="n">
        <v>34154</v>
      </c>
      <c r="E2903" s="1" t="s">
        <v>763</v>
      </c>
      <c r="F2903" s="1" t="s">
        <v>711</v>
      </c>
      <c r="G2903" s="1" t="s">
        <v>712</v>
      </c>
      <c r="H2903" s="1" t="s">
        <v>713</v>
      </c>
      <c r="I2903" s="1" t="s">
        <v>714</v>
      </c>
      <c r="J2903" s="1" t="s">
        <v>716</v>
      </c>
      <c r="K2903" s="1" t="s">
        <v>716</v>
      </c>
      <c r="L2903" s="1" t="s">
        <v>1418</v>
      </c>
      <c r="M2903" s="1" t="s">
        <v>718</v>
      </c>
    </row>
    <row r="2904" customFormat="false" ht="15" hidden="false" customHeight="false" outlineLevel="0" collapsed="false">
      <c r="A2904" s="1" t="s">
        <v>12478</v>
      </c>
      <c r="B2904" s="1" t="s">
        <v>12479</v>
      </c>
      <c r="C2904" s="1" t="s">
        <v>4605</v>
      </c>
      <c r="D2904" s="2" t="n">
        <v>37065</v>
      </c>
      <c r="E2904" s="1" t="s">
        <v>763</v>
      </c>
      <c r="F2904" s="1" t="s">
        <v>711</v>
      </c>
      <c r="G2904" s="1" t="s">
        <v>722</v>
      </c>
      <c r="H2904" s="1" t="s">
        <v>713</v>
      </c>
      <c r="I2904" s="1" t="s">
        <v>714</v>
      </c>
      <c r="J2904" s="1" t="s">
        <v>7565</v>
      </c>
      <c r="K2904" s="1" t="s">
        <v>716</v>
      </c>
      <c r="L2904" s="1" t="s">
        <v>12300</v>
      </c>
      <c r="M2904" s="1" t="s">
        <v>718</v>
      </c>
    </row>
    <row r="2905" customFormat="false" ht="15" hidden="false" customHeight="false" outlineLevel="0" collapsed="false">
      <c r="A2905" s="1" t="s">
        <v>12480</v>
      </c>
      <c r="B2905" s="1" t="s">
        <v>12481</v>
      </c>
      <c r="C2905" s="1" t="s">
        <v>12482</v>
      </c>
      <c r="D2905" s="2" t="n">
        <v>38624</v>
      </c>
      <c r="E2905" s="1" t="s">
        <v>710</v>
      </c>
      <c r="F2905" s="1" t="s">
        <v>711</v>
      </c>
      <c r="G2905" s="1" t="s">
        <v>712</v>
      </c>
      <c r="H2905" s="1" t="s">
        <v>713</v>
      </c>
      <c r="I2905" s="1" t="s">
        <v>714</v>
      </c>
      <c r="J2905" s="1" t="s">
        <v>1244</v>
      </c>
      <c r="K2905" s="1" t="s">
        <v>716</v>
      </c>
      <c r="L2905" s="1" t="s">
        <v>1680</v>
      </c>
      <c r="M2905" s="1" t="s">
        <v>718</v>
      </c>
    </row>
    <row r="2906" customFormat="false" ht="15" hidden="false" customHeight="false" outlineLevel="0" collapsed="false">
      <c r="A2906" s="1" t="s">
        <v>12483</v>
      </c>
      <c r="B2906" s="1" t="s">
        <v>12484</v>
      </c>
      <c r="C2906" s="1" t="s">
        <v>12485</v>
      </c>
      <c r="D2906" s="2" t="n">
        <v>37118</v>
      </c>
      <c r="E2906" s="1" t="s">
        <v>763</v>
      </c>
      <c r="F2906" s="1" t="s">
        <v>711</v>
      </c>
      <c r="G2906" s="1" t="s">
        <v>1573</v>
      </c>
      <c r="H2906" s="1" t="s">
        <v>1574</v>
      </c>
      <c r="I2906" s="1" t="s">
        <v>1575</v>
      </c>
      <c r="J2906" s="1" t="s">
        <v>4940</v>
      </c>
      <c r="K2906" s="1" t="s">
        <v>12486</v>
      </c>
      <c r="L2906" s="1" t="s">
        <v>12487</v>
      </c>
      <c r="M2906" s="1" t="s">
        <v>718</v>
      </c>
    </row>
    <row r="2907" customFormat="false" ht="15" hidden="false" customHeight="false" outlineLevel="0" collapsed="false">
      <c r="A2907" s="1" t="s">
        <v>12488</v>
      </c>
      <c r="B2907" s="1" t="s">
        <v>12489</v>
      </c>
      <c r="C2907" s="1" t="s">
        <v>10918</v>
      </c>
      <c r="D2907" s="2" t="n">
        <v>36658</v>
      </c>
      <c r="E2907" s="1" t="s">
        <v>763</v>
      </c>
      <c r="F2907" s="1" t="s">
        <v>711</v>
      </c>
      <c r="G2907" s="1" t="s">
        <v>712</v>
      </c>
      <c r="H2907" s="1" t="s">
        <v>713</v>
      </c>
      <c r="I2907" s="1" t="s">
        <v>714</v>
      </c>
      <c r="J2907" s="1" t="s">
        <v>4239</v>
      </c>
      <c r="K2907" s="1" t="s">
        <v>8636</v>
      </c>
      <c r="L2907" s="1" t="s">
        <v>8637</v>
      </c>
      <c r="M2907" s="1" t="s">
        <v>718</v>
      </c>
    </row>
    <row r="2908" customFormat="false" ht="15" hidden="false" customHeight="false" outlineLevel="0" collapsed="false">
      <c r="A2908" s="1" t="s">
        <v>12490</v>
      </c>
      <c r="B2908" s="1" t="s">
        <v>12491</v>
      </c>
      <c r="C2908" s="1" t="s">
        <v>10902</v>
      </c>
      <c r="D2908" s="2" t="n">
        <v>37136</v>
      </c>
      <c r="E2908" s="1" t="s">
        <v>710</v>
      </c>
      <c r="F2908" s="1" t="s">
        <v>711</v>
      </c>
      <c r="G2908" s="1" t="s">
        <v>712</v>
      </c>
      <c r="H2908" s="1" t="s">
        <v>713</v>
      </c>
      <c r="I2908" s="1" t="s">
        <v>714</v>
      </c>
      <c r="J2908" s="1" t="s">
        <v>12492</v>
      </c>
      <c r="K2908" s="1" t="s">
        <v>12493</v>
      </c>
      <c r="L2908" s="1" t="s">
        <v>10904</v>
      </c>
      <c r="M2908" s="1" t="s">
        <v>718</v>
      </c>
    </row>
    <row r="2909" customFormat="false" ht="15" hidden="false" customHeight="false" outlineLevel="0" collapsed="false">
      <c r="A2909" s="1" t="s">
        <v>12494</v>
      </c>
      <c r="B2909" s="1" t="s">
        <v>12495</v>
      </c>
      <c r="C2909" s="1" t="s">
        <v>12443</v>
      </c>
      <c r="D2909" s="2" t="n">
        <v>37951</v>
      </c>
      <c r="E2909" s="1" t="s">
        <v>763</v>
      </c>
      <c r="F2909" s="1" t="s">
        <v>711</v>
      </c>
      <c r="G2909" s="1" t="s">
        <v>722</v>
      </c>
      <c r="H2909" s="1" t="s">
        <v>713</v>
      </c>
      <c r="I2909" s="1" t="s">
        <v>714</v>
      </c>
      <c r="J2909" s="1" t="s">
        <v>1244</v>
      </c>
      <c r="K2909" s="1" t="s">
        <v>10898</v>
      </c>
      <c r="L2909" s="1" t="s">
        <v>9866</v>
      </c>
      <c r="M2909" s="1" t="s">
        <v>718</v>
      </c>
    </row>
    <row r="2910" customFormat="false" ht="15" hidden="false" customHeight="false" outlineLevel="0" collapsed="false">
      <c r="A2910" s="1" t="s">
        <v>12496</v>
      </c>
      <c r="B2910" s="1" t="s">
        <v>2374</v>
      </c>
      <c r="C2910" s="1" t="s">
        <v>12497</v>
      </c>
      <c r="D2910" s="2" t="n">
        <v>38509</v>
      </c>
      <c r="E2910" s="1" t="s">
        <v>710</v>
      </c>
      <c r="F2910" s="1" t="s">
        <v>4714</v>
      </c>
      <c r="G2910" s="1" t="s">
        <v>2083</v>
      </c>
      <c r="H2910" s="1" t="s">
        <v>2083</v>
      </c>
      <c r="I2910" s="1" t="s">
        <v>2084</v>
      </c>
      <c r="J2910" s="1" t="s">
        <v>12498</v>
      </c>
      <c r="K2910" s="1" t="s">
        <v>12499</v>
      </c>
      <c r="L2910" s="1" t="s">
        <v>7089</v>
      </c>
      <c r="M2910" s="1" t="s">
        <v>2083</v>
      </c>
    </row>
    <row r="2911" customFormat="false" ht="15" hidden="false" customHeight="false" outlineLevel="0" collapsed="false">
      <c r="A2911" s="1" t="s">
        <v>12500</v>
      </c>
      <c r="B2911" s="1" t="s">
        <v>12501</v>
      </c>
      <c r="C2911" s="1" t="s">
        <v>12502</v>
      </c>
      <c r="D2911" s="2" t="n">
        <v>36519</v>
      </c>
      <c r="E2911" s="1" t="s">
        <v>763</v>
      </c>
      <c r="F2911" s="1" t="s">
        <v>711</v>
      </c>
      <c r="G2911" s="1" t="s">
        <v>712</v>
      </c>
      <c r="H2911" s="1" t="s">
        <v>713</v>
      </c>
      <c r="I2911" s="1" t="s">
        <v>714</v>
      </c>
      <c r="J2911" s="1" t="s">
        <v>2000</v>
      </c>
      <c r="K2911" s="1" t="s">
        <v>12503</v>
      </c>
      <c r="L2911" s="1" t="s">
        <v>12504</v>
      </c>
      <c r="M2911" s="1" t="s">
        <v>718</v>
      </c>
    </row>
    <row r="2912" customFormat="false" ht="15" hidden="false" customHeight="false" outlineLevel="0" collapsed="false">
      <c r="A2912" s="1" t="s">
        <v>12505</v>
      </c>
      <c r="B2912" s="1" t="s">
        <v>12506</v>
      </c>
      <c r="C2912" s="1" t="s">
        <v>12507</v>
      </c>
      <c r="D2912" s="2" t="n">
        <v>37890</v>
      </c>
      <c r="E2912" s="1" t="s">
        <v>763</v>
      </c>
      <c r="F2912" s="1" t="s">
        <v>711</v>
      </c>
      <c r="G2912" s="1" t="s">
        <v>712</v>
      </c>
      <c r="H2912" s="1" t="s">
        <v>713</v>
      </c>
      <c r="I2912" s="1" t="s">
        <v>714</v>
      </c>
      <c r="J2912" s="1" t="s">
        <v>12350</v>
      </c>
      <c r="K2912" s="1" t="s">
        <v>12508</v>
      </c>
      <c r="L2912" s="1" t="s">
        <v>12509</v>
      </c>
      <c r="M2912" s="1" t="s">
        <v>718</v>
      </c>
    </row>
    <row r="2913" customFormat="false" ht="15" hidden="false" customHeight="false" outlineLevel="0" collapsed="false">
      <c r="A2913" s="1" t="s">
        <v>12510</v>
      </c>
      <c r="B2913" s="1" t="s">
        <v>12511</v>
      </c>
      <c r="C2913" s="1" t="s">
        <v>12512</v>
      </c>
      <c r="D2913" s="2" t="n">
        <v>36651</v>
      </c>
      <c r="E2913" s="1" t="s">
        <v>710</v>
      </c>
      <c r="F2913" s="1" t="s">
        <v>711</v>
      </c>
      <c r="G2913" s="1" t="s">
        <v>712</v>
      </c>
      <c r="H2913" s="1" t="s">
        <v>713</v>
      </c>
      <c r="I2913" s="1" t="s">
        <v>714</v>
      </c>
      <c r="J2913" s="1" t="s">
        <v>2807</v>
      </c>
      <c r="K2913" s="1" t="s">
        <v>12513</v>
      </c>
      <c r="L2913" s="1" t="s">
        <v>12514</v>
      </c>
      <c r="M2913" s="1" t="s">
        <v>718</v>
      </c>
    </row>
    <row r="2914" customFormat="false" ht="15" hidden="false" customHeight="false" outlineLevel="0" collapsed="false">
      <c r="A2914" s="1" t="s">
        <v>12515</v>
      </c>
      <c r="B2914" s="1" t="s">
        <v>12516</v>
      </c>
      <c r="C2914" s="1" t="s">
        <v>7652</v>
      </c>
      <c r="D2914" s="2" t="n">
        <v>27322</v>
      </c>
      <c r="E2914" s="1" t="s">
        <v>710</v>
      </c>
      <c r="F2914" s="1" t="s">
        <v>711</v>
      </c>
      <c r="G2914" s="1" t="s">
        <v>712</v>
      </c>
      <c r="H2914" s="1" t="s">
        <v>713</v>
      </c>
      <c r="I2914" s="1" t="s">
        <v>714</v>
      </c>
      <c r="J2914" s="1" t="s">
        <v>716</v>
      </c>
      <c r="K2914" s="1" t="s">
        <v>716</v>
      </c>
      <c r="L2914" s="1" t="s">
        <v>1418</v>
      </c>
      <c r="M2914" s="1" t="s">
        <v>718</v>
      </c>
    </row>
    <row r="2915" customFormat="false" ht="15" hidden="false" customHeight="false" outlineLevel="0" collapsed="false">
      <c r="A2915" s="1" t="s">
        <v>12517</v>
      </c>
      <c r="B2915" s="1" t="s">
        <v>12518</v>
      </c>
      <c r="C2915" s="1" t="s">
        <v>3200</v>
      </c>
      <c r="D2915" s="2" t="n">
        <v>29907</v>
      </c>
      <c r="E2915" s="1" t="s">
        <v>763</v>
      </c>
      <c r="F2915" s="1" t="s">
        <v>711</v>
      </c>
      <c r="G2915" s="1" t="s">
        <v>722</v>
      </c>
      <c r="H2915" s="1" t="s">
        <v>713</v>
      </c>
      <c r="I2915" s="1" t="s">
        <v>714</v>
      </c>
      <c r="J2915" s="1" t="s">
        <v>716</v>
      </c>
      <c r="K2915" s="1" t="s">
        <v>716</v>
      </c>
      <c r="L2915" s="1" t="s">
        <v>1418</v>
      </c>
      <c r="M2915" s="1" t="s">
        <v>718</v>
      </c>
    </row>
    <row r="2916" customFormat="false" ht="15" hidden="false" customHeight="false" outlineLevel="0" collapsed="false">
      <c r="A2916" s="1" t="s">
        <v>12519</v>
      </c>
      <c r="B2916" s="1" t="s">
        <v>12520</v>
      </c>
      <c r="C2916" s="1" t="s">
        <v>12521</v>
      </c>
      <c r="D2916" s="2" t="n">
        <v>37945</v>
      </c>
      <c r="E2916" s="1" t="s">
        <v>710</v>
      </c>
      <c r="F2916" s="1" t="s">
        <v>711</v>
      </c>
      <c r="G2916" s="1" t="s">
        <v>712</v>
      </c>
      <c r="H2916" s="1" t="s">
        <v>713</v>
      </c>
      <c r="I2916" s="1" t="s">
        <v>714</v>
      </c>
      <c r="J2916" s="1" t="s">
        <v>1114</v>
      </c>
      <c r="K2916" s="1" t="s">
        <v>12522</v>
      </c>
      <c r="L2916" s="1" t="s">
        <v>12523</v>
      </c>
      <c r="M2916" s="1" t="s">
        <v>718</v>
      </c>
    </row>
    <row r="2917" customFormat="false" ht="15" hidden="false" customHeight="false" outlineLevel="0" collapsed="false">
      <c r="A2917" s="1" t="s">
        <v>12524</v>
      </c>
      <c r="B2917" s="1" t="s">
        <v>12032</v>
      </c>
      <c r="C2917" s="1" t="s">
        <v>12525</v>
      </c>
      <c r="D2917" s="2" t="n">
        <v>37929</v>
      </c>
      <c r="E2917" s="1" t="s">
        <v>710</v>
      </c>
      <c r="F2917" s="1" t="s">
        <v>711</v>
      </c>
      <c r="G2917" s="1" t="s">
        <v>712</v>
      </c>
      <c r="H2917" s="1" t="s">
        <v>713</v>
      </c>
      <c r="I2917" s="1" t="s">
        <v>714</v>
      </c>
      <c r="J2917" s="1" t="s">
        <v>12526</v>
      </c>
      <c r="K2917" s="1" t="s">
        <v>12527</v>
      </c>
      <c r="L2917" s="1" t="s">
        <v>12528</v>
      </c>
      <c r="M2917" s="1" t="s">
        <v>718</v>
      </c>
    </row>
    <row r="2918" customFormat="false" ht="15" hidden="false" customHeight="false" outlineLevel="0" collapsed="false">
      <c r="A2918" s="1" t="s">
        <v>12529</v>
      </c>
      <c r="B2918" s="1" t="s">
        <v>12530</v>
      </c>
      <c r="C2918" s="1" t="s">
        <v>3225</v>
      </c>
      <c r="D2918" s="2" t="n">
        <v>34087</v>
      </c>
      <c r="E2918" s="1" t="s">
        <v>710</v>
      </c>
      <c r="F2918" s="1" t="s">
        <v>711</v>
      </c>
      <c r="G2918" s="1" t="s">
        <v>722</v>
      </c>
      <c r="H2918" s="1" t="s">
        <v>713</v>
      </c>
      <c r="I2918" s="1" t="s">
        <v>714</v>
      </c>
      <c r="J2918" s="1" t="s">
        <v>716</v>
      </c>
      <c r="K2918" s="1" t="s">
        <v>716</v>
      </c>
      <c r="L2918" s="1" t="s">
        <v>1418</v>
      </c>
      <c r="M2918" s="1" t="s">
        <v>718</v>
      </c>
    </row>
    <row r="2919" customFormat="false" ht="15" hidden="false" customHeight="false" outlineLevel="0" collapsed="false">
      <c r="A2919" s="1" t="s">
        <v>12531</v>
      </c>
      <c r="B2919" s="1" t="s">
        <v>12532</v>
      </c>
      <c r="C2919" s="1" t="s">
        <v>10469</v>
      </c>
      <c r="D2919" s="2" t="n">
        <v>35444</v>
      </c>
      <c r="E2919" s="1" t="s">
        <v>763</v>
      </c>
      <c r="F2919" s="1" t="s">
        <v>711</v>
      </c>
      <c r="G2919" s="1" t="s">
        <v>722</v>
      </c>
      <c r="H2919" s="1" t="s">
        <v>713</v>
      </c>
      <c r="I2919" s="1" t="s">
        <v>714</v>
      </c>
      <c r="J2919" s="1" t="s">
        <v>716</v>
      </c>
      <c r="K2919" s="1" t="s">
        <v>716</v>
      </c>
      <c r="L2919" s="1" t="s">
        <v>1418</v>
      </c>
      <c r="M2919" s="1" t="s">
        <v>718</v>
      </c>
    </row>
    <row r="2920" customFormat="false" ht="15" hidden="false" customHeight="false" outlineLevel="0" collapsed="false">
      <c r="A2920" s="1" t="s">
        <v>12533</v>
      </c>
      <c r="B2920" s="1" t="s">
        <v>12534</v>
      </c>
      <c r="C2920" s="1" t="s">
        <v>1234</v>
      </c>
      <c r="D2920" s="2" t="n">
        <v>37110</v>
      </c>
      <c r="E2920" s="1" t="s">
        <v>763</v>
      </c>
      <c r="F2920" s="1" t="s">
        <v>711</v>
      </c>
      <c r="G2920" s="1" t="s">
        <v>712</v>
      </c>
      <c r="H2920" s="1" t="s">
        <v>713</v>
      </c>
      <c r="I2920" s="1" t="s">
        <v>714</v>
      </c>
      <c r="J2920" s="1" t="s">
        <v>4239</v>
      </c>
      <c r="K2920" s="1" t="s">
        <v>10352</v>
      </c>
      <c r="L2920" s="1" t="s">
        <v>834</v>
      </c>
      <c r="M2920" s="1" t="s">
        <v>718</v>
      </c>
    </row>
    <row r="2921" customFormat="false" ht="15" hidden="false" customHeight="false" outlineLevel="0" collapsed="false">
      <c r="A2921" s="1" t="s">
        <v>12535</v>
      </c>
      <c r="B2921" s="1" t="s">
        <v>2400</v>
      </c>
      <c r="C2921" s="1" t="s">
        <v>12536</v>
      </c>
      <c r="D2921" s="2" t="n">
        <v>37065</v>
      </c>
      <c r="E2921" s="1" t="s">
        <v>763</v>
      </c>
      <c r="F2921" s="1" t="s">
        <v>711</v>
      </c>
      <c r="G2921" s="1" t="s">
        <v>722</v>
      </c>
      <c r="H2921" s="1" t="s">
        <v>713</v>
      </c>
      <c r="I2921" s="1" t="s">
        <v>714</v>
      </c>
      <c r="J2921" s="1" t="s">
        <v>4239</v>
      </c>
      <c r="K2921" s="1" t="s">
        <v>10352</v>
      </c>
      <c r="L2921" s="1" t="s">
        <v>834</v>
      </c>
      <c r="M2921" s="1" t="s">
        <v>718</v>
      </c>
    </row>
    <row r="2922" customFormat="false" ht="15" hidden="false" customHeight="false" outlineLevel="0" collapsed="false">
      <c r="A2922" s="1" t="s">
        <v>12537</v>
      </c>
      <c r="B2922" s="1" t="s">
        <v>3219</v>
      </c>
      <c r="C2922" s="1" t="s">
        <v>12538</v>
      </c>
      <c r="D2922" s="2" t="n">
        <v>36858</v>
      </c>
      <c r="E2922" s="1" t="s">
        <v>710</v>
      </c>
      <c r="F2922" s="1" t="s">
        <v>711</v>
      </c>
      <c r="G2922" s="1" t="s">
        <v>712</v>
      </c>
      <c r="H2922" s="1" t="s">
        <v>713</v>
      </c>
      <c r="I2922" s="1" t="s">
        <v>714</v>
      </c>
      <c r="J2922" s="1" t="s">
        <v>2000</v>
      </c>
      <c r="K2922" s="1" t="s">
        <v>12539</v>
      </c>
      <c r="L2922" s="1" t="s">
        <v>12540</v>
      </c>
      <c r="M2922" s="1" t="s">
        <v>718</v>
      </c>
    </row>
    <row r="2923" customFormat="false" ht="15" hidden="false" customHeight="false" outlineLevel="0" collapsed="false">
      <c r="A2923" s="1" t="s">
        <v>12541</v>
      </c>
      <c r="B2923" s="1" t="s">
        <v>12542</v>
      </c>
      <c r="C2923" s="1" t="s">
        <v>12543</v>
      </c>
      <c r="D2923" s="2" t="n">
        <v>37875</v>
      </c>
      <c r="E2923" s="1" t="s">
        <v>710</v>
      </c>
      <c r="F2923" s="1" t="s">
        <v>711</v>
      </c>
      <c r="G2923" s="1" t="s">
        <v>712</v>
      </c>
      <c r="H2923" s="1" t="s">
        <v>713</v>
      </c>
      <c r="I2923" s="1" t="s">
        <v>714</v>
      </c>
      <c r="J2923" s="1" t="s">
        <v>928</v>
      </c>
      <c r="K2923" s="1" t="s">
        <v>6889</v>
      </c>
      <c r="L2923" s="1" t="s">
        <v>6890</v>
      </c>
      <c r="M2923" s="1" t="s">
        <v>718</v>
      </c>
    </row>
    <row r="2924" customFormat="false" ht="15" hidden="false" customHeight="false" outlineLevel="0" collapsed="false">
      <c r="A2924" s="1" t="s">
        <v>12544</v>
      </c>
      <c r="B2924" s="1" t="s">
        <v>6822</v>
      </c>
      <c r="C2924" s="1" t="s">
        <v>1086</v>
      </c>
      <c r="D2924" s="2" t="n">
        <v>32313</v>
      </c>
      <c r="E2924" s="1" t="s">
        <v>710</v>
      </c>
      <c r="F2924" s="1" t="s">
        <v>711</v>
      </c>
      <c r="G2924" s="1" t="s">
        <v>712</v>
      </c>
      <c r="H2924" s="1" t="s">
        <v>713</v>
      </c>
      <c r="I2924" s="1" t="s">
        <v>714</v>
      </c>
      <c r="J2924" s="1" t="s">
        <v>716</v>
      </c>
      <c r="K2924" s="1" t="s">
        <v>716</v>
      </c>
      <c r="L2924" s="1" t="s">
        <v>1418</v>
      </c>
      <c r="M2924" s="1" t="s">
        <v>718</v>
      </c>
    </row>
    <row r="2925" customFormat="false" ht="15" hidden="false" customHeight="false" outlineLevel="0" collapsed="false">
      <c r="A2925" s="1" t="s">
        <v>12545</v>
      </c>
      <c r="B2925" s="1" t="s">
        <v>4605</v>
      </c>
      <c r="C2925" s="1" t="s">
        <v>12546</v>
      </c>
      <c r="D2925" s="2" t="n">
        <v>31382</v>
      </c>
      <c r="E2925" s="1" t="s">
        <v>763</v>
      </c>
      <c r="F2925" s="1" t="s">
        <v>711</v>
      </c>
      <c r="G2925" s="1" t="s">
        <v>712</v>
      </c>
      <c r="H2925" s="1" t="s">
        <v>713</v>
      </c>
      <c r="I2925" s="1" t="s">
        <v>714</v>
      </c>
      <c r="J2925" s="1" t="s">
        <v>716</v>
      </c>
      <c r="K2925" s="1" t="s">
        <v>716</v>
      </c>
      <c r="L2925" s="1" t="s">
        <v>1418</v>
      </c>
      <c r="M2925" s="1" t="s">
        <v>718</v>
      </c>
    </row>
    <row r="2926" customFormat="false" ht="15" hidden="false" customHeight="false" outlineLevel="0" collapsed="false">
      <c r="A2926" s="1" t="s">
        <v>12547</v>
      </c>
      <c r="B2926" s="1" t="s">
        <v>2406</v>
      </c>
      <c r="C2926" s="1" t="s">
        <v>12548</v>
      </c>
      <c r="D2926" s="2" t="n">
        <v>34941</v>
      </c>
      <c r="E2926" s="1" t="s">
        <v>763</v>
      </c>
      <c r="F2926" s="1" t="s">
        <v>711</v>
      </c>
      <c r="G2926" s="1" t="s">
        <v>712</v>
      </c>
      <c r="H2926" s="1" t="s">
        <v>713</v>
      </c>
      <c r="I2926" s="1" t="s">
        <v>714</v>
      </c>
      <c r="J2926" s="1" t="s">
        <v>716</v>
      </c>
      <c r="K2926" s="1" t="s">
        <v>716</v>
      </c>
      <c r="L2926" s="1" t="s">
        <v>2408</v>
      </c>
      <c r="M2926" s="1" t="s">
        <v>718</v>
      </c>
    </row>
    <row r="2927" customFormat="false" ht="15" hidden="false" customHeight="false" outlineLevel="0" collapsed="false">
      <c r="A2927" s="1" t="s">
        <v>12549</v>
      </c>
      <c r="B2927" s="1" t="s">
        <v>12550</v>
      </c>
      <c r="C2927" s="1" t="s">
        <v>1469</v>
      </c>
      <c r="D2927" s="2" t="n">
        <v>37582</v>
      </c>
      <c r="E2927" s="1" t="s">
        <v>763</v>
      </c>
      <c r="F2927" s="1" t="s">
        <v>711</v>
      </c>
      <c r="G2927" s="1" t="s">
        <v>712</v>
      </c>
      <c r="H2927" s="1" t="s">
        <v>713</v>
      </c>
      <c r="I2927" s="1" t="s">
        <v>714</v>
      </c>
      <c r="J2927" s="1" t="s">
        <v>821</v>
      </c>
      <c r="K2927" s="1" t="s">
        <v>12551</v>
      </c>
      <c r="L2927" s="1" t="s">
        <v>9491</v>
      </c>
      <c r="M2927" s="1" t="s">
        <v>718</v>
      </c>
    </row>
    <row r="2928" customFormat="false" ht="15" hidden="false" customHeight="false" outlineLevel="0" collapsed="false">
      <c r="A2928" s="1" t="s">
        <v>12552</v>
      </c>
      <c r="B2928" s="1" t="s">
        <v>12553</v>
      </c>
      <c r="C2928" s="1" t="s">
        <v>12554</v>
      </c>
      <c r="D2928" s="2" t="n">
        <v>30361</v>
      </c>
      <c r="E2928" s="1" t="s">
        <v>763</v>
      </c>
      <c r="F2928" s="1" t="s">
        <v>711</v>
      </c>
      <c r="G2928" s="1" t="s">
        <v>722</v>
      </c>
      <c r="H2928" s="1" t="s">
        <v>713</v>
      </c>
      <c r="I2928" s="1" t="s">
        <v>714</v>
      </c>
      <c r="J2928" s="1" t="s">
        <v>740</v>
      </c>
      <c r="K2928" s="1" t="s">
        <v>716</v>
      </c>
      <c r="L2928" s="1" t="s">
        <v>1418</v>
      </c>
      <c r="M2928" s="1" t="s">
        <v>718</v>
      </c>
    </row>
    <row r="2929" customFormat="false" ht="15" hidden="false" customHeight="false" outlineLevel="0" collapsed="false">
      <c r="A2929" s="1" t="s">
        <v>12555</v>
      </c>
      <c r="B2929" s="1" t="s">
        <v>12556</v>
      </c>
      <c r="C2929" s="1" t="s">
        <v>739</v>
      </c>
      <c r="D2929" s="2" t="n">
        <v>37321</v>
      </c>
      <c r="E2929" s="1" t="s">
        <v>763</v>
      </c>
      <c r="F2929" s="1" t="s">
        <v>711</v>
      </c>
      <c r="G2929" s="1" t="s">
        <v>722</v>
      </c>
      <c r="H2929" s="1" t="s">
        <v>713</v>
      </c>
      <c r="I2929" s="1" t="s">
        <v>714</v>
      </c>
      <c r="J2929" s="1" t="s">
        <v>5211</v>
      </c>
      <c r="K2929" s="1" t="s">
        <v>716</v>
      </c>
      <c r="L2929" s="1" t="s">
        <v>4354</v>
      </c>
      <c r="M2929" s="1" t="s">
        <v>718</v>
      </c>
    </row>
    <row r="2930" customFormat="false" ht="15" hidden="false" customHeight="false" outlineLevel="0" collapsed="false">
      <c r="A2930" s="1" t="s">
        <v>12557</v>
      </c>
      <c r="B2930" s="1" t="s">
        <v>12558</v>
      </c>
      <c r="C2930" s="1" t="s">
        <v>1147</v>
      </c>
      <c r="D2930" s="2" t="n">
        <v>37294</v>
      </c>
      <c r="E2930" s="1" t="s">
        <v>710</v>
      </c>
      <c r="F2930" s="1" t="s">
        <v>711</v>
      </c>
      <c r="G2930" s="1" t="s">
        <v>722</v>
      </c>
      <c r="H2930" s="1" t="s">
        <v>713</v>
      </c>
      <c r="I2930" s="1" t="s">
        <v>714</v>
      </c>
      <c r="J2930" s="1" t="s">
        <v>12559</v>
      </c>
      <c r="K2930" s="1" t="s">
        <v>12560</v>
      </c>
      <c r="L2930" s="1" t="s">
        <v>12561</v>
      </c>
      <c r="M2930" s="1" t="s">
        <v>718</v>
      </c>
    </row>
    <row r="2931" customFormat="false" ht="15" hidden="false" customHeight="false" outlineLevel="0" collapsed="false">
      <c r="A2931" s="1" t="s">
        <v>12562</v>
      </c>
      <c r="B2931" s="1" t="s">
        <v>12563</v>
      </c>
      <c r="C2931" s="1" t="s">
        <v>12564</v>
      </c>
      <c r="D2931" s="2" t="n">
        <v>37519</v>
      </c>
      <c r="E2931" s="1" t="s">
        <v>710</v>
      </c>
      <c r="F2931" s="1" t="s">
        <v>711</v>
      </c>
      <c r="G2931" s="1" t="s">
        <v>712</v>
      </c>
      <c r="H2931" s="1" t="s">
        <v>713</v>
      </c>
      <c r="I2931" s="1" t="s">
        <v>714</v>
      </c>
      <c r="J2931" s="1" t="s">
        <v>716</v>
      </c>
      <c r="K2931" s="1" t="s">
        <v>716</v>
      </c>
      <c r="L2931" s="1" t="s">
        <v>12565</v>
      </c>
      <c r="M2931" s="1" t="s">
        <v>718</v>
      </c>
    </row>
    <row r="2932" customFormat="false" ht="15" hidden="false" customHeight="false" outlineLevel="0" collapsed="false">
      <c r="A2932" s="1" t="s">
        <v>12566</v>
      </c>
      <c r="B2932" s="1" t="s">
        <v>12567</v>
      </c>
      <c r="C2932" s="1" t="s">
        <v>12568</v>
      </c>
      <c r="D2932" s="2" t="n">
        <v>33867</v>
      </c>
      <c r="E2932" s="1" t="s">
        <v>763</v>
      </c>
      <c r="F2932" s="1" t="s">
        <v>711</v>
      </c>
      <c r="G2932" s="1" t="s">
        <v>12569</v>
      </c>
      <c r="H2932" s="1" t="s">
        <v>713</v>
      </c>
      <c r="I2932" s="1" t="s">
        <v>714</v>
      </c>
      <c r="J2932" s="1" t="s">
        <v>716</v>
      </c>
      <c r="K2932" s="1" t="s">
        <v>716</v>
      </c>
      <c r="L2932" s="1" t="s">
        <v>6524</v>
      </c>
      <c r="M2932" s="1" t="s">
        <v>718</v>
      </c>
    </row>
    <row r="2933" customFormat="false" ht="15" hidden="false" customHeight="false" outlineLevel="0" collapsed="false">
      <c r="A2933" s="1" t="s">
        <v>12570</v>
      </c>
      <c r="B2933" s="1" t="s">
        <v>12571</v>
      </c>
      <c r="C2933" s="1" t="s">
        <v>6511</v>
      </c>
      <c r="D2933" s="2" t="n">
        <v>37713</v>
      </c>
      <c r="E2933" s="1" t="s">
        <v>763</v>
      </c>
      <c r="F2933" s="1" t="s">
        <v>711</v>
      </c>
      <c r="G2933" s="1" t="s">
        <v>712</v>
      </c>
      <c r="H2933" s="1" t="s">
        <v>713</v>
      </c>
      <c r="I2933" s="1" t="s">
        <v>714</v>
      </c>
      <c r="J2933" s="1" t="s">
        <v>716</v>
      </c>
      <c r="K2933" s="1" t="s">
        <v>716</v>
      </c>
      <c r="L2933" s="1" t="s">
        <v>6513</v>
      </c>
      <c r="M2933" s="1" t="s">
        <v>718</v>
      </c>
    </row>
    <row r="2934" customFormat="false" ht="15" hidden="false" customHeight="false" outlineLevel="0" collapsed="false">
      <c r="A2934" s="1" t="s">
        <v>12572</v>
      </c>
      <c r="B2934" s="1" t="s">
        <v>12573</v>
      </c>
      <c r="C2934" s="1" t="s">
        <v>12574</v>
      </c>
      <c r="D2934" s="2" t="n">
        <v>33117</v>
      </c>
      <c r="E2934" s="1" t="s">
        <v>710</v>
      </c>
      <c r="F2934" s="1" t="s">
        <v>711</v>
      </c>
      <c r="G2934" s="1" t="s">
        <v>12575</v>
      </c>
      <c r="H2934" s="1" t="s">
        <v>2083</v>
      </c>
      <c r="I2934" s="1" t="s">
        <v>2084</v>
      </c>
      <c r="J2934" s="1" t="s">
        <v>11345</v>
      </c>
      <c r="K2934" s="1" t="s">
        <v>11345</v>
      </c>
      <c r="L2934" s="1" t="s">
        <v>834</v>
      </c>
      <c r="M2934" s="1" t="s">
        <v>2083</v>
      </c>
    </row>
    <row r="2935" customFormat="false" ht="15" hidden="false" customHeight="false" outlineLevel="0" collapsed="false">
      <c r="A2935" s="1" t="s">
        <v>12576</v>
      </c>
      <c r="B2935" s="1" t="s">
        <v>4489</v>
      </c>
      <c r="C2935" s="1" t="s">
        <v>3056</v>
      </c>
      <c r="D2935" s="2" t="n">
        <v>32092</v>
      </c>
      <c r="E2935" s="1" t="s">
        <v>710</v>
      </c>
      <c r="F2935" s="1" t="s">
        <v>711</v>
      </c>
      <c r="G2935" s="1" t="s">
        <v>722</v>
      </c>
      <c r="H2935" s="1" t="s">
        <v>713</v>
      </c>
      <c r="I2935" s="1" t="s">
        <v>714</v>
      </c>
      <c r="J2935" s="1" t="s">
        <v>8879</v>
      </c>
      <c r="K2935" s="1" t="s">
        <v>12577</v>
      </c>
      <c r="L2935" s="1" t="s">
        <v>834</v>
      </c>
      <c r="M2935" s="1" t="s">
        <v>718</v>
      </c>
    </row>
    <row r="2936" customFormat="false" ht="15" hidden="false" customHeight="false" outlineLevel="0" collapsed="false">
      <c r="A2936" s="1" t="s">
        <v>12578</v>
      </c>
      <c r="B2936" s="1" t="s">
        <v>12579</v>
      </c>
      <c r="C2936" s="1" t="s">
        <v>12580</v>
      </c>
      <c r="D2936" s="2" t="n">
        <v>36596</v>
      </c>
      <c r="E2936" s="1" t="s">
        <v>710</v>
      </c>
      <c r="F2936" s="1" t="s">
        <v>711</v>
      </c>
      <c r="G2936" s="1" t="s">
        <v>722</v>
      </c>
      <c r="H2936" s="1" t="s">
        <v>713</v>
      </c>
      <c r="I2936" s="1" t="s">
        <v>714</v>
      </c>
      <c r="J2936" s="1" t="s">
        <v>11344</v>
      </c>
      <c r="K2936" s="1" t="s">
        <v>11344</v>
      </c>
      <c r="L2936" s="1" t="s">
        <v>834</v>
      </c>
      <c r="M2936" s="1" t="s">
        <v>718</v>
      </c>
    </row>
    <row r="2937" customFormat="false" ht="15" hidden="false" customHeight="false" outlineLevel="0" collapsed="false">
      <c r="A2937" s="1" t="s">
        <v>12581</v>
      </c>
      <c r="B2937" s="1" t="s">
        <v>12582</v>
      </c>
      <c r="C2937" s="1" t="s">
        <v>3850</v>
      </c>
      <c r="D2937" s="2" t="n">
        <v>28558</v>
      </c>
      <c r="E2937" s="1" t="s">
        <v>763</v>
      </c>
      <c r="F2937" s="1" t="s">
        <v>711</v>
      </c>
      <c r="G2937" s="1" t="s">
        <v>722</v>
      </c>
      <c r="H2937" s="1" t="s">
        <v>713</v>
      </c>
      <c r="I2937" s="1" t="s">
        <v>714</v>
      </c>
      <c r="J2937" s="1" t="s">
        <v>716</v>
      </c>
      <c r="K2937" s="1" t="s">
        <v>716</v>
      </c>
      <c r="L2937" s="1" t="s">
        <v>834</v>
      </c>
      <c r="M2937" s="1" t="s">
        <v>718</v>
      </c>
    </row>
    <row r="2938" customFormat="false" ht="15" hidden="false" customHeight="false" outlineLevel="0" collapsed="false">
      <c r="A2938" s="1" t="s">
        <v>12583</v>
      </c>
      <c r="B2938" s="1" t="s">
        <v>12584</v>
      </c>
      <c r="C2938" s="1" t="s">
        <v>2170</v>
      </c>
      <c r="D2938" s="2" t="n">
        <v>36832</v>
      </c>
      <c r="E2938" s="1" t="s">
        <v>710</v>
      </c>
      <c r="F2938" s="1" t="s">
        <v>711</v>
      </c>
      <c r="G2938" s="1" t="s">
        <v>722</v>
      </c>
      <c r="H2938" s="1" t="s">
        <v>713</v>
      </c>
      <c r="I2938" s="1" t="s">
        <v>714</v>
      </c>
      <c r="J2938" s="1" t="s">
        <v>716</v>
      </c>
      <c r="K2938" s="1" t="s">
        <v>716</v>
      </c>
      <c r="L2938" s="1" t="s">
        <v>1418</v>
      </c>
      <c r="M2938" s="1" t="s">
        <v>718</v>
      </c>
    </row>
    <row r="2939" customFormat="false" ht="15" hidden="false" customHeight="false" outlineLevel="0" collapsed="false">
      <c r="A2939" s="1" t="s">
        <v>12585</v>
      </c>
      <c r="B2939" s="1" t="s">
        <v>12586</v>
      </c>
      <c r="C2939" s="1" t="s">
        <v>1514</v>
      </c>
      <c r="D2939" s="2" t="n">
        <v>29285</v>
      </c>
      <c r="E2939" s="1" t="s">
        <v>763</v>
      </c>
      <c r="F2939" s="1" t="s">
        <v>711</v>
      </c>
      <c r="G2939" s="1" t="s">
        <v>712</v>
      </c>
      <c r="H2939" s="1" t="s">
        <v>713</v>
      </c>
      <c r="I2939" s="1" t="s">
        <v>714</v>
      </c>
      <c r="J2939" s="1" t="s">
        <v>716</v>
      </c>
      <c r="K2939" s="1" t="s">
        <v>716</v>
      </c>
      <c r="L2939" s="1" t="s">
        <v>1418</v>
      </c>
      <c r="M2939" s="1" t="s">
        <v>718</v>
      </c>
    </row>
    <row r="2940" customFormat="false" ht="15" hidden="false" customHeight="false" outlineLevel="0" collapsed="false">
      <c r="A2940" s="1" t="s">
        <v>12587</v>
      </c>
      <c r="B2940" s="1" t="s">
        <v>12588</v>
      </c>
      <c r="C2940" s="1" t="s">
        <v>9080</v>
      </c>
      <c r="D2940" s="2" t="n">
        <v>31262</v>
      </c>
      <c r="E2940" s="1" t="s">
        <v>763</v>
      </c>
      <c r="F2940" s="1" t="s">
        <v>711</v>
      </c>
      <c r="G2940" s="1" t="s">
        <v>712</v>
      </c>
      <c r="H2940" s="1" t="s">
        <v>713</v>
      </c>
      <c r="I2940" s="1" t="s">
        <v>2646</v>
      </c>
      <c r="J2940" s="1" t="s">
        <v>12589</v>
      </c>
      <c r="K2940" s="1" t="s">
        <v>12590</v>
      </c>
      <c r="L2940" s="1" t="s">
        <v>834</v>
      </c>
      <c r="M2940" s="1" t="s">
        <v>718</v>
      </c>
    </row>
    <row r="2941" customFormat="false" ht="15" hidden="false" customHeight="false" outlineLevel="0" collapsed="false">
      <c r="A2941" s="1" t="s">
        <v>12591</v>
      </c>
      <c r="B2941" s="1" t="s">
        <v>12592</v>
      </c>
      <c r="C2941" s="1" t="s">
        <v>11776</v>
      </c>
      <c r="D2941" s="2" t="n">
        <v>38026</v>
      </c>
      <c r="E2941" s="1" t="s">
        <v>710</v>
      </c>
      <c r="F2941" s="1" t="s">
        <v>711</v>
      </c>
      <c r="G2941" s="1" t="s">
        <v>2386</v>
      </c>
      <c r="H2941" s="1" t="s">
        <v>2387</v>
      </c>
      <c r="I2941" s="1" t="s">
        <v>2388</v>
      </c>
      <c r="J2941" s="1" t="s">
        <v>716</v>
      </c>
      <c r="K2941" s="1" t="s">
        <v>716</v>
      </c>
      <c r="L2941" s="1" t="s">
        <v>11779</v>
      </c>
      <c r="M2941" s="1" t="s">
        <v>718</v>
      </c>
    </row>
    <row r="2942" customFormat="false" ht="15" hidden="false" customHeight="false" outlineLevel="0" collapsed="false">
      <c r="A2942" s="1" t="s">
        <v>12593</v>
      </c>
      <c r="B2942" s="1" t="s">
        <v>12594</v>
      </c>
      <c r="C2942" s="1" t="s">
        <v>7308</v>
      </c>
      <c r="D2942" s="2" t="n">
        <v>32814</v>
      </c>
      <c r="E2942" s="1" t="s">
        <v>710</v>
      </c>
      <c r="F2942" s="1" t="s">
        <v>711</v>
      </c>
      <c r="G2942" s="1" t="s">
        <v>712</v>
      </c>
      <c r="H2942" s="1" t="s">
        <v>713</v>
      </c>
      <c r="I2942" s="1" t="s">
        <v>714</v>
      </c>
      <c r="J2942" s="1" t="s">
        <v>716</v>
      </c>
      <c r="K2942" s="1" t="s">
        <v>716</v>
      </c>
      <c r="L2942" s="1" t="s">
        <v>1418</v>
      </c>
      <c r="M2942" s="1" t="s">
        <v>718</v>
      </c>
    </row>
    <row r="2943" customFormat="false" ht="15" hidden="false" customHeight="false" outlineLevel="0" collapsed="false">
      <c r="A2943" s="1" t="s">
        <v>12595</v>
      </c>
      <c r="B2943" s="1" t="s">
        <v>12596</v>
      </c>
      <c r="C2943" s="1" t="s">
        <v>12597</v>
      </c>
      <c r="D2943" s="2" t="n">
        <v>30437</v>
      </c>
      <c r="E2943" s="1" t="s">
        <v>710</v>
      </c>
      <c r="F2943" s="1" t="s">
        <v>711</v>
      </c>
      <c r="G2943" s="1" t="s">
        <v>722</v>
      </c>
      <c r="H2943" s="1" t="s">
        <v>713</v>
      </c>
      <c r="I2943" s="1" t="s">
        <v>714</v>
      </c>
      <c r="J2943" s="1" t="s">
        <v>716</v>
      </c>
      <c r="K2943" s="1" t="s">
        <v>716</v>
      </c>
      <c r="L2943" s="1" t="s">
        <v>1418</v>
      </c>
      <c r="M2943" s="1" t="s">
        <v>718</v>
      </c>
    </row>
    <row r="2944" customFormat="false" ht="15" hidden="false" customHeight="false" outlineLevel="0" collapsed="false">
      <c r="A2944" s="1" t="s">
        <v>12598</v>
      </c>
      <c r="B2944" s="1" t="s">
        <v>1538</v>
      </c>
      <c r="C2944" s="1" t="s">
        <v>12599</v>
      </c>
      <c r="D2944" s="2" t="n">
        <v>39038</v>
      </c>
      <c r="E2944" s="1" t="s">
        <v>763</v>
      </c>
      <c r="F2944" s="1" t="s">
        <v>711</v>
      </c>
      <c r="G2944" s="1" t="s">
        <v>712</v>
      </c>
      <c r="H2944" s="1" t="s">
        <v>713</v>
      </c>
      <c r="I2944" s="1" t="s">
        <v>714</v>
      </c>
      <c r="J2944" s="1" t="s">
        <v>12600</v>
      </c>
      <c r="K2944" s="1" t="s">
        <v>12601</v>
      </c>
      <c r="L2944" s="1" t="s">
        <v>12602</v>
      </c>
      <c r="M2944" s="1" t="s">
        <v>718</v>
      </c>
    </row>
    <row r="2945" customFormat="false" ht="15" hidden="false" customHeight="false" outlineLevel="0" collapsed="false">
      <c r="A2945" s="1" t="s">
        <v>12603</v>
      </c>
      <c r="B2945" s="1" t="s">
        <v>12038</v>
      </c>
      <c r="C2945" s="1" t="s">
        <v>6646</v>
      </c>
      <c r="D2945" s="2" t="n">
        <v>39776</v>
      </c>
      <c r="E2945" s="1" t="s">
        <v>710</v>
      </c>
      <c r="F2945" s="1" t="s">
        <v>711</v>
      </c>
      <c r="G2945" s="1" t="s">
        <v>712</v>
      </c>
      <c r="H2945" s="1" t="s">
        <v>713</v>
      </c>
      <c r="I2945" s="1" t="s">
        <v>714</v>
      </c>
      <c r="J2945" s="1" t="s">
        <v>716</v>
      </c>
      <c r="K2945" s="1" t="s">
        <v>716</v>
      </c>
      <c r="L2945" s="1" t="s">
        <v>6648</v>
      </c>
      <c r="M2945" s="1" t="s">
        <v>718</v>
      </c>
    </row>
    <row r="2946" customFormat="false" ht="15" hidden="false" customHeight="false" outlineLevel="0" collapsed="false">
      <c r="A2946" s="1" t="s">
        <v>12604</v>
      </c>
      <c r="B2946" s="1" t="s">
        <v>12605</v>
      </c>
      <c r="C2946" s="1" t="s">
        <v>1234</v>
      </c>
      <c r="D2946" s="2" t="n">
        <v>38826</v>
      </c>
      <c r="E2946" s="1" t="s">
        <v>763</v>
      </c>
      <c r="F2946" s="1" t="s">
        <v>711</v>
      </c>
      <c r="G2946" s="1" t="s">
        <v>12606</v>
      </c>
      <c r="H2946" s="1" t="s">
        <v>713</v>
      </c>
      <c r="I2946" s="1" t="s">
        <v>714</v>
      </c>
      <c r="J2946" s="1" t="s">
        <v>740</v>
      </c>
      <c r="K2946" s="1" t="s">
        <v>12607</v>
      </c>
      <c r="L2946" s="1" t="s">
        <v>10556</v>
      </c>
      <c r="M2946" s="1" t="s">
        <v>718</v>
      </c>
    </row>
    <row r="2947" customFormat="false" ht="15" hidden="false" customHeight="false" outlineLevel="0" collapsed="false">
      <c r="A2947" s="1" t="s">
        <v>12608</v>
      </c>
      <c r="B2947" s="1" t="s">
        <v>11579</v>
      </c>
      <c r="C2947" s="1" t="s">
        <v>12609</v>
      </c>
      <c r="D2947" s="2" t="n">
        <v>38867</v>
      </c>
      <c r="E2947" s="1" t="s">
        <v>763</v>
      </c>
      <c r="F2947" s="1" t="s">
        <v>711</v>
      </c>
      <c r="G2947" s="1" t="s">
        <v>712</v>
      </c>
      <c r="H2947" s="1" t="s">
        <v>713</v>
      </c>
      <c r="I2947" s="1" t="s">
        <v>714</v>
      </c>
      <c r="J2947" s="1" t="s">
        <v>1445</v>
      </c>
      <c r="K2947" s="1" t="s">
        <v>12610</v>
      </c>
      <c r="L2947" s="1" t="s">
        <v>12611</v>
      </c>
      <c r="M2947" s="1" t="s">
        <v>718</v>
      </c>
    </row>
    <row r="2948" customFormat="false" ht="15" hidden="false" customHeight="false" outlineLevel="0" collapsed="false">
      <c r="A2948" s="1" t="s">
        <v>12612</v>
      </c>
      <c r="B2948" s="1" t="s">
        <v>12613</v>
      </c>
      <c r="C2948" s="1" t="s">
        <v>12614</v>
      </c>
      <c r="D2948" s="2" t="n">
        <v>38595</v>
      </c>
      <c r="E2948" s="1" t="s">
        <v>710</v>
      </c>
      <c r="F2948" s="1" t="s">
        <v>711</v>
      </c>
      <c r="G2948" s="1" t="s">
        <v>722</v>
      </c>
      <c r="H2948" s="1" t="s">
        <v>713</v>
      </c>
      <c r="I2948" s="1" t="s">
        <v>714</v>
      </c>
      <c r="J2948" s="1" t="s">
        <v>928</v>
      </c>
      <c r="K2948" s="1" t="s">
        <v>12615</v>
      </c>
      <c r="L2948" s="1" t="s">
        <v>10621</v>
      </c>
      <c r="M2948" s="1" t="s">
        <v>718</v>
      </c>
    </row>
    <row r="2949" customFormat="false" ht="15" hidden="false" customHeight="false" outlineLevel="0" collapsed="false">
      <c r="A2949" s="1" t="s">
        <v>12616</v>
      </c>
      <c r="B2949" s="1" t="s">
        <v>755</v>
      </c>
      <c r="C2949" s="1" t="s">
        <v>1122</v>
      </c>
      <c r="D2949" s="2" t="n">
        <v>39308</v>
      </c>
      <c r="E2949" s="1" t="s">
        <v>710</v>
      </c>
      <c r="F2949" s="1" t="s">
        <v>711</v>
      </c>
      <c r="G2949" s="1" t="s">
        <v>722</v>
      </c>
      <c r="H2949" s="1" t="s">
        <v>713</v>
      </c>
      <c r="I2949" s="1" t="s">
        <v>714</v>
      </c>
      <c r="J2949" s="1" t="s">
        <v>1723</v>
      </c>
      <c r="K2949" s="1" t="s">
        <v>12617</v>
      </c>
      <c r="L2949" s="1" t="s">
        <v>12618</v>
      </c>
      <c r="M2949" s="1" t="s">
        <v>718</v>
      </c>
    </row>
    <row r="2950" customFormat="false" ht="15" hidden="false" customHeight="false" outlineLevel="0" collapsed="false">
      <c r="A2950" s="1" t="s">
        <v>12619</v>
      </c>
      <c r="B2950" s="1" t="s">
        <v>12620</v>
      </c>
      <c r="C2950" s="1" t="s">
        <v>2411</v>
      </c>
      <c r="D2950" s="2" t="n">
        <v>38986</v>
      </c>
      <c r="E2950" s="1" t="s">
        <v>763</v>
      </c>
      <c r="F2950" s="1" t="s">
        <v>711</v>
      </c>
      <c r="G2950" s="1" t="s">
        <v>712</v>
      </c>
      <c r="H2950" s="1" t="s">
        <v>713</v>
      </c>
      <c r="I2950" s="1" t="s">
        <v>714</v>
      </c>
      <c r="J2950" s="1" t="s">
        <v>821</v>
      </c>
      <c r="K2950" s="1" t="s">
        <v>12621</v>
      </c>
      <c r="L2950" s="1" t="s">
        <v>2413</v>
      </c>
      <c r="M2950" s="1" t="s">
        <v>718</v>
      </c>
    </row>
    <row r="2951" customFormat="false" ht="15" hidden="false" customHeight="false" outlineLevel="0" collapsed="false">
      <c r="A2951" s="1" t="s">
        <v>12622</v>
      </c>
      <c r="B2951" s="1" t="s">
        <v>12623</v>
      </c>
      <c r="C2951" s="1" t="s">
        <v>12624</v>
      </c>
      <c r="D2951" s="2" t="n">
        <v>38817</v>
      </c>
      <c r="E2951" s="1" t="s">
        <v>763</v>
      </c>
      <c r="F2951" s="1" t="s">
        <v>711</v>
      </c>
      <c r="G2951" s="1" t="s">
        <v>712</v>
      </c>
      <c r="H2951" s="1" t="s">
        <v>713</v>
      </c>
      <c r="I2951" s="1" t="s">
        <v>714</v>
      </c>
      <c r="J2951" s="1" t="s">
        <v>7565</v>
      </c>
      <c r="K2951" s="1" t="s">
        <v>12625</v>
      </c>
      <c r="L2951" s="1" t="s">
        <v>12626</v>
      </c>
      <c r="M2951" s="1" t="s">
        <v>718</v>
      </c>
    </row>
    <row r="2952" customFormat="false" ht="15" hidden="false" customHeight="false" outlineLevel="0" collapsed="false">
      <c r="A2952" s="1" t="s">
        <v>12627</v>
      </c>
      <c r="B2952" s="1" t="s">
        <v>2228</v>
      </c>
      <c r="C2952" s="1" t="s">
        <v>12628</v>
      </c>
      <c r="D2952" s="2" t="n">
        <v>39328</v>
      </c>
      <c r="E2952" s="1" t="s">
        <v>710</v>
      </c>
      <c r="F2952" s="1" t="s">
        <v>711</v>
      </c>
      <c r="G2952" s="1" t="s">
        <v>712</v>
      </c>
      <c r="H2952" s="1" t="s">
        <v>713</v>
      </c>
      <c r="I2952" s="1" t="s">
        <v>714</v>
      </c>
      <c r="J2952" s="1" t="s">
        <v>1898</v>
      </c>
      <c r="K2952" s="1" t="s">
        <v>12629</v>
      </c>
      <c r="L2952" s="1" t="s">
        <v>4520</v>
      </c>
      <c r="M2952" s="1" t="s">
        <v>718</v>
      </c>
    </row>
    <row r="2953" customFormat="false" ht="15" hidden="false" customHeight="false" outlineLevel="0" collapsed="false">
      <c r="A2953" s="1" t="s">
        <v>12630</v>
      </c>
      <c r="B2953" s="1" t="s">
        <v>8672</v>
      </c>
      <c r="C2953" s="1" t="s">
        <v>1139</v>
      </c>
      <c r="D2953" s="2" t="n">
        <v>39210</v>
      </c>
      <c r="E2953" s="1" t="s">
        <v>710</v>
      </c>
      <c r="F2953" s="1" t="s">
        <v>711</v>
      </c>
      <c r="G2953" s="1" t="s">
        <v>712</v>
      </c>
      <c r="H2953" s="1" t="s">
        <v>713</v>
      </c>
      <c r="I2953" s="1" t="s">
        <v>714</v>
      </c>
      <c r="J2953" s="1" t="s">
        <v>12631</v>
      </c>
      <c r="K2953" s="1" t="s">
        <v>12632</v>
      </c>
      <c r="L2953" s="1" t="s">
        <v>12633</v>
      </c>
      <c r="M2953" s="1" t="s">
        <v>718</v>
      </c>
    </row>
    <row r="2954" customFormat="false" ht="15" hidden="false" customHeight="false" outlineLevel="0" collapsed="false">
      <c r="A2954" s="1" t="s">
        <v>12634</v>
      </c>
      <c r="B2954" s="1" t="s">
        <v>12635</v>
      </c>
      <c r="C2954" s="1" t="s">
        <v>7521</v>
      </c>
      <c r="D2954" s="2" t="n">
        <v>36939</v>
      </c>
      <c r="E2954" s="1" t="s">
        <v>763</v>
      </c>
      <c r="F2954" s="1" t="s">
        <v>711</v>
      </c>
      <c r="G2954" s="1" t="s">
        <v>712</v>
      </c>
      <c r="H2954" s="1" t="s">
        <v>713</v>
      </c>
      <c r="I2954" s="1" t="s">
        <v>714</v>
      </c>
      <c r="J2954" s="1" t="s">
        <v>2807</v>
      </c>
      <c r="K2954" s="1" t="s">
        <v>12636</v>
      </c>
      <c r="L2954" s="1" t="s">
        <v>12637</v>
      </c>
      <c r="M2954" s="1" t="s">
        <v>718</v>
      </c>
    </row>
    <row r="2955" customFormat="false" ht="15" hidden="false" customHeight="false" outlineLevel="0" collapsed="false">
      <c r="A2955" s="1" t="s">
        <v>12638</v>
      </c>
      <c r="B2955" s="1" t="s">
        <v>2548</v>
      </c>
      <c r="C2955" s="1" t="s">
        <v>7521</v>
      </c>
      <c r="D2955" s="2" t="n">
        <v>38382</v>
      </c>
      <c r="E2955" s="1" t="s">
        <v>763</v>
      </c>
      <c r="F2955" s="1" t="s">
        <v>711</v>
      </c>
      <c r="G2955" s="1" t="s">
        <v>722</v>
      </c>
      <c r="H2955" s="1" t="s">
        <v>713</v>
      </c>
      <c r="I2955" s="1" t="s">
        <v>714</v>
      </c>
      <c r="J2955" s="1" t="s">
        <v>2807</v>
      </c>
      <c r="K2955" s="1" t="s">
        <v>716</v>
      </c>
      <c r="L2955" s="1" t="s">
        <v>12637</v>
      </c>
      <c r="M2955" s="1" t="s">
        <v>718</v>
      </c>
    </row>
    <row r="2956" customFormat="false" ht="15" hidden="false" customHeight="false" outlineLevel="0" collapsed="false">
      <c r="A2956" s="1" t="s">
        <v>12639</v>
      </c>
      <c r="B2956" s="1" t="s">
        <v>4906</v>
      </c>
      <c r="C2956" s="1" t="s">
        <v>12640</v>
      </c>
      <c r="D2956" s="2" t="n">
        <v>39028</v>
      </c>
      <c r="E2956" s="1" t="s">
        <v>710</v>
      </c>
      <c r="F2956" s="1" t="s">
        <v>711</v>
      </c>
      <c r="G2956" s="1" t="s">
        <v>712</v>
      </c>
      <c r="H2956" s="1" t="s">
        <v>713</v>
      </c>
      <c r="I2956" s="1" t="s">
        <v>714</v>
      </c>
      <c r="J2956" s="1" t="s">
        <v>859</v>
      </c>
      <c r="K2956" s="1" t="s">
        <v>12641</v>
      </c>
      <c r="L2956" s="1" t="s">
        <v>12642</v>
      </c>
      <c r="M2956" s="1" t="s">
        <v>718</v>
      </c>
    </row>
    <row r="2957" customFormat="false" ht="15" hidden="false" customHeight="false" outlineLevel="0" collapsed="false">
      <c r="A2957" s="1" t="s">
        <v>12643</v>
      </c>
      <c r="B2957" s="1" t="s">
        <v>7516</v>
      </c>
      <c r="C2957" s="1" t="s">
        <v>12644</v>
      </c>
      <c r="D2957" s="2" t="n">
        <v>38792</v>
      </c>
      <c r="E2957" s="1" t="s">
        <v>710</v>
      </c>
      <c r="F2957" s="1" t="s">
        <v>711</v>
      </c>
      <c r="G2957" s="1" t="s">
        <v>722</v>
      </c>
      <c r="H2957" s="1" t="s">
        <v>713</v>
      </c>
      <c r="I2957" s="1" t="s">
        <v>714</v>
      </c>
      <c r="J2957" s="1" t="s">
        <v>1530</v>
      </c>
      <c r="K2957" s="1" t="s">
        <v>12645</v>
      </c>
      <c r="L2957" s="1" t="s">
        <v>4788</v>
      </c>
      <c r="M2957" s="1" t="s">
        <v>718</v>
      </c>
    </row>
    <row r="2958" customFormat="false" ht="15" hidden="false" customHeight="false" outlineLevel="0" collapsed="false">
      <c r="A2958" s="1" t="s">
        <v>12646</v>
      </c>
      <c r="B2958" s="1" t="s">
        <v>12647</v>
      </c>
      <c r="C2958" s="1" t="s">
        <v>6966</v>
      </c>
      <c r="D2958" s="2" t="n">
        <v>39079</v>
      </c>
      <c r="E2958" s="1" t="s">
        <v>763</v>
      </c>
      <c r="F2958" s="1" t="s">
        <v>711</v>
      </c>
      <c r="G2958" s="1" t="s">
        <v>722</v>
      </c>
      <c r="H2958" s="1" t="s">
        <v>713</v>
      </c>
      <c r="I2958" s="1" t="s">
        <v>714</v>
      </c>
      <c r="J2958" s="1" t="s">
        <v>12648</v>
      </c>
      <c r="K2958" s="1" t="s">
        <v>12649</v>
      </c>
      <c r="L2958" s="1" t="s">
        <v>6969</v>
      </c>
      <c r="M2958" s="1" t="s">
        <v>718</v>
      </c>
    </row>
    <row r="2959" customFormat="false" ht="15" hidden="false" customHeight="false" outlineLevel="0" collapsed="false">
      <c r="A2959" s="1" t="s">
        <v>12650</v>
      </c>
      <c r="B2959" s="1" t="s">
        <v>12651</v>
      </c>
      <c r="C2959" s="1" t="s">
        <v>12652</v>
      </c>
      <c r="D2959" s="2" t="n">
        <v>39022</v>
      </c>
      <c r="E2959" s="1" t="s">
        <v>763</v>
      </c>
      <c r="F2959" s="1" t="s">
        <v>711</v>
      </c>
      <c r="G2959" s="1" t="s">
        <v>722</v>
      </c>
      <c r="H2959" s="1" t="s">
        <v>713</v>
      </c>
      <c r="I2959" s="1" t="s">
        <v>714</v>
      </c>
      <c r="J2959" s="1" t="s">
        <v>2499</v>
      </c>
      <c r="K2959" s="1" t="s">
        <v>12653</v>
      </c>
      <c r="L2959" s="1" t="s">
        <v>12654</v>
      </c>
      <c r="M2959" s="1" t="s">
        <v>718</v>
      </c>
    </row>
    <row r="2960" customFormat="false" ht="15" hidden="false" customHeight="false" outlineLevel="0" collapsed="false">
      <c r="A2960" s="1" t="s">
        <v>12655</v>
      </c>
      <c r="B2960" s="1" t="s">
        <v>12656</v>
      </c>
      <c r="C2960" s="1" t="s">
        <v>6972</v>
      </c>
      <c r="D2960" s="2" t="n">
        <v>39458</v>
      </c>
      <c r="E2960" s="1" t="s">
        <v>710</v>
      </c>
      <c r="F2960" s="1" t="s">
        <v>711</v>
      </c>
      <c r="G2960" s="1" t="s">
        <v>722</v>
      </c>
      <c r="H2960" s="1" t="s">
        <v>713</v>
      </c>
      <c r="I2960" s="1" t="s">
        <v>714</v>
      </c>
      <c r="J2960" s="1" t="s">
        <v>821</v>
      </c>
      <c r="K2960" s="1" t="s">
        <v>12657</v>
      </c>
      <c r="L2960" s="1" t="s">
        <v>12658</v>
      </c>
      <c r="M2960" s="1" t="s">
        <v>718</v>
      </c>
    </row>
    <row r="2961" customFormat="false" ht="15" hidden="false" customHeight="false" outlineLevel="0" collapsed="false">
      <c r="A2961" s="1" t="s">
        <v>12659</v>
      </c>
      <c r="B2961" s="1" t="s">
        <v>12660</v>
      </c>
      <c r="C2961" s="1" t="s">
        <v>12661</v>
      </c>
      <c r="D2961" s="2" t="n">
        <v>38180</v>
      </c>
      <c r="E2961" s="1" t="s">
        <v>763</v>
      </c>
      <c r="F2961" s="1" t="s">
        <v>711</v>
      </c>
      <c r="G2961" s="1" t="s">
        <v>712</v>
      </c>
      <c r="H2961" s="1" t="s">
        <v>713</v>
      </c>
      <c r="I2961" s="1" t="s">
        <v>714</v>
      </c>
      <c r="J2961" s="1" t="s">
        <v>2000</v>
      </c>
      <c r="K2961" s="1" t="s">
        <v>12662</v>
      </c>
      <c r="L2961" s="1" t="s">
        <v>12663</v>
      </c>
      <c r="M2961" s="1" t="s">
        <v>718</v>
      </c>
    </row>
    <row r="2962" s="13" customFormat="true" ht="15" hidden="false" customHeight="false" outlineLevel="0" collapsed="false">
      <c r="A2962" s="10" t="s">
        <v>645</v>
      </c>
      <c r="B2962" s="10" t="s">
        <v>12664</v>
      </c>
      <c r="C2962" s="10" t="s">
        <v>11178</v>
      </c>
      <c r="D2962" s="12" t="n">
        <v>38755</v>
      </c>
      <c r="E2962" s="10" t="s">
        <v>763</v>
      </c>
      <c r="F2962" s="10" t="s">
        <v>711</v>
      </c>
      <c r="G2962" s="10" t="s">
        <v>712</v>
      </c>
      <c r="H2962" s="10" t="s">
        <v>713</v>
      </c>
      <c r="I2962" s="10" t="s">
        <v>714</v>
      </c>
      <c r="J2962" s="10" t="s">
        <v>1244</v>
      </c>
      <c r="K2962" s="10" t="s">
        <v>11170</v>
      </c>
      <c r="L2962" s="10" t="s">
        <v>10899</v>
      </c>
      <c r="M2962" s="10" t="s">
        <v>718</v>
      </c>
      <c r="XEE2962" s="0"/>
      <c r="XEF2962" s="0"/>
      <c r="XEG2962" s="0"/>
      <c r="XEH2962" s="0"/>
      <c r="XEI2962" s="0"/>
      <c r="XEJ2962" s="0"/>
      <c r="XEK2962" s="0"/>
      <c r="XEL2962" s="0"/>
      <c r="XEM2962" s="0"/>
      <c r="XEN2962" s="0"/>
      <c r="XEO2962" s="0"/>
      <c r="XEP2962" s="0"/>
      <c r="XEQ2962" s="0"/>
      <c r="XER2962" s="0"/>
      <c r="XES2962" s="0"/>
      <c r="XET2962" s="0"/>
      <c r="XEU2962" s="0"/>
      <c r="XEV2962" s="0"/>
      <c r="XEW2962" s="0"/>
      <c r="XEX2962" s="0"/>
      <c r="XEY2962" s="0"/>
      <c r="XEZ2962" s="0"/>
      <c r="XFA2962" s="0"/>
      <c r="XFB2962" s="0"/>
      <c r="XFC2962" s="0"/>
      <c r="XFD2962" s="0"/>
    </row>
    <row r="2963" customFormat="false" ht="15" hidden="false" customHeight="false" outlineLevel="0" collapsed="false">
      <c r="A2963" s="1" t="s">
        <v>12665</v>
      </c>
      <c r="B2963" s="1" t="s">
        <v>12666</v>
      </c>
      <c r="C2963" s="1" t="s">
        <v>12667</v>
      </c>
      <c r="D2963" s="2" t="n">
        <v>38883</v>
      </c>
      <c r="E2963" s="1" t="s">
        <v>710</v>
      </c>
      <c r="F2963" s="1" t="s">
        <v>711</v>
      </c>
      <c r="G2963" s="1" t="s">
        <v>712</v>
      </c>
      <c r="H2963" s="1" t="s">
        <v>713</v>
      </c>
      <c r="I2963" s="1" t="s">
        <v>714</v>
      </c>
      <c r="J2963" s="1" t="s">
        <v>2000</v>
      </c>
      <c r="K2963" s="1" t="s">
        <v>12668</v>
      </c>
      <c r="L2963" s="1" t="s">
        <v>3531</v>
      </c>
      <c r="M2963" s="1" t="s">
        <v>718</v>
      </c>
    </row>
    <row r="2964" customFormat="false" ht="15" hidden="false" customHeight="false" outlineLevel="0" collapsed="false">
      <c r="A2964" s="1" t="s">
        <v>12669</v>
      </c>
      <c r="B2964" s="1" t="s">
        <v>12670</v>
      </c>
      <c r="C2964" s="1" t="s">
        <v>12671</v>
      </c>
      <c r="D2964" s="2" t="n">
        <v>39416</v>
      </c>
      <c r="E2964" s="1" t="s">
        <v>710</v>
      </c>
      <c r="F2964" s="1" t="s">
        <v>711</v>
      </c>
      <c r="G2964" s="1" t="s">
        <v>712</v>
      </c>
      <c r="H2964" s="1" t="s">
        <v>713</v>
      </c>
      <c r="I2964" s="1" t="s">
        <v>714</v>
      </c>
      <c r="J2964" s="1" t="s">
        <v>6365</v>
      </c>
      <c r="K2964" s="1" t="s">
        <v>12672</v>
      </c>
      <c r="L2964" s="1" t="s">
        <v>12673</v>
      </c>
      <c r="M2964" s="1" t="s">
        <v>718</v>
      </c>
    </row>
    <row r="2965" customFormat="false" ht="15" hidden="false" customHeight="false" outlineLevel="0" collapsed="false">
      <c r="A2965" s="1" t="s">
        <v>12674</v>
      </c>
      <c r="B2965" s="1" t="s">
        <v>12675</v>
      </c>
      <c r="C2965" s="1" t="s">
        <v>12671</v>
      </c>
      <c r="D2965" s="2" t="n">
        <v>38936</v>
      </c>
      <c r="E2965" s="1" t="s">
        <v>710</v>
      </c>
      <c r="F2965" s="1" t="s">
        <v>711</v>
      </c>
      <c r="G2965" s="1" t="s">
        <v>712</v>
      </c>
      <c r="H2965" s="1" t="s">
        <v>713</v>
      </c>
      <c r="I2965" s="1" t="s">
        <v>714</v>
      </c>
      <c r="J2965" s="1" t="s">
        <v>6365</v>
      </c>
      <c r="K2965" s="1" t="s">
        <v>12672</v>
      </c>
      <c r="L2965" s="1" t="s">
        <v>12673</v>
      </c>
      <c r="M2965" s="1" t="s">
        <v>718</v>
      </c>
    </row>
    <row r="2966" customFormat="false" ht="15" hidden="false" customHeight="false" outlineLevel="0" collapsed="false">
      <c r="A2966" s="1" t="s">
        <v>12676</v>
      </c>
      <c r="B2966" s="1" t="s">
        <v>12677</v>
      </c>
      <c r="C2966" s="1" t="s">
        <v>9461</v>
      </c>
      <c r="D2966" s="2" t="n">
        <v>39478</v>
      </c>
      <c r="E2966" s="1" t="s">
        <v>763</v>
      </c>
      <c r="F2966" s="1" t="s">
        <v>711</v>
      </c>
      <c r="G2966" s="1" t="s">
        <v>712</v>
      </c>
      <c r="H2966" s="1" t="s">
        <v>713</v>
      </c>
      <c r="I2966" s="1" t="s">
        <v>714</v>
      </c>
      <c r="J2966" s="1" t="s">
        <v>821</v>
      </c>
      <c r="K2966" s="1" t="s">
        <v>12678</v>
      </c>
      <c r="L2966" s="1" t="s">
        <v>9463</v>
      </c>
      <c r="M2966" s="1" t="s">
        <v>718</v>
      </c>
    </row>
    <row r="2967" customFormat="false" ht="15" hidden="false" customHeight="false" outlineLevel="0" collapsed="false">
      <c r="A2967" s="1" t="s">
        <v>12679</v>
      </c>
      <c r="B2967" s="1" t="s">
        <v>12680</v>
      </c>
      <c r="C2967" s="1" t="s">
        <v>12681</v>
      </c>
      <c r="D2967" s="2" t="n">
        <v>39042</v>
      </c>
      <c r="E2967" s="1" t="s">
        <v>763</v>
      </c>
      <c r="F2967" s="1" t="s">
        <v>711</v>
      </c>
      <c r="G2967" s="1" t="s">
        <v>722</v>
      </c>
      <c r="H2967" s="1" t="s">
        <v>713</v>
      </c>
      <c r="I2967" s="1" t="s">
        <v>714</v>
      </c>
      <c r="J2967" s="1" t="s">
        <v>2807</v>
      </c>
      <c r="K2967" s="1" t="s">
        <v>12682</v>
      </c>
      <c r="L2967" s="1" t="s">
        <v>12683</v>
      </c>
      <c r="M2967" s="1" t="s">
        <v>718</v>
      </c>
    </row>
    <row r="2968" customFormat="false" ht="15" hidden="false" customHeight="false" outlineLevel="0" collapsed="false">
      <c r="A2968" s="1" t="s">
        <v>12684</v>
      </c>
      <c r="B2968" s="1" t="s">
        <v>12685</v>
      </c>
      <c r="C2968" s="1" t="s">
        <v>12686</v>
      </c>
      <c r="D2968" s="2" t="n">
        <v>39093</v>
      </c>
      <c r="E2968" s="1" t="s">
        <v>763</v>
      </c>
      <c r="F2968" s="1" t="s">
        <v>711</v>
      </c>
      <c r="G2968" s="1" t="s">
        <v>722</v>
      </c>
      <c r="H2968" s="1" t="s">
        <v>713</v>
      </c>
      <c r="I2968" s="1" t="s">
        <v>714</v>
      </c>
      <c r="J2968" s="1" t="s">
        <v>740</v>
      </c>
      <c r="K2968" s="1" t="s">
        <v>12687</v>
      </c>
      <c r="L2968" s="1" t="s">
        <v>12688</v>
      </c>
      <c r="M2968" s="1" t="s">
        <v>718</v>
      </c>
    </row>
    <row r="2969" customFormat="false" ht="15" hidden="false" customHeight="false" outlineLevel="0" collapsed="false">
      <c r="A2969" s="1" t="s">
        <v>12689</v>
      </c>
      <c r="B2969" s="1" t="s">
        <v>12534</v>
      </c>
      <c r="C2969" s="1" t="s">
        <v>10452</v>
      </c>
      <c r="D2969" s="2" t="n">
        <v>39090</v>
      </c>
      <c r="E2969" s="1" t="s">
        <v>763</v>
      </c>
      <c r="F2969" s="1" t="s">
        <v>711</v>
      </c>
      <c r="G2969" s="1" t="s">
        <v>712</v>
      </c>
      <c r="H2969" s="1" t="s">
        <v>713</v>
      </c>
      <c r="I2969" s="1" t="s">
        <v>714</v>
      </c>
      <c r="J2969" s="1" t="s">
        <v>2499</v>
      </c>
      <c r="K2969" s="1" t="s">
        <v>12690</v>
      </c>
      <c r="L2969" s="1" t="s">
        <v>12691</v>
      </c>
      <c r="M2969" s="1" t="s">
        <v>718</v>
      </c>
    </row>
    <row r="2970" customFormat="false" ht="15" hidden="false" customHeight="false" outlineLevel="0" collapsed="false">
      <c r="A2970" s="1" t="s">
        <v>12692</v>
      </c>
      <c r="B2970" s="1" t="s">
        <v>12693</v>
      </c>
      <c r="C2970" s="1" t="s">
        <v>10723</v>
      </c>
      <c r="D2970" s="2" t="n">
        <v>39046</v>
      </c>
      <c r="E2970" s="1" t="s">
        <v>763</v>
      </c>
      <c r="F2970" s="1" t="s">
        <v>711</v>
      </c>
      <c r="G2970" s="1" t="s">
        <v>712</v>
      </c>
      <c r="H2970" s="1" t="s">
        <v>713</v>
      </c>
      <c r="I2970" s="1" t="s">
        <v>714</v>
      </c>
      <c r="J2970" s="1" t="s">
        <v>1390</v>
      </c>
      <c r="K2970" s="1" t="s">
        <v>12694</v>
      </c>
      <c r="L2970" s="1" t="s">
        <v>10725</v>
      </c>
      <c r="M2970" s="1" t="s">
        <v>718</v>
      </c>
    </row>
    <row r="2971" customFormat="false" ht="15" hidden="false" customHeight="false" outlineLevel="0" collapsed="false">
      <c r="A2971" s="1" t="s">
        <v>12695</v>
      </c>
      <c r="B2971" s="1" t="s">
        <v>12696</v>
      </c>
      <c r="C2971" s="1" t="s">
        <v>10632</v>
      </c>
      <c r="D2971" s="2" t="n">
        <v>38582</v>
      </c>
      <c r="E2971" s="1" t="s">
        <v>710</v>
      </c>
      <c r="F2971" s="1" t="s">
        <v>711</v>
      </c>
      <c r="G2971" s="1" t="s">
        <v>712</v>
      </c>
      <c r="H2971" s="1" t="s">
        <v>713</v>
      </c>
      <c r="I2971" s="1" t="s">
        <v>714</v>
      </c>
      <c r="J2971" s="1" t="s">
        <v>4940</v>
      </c>
      <c r="K2971" s="1" t="s">
        <v>12697</v>
      </c>
      <c r="L2971" s="1" t="s">
        <v>9458</v>
      </c>
      <c r="M2971" s="1" t="s">
        <v>718</v>
      </c>
    </row>
    <row r="2972" customFormat="false" ht="15" hidden="false" customHeight="false" outlineLevel="0" collapsed="false">
      <c r="A2972" s="1" t="s">
        <v>12698</v>
      </c>
      <c r="B2972" s="1" t="s">
        <v>12699</v>
      </c>
      <c r="C2972" s="1" t="s">
        <v>12700</v>
      </c>
      <c r="D2972" s="2" t="n">
        <v>39443</v>
      </c>
      <c r="E2972" s="1" t="s">
        <v>763</v>
      </c>
      <c r="F2972" s="1" t="s">
        <v>711</v>
      </c>
      <c r="G2972" s="1" t="s">
        <v>722</v>
      </c>
      <c r="H2972" s="1" t="s">
        <v>713</v>
      </c>
      <c r="I2972" s="1" t="s">
        <v>714</v>
      </c>
      <c r="J2972" s="1" t="s">
        <v>12701</v>
      </c>
      <c r="K2972" s="1" t="s">
        <v>8552</v>
      </c>
      <c r="L2972" s="1" t="s">
        <v>10842</v>
      </c>
      <c r="M2972" s="1" t="s">
        <v>718</v>
      </c>
    </row>
    <row r="2973" customFormat="false" ht="15" hidden="false" customHeight="false" outlineLevel="0" collapsed="false">
      <c r="A2973" s="1" t="s">
        <v>12702</v>
      </c>
      <c r="B2973" s="1" t="s">
        <v>12703</v>
      </c>
      <c r="C2973" s="1" t="s">
        <v>12704</v>
      </c>
      <c r="D2973" s="2" t="n">
        <v>38996</v>
      </c>
      <c r="E2973" s="1" t="s">
        <v>710</v>
      </c>
      <c r="F2973" s="1" t="s">
        <v>711</v>
      </c>
      <c r="G2973" s="1" t="s">
        <v>712</v>
      </c>
      <c r="H2973" s="1" t="s">
        <v>713</v>
      </c>
      <c r="I2973" s="1" t="s">
        <v>714</v>
      </c>
      <c r="J2973" s="1" t="s">
        <v>715</v>
      </c>
      <c r="K2973" s="1" t="s">
        <v>12705</v>
      </c>
      <c r="L2973" s="1" t="s">
        <v>12706</v>
      </c>
      <c r="M2973" s="1" t="s">
        <v>718</v>
      </c>
    </row>
    <row r="2974" customFormat="false" ht="15" hidden="false" customHeight="false" outlineLevel="0" collapsed="false">
      <c r="A2974" s="1" t="s">
        <v>12707</v>
      </c>
      <c r="B2974" s="1" t="s">
        <v>12708</v>
      </c>
      <c r="C2974" s="1" t="s">
        <v>12709</v>
      </c>
      <c r="D2974" s="2" t="n">
        <v>39378</v>
      </c>
      <c r="E2974" s="1" t="s">
        <v>763</v>
      </c>
      <c r="F2974" s="1" t="s">
        <v>711</v>
      </c>
      <c r="G2974" s="1" t="s">
        <v>712</v>
      </c>
      <c r="H2974" s="1" t="s">
        <v>713</v>
      </c>
      <c r="I2974" s="1" t="s">
        <v>714</v>
      </c>
      <c r="J2974" s="1" t="s">
        <v>9891</v>
      </c>
      <c r="K2974" s="1" t="s">
        <v>12710</v>
      </c>
      <c r="L2974" s="1" t="s">
        <v>12711</v>
      </c>
      <c r="M2974" s="1" t="s">
        <v>718</v>
      </c>
    </row>
    <row r="2975" customFormat="false" ht="15" hidden="false" customHeight="false" outlineLevel="0" collapsed="false">
      <c r="A2975" s="1" t="s">
        <v>12712</v>
      </c>
      <c r="B2975" s="1" t="s">
        <v>12713</v>
      </c>
      <c r="C2975" s="1" t="s">
        <v>12714</v>
      </c>
      <c r="D2975" s="2" t="n">
        <v>38792</v>
      </c>
      <c r="E2975" s="1" t="s">
        <v>710</v>
      </c>
      <c r="F2975" s="1" t="s">
        <v>711</v>
      </c>
      <c r="G2975" s="1" t="s">
        <v>722</v>
      </c>
      <c r="H2975" s="1" t="s">
        <v>713</v>
      </c>
      <c r="I2975" s="1" t="s">
        <v>714</v>
      </c>
      <c r="J2975" s="1" t="s">
        <v>740</v>
      </c>
      <c r="K2975" s="1" t="s">
        <v>12715</v>
      </c>
      <c r="L2975" s="1" t="s">
        <v>1916</v>
      </c>
      <c r="M2975" s="1" t="s">
        <v>718</v>
      </c>
    </row>
    <row r="2976" customFormat="false" ht="15" hidden="false" customHeight="false" outlineLevel="0" collapsed="false">
      <c r="A2976" s="1" t="s">
        <v>12716</v>
      </c>
      <c r="B2976" s="1" t="s">
        <v>12717</v>
      </c>
      <c r="C2976" s="1" t="s">
        <v>12718</v>
      </c>
      <c r="D2976" s="2" t="n">
        <v>38675</v>
      </c>
      <c r="E2976" s="1" t="s">
        <v>710</v>
      </c>
      <c r="F2976" s="1" t="s">
        <v>711</v>
      </c>
      <c r="G2976" s="1" t="s">
        <v>12719</v>
      </c>
      <c r="H2976" s="1" t="s">
        <v>12719</v>
      </c>
      <c r="I2976" s="1" t="s">
        <v>12720</v>
      </c>
      <c r="J2976" s="1" t="s">
        <v>2041</v>
      </c>
      <c r="K2976" s="1" t="s">
        <v>12721</v>
      </c>
      <c r="L2976" s="1" t="s">
        <v>12722</v>
      </c>
      <c r="M2976" s="1" t="s">
        <v>718</v>
      </c>
    </row>
    <row r="2977" customFormat="false" ht="15" hidden="false" customHeight="false" outlineLevel="0" collapsed="false">
      <c r="A2977" s="1" t="s">
        <v>12723</v>
      </c>
      <c r="B2977" s="1" t="s">
        <v>1668</v>
      </c>
      <c r="C2977" s="1" t="s">
        <v>10413</v>
      </c>
      <c r="D2977" s="2" t="n">
        <v>38498</v>
      </c>
      <c r="E2977" s="1" t="s">
        <v>710</v>
      </c>
      <c r="F2977" s="1" t="s">
        <v>711</v>
      </c>
      <c r="G2977" s="1" t="s">
        <v>722</v>
      </c>
      <c r="H2977" s="1" t="s">
        <v>713</v>
      </c>
      <c r="I2977" s="1" t="s">
        <v>714</v>
      </c>
      <c r="J2977" s="1" t="s">
        <v>2041</v>
      </c>
      <c r="K2977" s="1" t="s">
        <v>12724</v>
      </c>
      <c r="L2977" s="1" t="s">
        <v>1758</v>
      </c>
      <c r="M2977" s="1" t="s">
        <v>718</v>
      </c>
    </row>
    <row r="2978" customFormat="false" ht="15" hidden="false" customHeight="false" outlineLevel="0" collapsed="false">
      <c r="A2978" s="1" t="s">
        <v>12725</v>
      </c>
      <c r="B2978" s="1" t="s">
        <v>12726</v>
      </c>
      <c r="C2978" s="1" t="s">
        <v>6987</v>
      </c>
      <c r="D2978" s="2" t="n">
        <v>38819</v>
      </c>
      <c r="E2978" s="1" t="s">
        <v>763</v>
      </c>
      <c r="F2978" s="1" t="s">
        <v>711</v>
      </c>
      <c r="G2978" s="1" t="s">
        <v>712</v>
      </c>
      <c r="H2978" s="1" t="s">
        <v>713</v>
      </c>
      <c r="I2978" s="1" t="s">
        <v>714</v>
      </c>
      <c r="J2978" s="1" t="s">
        <v>1149</v>
      </c>
      <c r="K2978" s="1" t="s">
        <v>12727</v>
      </c>
      <c r="L2978" s="1" t="s">
        <v>6989</v>
      </c>
      <c r="M2978" s="1" t="s">
        <v>718</v>
      </c>
    </row>
    <row r="2979" customFormat="false" ht="15" hidden="false" customHeight="false" outlineLevel="0" collapsed="false">
      <c r="A2979" s="1" t="s">
        <v>12728</v>
      </c>
      <c r="B2979" s="1" t="s">
        <v>2548</v>
      </c>
      <c r="C2979" s="1" t="s">
        <v>4996</v>
      </c>
      <c r="D2979" s="2" t="n">
        <v>38668</v>
      </c>
      <c r="E2979" s="1" t="s">
        <v>763</v>
      </c>
      <c r="F2979" s="1" t="s">
        <v>711</v>
      </c>
      <c r="G2979" s="1" t="s">
        <v>712</v>
      </c>
      <c r="H2979" s="1" t="s">
        <v>713</v>
      </c>
      <c r="I2979" s="1" t="s">
        <v>714</v>
      </c>
      <c r="J2979" s="1" t="s">
        <v>2041</v>
      </c>
      <c r="K2979" s="1" t="s">
        <v>12729</v>
      </c>
      <c r="L2979" s="1" t="s">
        <v>6328</v>
      </c>
      <c r="M2979" s="1" t="s">
        <v>718</v>
      </c>
    </row>
    <row r="2980" customFormat="false" ht="15" hidden="false" customHeight="false" outlineLevel="0" collapsed="false">
      <c r="A2980" s="1" t="s">
        <v>12730</v>
      </c>
      <c r="B2980" s="1" t="s">
        <v>12731</v>
      </c>
      <c r="C2980" s="1" t="s">
        <v>10950</v>
      </c>
      <c r="D2980" s="2" t="n">
        <v>38821</v>
      </c>
      <c r="E2980" s="1" t="s">
        <v>763</v>
      </c>
      <c r="F2980" s="1" t="s">
        <v>711</v>
      </c>
      <c r="G2980" s="1" t="s">
        <v>712</v>
      </c>
      <c r="H2980" s="1" t="s">
        <v>713</v>
      </c>
      <c r="I2980" s="1" t="s">
        <v>714</v>
      </c>
      <c r="J2980" s="1" t="s">
        <v>7543</v>
      </c>
      <c r="K2980" s="1" t="s">
        <v>10952</v>
      </c>
      <c r="L2980" s="1" t="s">
        <v>10953</v>
      </c>
      <c r="M2980" s="1" t="s">
        <v>718</v>
      </c>
    </row>
    <row r="2981" customFormat="false" ht="15" hidden="false" customHeight="false" outlineLevel="0" collapsed="false">
      <c r="A2981" s="1" t="s">
        <v>12732</v>
      </c>
      <c r="B2981" s="1" t="s">
        <v>8090</v>
      </c>
      <c r="C2981" s="1" t="s">
        <v>2673</v>
      </c>
      <c r="D2981" s="2" t="n">
        <v>38910</v>
      </c>
      <c r="E2981" s="1" t="s">
        <v>763</v>
      </c>
      <c r="F2981" s="1" t="s">
        <v>711</v>
      </c>
      <c r="G2981" s="1" t="s">
        <v>5660</v>
      </c>
      <c r="H2981" s="1" t="s">
        <v>713</v>
      </c>
      <c r="I2981" s="1" t="s">
        <v>714</v>
      </c>
      <c r="J2981" s="1" t="s">
        <v>6365</v>
      </c>
      <c r="K2981" s="1" t="s">
        <v>12733</v>
      </c>
      <c r="L2981" s="1" t="s">
        <v>12734</v>
      </c>
      <c r="M2981" s="1" t="s">
        <v>718</v>
      </c>
    </row>
    <row r="2982" customFormat="false" ht="15" hidden="false" customHeight="false" outlineLevel="0" collapsed="false">
      <c r="A2982" s="1" t="s">
        <v>12735</v>
      </c>
      <c r="B2982" s="1" t="s">
        <v>12736</v>
      </c>
      <c r="C2982" s="1" t="s">
        <v>12334</v>
      </c>
      <c r="D2982" s="2" t="n">
        <v>38988</v>
      </c>
      <c r="E2982" s="1" t="s">
        <v>763</v>
      </c>
      <c r="F2982" s="1" t="s">
        <v>711</v>
      </c>
      <c r="G2982" s="1" t="s">
        <v>712</v>
      </c>
      <c r="H2982" s="1" t="s">
        <v>713</v>
      </c>
      <c r="I2982" s="1" t="s">
        <v>714</v>
      </c>
      <c r="J2982" s="1" t="s">
        <v>740</v>
      </c>
      <c r="K2982" s="1" t="s">
        <v>12737</v>
      </c>
      <c r="L2982" s="1" t="s">
        <v>12738</v>
      </c>
      <c r="M2982" s="1" t="s">
        <v>718</v>
      </c>
    </row>
    <row r="2983" customFormat="false" ht="15" hidden="false" customHeight="false" outlineLevel="0" collapsed="false">
      <c r="A2983" s="1" t="s">
        <v>12739</v>
      </c>
      <c r="B2983" s="1" t="s">
        <v>12740</v>
      </c>
      <c r="C2983" s="1" t="s">
        <v>12741</v>
      </c>
      <c r="D2983" s="2" t="n">
        <v>38860</v>
      </c>
      <c r="E2983" s="1" t="s">
        <v>763</v>
      </c>
      <c r="F2983" s="1" t="s">
        <v>711</v>
      </c>
      <c r="G2983" s="1" t="s">
        <v>722</v>
      </c>
      <c r="H2983" s="1" t="s">
        <v>713</v>
      </c>
      <c r="I2983" s="1" t="s">
        <v>714</v>
      </c>
      <c r="J2983" s="1" t="s">
        <v>2499</v>
      </c>
      <c r="K2983" s="1" t="s">
        <v>12742</v>
      </c>
      <c r="L2983" s="1" t="s">
        <v>12743</v>
      </c>
      <c r="M2983" s="1" t="s">
        <v>718</v>
      </c>
    </row>
    <row r="2984" customFormat="false" ht="15" hidden="false" customHeight="false" outlineLevel="0" collapsed="false">
      <c r="A2984" s="1" t="s">
        <v>12744</v>
      </c>
      <c r="B2984" s="1" t="s">
        <v>7160</v>
      </c>
      <c r="C2984" s="1" t="s">
        <v>12745</v>
      </c>
      <c r="D2984" s="2" t="n">
        <v>38929</v>
      </c>
      <c r="E2984" s="1" t="s">
        <v>710</v>
      </c>
      <c r="F2984" s="1" t="s">
        <v>711</v>
      </c>
      <c r="G2984" s="1" t="s">
        <v>712</v>
      </c>
      <c r="H2984" s="1" t="s">
        <v>713</v>
      </c>
      <c r="I2984" s="1" t="s">
        <v>714</v>
      </c>
      <c r="J2984" s="1" t="s">
        <v>821</v>
      </c>
      <c r="K2984" s="1" t="s">
        <v>10724</v>
      </c>
      <c r="L2984" s="1" t="s">
        <v>12746</v>
      </c>
      <c r="M2984" s="1" t="s">
        <v>718</v>
      </c>
    </row>
    <row r="2985" customFormat="false" ht="15" hidden="false" customHeight="false" outlineLevel="0" collapsed="false">
      <c r="A2985" s="1" t="s">
        <v>12747</v>
      </c>
      <c r="B2985" s="1" t="s">
        <v>12748</v>
      </c>
      <c r="C2985" s="1" t="s">
        <v>2375</v>
      </c>
      <c r="D2985" s="2" t="n">
        <v>38841</v>
      </c>
      <c r="E2985" s="1" t="s">
        <v>710</v>
      </c>
      <c r="F2985" s="1" t="s">
        <v>711</v>
      </c>
      <c r="G2985" s="1" t="s">
        <v>712</v>
      </c>
      <c r="H2985" s="1" t="s">
        <v>713</v>
      </c>
      <c r="I2985" s="1" t="s">
        <v>714</v>
      </c>
      <c r="J2985" s="1" t="s">
        <v>11412</v>
      </c>
      <c r="K2985" s="1" t="s">
        <v>12749</v>
      </c>
      <c r="L2985" s="1" t="s">
        <v>12750</v>
      </c>
      <c r="M2985" s="1" t="s">
        <v>718</v>
      </c>
    </row>
    <row r="2986" customFormat="false" ht="15" hidden="false" customHeight="false" outlineLevel="0" collapsed="false">
      <c r="A2986" s="1" t="s">
        <v>12751</v>
      </c>
      <c r="B2986" s="1" t="s">
        <v>12752</v>
      </c>
      <c r="C2986" s="1" t="s">
        <v>11718</v>
      </c>
      <c r="D2986" s="2" t="n">
        <v>39202</v>
      </c>
      <c r="E2986" s="1" t="s">
        <v>763</v>
      </c>
      <c r="F2986" s="1" t="s">
        <v>711</v>
      </c>
      <c r="G2986" s="1" t="s">
        <v>712</v>
      </c>
      <c r="H2986" s="1" t="s">
        <v>713</v>
      </c>
      <c r="I2986" s="1" t="s">
        <v>714</v>
      </c>
      <c r="J2986" s="1" t="s">
        <v>715</v>
      </c>
      <c r="K2986" s="1" t="s">
        <v>12753</v>
      </c>
      <c r="L2986" s="1" t="s">
        <v>1991</v>
      </c>
      <c r="M2986" s="1" t="s">
        <v>718</v>
      </c>
    </row>
    <row r="2987" customFormat="false" ht="15" hidden="false" customHeight="false" outlineLevel="0" collapsed="false">
      <c r="A2987" s="1" t="s">
        <v>12754</v>
      </c>
      <c r="B2987" s="1" t="s">
        <v>12755</v>
      </c>
      <c r="C2987" s="1" t="s">
        <v>2928</v>
      </c>
      <c r="D2987" s="2" t="n">
        <v>38990</v>
      </c>
      <c r="E2987" s="1" t="s">
        <v>763</v>
      </c>
      <c r="F2987" s="1" t="s">
        <v>711</v>
      </c>
      <c r="G2987" s="1" t="s">
        <v>712</v>
      </c>
      <c r="H2987" s="1" t="s">
        <v>713</v>
      </c>
      <c r="I2987" s="1" t="s">
        <v>714</v>
      </c>
      <c r="J2987" s="1" t="s">
        <v>2000</v>
      </c>
      <c r="K2987" s="1" t="s">
        <v>12756</v>
      </c>
      <c r="L2987" s="1" t="s">
        <v>2930</v>
      </c>
      <c r="M2987" s="1" t="s">
        <v>718</v>
      </c>
    </row>
    <row r="2988" customFormat="false" ht="15" hidden="false" customHeight="false" outlineLevel="0" collapsed="false">
      <c r="A2988" s="1" t="s">
        <v>12757</v>
      </c>
      <c r="B2988" s="1" t="s">
        <v>12758</v>
      </c>
      <c r="C2988" s="1" t="s">
        <v>4403</v>
      </c>
      <c r="D2988" s="2" t="n">
        <v>38967</v>
      </c>
      <c r="E2988" s="1" t="s">
        <v>763</v>
      </c>
      <c r="F2988" s="1" t="s">
        <v>711</v>
      </c>
      <c r="G2988" s="1" t="s">
        <v>712</v>
      </c>
      <c r="H2988" s="1" t="s">
        <v>713</v>
      </c>
      <c r="I2988" s="1" t="s">
        <v>714</v>
      </c>
      <c r="J2988" s="1" t="s">
        <v>826</v>
      </c>
      <c r="K2988" s="1" t="s">
        <v>12759</v>
      </c>
      <c r="L2988" s="1" t="s">
        <v>1749</v>
      </c>
      <c r="M2988" s="1" t="s">
        <v>718</v>
      </c>
    </row>
    <row r="2989" customFormat="false" ht="15" hidden="false" customHeight="false" outlineLevel="0" collapsed="false">
      <c r="A2989" s="1" t="s">
        <v>12760</v>
      </c>
      <c r="B2989" s="1" t="s">
        <v>12761</v>
      </c>
      <c r="C2989" s="1" t="s">
        <v>12762</v>
      </c>
      <c r="D2989" s="2" t="n">
        <v>39011</v>
      </c>
      <c r="E2989" s="1" t="s">
        <v>763</v>
      </c>
      <c r="F2989" s="1" t="s">
        <v>711</v>
      </c>
      <c r="G2989" s="1" t="s">
        <v>712</v>
      </c>
      <c r="H2989" s="1" t="s">
        <v>713</v>
      </c>
      <c r="I2989" s="1" t="s">
        <v>714</v>
      </c>
      <c r="J2989" s="1" t="s">
        <v>1530</v>
      </c>
      <c r="K2989" s="1" t="s">
        <v>12763</v>
      </c>
      <c r="L2989" s="1" t="s">
        <v>12764</v>
      </c>
      <c r="M2989" s="1" t="s">
        <v>718</v>
      </c>
    </row>
    <row r="2990" customFormat="false" ht="15" hidden="false" customHeight="false" outlineLevel="0" collapsed="false">
      <c r="A2990" s="1" t="s">
        <v>12765</v>
      </c>
      <c r="B2990" s="1" t="s">
        <v>12766</v>
      </c>
      <c r="C2990" s="1" t="s">
        <v>10647</v>
      </c>
      <c r="D2990" s="2" t="n">
        <v>38882</v>
      </c>
      <c r="E2990" s="1" t="s">
        <v>763</v>
      </c>
      <c r="F2990" s="1" t="s">
        <v>711</v>
      </c>
      <c r="G2990" s="1" t="s">
        <v>712</v>
      </c>
      <c r="H2990" s="1" t="s">
        <v>713</v>
      </c>
      <c r="I2990" s="1" t="s">
        <v>714</v>
      </c>
      <c r="J2990" s="1" t="s">
        <v>1530</v>
      </c>
      <c r="K2990" s="1" t="s">
        <v>12767</v>
      </c>
      <c r="L2990" s="1" t="s">
        <v>10649</v>
      </c>
      <c r="M2990" s="1" t="s">
        <v>718</v>
      </c>
    </row>
    <row r="2991" customFormat="false" ht="15" hidden="false" customHeight="false" outlineLevel="0" collapsed="false">
      <c r="A2991" s="1" t="s">
        <v>12768</v>
      </c>
      <c r="B2991" s="1" t="s">
        <v>12769</v>
      </c>
      <c r="C2991" s="1" t="s">
        <v>12770</v>
      </c>
      <c r="D2991" s="2" t="n">
        <v>39002</v>
      </c>
      <c r="E2991" s="1" t="s">
        <v>763</v>
      </c>
      <c r="F2991" s="1" t="s">
        <v>711</v>
      </c>
      <c r="G2991" s="1" t="s">
        <v>712</v>
      </c>
      <c r="H2991" s="1" t="s">
        <v>713</v>
      </c>
      <c r="I2991" s="1" t="s">
        <v>714</v>
      </c>
      <c r="J2991" s="1" t="s">
        <v>2499</v>
      </c>
      <c r="K2991" s="1" t="s">
        <v>12771</v>
      </c>
      <c r="L2991" s="1" t="s">
        <v>12772</v>
      </c>
      <c r="M2991" s="1" t="s">
        <v>718</v>
      </c>
    </row>
    <row r="2992" customFormat="false" ht="15" hidden="false" customHeight="false" outlineLevel="0" collapsed="false">
      <c r="A2992" s="1" t="s">
        <v>12773</v>
      </c>
      <c r="B2992" s="1" t="s">
        <v>12774</v>
      </c>
      <c r="C2992" s="1" t="s">
        <v>1253</v>
      </c>
      <c r="D2992" s="2" t="n">
        <v>38972</v>
      </c>
      <c r="E2992" s="1" t="s">
        <v>710</v>
      </c>
      <c r="F2992" s="1" t="s">
        <v>711</v>
      </c>
      <c r="G2992" s="1" t="s">
        <v>712</v>
      </c>
      <c r="H2992" s="1" t="s">
        <v>713</v>
      </c>
      <c r="I2992" s="1" t="s">
        <v>714</v>
      </c>
      <c r="J2992" s="1" t="s">
        <v>2499</v>
      </c>
      <c r="K2992" s="1" t="s">
        <v>12771</v>
      </c>
      <c r="L2992" s="1" t="s">
        <v>12775</v>
      </c>
      <c r="M2992" s="1" t="s">
        <v>718</v>
      </c>
    </row>
    <row r="2993" customFormat="false" ht="15" hidden="false" customHeight="false" outlineLevel="0" collapsed="false">
      <c r="A2993" s="1" t="s">
        <v>12776</v>
      </c>
      <c r="B2993" s="1" t="s">
        <v>12777</v>
      </c>
      <c r="C2993" s="1" t="s">
        <v>12778</v>
      </c>
      <c r="D2993" s="2" t="n">
        <v>38960</v>
      </c>
      <c r="E2993" s="1" t="s">
        <v>763</v>
      </c>
      <c r="F2993" s="1" t="s">
        <v>711</v>
      </c>
      <c r="G2993" s="1" t="s">
        <v>722</v>
      </c>
      <c r="H2993" s="1" t="s">
        <v>713</v>
      </c>
      <c r="I2993" s="1" t="s">
        <v>714</v>
      </c>
      <c r="J2993" s="1" t="s">
        <v>11345</v>
      </c>
      <c r="K2993" s="1" t="s">
        <v>716</v>
      </c>
      <c r="L2993" s="1" t="s">
        <v>11458</v>
      </c>
      <c r="M2993" s="1" t="s">
        <v>718</v>
      </c>
    </row>
    <row r="2994" customFormat="false" ht="15" hidden="false" customHeight="false" outlineLevel="0" collapsed="false">
      <c r="A2994" s="1" t="s">
        <v>12779</v>
      </c>
      <c r="B2994" s="1" t="s">
        <v>12780</v>
      </c>
      <c r="C2994" s="1" t="s">
        <v>12781</v>
      </c>
      <c r="D2994" s="2" t="n">
        <v>38129</v>
      </c>
      <c r="E2994" s="1" t="s">
        <v>763</v>
      </c>
      <c r="F2994" s="1" t="s">
        <v>711</v>
      </c>
      <c r="G2994" s="1" t="s">
        <v>722</v>
      </c>
      <c r="H2994" s="1" t="s">
        <v>713</v>
      </c>
      <c r="I2994" s="1" t="s">
        <v>714</v>
      </c>
      <c r="J2994" s="1" t="s">
        <v>826</v>
      </c>
      <c r="K2994" s="1" t="s">
        <v>12782</v>
      </c>
      <c r="L2994" s="1" t="s">
        <v>12783</v>
      </c>
      <c r="M2994" s="1" t="s">
        <v>718</v>
      </c>
    </row>
    <row r="2995" customFormat="false" ht="15" hidden="false" customHeight="false" outlineLevel="0" collapsed="false">
      <c r="A2995" s="1" t="s">
        <v>12784</v>
      </c>
      <c r="B2995" s="1" t="s">
        <v>12785</v>
      </c>
      <c r="C2995" s="1" t="s">
        <v>7861</v>
      </c>
      <c r="D2995" s="2" t="n">
        <v>37991</v>
      </c>
      <c r="E2995" s="1" t="s">
        <v>763</v>
      </c>
      <c r="F2995" s="1" t="s">
        <v>711</v>
      </c>
      <c r="G2995" s="1" t="s">
        <v>722</v>
      </c>
      <c r="H2995" s="1" t="s">
        <v>713</v>
      </c>
      <c r="I2995" s="1" t="s">
        <v>714</v>
      </c>
      <c r="J2995" s="1" t="s">
        <v>2000</v>
      </c>
      <c r="K2995" s="1" t="s">
        <v>12786</v>
      </c>
      <c r="L2995" s="1" t="s">
        <v>7863</v>
      </c>
      <c r="M2995" s="1" t="s">
        <v>718</v>
      </c>
    </row>
    <row r="2996" customFormat="false" ht="15" hidden="false" customHeight="false" outlineLevel="0" collapsed="false">
      <c r="A2996" s="1" t="s">
        <v>12787</v>
      </c>
      <c r="B2996" s="1" t="s">
        <v>12788</v>
      </c>
      <c r="C2996" s="1" t="s">
        <v>12789</v>
      </c>
      <c r="D2996" s="2" t="n">
        <v>39033</v>
      </c>
      <c r="E2996" s="1" t="s">
        <v>763</v>
      </c>
      <c r="F2996" s="1" t="s">
        <v>711</v>
      </c>
      <c r="G2996" s="1" t="s">
        <v>712</v>
      </c>
      <c r="H2996" s="1" t="s">
        <v>713</v>
      </c>
      <c r="I2996" s="1" t="s">
        <v>714</v>
      </c>
      <c r="J2996" s="1" t="s">
        <v>6365</v>
      </c>
      <c r="K2996" s="1" t="s">
        <v>12790</v>
      </c>
      <c r="L2996" s="1" t="s">
        <v>12791</v>
      </c>
      <c r="M2996" s="1" t="s">
        <v>718</v>
      </c>
    </row>
    <row r="2997" customFormat="false" ht="15" hidden="false" customHeight="false" outlineLevel="0" collapsed="false">
      <c r="A2997" s="1" t="s">
        <v>12792</v>
      </c>
      <c r="B2997" s="1" t="s">
        <v>12793</v>
      </c>
      <c r="C2997" s="1" t="s">
        <v>12794</v>
      </c>
      <c r="D2997" s="2" t="n">
        <v>37835</v>
      </c>
      <c r="E2997" s="1" t="s">
        <v>710</v>
      </c>
      <c r="F2997" s="1" t="s">
        <v>711</v>
      </c>
      <c r="G2997" s="1" t="s">
        <v>712</v>
      </c>
      <c r="H2997" s="1" t="s">
        <v>713</v>
      </c>
      <c r="I2997" s="1" t="s">
        <v>714</v>
      </c>
      <c r="J2997" s="1" t="s">
        <v>9891</v>
      </c>
      <c r="K2997" s="1" t="s">
        <v>12795</v>
      </c>
      <c r="L2997" s="1" t="s">
        <v>12796</v>
      </c>
      <c r="M2997" s="1" t="s">
        <v>718</v>
      </c>
    </row>
    <row r="2998" customFormat="false" ht="15" hidden="false" customHeight="false" outlineLevel="0" collapsed="false">
      <c r="A2998" s="1" t="s">
        <v>12797</v>
      </c>
      <c r="B2998" s="1" t="s">
        <v>12798</v>
      </c>
      <c r="C2998" s="1" t="s">
        <v>12799</v>
      </c>
      <c r="D2998" s="2" t="n">
        <v>37952</v>
      </c>
      <c r="E2998" s="1" t="s">
        <v>710</v>
      </c>
      <c r="F2998" s="1" t="s">
        <v>711</v>
      </c>
      <c r="G2998" s="1" t="s">
        <v>712</v>
      </c>
      <c r="H2998" s="1" t="s">
        <v>713</v>
      </c>
      <c r="I2998" s="1" t="s">
        <v>714</v>
      </c>
      <c r="J2998" s="1" t="s">
        <v>740</v>
      </c>
      <c r="K2998" s="1" t="s">
        <v>12800</v>
      </c>
      <c r="L2998" s="1" t="s">
        <v>8269</v>
      </c>
      <c r="M2998" s="1" t="s">
        <v>718</v>
      </c>
    </row>
    <row r="2999" customFormat="false" ht="15" hidden="false" customHeight="false" outlineLevel="0" collapsed="false">
      <c r="A2999" s="1" t="s">
        <v>12801</v>
      </c>
      <c r="B2999" s="1" t="s">
        <v>12802</v>
      </c>
      <c r="C2999" s="1" t="s">
        <v>12803</v>
      </c>
      <c r="D2999" s="2" t="n">
        <v>39069</v>
      </c>
      <c r="E2999" s="1" t="s">
        <v>763</v>
      </c>
      <c r="F2999" s="1" t="s">
        <v>711</v>
      </c>
      <c r="G2999" s="1" t="s">
        <v>712</v>
      </c>
      <c r="H2999" s="1" t="s">
        <v>713</v>
      </c>
      <c r="I2999" s="1" t="s">
        <v>714</v>
      </c>
      <c r="J2999" s="1" t="s">
        <v>9891</v>
      </c>
      <c r="K2999" s="1" t="s">
        <v>12795</v>
      </c>
      <c r="L2999" s="1" t="s">
        <v>12796</v>
      </c>
      <c r="M2999" s="1" t="s">
        <v>718</v>
      </c>
    </row>
    <row r="3000" customFormat="false" ht="15" hidden="false" customHeight="false" outlineLevel="0" collapsed="false">
      <c r="A3000" s="1" t="s">
        <v>12804</v>
      </c>
      <c r="B3000" s="1" t="s">
        <v>12805</v>
      </c>
      <c r="C3000" s="1" t="s">
        <v>12806</v>
      </c>
      <c r="D3000" s="2" t="n">
        <v>38993</v>
      </c>
      <c r="E3000" s="1" t="s">
        <v>710</v>
      </c>
      <c r="F3000" s="1" t="s">
        <v>711</v>
      </c>
      <c r="G3000" s="1" t="s">
        <v>722</v>
      </c>
      <c r="H3000" s="1" t="s">
        <v>713</v>
      </c>
      <c r="I3000" s="1" t="s">
        <v>714</v>
      </c>
      <c r="J3000" s="1" t="s">
        <v>892</v>
      </c>
      <c r="K3000" s="1" t="s">
        <v>12807</v>
      </c>
      <c r="L3000" s="1" t="s">
        <v>12808</v>
      </c>
      <c r="M3000" s="1" t="s">
        <v>718</v>
      </c>
    </row>
    <row r="3001" customFormat="false" ht="15" hidden="false" customHeight="false" outlineLevel="0" collapsed="false">
      <c r="A3001" s="1" t="s">
        <v>12809</v>
      </c>
      <c r="B3001" s="1" t="s">
        <v>12810</v>
      </c>
      <c r="C3001" s="1" t="s">
        <v>12806</v>
      </c>
      <c r="D3001" s="2" t="n">
        <v>38432</v>
      </c>
      <c r="E3001" s="1" t="s">
        <v>763</v>
      </c>
      <c r="F3001" s="1" t="s">
        <v>711</v>
      </c>
      <c r="G3001" s="1" t="s">
        <v>712</v>
      </c>
      <c r="H3001" s="1" t="s">
        <v>713</v>
      </c>
      <c r="I3001" s="1" t="s">
        <v>714</v>
      </c>
      <c r="J3001" s="1" t="s">
        <v>892</v>
      </c>
      <c r="K3001" s="1" t="s">
        <v>12807</v>
      </c>
      <c r="L3001" s="1" t="s">
        <v>12808</v>
      </c>
      <c r="M3001" s="1" t="s">
        <v>718</v>
      </c>
    </row>
    <row r="3002" customFormat="false" ht="15" hidden="false" customHeight="false" outlineLevel="0" collapsed="false">
      <c r="A3002" s="1" t="s">
        <v>12811</v>
      </c>
      <c r="B3002" s="1" t="s">
        <v>12812</v>
      </c>
      <c r="C3002" s="1" t="s">
        <v>9744</v>
      </c>
      <c r="D3002" s="2" t="n">
        <v>39011</v>
      </c>
      <c r="E3002" s="1" t="s">
        <v>763</v>
      </c>
      <c r="F3002" s="1" t="s">
        <v>711</v>
      </c>
      <c r="G3002" s="1" t="s">
        <v>712</v>
      </c>
      <c r="H3002" s="1" t="s">
        <v>713</v>
      </c>
      <c r="I3002" s="1" t="s">
        <v>714</v>
      </c>
      <c r="J3002" s="1" t="s">
        <v>6007</v>
      </c>
      <c r="K3002" s="1" t="s">
        <v>716</v>
      </c>
      <c r="L3002" s="1" t="s">
        <v>12813</v>
      </c>
      <c r="M3002" s="1" t="s">
        <v>718</v>
      </c>
    </row>
    <row r="3003" customFormat="false" ht="15" hidden="false" customHeight="false" outlineLevel="0" collapsed="false">
      <c r="A3003" s="1" t="s">
        <v>12814</v>
      </c>
      <c r="B3003" s="1" t="s">
        <v>12815</v>
      </c>
      <c r="C3003" s="1" t="s">
        <v>3191</v>
      </c>
      <c r="D3003" s="2" t="n">
        <v>38831</v>
      </c>
      <c r="E3003" s="1" t="s">
        <v>710</v>
      </c>
      <c r="F3003" s="1" t="s">
        <v>711</v>
      </c>
      <c r="G3003" s="1" t="s">
        <v>712</v>
      </c>
      <c r="H3003" s="1" t="s">
        <v>713</v>
      </c>
      <c r="I3003" s="1" t="s">
        <v>714</v>
      </c>
      <c r="J3003" s="1" t="s">
        <v>1777</v>
      </c>
      <c r="K3003" s="1" t="s">
        <v>12816</v>
      </c>
      <c r="L3003" s="1" t="s">
        <v>12817</v>
      </c>
      <c r="M3003" s="1" t="s">
        <v>718</v>
      </c>
    </row>
    <row r="3004" customFormat="false" ht="15" hidden="false" customHeight="false" outlineLevel="0" collapsed="false">
      <c r="A3004" s="1" t="s">
        <v>12818</v>
      </c>
      <c r="B3004" s="1" t="s">
        <v>12819</v>
      </c>
      <c r="C3004" s="1" t="s">
        <v>12820</v>
      </c>
      <c r="D3004" s="2" t="n">
        <v>38948</v>
      </c>
      <c r="E3004" s="1" t="s">
        <v>763</v>
      </c>
      <c r="F3004" s="1" t="s">
        <v>711</v>
      </c>
      <c r="G3004" s="1" t="s">
        <v>712</v>
      </c>
      <c r="H3004" s="1" t="s">
        <v>713</v>
      </c>
      <c r="I3004" s="1" t="s">
        <v>714</v>
      </c>
      <c r="J3004" s="1" t="s">
        <v>12821</v>
      </c>
      <c r="K3004" s="1" t="s">
        <v>12822</v>
      </c>
      <c r="L3004" s="1" t="s">
        <v>12823</v>
      </c>
      <c r="M3004" s="1" t="s">
        <v>718</v>
      </c>
    </row>
    <row r="3005" customFormat="false" ht="15" hidden="false" customHeight="false" outlineLevel="0" collapsed="false">
      <c r="A3005" s="1" t="s">
        <v>12824</v>
      </c>
      <c r="B3005" s="1" t="s">
        <v>11347</v>
      </c>
      <c r="C3005" s="1" t="s">
        <v>7181</v>
      </c>
      <c r="D3005" s="2" t="n">
        <v>38921</v>
      </c>
      <c r="E3005" s="1" t="s">
        <v>710</v>
      </c>
      <c r="F3005" s="1" t="s">
        <v>711</v>
      </c>
      <c r="G3005" s="1" t="s">
        <v>722</v>
      </c>
      <c r="H3005" s="1" t="s">
        <v>713</v>
      </c>
      <c r="I3005" s="1" t="s">
        <v>714</v>
      </c>
      <c r="J3005" s="1" t="s">
        <v>751</v>
      </c>
      <c r="K3005" s="1" t="s">
        <v>12825</v>
      </c>
      <c r="L3005" s="1" t="s">
        <v>1603</v>
      </c>
      <c r="M3005" s="1" t="s">
        <v>718</v>
      </c>
    </row>
    <row r="3006" customFormat="false" ht="15" hidden="false" customHeight="false" outlineLevel="0" collapsed="false">
      <c r="A3006" s="1" t="s">
        <v>12826</v>
      </c>
      <c r="B3006" s="1" t="s">
        <v>12827</v>
      </c>
      <c r="C3006" s="1" t="s">
        <v>9962</v>
      </c>
      <c r="D3006" s="2" t="n">
        <v>38804</v>
      </c>
      <c r="E3006" s="1" t="s">
        <v>710</v>
      </c>
      <c r="F3006" s="1" t="s">
        <v>711</v>
      </c>
      <c r="G3006" s="1" t="s">
        <v>712</v>
      </c>
      <c r="H3006" s="1" t="s">
        <v>713</v>
      </c>
      <c r="I3006" s="1" t="s">
        <v>714</v>
      </c>
      <c r="J3006" s="1" t="s">
        <v>740</v>
      </c>
      <c r="K3006" s="1" t="s">
        <v>12828</v>
      </c>
      <c r="L3006" s="1" t="s">
        <v>9964</v>
      </c>
      <c r="M3006" s="1" t="s">
        <v>718</v>
      </c>
    </row>
    <row r="3007" customFormat="false" ht="15" hidden="false" customHeight="false" outlineLevel="0" collapsed="false">
      <c r="A3007" s="1" t="s">
        <v>12829</v>
      </c>
      <c r="B3007" s="1" t="s">
        <v>12830</v>
      </c>
      <c r="C3007" s="1" t="s">
        <v>739</v>
      </c>
      <c r="D3007" s="2" t="n">
        <v>39069</v>
      </c>
      <c r="E3007" s="1" t="s">
        <v>763</v>
      </c>
      <c r="F3007" s="1" t="s">
        <v>711</v>
      </c>
      <c r="G3007" s="1" t="s">
        <v>12831</v>
      </c>
      <c r="H3007" s="1" t="s">
        <v>713</v>
      </c>
      <c r="I3007" s="1" t="s">
        <v>714</v>
      </c>
      <c r="J3007" s="1" t="s">
        <v>2499</v>
      </c>
      <c r="K3007" s="1" t="s">
        <v>716</v>
      </c>
      <c r="L3007" s="1" t="s">
        <v>4354</v>
      </c>
      <c r="M3007" s="1" t="s">
        <v>718</v>
      </c>
    </row>
    <row r="3008" customFormat="false" ht="15" hidden="false" customHeight="false" outlineLevel="0" collapsed="false">
      <c r="A3008" s="1" t="s">
        <v>12832</v>
      </c>
      <c r="B3008" s="1" t="s">
        <v>12833</v>
      </c>
      <c r="C3008" s="1" t="s">
        <v>12834</v>
      </c>
      <c r="D3008" s="2" t="n">
        <v>38897</v>
      </c>
      <c r="E3008" s="1" t="s">
        <v>710</v>
      </c>
      <c r="F3008" s="1" t="s">
        <v>711</v>
      </c>
      <c r="G3008" s="1" t="s">
        <v>712</v>
      </c>
      <c r="H3008" s="1" t="s">
        <v>713</v>
      </c>
      <c r="I3008" s="1" t="s">
        <v>714</v>
      </c>
      <c r="J3008" s="1" t="s">
        <v>2000</v>
      </c>
      <c r="K3008" s="1" t="s">
        <v>12835</v>
      </c>
      <c r="L3008" s="1" t="s">
        <v>12836</v>
      </c>
      <c r="M3008" s="1" t="s">
        <v>718</v>
      </c>
    </row>
    <row r="3009" customFormat="false" ht="15" hidden="false" customHeight="false" outlineLevel="0" collapsed="false">
      <c r="A3009" s="1" t="s">
        <v>12837</v>
      </c>
      <c r="B3009" s="1" t="s">
        <v>12838</v>
      </c>
      <c r="C3009" s="1" t="s">
        <v>10300</v>
      </c>
      <c r="D3009" s="2" t="n">
        <v>38642</v>
      </c>
      <c r="E3009" s="1" t="s">
        <v>763</v>
      </c>
      <c r="F3009" s="1" t="s">
        <v>711</v>
      </c>
      <c r="G3009" s="1" t="s">
        <v>712</v>
      </c>
      <c r="H3009" s="1" t="s">
        <v>713</v>
      </c>
      <c r="I3009" s="1" t="s">
        <v>714</v>
      </c>
      <c r="J3009" s="1" t="s">
        <v>9891</v>
      </c>
      <c r="K3009" s="1" t="s">
        <v>716</v>
      </c>
      <c r="L3009" s="1" t="s">
        <v>11935</v>
      </c>
      <c r="M3009" s="1" t="s">
        <v>718</v>
      </c>
    </row>
    <row r="3010" customFormat="false" ht="15" hidden="false" customHeight="false" outlineLevel="0" collapsed="false">
      <c r="A3010" s="1" t="s">
        <v>12839</v>
      </c>
      <c r="B3010" s="1" t="s">
        <v>11299</v>
      </c>
      <c r="C3010" s="1" t="s">
        <v>5923</v>
      </c>
      <c r="D3010" s="2" t="n">
        <v>38851</v>
      </c>
      <c r="E3010" s="1" t="s">
        <v>763</v>
      </c>
      <c r="F3010" s="1" t="s">
        <v>711</v>
      </c>
      <c r="G3010" s="1" t="s">
        <v>712</v>
      </c>
      <c r="H3010" s="1" t="s">
        <v>713</v>
      </c>
      <c r="I3010" s="1" t="s">
        <v>714</v>
      </c>
      <c r="J3010" s="1" t="s">
        <v>2997</v>
      </c>
      <c r="K3010" s="1" t="s">
        <v>12840</v>
      </c>
      <c r="L3010" s="1" t="s">
        <v>5925</v>
      </c>
      <c r="M3010" s="1" t="s">
        <v>718</v>
      </c>
    </row>
    <row r="3011" customFormat="false" ht="15" hidden="false" customHeight="false" outlineLevel="0" collapsed="false">
      <c r="A3011" s="1" t="s">
        <v>12841</v>
      </c>
      <c r="B3011" s="1" t="s">
        <v>12842</v>
      </c>
      <c r="C3011" s="1" t="s">
        <v>12843</v>
      </c>
      <c r="D3011" s="2" t="n">
        <v>38934</v>
      </c>
      <c r="E3011" s="1" t="s">
        <v>763</v>
      </c>
      <c r="F3011" s="1" t="s">
        <v>711</v>
      </c>
      <c r="G3011" s="1" t="s">
        <v>712</v>
      </c>
      <c r="H3011" s="1" t="s">
        <v>713</v>
      </c>
      <c r="I3011" s="1" t="s">
        <v>714</v>
      </c>
      <c r="J3011" s="1" t="s">
        <v>832</v>
      </c>
      <c r="K3011" s="1" t="s">
        <v>12844</v>
      </c>
      <c r="L3011" s="1" t="s">
        <v>12845</v>
      </c>
      <c r="M3011" s="1" t="s">
        <v>718</v>
      </c>
    </row>
    <row r="3012" customFormat="false" ht="15" hidden="false" customHeight="false" outlineLevel="0" collapsed="false">
      <c r="A3012" s="1" t="s">
        <v>12846</v>
      </c>
      <c r="B3012" s="1" t="s">
        <v>12847</v>
      </c>
      <c r="C3012" s="1" t="s">
        <v>750</v>
      </c>
      <c r="D3012" s="2" t="n">
        <v>38978</v>
      </c>
      <c r="E3012" s="1" t="s">
        <v>763</v>
      </c>
      <c r="F3012" s="1" t="s">
        <v>711</v>
      </c>
      <c r="G3012" s="1" t="s">
        <v>722</v>
      </c>
      <c r="H3012" s="1" t="s">
        <v>713</v>
      </c>
      <c r="I3012" s="1" t="s">
        <v>714</v>
      </c>
      <c r="J3012" s="1" t="s">
        <v>892</v>
      </c>
      <c r="K3012" s="1" t="s">
        <v>716</v>
      </c>
      <c r="L3012" s="1" t="s">
        <v>8362</v>
      </c>
      <c r="M3012" s="1" t="s">
        <v>718</v>
      </c>
    </row>
    <row r="3013" customFormat="false" ht="15" hidden="false" customHeight="false" outlineLevel="0" collapsed="false">
      <c r="A3013" s="1" t="s">
        <v>12848</v>
      </c>
      <c r="B3013" s="1" t="s">
        <v>12849</v>
      </c>
      <c r="C3013" s="1" t="s">
        <v>12004</v>
      </c>
      <c r="D3013" s="2" t="n">
        <v>38828</v>
      </c>
      <c r="E3013" s="1" t="s">
        <v>763</v>
      </c>
      <c r="F3013" s="1" t="s">
        <v>711</v>
      </c>
      <c r="G3013" s="1" t="s">
        <v>712</v>
      </c>
      <c r="H3013" s="1" t="s">
        <v>713</v>
      </c>
      <c r="I3013" s="1" t="s">
        <v>714</v>
      </c>
      <c r="J3013" s="1" t="s">
        <v>821</v>
      </c>
      <c r="K3013" s="1" t="s">
        <v>12850</v>
      </c>
      <c r="L3013" s="1" t="s">
        <v>12006</v>
      </c>
      <c r="M3013" s="1" t="s">
        <v>718</v>
      </c>
    </row>
    <row r="3014" customFormat="false" ht="15" hidden="false" customHeight="false" outlineLevel="0" collapsed="false">
      <c r="A3014" s="1" t="s">
        <v>12851</v>
      </c>
      <c r="B3014" s="1" t="s">
        <v>12852</v>
      </c>
      <c r="C3014" s="1" t="s">
        <v>12853</v>
      </c>
      <c r="D3014" s="2" t="n">
        <v>38514</v>
      </c>
      <c r="E3014" s="1" t="s">
        <v>763</v>
      </c>
      <c r="F3014" s="1" t="s">
        <v>711</v>
      </c>
      <c r="G3014" s="1" t="s">
        <v>722</v>
      </c>
      <c r="H3014" s="1" t="s">
        <v>713</v>
      </c>
      <c r="I3014" s="1" t="s">
        <v>714</v>
      </c>
      <c r="J3014" s="1" t="s">
        <v>12854</v>
      </c>
      <c r="K3014" s="1" t="s">
        <v>12855</v>
      </c>
      <c r="L3014" s="1" t="s">
        <v>3099</v>
      </c>
      <c r="M3014" s="1" t="s">
        <v>718</v>
      </c>
    </row>
    <row r="3015" customFormat="false" ht="15" hidden="false" customHeight="false" outlineLevel="0" collapsed="false">
      <c r="A3015" s="1" t="s">
        <v>12856</v>
      </c>
      <c r="B3015" s="1" t="s">
        <v>12857</v>
      </c>
      <c r="C3015" s="1" t="s">
        <v>12858</v>
      </c>
      <c r="D3015" s="2" t="n">
        <v>38881</v>
      </c>
      <c r="E3015" s="1" t="s">
        <v>710</v>
      </c>
      <c r="F3015" s="1" t="s">
        <v>711</v>
      </c>
      <c r="G3015" s="1" t="s">
        <v>712</v>
      </c>
      <c r="H3015" s="1" t="s">
        <v>713</v>
      </c>
      <c r="I3015" s="1" t="s">
        <v>714</v>
      </c>
      <c r="J3015" s="1" t="s">
        <v>2000</v>
      </c>
      <c r="K3015" s="1" t="s">
        <v>12859</v>
      </c>
      <c r="L3015" s="1" t="s">
        <v>12860</v>
      </c>
      <c r="M3015" s="1" t="s">
        <v>718</v>
      </c>
    </row>
    <row r="3016" customFormat="false" ht="15" hidden="false" customHeight="false" outlineLevel="0" collapsed="false">
      <c r="A3016" s="1" t="s">
        <v>12861</v>
      </c>
      <c r="B3016" s="1" t="s">
        <v>12862</v>
      </c>
      <c r="C3016" s="1" t="s">
        <v>3556</v>
      </c>
      <c r="D3016" s="2" t="n">
        <v>38922</v>
      </c>
      <c r="E3016" s="1" t="s">
        <v>710</v>
      </c>
      <c r="F3016" s="1" t="s">
        <v>711</v>
      </c>
      <c r="G3016" s="1" t="s">
        <v>712</v>
      </c>
      <c r="H3016" s="1" t="s">
        <v>713</v>
      </c>
      <c r="I3016" s="1" t="s">
        <v>714</v>
      </c>
      <c r="J3016" s="1" t="s">
        <v>2499</v>
      </c>
      <c r="K3016" s="1" t="s">
        <v>12863</v>
      </c>
      <c r="L3016" s="1" t="s">
        <v>8071</v>
      </c>
      <c r="M3016" s="1" t="s">
        <v>718</v>
      </c>
    </row>
    <row r="3017" customFormat="false" ht="15" hidden="false" customHeight="false" outlineLevel="0" collapsed="false">
      <c r="A3017" s="1" t="s">
        <v>12864</v>
      </c>
      <c r="B3017" s="1" t="s">
        <v>12865</v>
      </c>
      <c r="C3017" s="1" t="s">
        <v>11378</v>
      </c>
      <c r="D3017" s="2" t="n">
        <v>38901</v>
      </c>
      <c r="E3017" s="1" t="s">
        <v>763</v>
      </c>
      <c r="F3017" s="1" t="s">
        <v>711</v>
      </c>
      <c r="G3017" s="1" t="s">
        <v>5660</v>
      </c>
      <c r="H3017" s="1" t="s">
        <v>713</v>
      </c>
      <c r="I3017" s="1" t="s">
        <v>714</v>
      </c>
      <c r="J3017" s="1" t="s">
        <v>2499</v>
      </c>
      <c r="K3017" s="1" t="s">
        <v>12866</v>
      </c>
      <c r="L3017" s="1" t="s">
        <v>12867</v>
      </c>
      <c r="M3017" s="1" t="s">
        <v>718</v>
      </c>
    </row>
    <row r="3018" customFormat="false" ht="15" hidden="false" customHeight="false" outlineLevel="0" collapsed="false">
      <c r="A3018" s="1" t="s">
        <v>12868</v>
      </c>
      <c r="B3018" s="1" t="s">
        <v>12869</v>
      </c>
      <c r="C3018" s="1" t="s">
        <v>4605</v>
      </c>
      <c r="D3018" s="2" t="n">
        <v>38983</v>
      </c>
      <c r="E3018" s="1" t="s">
        <v>763</v>
      </c>
      <c r="F3018" s="1" t="s">
        <v>711</v>
      </c>
      <c r="G3018" s="1" t="s">
        <v>712</v>
      </c>
      <c r="H3018" s="1" t="s">
        <v>713</v>
      </c>
      <c r="I3018" s="1" t="s">
        <v>714</v>
      </c>
      <c r="J3018" s="1" t="s">
        <v>7565</v>
      </c>
      <c r="K3018" s="1" t="s">
        <v>12870</v>
      </c>
      <c r="L3018" s="1" t="s">
        <v>4607</v>
      </c>
      <c r="M3018" s="1" t="s">
        <v>718</v>
      </c>
    </row>
    <row r="3019" customFormat="false" ht="15" hidden="false" customHeight="false" outlineLevel="0" collapsed="false">
      <c r="A3019" s="1" t="s">
        <v>12871</v>
      </c>
      <c r="B3019" s="1" t="s">
        <v>12872</v>
      </c>
      <c r="C3019" s="1" t="s">
        <v>986</v>
      </c>
      <c r="D3019" s="2" t="n">
        <v>37908</v>
      </c>
      <c r="E3019" s="1" t="s">
        <v>763</v>
      </c>
      <c r="F3019" s="1" t="s">
        <v>711</v>
      </c>
      <c r="G3019" s="1" t="s">
        <v>712</v>
      </c>
      <c r="H3019" s="1" t="s">
        <v>713</v>
      </c>
      <c r="I3019" s="1" t="s">
        <v>714</v>
      </c>
      <c r="J3019" s="1" t="s">
        <v>4940</v>
      </c>
      <c r="K3019" s="1" t="s">
        <v>716</v>
      </c>
      <c r="L3019" s="1" t="s">
        <v>12873</v>
      </c>
      <c r="M3019" s="1" t="s">
        <v>718</v>
      </c>
    </row>
    <row r="3020" customFormat="false" ht="15" hidden="false" customHeight="false" outlineLevel="0" collapsed="false">
      <c r="A3020" s="1" t="s">
        <v>12874</v>
      </c>
      <c r="B3020" s="1" t="s">
        <v>12875</v>
      </c>
      <c r="C3020" s="1" t="s">
        <v>11195</v>
      </c>
      <c r="D3020" s="2" t="n">
        <v>39023</v>
      </c>
      <c r="E3020" s="1" t="s">
        <v>763</v>
      </c>
      <c r="F3020" s="1" t="s">
        <v>711</v>
      </c>
      <c r="G3020" s="1" t="s">
        <v>722</v>
      </c>
      <c r="H3020" s="1" t="s">
        <v>713</v>
      </c>
      <c r="I3020" s="1" t="s">
        <v>714</v>
      </c>
      <c r="J3020" s="1" t="s">
        <v>12350</v>
      </c>
      <c r="K3020" s="1" t="s">
        <v>12876</v>
      </c>
      <c r="L3020" s="1" t="s">
        <v>11197</v>
      </c>
      <c r="M3020" s="1" t="s">
        <v>718</v>
      </c>
    </row>
    <row r="3021" customFormat="false" ht="15" hidden="false" customHeight="false" outlineLevel="0" collapsed="false">
      <c r="A3021" s="1" t="s">
        <v>12877</v>
      </c>
      <c r="B3021" s="1" t="s">
        <v>12878</v>
      </c>
      <c r="C3021" s="1" t="s">
        <v>1068</v>
      </c>
      <c r="D3021" s="2" t="n">
        <v>38651</v>
      </c>
      <c r="E3021" s="1" t="s">
        <v>710</v>
      </c>
      <c r="F3021" s="1" t="s">
        <v>711</v>
      </c>
      <c r="G3021" s="1" t="s">
        <v>722</v>
      </c>
      <c r="H3021" s="1" t="s">
        <v>713</v>
      </c>
      <c r="I3021" s="1" t="s">
        <v>714</v>
      </c>
      <c r="J3021" s="1" t="s">
        <v>4940</v>
      </c>
      <c r="K3021" s="1" t="s">
        <v>12879</v>
      </c>
      <c r="L3021" s="1" t="s">
        <v>1069</v>
      </c>
      <c r="M3021" s="1" t="s">
        <v>718</v>
      </c>
    </row>
    <row r="3022" customFormat="false" ht="15" hidden="false" customHeight="false" outlineLevel="0" collapsed="false">
      <c r="A3022" s="1" t="s">
        <v>12880</v>
      </c>
      <c r="B3022" s="1" t="s">
        <v>12881</v>
      </c>
      <c r="C3022" s="1" t="s">
        <v>12882</v>
      </c>
      <c r="D3022" s="2" t="n">
        <v>38958</v>
      </c>
      <c r="E3022" s="1" t="s">
        <v>763</v>
      </c>
      <c r="F3022" s="1" t="s">
        <v>711</v>
      </c>
      <c r="G3022" s="1" t="s">
        <v>712</v>
      </c>
      <c r="H3022" s="1" t="s">
        <v>713</v>
      </c>
      <c r="I3022" s="1" t="s">
        <v>714</v>
      </c>
      <c r="J3022" s="1" t="s">
        <v>2000</v>
      </c>
      <c r="K3022" s="1" t="s">
        <v>7722</v>
      </c>
      <c r="L3022" s="1" t="s">
        <v>1642</v>
      </c>
      <c r="M3022" s="1" t="s">
        <v>718</v>
      </c>
    </row>
    <row r="3023" customFormat="false" ht="15" hidden="false" customHeight="false" outlineLevel="0" collapsed="false">
      <c r="A3023" s="1" t="s">
        <v>12883</v>
      </c>
      <c r="B3023" s="1" t="s">
        <v>12884</v>
      </c>
      <c r="C3023" s="1" t="s">
        <v>12885</v>
      </c>
      <c r="D3023" s="2" t="n">
        <v>38961</v>
      </c>
      <c r="E3023" s="1" t="s">
        <v>710</v>
      </c>
      <c r="F3023" s="1" t="s">
        <v>711</v>
      </c>
      <c r="G3023" s="1" t="s">
        <v>712</v>
      </c>
      <c r="H3023" s="1" t="s">
        <v>713</v>
      </c>
      <c r="I3023" s="1" t="s">
        <v>714</v>
      </c>
      <c r="J3023" s="1" t="s">
        <v>8853</v>
      </c>
      <c r="K3023" s="1" t="s">
        <v>716</v>
      </c>
      <c r="L3023" s="1" t="s">
        <v>2309</v>
      </c>
      <c r="M3023" s="1" t="s">
        <v>718</v>
      </c>
    </row>
    <row r="3024" customFormat="false" ht="15" hidden="false" customHeight="false" outlineLevel="0" collapsed="false">
      <c r="A3024" s="1" t="s">
        <v>12886</v>
      </c>
      <c r="B3024" s="1" t="s">
        <v>12887</v>
      </c>
      <c r="C3024" s="1" t="s">
        <v>12888</v>
      </c>
      <c r="D3024" s="2" t="n">
        <v>38790</v>
      </c>
      <c r="E3024" s="1" t="s">
        <v>763</v>
      </c>
      <c r="F3024" s="1" t="s">
        <v>711</v>
      </c>
      <c r="G3024" s="1" t="s">
        <v>722</v>
      </c>
      <c r="H3024" s="1" t="s">
        <v>713</v>
      </c>
      <c r="I3024" s="1" t="s">
        <v>714</v>
      </c>
      <c r="J3024" s="1" t="s">
        <v>2807</v>
      </c>
      <c r="K3024" s="1" t="s">
        <v>716</v>
      </c>
      <c r="L3024" s="1" t="s">
        <v>8697</v>
      </c>
      <c r="M3024" s="1" t="s">
        <v>718</v>
      </c>
    </row>
    <row r="3025" customFormat="false" ht="15" hidden="false" customHeight="false" outlineLevel="0" collapsed="false">
      <c r="A3025" s="1" t="s">
        <v>12889</v>
      </c>
      <c r="B3025" s="1" t="s">
        <v>12890</v>
      </c>
      <c r="C3025" s="1" t="s">
        <v>12891</v>
      </c>
      <c r="D3025" s="2" t="n">
        <v>38780</v>
      </c>
      <c r="E3025" s="1" t="s">
        <v>710</v>
      </c>
      <c r="F3025" s="1" t="s">
        <v>711</v>
      </c>
      <c r="G3025" s="1" t="s">
        <v>712</v>
      </c>
      <c r="H3025" s="1" t="s">
        <v>713</v>
      </c>
      <c r="I3025" s="1" t="s">
        <v>714</v>
      </c>
      <c r="J3025" s="1" t="s">
        <v>870</v>
      </c>
      <c r="K3025" s="1" t="s">
        <v>12892</v>
      </c>
      <c r="L3025" s="1" t="s">
        <v>12893</v>
      </c>
      <c r="M3025" s="1" t="s">
        <v>718</v>
      </c>
    </row>
    <row r="3026" customFormat="false" ht="15" hidden="false" customHeight="false" outlineLevel="0" collapsed="false">
      <c r="A3026" s="1" t="s">
        <v>12894</v>
      </c>
      <c r="B3026" s="1" t="s">
        <v>12895</v>
      </c>
      <c r="C3026" s="1" t="s">
        <v>8204</v>
      </c>
      <c r="D3026" s="2" t="n">
        <v>38952</v>
      </c>
      <c r="E3026" s="1" t="s">
        <v>710</v>
      </c>
      <c r="F3026" s="1" t="s">
        <v>711</v>
      </c>
      <c r="G3026" s="1" t="s">
        <v>712</v>
      </c>
      <c r="H3026" s="1" t="s">
        <v>713</v>
      </c>
      <c r="I3026" s="1" t="s">
        <v>714</v>
      </c>
      <c r="J3026" s="1" t="s">
        <v>821</v>
      </c>
      <c r="K3026" s="1" t="s">
        <v>716</v>
      </c>
      <c r="L3026" s="1" t="s">
        <v>9522</v>
      </c>
      <c r="M3026" s="1" t="s">
        <v>718</v>
      </c>
    </row>
    <row r="3027" customFormat="false" ht="15" hidden="false" customHeight="false" outlineLevel="0" collapsed="false">
      <c r="A3027" s="1" t="s">
        <v>12896</v>
      </c>
      <c r="B3027" s="1" t="s">
        <v>12897</v>
      </c>
      <c r="C3027" s="1" t="s">
        <v>1518</v>
      </c>
      <c r="D3027" s="2" t="n">
        <v>38796</v>
      </c>
      <c r="E3027" s="1" t="s">
        <v>763</v>
      </c>
      <c r="F3027" s="1" t="s">
        <v>711</v>
      </c>
      <c r="G3027" s="1" t="s">
        <v>712</v>
      </c>
      <c r="H3027" s="1" t="s">
        <v>713</v>
      </c>
      <c r="I3027" s="1" t="s">
        <v>714</v>
      </c>
      <c r="J3027" s="1" t="s">
        <v>826</v>
      </c>
      <c r="K3027" s="1" t="s">
        <v>12898</v>
      </c>
      <c r="L3027" s="1" t="s">
        <v>1521</v>
      </c>
      <c r="M3027" s="1" t="s">
        <v>718</v>
      </c>
    </row>
    <row r="3028" customFormat="false" ht="15" hidden="false" customHeight="false" outlineLevel="0" collapsed="false">
      <c r="A3028" s="1" t="s">
        <v>12899</v>
      </c>
      <c r="B3028" s="1" t="s">
        <v>12900</v>
      </c>
      <c r="C3028" s="1" t="s">
        <v>9390</v>
      </c>
      <c r="D3028" s="2" t="n">
        <v>39666</v>
      </c>
      <c r="E3028" s="1" t="s">
        <v>763</v>
      </c>
      <c r="F3028" s="1" t="s">
        <v>711</v>
      </c>
      <c r="G3028" s="1" t="s">
        <v>712</v>
      </c>
      <c r="H3028" s="1" t="s">
        <v>713</v>
      </c>
      <c r="I3028" s="1" t="s">
        <v>714</v>
      </c>
      <c r="J3028" s="1" t="s">
        <v>740</v>
      </c>
      <c r="K3028" s="1" t="s">
        <v>716</v>
      </c>
      <c r="L3028" s="1" t="s">
        <v>9392</v>
      </c>
      <c r="M3028" s="1" t="s">
        <v>718</v>
      </c>
    </row>
    <row r="3029" customFormat="false" ht="15" hidden="false" customHeight="false" outlineLevel="0" collapsed="false">
      <c r="A3029" s="1" t="s">
        <v>12901</v>
      </c>
      <c r="B3029" s="1" t="s">
        <v>12902</v>
      </c>
      <c r="C3029" s="1" t="s">
        <v>12903</v>
      </c>
      <c r="D3029" s="2" t="n">
        <v>39039</v>
      </c>
      <c r="E3029" s="1" t="s">
        <v>763</v>
      </c>
      <c r="F3029" s="1" t="s">
        <v>711</v>
      </c>
      <c r="G3029" s="1" t="s">
        <v>1220</v>
      </c>
      <c r="H3029" s="1" t="s">
        <v>713</v>
      </c>
      <c r="I3029" s="1" t="s">
        <v>714</v>
      </c>
      <c r="J3029" s="1" t="s">
        <v>1584</v>
      </c>
      <c r="K3029" s="1" t="s">
        <v>716</v>
      </c>
      <c r="L3029" s="1" t="s">
        <v>8010</v>
      </c>
      <c r="M3029" s="1" t="s">
        <v>718</v>
      </c>
    </row>
    <row r="3030" customFormat="false" ht="15" hidden="false" customHeight="false" outlineLevel="0" collapsed="false">
      <c r="A3030" s="1" t="s">
        <v>12904</v>
      </c>
      <c r="B3030" s="1" t="s">
        <v>12579</v>
      </c>
      <c r="C3030" s="1" t="s">
        <v>12905</v>
      </c>
      <c r="D3030" s="2" t="n">
        <v>38733</v>
      </c>
      <c r="E3030" s="1" t="s">
        <v>710</v>
      </c>
      <c r="F3030" s="1" t="s">
        <v>711</v>
      </c>
      <c r="G3030" s="1" t="s">
        <v>712</v>
      </c>
      <c r="H3030" s="1" t="s">
        <v>713</v>
      </c>
      <c r="I3030" s="1" t="s">
        <v>714</v>
      </c>
      <c r="J3030" s="1" t="s">
        <v>2499</v>
      </c>
      <c r="K3030" s="1" t="s">
        <v>12906</v>
      </c>
      <c r="L3030" s="1" t="s">
        <v>2195</v>
      </c>
      <c r="M3030" s="1" t="s">
        <v>718</v>
      </c>
    </row>
    <row r="3031" customFormat="false" ht="15" hidden="false" customHeight="false" outlineLevel="0" collapsed="false">
      <c r="A3031" s="1" t="s">
        <v>12907</v>
      </c>
      <c r="B3031" s="1" t="s">
        <v>12908</v>
      </c>
      <c r="C3031" s="1" t="s">
        <v>12909</v>
      </c>
      <c r="D3031" s="2" t="n">
        <v>39160</v>
      </c>
      <c r="E3031" s="1" t="s">
        <v>763</v>
      </c>
      <c r="F3031" s="1" t="s">
        <v>711</v>
      </c>
      <c r="G3031" s="1" t="s">
        <v>712</v>
      </c>
      <c r="H3031" s="1" t="s">
        <v>713</v>
      </c>
      <c r="I3031" s="1" t="s">
        <v>714</v>
      </c>
      <c r="J3031" s="1" t="s">
        <v>12910</v>
      </c>
      <c r="K3031" s="1" t="s">
        <v>12911</v>
      </c>
      <c r="L3031" s="1" t="s">
        <v>12912</v>
      </c>
      <c r="M3031" s="1" t="s">
        <v>718</v>
      </c>
    </row>
    <row r="3032" customFormat="false" ht="15" hidden="false" customHeight="false" outlineLevel="0" collapsed="false">
      <c r="A3032" s="1" t="s">
        <v>12913</v>
      </c>
      <c r="B3032" s="1" t="s">
        <v>12914</v>
      </c>
      <c r="C3032" s="1" t="s">
        <v>9353</v>
      </c>
      <c r="D3032" s="2" t="n">
        <v>38930</v>
      </c>
      <c r="E3032" s="1" t="s">
        <v>763</v>
      </c>
      <c r="F3032" s="1" t="s">
        <v>711</v>
      </c>
      <c r="G3032" s="1" t="s">
        <v>712</v>
      </c>
      <c r="H3032" s="1" t="s">
        <v>713</v>
      </c>
      <c r="I3032" s="1" t="s">
        <v>714</v>
      </c>
      <c r="J3032" s="1" t="s">
        <v>826</v>
      </c>
      <c r="K3032" s="1" t="s">
        <v>716</v>
      </c>
      <c r="L3032" s="1" t="s">
        <v>12915</v>
      </c>
      <c r="M3032" s="1" t="s">
        <v>718</v>
      </c>
    </row>
    <row r="3033" customFormat="false" ht="15" hidden="false" customHeight="false" outlineLevel="0" collapsed="false">
      <c r="A3033" s="1" t="s">
        <v>12916</v>
      </c>
      <c r="B3033" s="1" t="s">
        <v>6334</v>
      </c>
      <c r="C3033" s="1" t="s">
        <v>12917</v>
      </c>
      <c r="D3033" s="2" t="n">
        <v>39069</v>
      </c>
      <c r="E3033" s="1" t="s">
        <v>710</v>
      </c>
      <c r="F3033" s="1" t="s">
        <v>711</v>
      </c>
      <c r="G3033" s="1" t="s">
        <v>712</v>
      </c>
      <c r="H3033" s="1" t="s">
        <v>713</v>
      </c>
      <c r="I3033" s="1" t="s">
        <v>714</v>
      </c>
      <c r="J3033" s="1" t="s">
        <v>2000</v>
      </c>
      <c r="K3033" s="1" t="s">
        <v>716</v>
      </c>
      <c r="L3033" s="1" t="s">
        <v>12918</v>
      </c>
      <c r="M3033" s="1" t="s">
        <v>718</v>
      </c>
    </row>
    <row r="3034" customFormat="false" ht="15" hidden="false" customHeight="false" outlineLevel="0" collapsed="false">
      <c r="A3034" s="1" t="s">
        <v>12919</v>
      </c>
      <c r="B3034" s="1" t="s">
        <v>12920</v>
      </c>
      <c r="C3034" s="1" t="s">
        <v>8106</v>
      </c>
      <c r="D3034" s="2" t="n">
        <v>38944</v>
      </c>
      <c r="E3034" s="1" t="s">
        <v>763</v>
      </c>
      <c r="F3034" s="1" t="s">
        <v>711</v>
      </c>
      <c r="G3034" s="1" t="s">
        <v>712</v>
      </c>
      <c r="H3034" s="1" t="s">
        <v>713</v>
      </c>
      <c r="I3034" s="1" t="s">
        <v>714</v>
      </c>
      <c r="J3034" s="1" t="s">
        <v>821</v>
      </c>
      <c r="K3034" s="1" t="s">
        <v>12921</v>
      </c>
      <c r="L3034" s="1" t="s">
        <v>8109</v>
      </c>
      <c r="M3034" s="1" t="s">
        <v>718</v>
      </c>
    </row>
    <row r="3035" customFormat="false" ht="15" hidden="false" customHeight="false" outlineLevel="0" collapsed="false">
      <c r="A3035" s="1" t="s">
        <v>12922</v>
      </c>
      <c r="B3035" s="1" t="s">
        <v>12923</v>
      </c>
      <c r="C3035" s="1" t="s">
        <v>3200</v>
      </c>
      <c r="D3035" s="2" t="n">
        <v>38941</v>
      </c>
      <c r="E3035" s="1" t="s">
        <v>763</v>
      </c>
      <c r="F3035" s="1" t="s">
        <v>711</v>
      </c>
      <c r="G3035" s="1" t="s">
        <v>712</v>
      </c>
      <c r="H3035" s="1" t="s">
        <v>713</v>
      </c>
      <c r="I3035" s="1" t="s">
        <v>714</v>
      </c>
      <c r="J3035" s="1" t="s">
        <v>7865</v>
      </c>
      <c r="K3035" s="1" t="s">
        <v>12924</v>
      </c>
      <c r="L3035" s="1" t="s">
        <v>6065</v>
      </c>
      <c r="M3035" s="1" t="s">
        <v>718</v>
      </c>
    </row>
    <row r="3036" customFormat="false" ht="15" hidden="false" customHeight="false" outlineLevel="0" collapsed="false">
      <c r="A3036" s="1" t="s">
        <v>12925</v>
      </c>
      <c r="B3036" s="1" t="s">
        <v>12926</v>
      </c>
      <c r="C3036" s="1" t="s">
        <v>1658</v>
      </c>
      <c r="D3036" s="2" t="n">
        <v>38877</v>
      </c>
      <c r="E3036" s="1" t="s">
        <v>710</v>
      </c>
      <c r="F3036" s="1" t="s">
        <v>711</v>
      </c>
      <c r="G3036" s="1" t="s">
        <v>722</v>
      </c>
      <c r="H3036" s="1" t="s">
        <v>713</v>
      </c>
      <c r="I3036" s="1" t="s">
        <v>714</v>
      </c>
      <c r="J3036" s="1" t="s">
        <v>2499</v>
      </c>
      <c r="K3036" s="1" t="s">
        <v>12927</v>
      </c>
      <c r="L3036" s="1" t="s">
        <v>1661</v>
      </c>
      <c r="M3036" s="1" t="s">
        <v>718</v>
      </c>
    </row>
    <row r="3037" customFormat="false" ht="15" hidden="false" customHeight="false" outlineLevel="0" collapsed="false">
      <c r="A3037" s="1" t="s">
        <v>12928</v>
      </c>
      <c r="B3037" s="1" t="s">
        <v>12929</v>
      </c>
      <c r="C3037" s="1" t="s">
        <v>12930</v>
      </c>
      <c r="D3037" s="2" t="n">
        <v>39018</v>
      </c>
      <c r="E3037" s="1" t="s">
        <v>763</v>
      </c>
      <c r="F3037" s="1" t="s">
        <v>711</v>
      </c>
      <c r="G3037" s="1" t="s">
        <v>712</v>
      </c>
      <c r="H3037" s="1" t="s">
        <v>713</v>
      </c>
      <c r="I3037" s="1" t="s">
        <v>714</v>
      </c>
      <c r="J3037" s="1" t="s">
        <v>6007</v>
      </c>
      <c r="K3037" s="1" t="s">
        <v>12931</v>
      </c>
      <c r="L3037" s="1" t="s">
        <v>2177</v>
      </c>
      <c r="M3037" s="1" t="s">
        <v>718</v>
      </c>
    </row>
    <row r="3038" customFormat="false" ht="15" hidden="false" customHeight="false" outlineLevel="0" collapsed="false">
      <c r="A3038" s="1" t="s">
        <v>12932</v>
      </c>
      <c r="B3038" s="1" t="s">
        <v>7616</v>
      </c>
      <c r="C3038" s="1" t="s">
        <v>6623</v>
      </c>
      <c r="D3038" s="2" t="n">
        <v>38484</v>
      </c>
      <c r="E3038" s="1" t="s">
        <v>763</v>
      </c>
      <c r="F3038" s="1" t="s">
        <v>711</v>
      </c>
      <c r="G3038" s="1" t="s">
        <v>712</v>
      </c>
      <c r="H3038" s="1" t="s">
        <v>713</v>
      </c>
      <c r="I3038" s="1" t="s">
        <v>714</v>
      </c>
      <c r="J3038" s="1" t="s">
        <v>2499</v>
      </c>
      <c r="K3038" s="1" t="s">
        <v>716</v>
      </c>
      <c r="L3038" s="1" t="s">
        <v>6625</v>
      </c>
      <c r="M3038" s="1" t="s">
        <v>718</v>
      </c>
    </row>
    <row r="3039" customFormat="false" ht="15" hidden="false" customHeight="false" outlineLevel="0" collapsed="false">
      <c r="A3039" s="1" t="s">
        <v>12933</v>
      </c>
      <c r="B3039" s="1" t="s">
        <v>12934</v>
      </c>
      <c r="C3039" s="1" t="s">
        <v>2121</v>
      </c>
      <c r="D3039" s="2" t="n">
        <v>39117</v>
      </c>
      <c r="E3039" s="1" t="s">
        <v>763</v>
      </c>
      <c r="F3039" s="1" t="s">
        <v>711</v>
      </c>
      <c r="G3039" s="1" t="s">
        <v>712</v>
      </c>
      <c r="H3039" s="1" t="s">
        <v>713</v>
      </c>
      <c r="I3039" s="1" t="s">
        <v>714</v>
      </c>
      <c r="J3039" s="1" t="s">
        <v>9891</v>
      </c>
      <c r="K3039" s="1" t="s">
        <v>7068</v>
      </c>
      <c r="L3039" s="1" t="s">
        <v>7069</v>
      </c>
      <c r="M3039" s="1" t="s">
        <v>718</v>
      </c>
    </row>
    <row r="3040" customFormat="false" ht="15" hidden="false" customHeight="false" outlineLevel="0" collapsed="false">
      <c r="A3040" s="1" t="s">
        <v>12935</v>
      </c>
      <c r="B3040" s="1" t="s">
        <v>12936</v>
      </c>
      <c r="C3040" s="1" t="s">
        <v>5849</v>
      </c>
      <c r="D3040" s="2" t="n">
        <v>38459</v>
      </c>
      <c r="E3040" s="1" t="s">
        <v>763</v>
      </c>
      <c r="F3040" s="1" t="s">
        <v>711</v>
      </c>
      <c r="G3040" s="1" t="s">
        <v>722</v>
      </c>
      <c r="H3040" s="1" t="s">
        <v>713</v>
      </c>
      <c r="I3040" s="1" t="s">
        <v>714</v>
      </c>
      <c r="J3040" s="1" t="s">
        <v>7565</v>
      </c>
      <c r="K3040" s="1" t="s">
        <v>12937</v>
      </c>
      <c r="L3040" s="1" t="s">
        <v>12938</v>
      </c>
      <c r="M3040" s="1" t="s">
        <v>718</v>
      </c>
    </row>
    <row r="3041" customFormat="false" ht="15" hidden="false" customHeight="false" outlineLevel="0" collapsed="false">
      <c r="A3041" s="1" t="s">
        <v>12939</v>
      </c>
      <c r="B3041" s="1" t="s">
        <v>11299</v>
      </c>
      <c r="C3041" s="1" t="s">
        <v>3191</v>
      </c>
      <c r="D3041" s="2" t="n">
        <v>38793</v>
      </c>
      <c r="E3041" s="1" t="s">
        <v>763</v>
      </c>
      <c r="F3041" s="1" t="s">
        <v>711</v>
      </c>
      <c r="G3041" s="1" t="s">
        <v>712</v>
      </c>
      <c r="H3041" s="1" t="s">
        <v>713</v>
      </c>
      <c r="I3041" s="1" t="s">
        <v>714</v>
      </c>
      <c r="J3041" s="1" t="s">
        <v>716</v>
      </c>
      <c r="K3041" s="1" t="s">
        <v>716</v>
      </c>
      <c r="L3041" s="1" t="s">
        <v>12940</v>
      </c>
      <c r="M3041" s="1" t="s">
        <v>718</v>
      </c>
    </row>
    <row r="3042" customFormat="false" ht="15" hidden="false" customHeight="false" outlineLevel="0" collapsed="false">
      <c r="A3042" s="1" t="s">
        <v>12941</v>
      </c>
      <c r="B3042" s="1" t="s">
        <v>12942</v>
      </c>
      <c r="C3042" s="1" t="s">
        <v>7072</v>
      </c>
      <c r="D3042" s="2" t="n">
        <v>32167</v>
      </c>
      <c r="E3042" s="1" t="s">
        <v>763</v>
      </c>
      <c r="F3042" s="1" t="s">
        <v>711</v>
      </c>
      <c r="G3042" s="1" t="s">
        <v>722</v>
      </c>
      <c r="H3042" s="1" t="s">
        <v>713</v>
      </c>
      <c r="I3042" s="1" t="s">
        <v>714</v>
      </c>
      <c r="J3042" s="1" t="s">
        <v>716</v>
      </c>
      <c r="K3042" s="1" t="s">
        <v>716</v>
      </c>
      <c r="L3042" s="1" t="s">
        <v>1418</v>
      </c>
      <c r="M3042" s="1" t="s">
        <v>718</v>
      </c>
    </row>
    <row r="3043" customFormat="false" ht="15" hidden="false" customHeight="false" outlineLevel="0" collapsed="false">
      <c r="A3043" s="1" t="s">
        <v>12943</v>
      </c>
      <c r="B3043" s="1" t="s">
        <v>12944</v>
      </c>
      <c r="C3043" s="1" t="s">
        <v>3908</v>
      </c>
      <c r="D3043" s="2" t="n">
        <v>37584</v>
      </c>
      <c r="E3043" s="1" t="s">
        <v>763</v>
      </c>
      <c r="F3043" s="1" t="s">
        <v>711</v>
      </c>
      <c r="G3043" s="1" t="s">
        <v>712</v>
      </c>
      <c r="H3043" s="1" t="s">
        <v>713</v>
      </c>
      <c r="I3043" s="1" t="s">
        <v>714</v>
      </c>
      <c r="J3043" s="1" t="s">
        <v>10321</v>
      </c>
      <c r="K3043" s="1" t="s">
        <v>12945</v>
      </c>
      <c r="L3043" s="1" t="s">
        <v>3911</v>
      </c>
      <c r="M3043" s="1" t="s">
        <v>718</v>
      </c>
    </row>
    <row r="3044" customFormat="false" ht="15" hidden="false" customHeight="false" outlineLevel="0" collapsed="false">
      <c r="A3044" s="1" t="s">
        <v>12946</v>
      </c>
      <c r="B3044" s="1" t="s">
        <v>12947</v>
      </c>
      <c r="C3044" s="1" t="s">
        <v>2864</v>
      </c>
      <c r="D3044" s="2" t="n">
        <v>38778</v>
      </c>
      <c r="E3044" s="1" t="s">
        <v>763</v>
      </c>
      <c r="F3044" s="1" t="s">
        <v>711</v>
      </c>
      <c r="G3044" s="1" t="s">
        <v>712</v>
      </c>
      <c r="H3044" s="1" t="s">
        <v>713</v>
      </c>
      <c r="I3044" s="1" t="s">
        <v>714</v>
      </c>
      <c r="J3044" s="1" t="s">
        <v>838</v>
      </c>
      <c r="K3044" s="1" t="s">
        <v>12948</v>
      </c>
      <c r="L3044" s="1" t="s">
        <v>12949</v>
      </c>
      <c r="M3044" s="1" t="s">
        <v>718</v>
      </c>
    </row>
    <row r="3045" customFormat="false" ht="15" hidden="false" customHeight="false" outlineLevel="0" collapsed="false">
      <c r="A3045" s="1" t="s">
        <v>12950</v>
      </c>
      <c r="B3045" s="1" t="s">
        <v>12951</v>
      </c>
      <c r="C3045" s="1" t="s">
        <v>779</v>
      </c>
      <c r="D3045" s="2" t="n">
        <v>38843</v>
      </c>
      <c r="E3045" s="1" t="s">
        <v>763</v>
      </c>
      <c r="F3045" s="1" t="s">
        <v>711</v>
      </c>
      <c r="G3045" s="1" t="s">
        <v>712</v>
      </c>
      <c r="H3045" s="1" t="s">
        <v>713</v>
      </c>
      <c r="I3045" s="1" t="s">
        <v>714</v>
      </c>
      <c r="J3045" s="1" t="s">
        <v>1723</v>
      </c>
      <c r="K3045" s="1" t="s">
        <v>12952</v>
      </c>
      <c r="L3045" s="1" t="s">
        <v>782</v>
      </c>
      <c r="M3045" s="1" t="s">
        <v>718</v>
      </c>
    </row>
    <row r="3046" customFormat="false" ht="15" hidden="false" customHeight="false" outlineLevel="0" collapsed="false">
      <c r="A3046" s="1" t="s">
        <v>12953</v>
      </c>
      <c r="B3046" s="1" t="s">
        <v>12954</v>
      </c>
      <c r="C3046" s="1" t="s">
        <v>9353</v>
      </c>
      <c r="D3046" s="2" t="n">
        <v>38287</v>
      </c>
      <c r="E3046" s="1" t="s">
        <v>710</v>
      </c>
      <c r="F3046" s="1" t="s">
        <v>711</v>
      </c>
      <c r="G3046" s="1" t="s">
        <v>712</v>
      </c>
      <c r="H3046" s="1" t="s">
        <v>713</v>
      </c>
      <c r="I3046" s="1" t="s">
        <v>714</v>
      </c>
      <c r="J3046" s="1" t="s">
        <v>826</v>
      </c>
      <c r="K3046" s="1" t="s">
        <v>716</v>
      </c>
      <c r="L3046" s="1" t="s">
        <v>12915</v>
      </c>
      <c r="M3046" s="1" t="s">
        <v>718</v>
      </c>
    </row>
    <row r="3047" customFormat="false" ht="15" hidden="false" customHeight="false" outlineLevel="0" collapsed="false">
      <c r="A3047" s="1" t="s">
        <v>12955</v>
      </c>
      <c r="B3047" s="1" t="s">
        <v>12956</v>
      </c>
      <c r="C3047" s="1" t="s">
        <v>12957</v>
      </c>
      <c r="D3047" s="2" t="n">
        <v>39023</v>
      </c>
      <c r="E3047" s="1" t="s">
        <v>763</v>
      </c>
      <c r="F3047" s="1" t="s">
        <v>711</v>
      </c>
      <c r="G3047" s="1" t="s">
        <v>712</v>
      </c>
      <c r="H3047" s="1" t="s">
        <v>713</v>
      </c>
      <c r="I3047" s="1" t="s">
        <v>714</v>
      </c>
      <c r="J3047" s="1" t="s">
        <v>838</v>
      </c>
      <c r="K3047" s="1" t="s">
        <v>12958</v>
      </c>
      <c r="L3047" s="1" t="s">
        <v>12959</v>
      </c>
      <c r="M3047" s="1" t="s">
        <v>718</v>
      </c>
    </row>
    <row r="3048" customFormat="false" ht="15" hidden="false" customHeight="false" outlineLevel="0" collapsed="false">
      <c r="A3048" s="1" t="s">
        <v>12960</v>
      </c>
      <c r="B3048" s="1" t="s">
        <v>12961</v>
      </c>
      <c r="C3048" s="1" t="s">
        <v>3163</v>
      </c>
      <c r="D3048" s="2" t="n">
        <v>38521</v>
      </c>
      <c r="E3048" s="1" t="s">
        <v>763</v>
      </c>
      <c r="F3048" s="1" t="s">
        <v>711</v>
      </c>
      <c r="G3048" s="1" t="s">
        <v>712</v>
      </c>
      <c r="H3048" s="1" t="s">
        <v>713</v>
      </c>
      <c r="I3048" s="1" t="s">
        <v>714</v>
      </c>
      <c r="J3048" s="1" t="s">
        <v>2499</v>
      </c>
      <c r="K3048" s="1" t="s">
        <v>12962</v>
      </c>
      <c r="L3048" s="1" t="s">
        <v>12963</v>
      </c>
      <c r="M3048" s="1" t="s">
        <v>718</v>
      </c>
    </row>
    <row r="3049" customFormat="false" ht="15" hidden="false" customHeight="false" outlineLevel="0" collapsed="false">
      <c r="A3049" s="1" t="s">
        <v>12964</v>
      </c>
      <c r="B3049" s="1" t="s">
        <v>12965</v>
      </c>
      <c r="C3049" s="1" t="s">
        <v>7072</v>
      </c>
      <c r="D3049" s="2" t="n">
        <v>32883</v>
      </c>
      <c r="E3049" s="1" t="s">
        <v>763</v>
      </c>
      <c r="F3049" s="1" t="s">
        <v>711</v>
      </c>
      <c r="G3049" s="1" t="s">
        <v>722</v>
      </c>
      <c r="H3049" s="1" t="s">
        <v>713</v>
      </c>
      <c r="I3049" s="1" t="s">
        <v>714</v>
      </c>
      <c r="J3049" s="1" t="s">
        <v>716</v>
      </c>
      <c r="K3049" s="1" t="s">
        <v>716</v>
      </c>
      <c r="L3049" s="1" t="s">
        <v>1418</v>
      </c>
      <c r="M3049" s="1" t="s">
        <v>718</v>
      </c>
    </row>
    <row r="3050" customFormat="false" ht="15" hidden="false" customHeight="false" outlineLevel="0" collapsed="false">
      <c r="A3050" s="1" t="s">
        <v>12966</v>
      </c>
      <c r="B3050" s="1" t="s">
        <v>12967</v>
      </c>
      <c r="C3050" s="1" t="s">
        <v>774</v>
      </c>
      <c r="D3050" s="2" t="n">
        <v>38836</v>
      </c>
      <c r="E3050" s="1" t="s">
        <v>710</v>
      </c>
      <c r="F3050" s="1" t="s">
        <v>711</v>
      </c>
      <c r="G3050" s="1" t="s">
        <v>10096</v>
      </c>
      <c r="H3050" s="1" t="s">
        <v>713</v>
      </c>
      <c r="I3050" s="1" t="s">
        <v>714</v>
      </c>
      <c r="J3050" s="1" t="s">
        <v>12600</v>
      </c>
      <c r="K3050" s="1" t="s">
        <v>716</v>
      </c>
      <c r="L3050" s="1" t="s">
        <v>776</v>
      </c>
      <c r="M3050" s="1" t="s">
        <v>718</v>
      </c>
    </row>
    <row r="3051" customFormat="false" ht="15" hidden="false" customHeight="false" outlineLevel="0" collapsed="false">
      <c r="A3051" s="1" t="s">
        <v>12968</v>
      </c>
      <c r="B3051" s="1" t="s">
        <v>12969</v>
      </c>
      <c r="C3051" s="1" t="s">
        <v>2320</v>
      </c>
      <c r="D3051" s="2" t="n">
        <v>38727</v>
      </c>
      <c r="E3051" s="1" t="s">
        <v>763</v>
      </c>
      <c r="F3051" s="1" t="s">
        <v>711</v>
      </c>
      <c r="G3051" s="1" t="s">
        <v>712</v>
      </c>
      <c r="H3051" s="1" t="s">
        <v>713</v>
      </c>
      <c r="I3051" s="1" t="s">
        <v>714</v>
      </c>
      <c r="J3051" s="1" t="s">
        <v>12970</v>
      </c>
      <c r="K3051" s="1" t="s">
        <v>12971</v>
      </c>
      <c r="L3051" s="1" t="s">
        <v>8346</v>
      </c>
      <c r="M3051" s="1" t="s">
        <v>718</v>
      </c>
    </row>
    <row r="3052" customFormat="false" ht="15" hidden="false" customHeight="false" outlineLevel="0" collapsed="false">
      <c r="A3052" s="1" t="s">
        <v>12972</v>
      </c>
      <c r="B3052" s="1" t="s">
        <v>12973</v>
      </c>
      <c r="C3052" s="1" t="s">
        <v>12974</v>
      </c>
      <c r="D3052" s="2" t="n">
        <v>37985</v>
      </c>
      <c r="E3052" s="1" t="s">
        <v>763</v>
      </c>
      <c r="F3052" s="1" t="s">
        <v>711</v>
      </c>
      <c r="G3052" s="1" t="s">
        <v>11832</v>
      </c>
      <c r="H3052" s="1" t="s">
        <v>5862</v>
      </c>
      <c r="I3052" s="1" t="s">
        <v>5863</v>
      </c>
      <c r="J3052" s="1" t="s">
        <v>716</v>
      </c>
      <c r="K3052" s="1" t="s">
        <v>716</v>
      </c>
      <c r="L3052" s="1" t="s">
        <v>12975</v>
      </c>
      <c r="M3052" s="1" t="s">
        <v>718</v>
      </c>
    </row>
    <row r="3053" customFormat="false" ht="15" hidden="false" customHeight="false" outlineLevel="0" collapsed="false">
      <c r="A3053" s="1" t="s">
        <v>12976</v>
      </c>
      <c r="B3053" s="1" t="s">
        <v>12977</v>
      </c>
      <c r="C3053" s="1" t="s">
        <v>12978</v>
      </c>
      <c r="D3053" s="2" t="n">
        <v>32640</v>
      </c>
      <c r="E3053" s="1" t="s">
        <v>763</v>
      </c>
      <c r="F3053" s="1" t="s">
        <v>711</v>
      </c>
      <c r="G3053" s="1" t="s">
        <v>712</v>
      </c>
      <c r="H3053" s="1" t="s">
        <v>713</v>
      </c>
      <c r="I3053" s="1" t="s">
        <v>714</v>
      </c>
      <c r="J3053" s="1" t="s">
        <v>716</v>
      </c>
      <c r="K3053" s="1" t="s">
        <v>716</v>
      </c>
      <c r="L3053" s="1" t="s">
        <v>1418</v>
      </c>
      <c r="M3053" s="1" t="s">
        <v>718</v>
      </c>
    </row>
    <row r="3054" customFormat="false" ht="15" hidden="false" customHeight="false" outlineLevel="0" collapsed="false">
      <c r="A3054" s="1" t="s">
        <v>12979</v>
      </c>
      <c r="B3054" s="1" t="s">
        <v>12980</v>
      </c>
      <c r="C3054" s="1" t="s">
        <v>963</v>
      </c>
      <c r="D3054" s="2" t="n">
        <v>37270</v>
      </c>
      <c r="E3054" s="1" t="s">
        <v>763</v>
      </c>
      <c r="F3054" s="1" t="s">
        <v>711</v>
      </c>
      <c r="G3054" s="1" t="s">
        <v>712</v>
      </c>
      <c r="H3054" s="1" t="s">
        <v>713</v>
      </c>
      <c r="I3054" s="1" t="s">
        <v>714</v>
      </c>
      <c r="J3054" s="1" t="s">
        <v>1131</v>
      </c>
      <c r="K3054" s="1" t="s">
        <v>12981</v>
      </c>
      <c r="L3054" s="1" t="s">
        <v>12982</v>
      </c>
      <c r="M3054" s="1" t="s">
        <v>718</v>
      </c>
    </row>
    <row r="3055" customFormat="false" ht="15" hidden="false" customHeight="false" outlineLevel="0" collapsed="false">
      <c r="A3055" s="1" t="s">
        <v>12983</v>
      </c>
      <c r="B3055" s="1" t="s">
        <v>12984</v>
      </c>
      <c r="C3055" s="1" t="s">
        <v>12985</v>
      </c>
      <c r="D3055" s="2" t="n">
        <v>37922</v>
      </c>
      <c r="E3055" s="1" t="s">
        <v>763</v>
      </c>
      <c r="F3055" s="1" t="s">
        <v>711</v>
      </c>
      <c r="G3055" s="1" t="s">
        <v>775</v>
      </c>
      <c r="H3055" s="1" t="s">
        <v>713</v>
      </c>
      <c r="I3055" s="1" t="s">
        <v>714</v>
      </c>
      <c r="J3055" s="1" t="s">
        <v>12986</v>
      </c>
      <c r="K3055" s="1" t="s">
        <v>716</v>
      </c>
      <c r="L3055" s="1" t="s">
        <v>12987</v>
      </c>
      <c r="M3055" s="1" t="s">
        <v>718</v>
      </c>
    </row>
    <row r="3056" customFormat="false" ht="15" hidden="false" customHeight="false" outlineLevel="0" collapsed="false">
      <c r="A3056" s="1" t="s">
        <v>12988</v>
      </c>
      <c r="B3056" s="1" t="s">
        <v>12989</v>
      </c>
      <c r="C3056" s="1" t="s">
        <v>11488</v>
      </c>
      <c r="D3056" s="2" t="n">
        <v>38266</v>
      </c>
      <c r="E3056" s="1" t="s">
        <v>763</v>
      </c>
      <c r="F3056" s="1" t="s">
        <v>711</v>
      </c>
      <c r="G3056" s="1" t="s">
        <v>2094</v>
      </c>
      <c r="H3056" s="1" t="s">
        <v>713</v>
      </c>
      <c r="I3056" s="1" t="s">
        <v>714</v>
      </c>
      <c r="J3056" s="1" t="s">
        <v>2621</v>
      </c>
      <c r="K3056" s="1" t="s">
        <v>716</v>
      </c>
      <c r="L3056" s="1" t="s">
        <v>12990</v>
      </c>
      <c r="M3056" s="1" t="s">
        <v>718</v>
      </c>
    </row>
    <row r="3057" customFormat="false" ht="15" hidden="false" customHeight="false" outlineLevel="0" collapsed="false">
      <c r="A3057" s="1" t="s">
        <v>12991</v>
      </c>
      <c r="B3057" s="1" t="s">
        <v>12992</v>
      </c>
      <c r="C3057" s="1" t="s">
        <v>12993</v>
      </c>
      <c r="D3057" s="2" t="n">
        <v>37770</v>
      </c>
      <c r="E3057" s="1" t="s">
        <v>763</v>
      </c>
      <c r="F3057" s="1" t="s">
        <v>711</v>
      </c>
      <c r="G3057" s="1" t="s">
        <v>712</v>
      </c>
      <c r="H3057" s="1" t="s">
        <v>713</v>
      </c>
      <c r="I3057" s="1" t="s">
        <v>714</v>
      </c>
      <c r="J3057" s="1" t="s">
        <v>805</v>
      </c>
      <c r="K3057" s="1" t="s">
        <v>12994</v>
      </c>
      <c r="L3057" s="1" t="s">
        <v>12995</v>
      </c>
      <c r="M3057" s="1" t="s">
        <v>718</v>
      </c>
    </row>
    <row r="3058" customFormat="false" ht="15" hidden="false" customHeight="false" outlineLevel="0" collapsed="false">
      <c r="A3058" s="1" t="s">
        <v>12996</v>
      </c>
      <c r="B3058" s="1" t="s">
        <v>12997</v>
      </c>
      <c r="C3058" s="1" t="s">
        <v>1444</v>
      </c>
      <c r="D3058" s="2" t="n">
        <v>38871</v>
      </c>
      <c r="E3058" s="1" t="s">
        <v>763</v>
      </c>
      <c r="F3058" s="1" t="s">
        <v>711</v>
      </c>
      <c r="G3058" s="1" t="s">
        <v>712</v>
      </c>
      <c r="H3058" s="1" t="s">
        <v>713</v>
      </c>
      <c r="I3058" s="1" t="s">
        <v>714</v>
      </c>
      <c r="J3058" s="1" t="s">
        <v>716</v>
      </c>
      <c r="K3058" s="1" t="s">
        <v>12998</v>
      </c>
      <c r="L3058" s="1" t="s">
        <v>12999</v>
      </c>
      <c r="M3058" s="1" t="s">
        <v>718</v>
      </c>
    </row>
    <row r="3059" customFormat="false" ht="15" hidden="false" customHeight="false" outlineLevel="0" collapsed="false">
      <c r="A3059" s="1" t="s">
        <v>13000</v>
      </c>
      <c r="B3059" s="1" t="s">
        <v>13001</v>
      </c>
      <c r="C3059" s="1" t="s">
        <v>13002</v>
      </c>
      <c r="D3059" s="2" t="n">
        <v>39029</v>
      </c>
      <c r="E3059" s="1" t="s">
        <v>710</v>
      </c>
      <c r="F3059" s="1" t="s">
        <v>711</v>
      </c>
      <c r="G3059" s="1" t="s">
        <v>712</v>
      </c>
      <c r="H3059" s="1" t="s">
        <v>713</v>
      </c>
      <c r="I3059" s="1" t="s">
        <v>714</v>
      </c>
      <c r="J3059" s="1" t="s">
        <v>740</v>
      </c>
      <c r="K3059" s="1" t="s">
        <v>13003</v>
      </c>
      <c r="L3059" s="1" t="s">
        <v>13004</v>
      </c>
      <c r="M3059" s="1" t="s">
        <v>718</v>
      </c>
    </row>
    <row r="3060" customFormat="false" ht="15" hidden="false" customHeight="false" outlineLevel="0" collapsed="false">
      <c r="A3060" s="1" t="s">
        <v>13005</v>
      </c>
      <c r="B3060" s="1" t="s">
        <v>7404</v>
      </c>
      <c r="C3060" s="1" t="s">
        <v>10477</v>
      </c>
      <c r="D3060" s="2" t="n">
        <v>38687</v>
      </c>
      <c r="E3060" s="1" t="s">
        <v>710</v>
      </c>
      <c r="F3060" s="1" t="s">
        <v>711</v>
      </c>
      <c r="G3060" s="1" t="s">
        <v>722</v>
      </c>
      <c r="H3060" s="1" t="s">
        <v>713</v>
      </c>
      <c r="I3060" s="1" t="s">
        <v>714</v>
      </c>
      <c r="J3060" s="1" t="s">
        <v>751</v>
      </c>
      <c r="K3060" s="1" t="s">
        <v>13006</v>
      </c>
      <c r="L3060" s="1" t="s">
        <v>13007</v>
      </c>
      <c r="M3060" s="1" t="s">
        <v>718</v>
      </c>
    </row>
    <row r="3061" customFormat="false" ht="15" hidden="false" customHeight="false" outlineLevel="0" collapsed="false">
      <c r="A3061" s="1" t="s">
        <v>13008</v>
      </c>
      <c r="B3061" s="1" t="s">
        <v>13009</v>
      </c>
      <c r="C3061" s="1" t="s">
        <v>13010</v>
      </c>
      <c r="D3061" s="2" t="n">
        <v>39064</v>
      </c>
      <c r="E3061" s="1" t="s">
        <v>763</v>
      </c>
      <c r="F3061" s="1" t="s">
        <v>711</v>
      </c>
      <c r="G3061" s="1" t="s">
        <v>722</v>
      </c>
      <c r="H3061" s="1" t="s">
        <v>713</v>
      </c>
      <c r="I3061" s="1" t="s">
        <v>714</v>
      </c>
      <c r="J3061" s="1" t="s">
        <v>2041</v>
      </c>
      <c r="K3061" s="1" t="s">
        <v>13011</v>
      </c>
      <c r="L3061" s="1" t="s">
        <v>13012</v>
      </c>
      <c r="M3061" s="1" t="s">
        <v>718</v>
      </c>
    </row>
    <row r="3062" customFormat="false" ht="15" hidden="false" customHeight="false" outlineLevel="0" collapsed="false">
      <c r="A3062" s="1" t="s">
        <v>13013</v>
      </c>
      <c r="B3062" s="1" t="s">
        <v>13014</v>
      </c>
      <c r="C3062" s="1" t="s">
        <v>13015</v>
      </c>
      <c r="D3062" s="2" t="n">
        <v>39015</v>
      </c>
      <c r="E3062" s="1" t="s">
        <v>710</v>
      </c>
      <c r="F3062" s="1" t="s">
        <v>711</v>
      </c>
      <c r="G3062" s="1" t="s">
        <v>712</v>
      </c>
      <c r="H3062" s="1" t="s">
        <v>713</v>
      </c>
      <c r="I3062" s="1" t="s">
        <v>714</v>
      </c>
      <c r="J3062" s="1" t="s">
        <v>821</v>
      </c>
      <c r="K3062" s="1" t="s">
        <v>13016</v>
      </c>
      <c r="L3062" s="1" t="s">
        <v>13017</v>
      </c>
      <c r="M3062" s="1" t="s">
        <v>718</v>
      </c>
    </row>
    <row r="3063" customFormat="false" ht="15" hidden="false" customHeight="false" outlineLevel="0" collapsed="false">
      <c r="A3063" s="1" t="s">
        <v>13018</v>
      </c>
      <c r="B3063" s="1" t="s">
        <v>13019</v>
      </c>
      <c r="C3063" s="1" t="s">
        <v>1234</v>
      </c>
      <c r="D3063" s="2" t="n">
        <v>38990</v>
      </c>
      <c r="E3063" s="1" t="s">
        <v>763</v>
      </c>
      <c r="F3063" s="1" t="s">
        <v>711</v>
      </c>
      <c r="G3063" s="1" t="s">
        <v>712</v>
      </c>
      <c r="H3063" s="1" t="s">
        <v>713</v>
      </c>
      <c r="I3063" s="1" t="s">
        <v>714</v>
      </c>
      <c r="J3063" s="1" t="s">
        <v>11412</v>
      </c>
      <c r="K3063" s="1" t="s">
        <v>13020</v>
      </c>
      <c r="L3063" s="1" t="s">
        <v>4968</v>
      </c>
      <c r="M3063" s="1" t="s">
        <v>718</v>
      </c>
    </row>
    <row r="3064" customFormat="false" ht="15" hidden="false" customHeight="false" outlineLevel="0" collapsed="false">
      <c r="A3064" s="1" t="s">
        <v>13021</v>
      </c>
      <c r="B3064" s="1" t="s">
        <v>13022</v>
      </c>
      <c r="C3064" s="1" t="s">
        <v>13023</v>
      </c>
      <c r="D3064" s="2" t="n">
        <v>38994</v>
      </c>
      <c r="E3064" s="1" t="s">
        <v>763</v>
      </c>
      <c r="F3064" s="1" t="s">
        <v>711</v>
      </c>
      <c r="G3064" s="1" t="s">
        <v>722</v>
      </c>
      <c r="H3064" s="1" t="s">
        <v>713</v>
      </c>
      <c r="I3064" s="1" t="s">
        <v>714</v>
      </c>
      <c r="J3064" s="1" t="s">
        <v>715</v>
      </c>
      <c r="K3064" s="1" t="s">
        <v>13024</v>
      </c>
      <c r="L3064" s="1" t="s">
        <v>13025</v>
      </c>
      <c r="M3064" s="1" t="s">
        <v>718</v>
      </c>
    </row>
    <row r="3065" customFormat="false" ht="15" hidden="false" customHeight="false" outlineLevel="0" collapsed="false">
      <c r="A3065" s="1" t="s">
        <v>13026</v>
      </c>
      <c r="B3065" s="1" t="s">
        <v>13027</v>
      </c>
      <c r="C3065" s="1" t="s">
        <v>13028</v>
      </c>
      <c r="D3065" s="2" t="n">
        <v>39571</v>
      </c>
      <c r="E3065" s="1" t="s">
        <v>763</v>
      </c>
      <c r="F3065" s="1" t="s">
        <v>711</v>
      </c>
      <c r="G3065" s="1" t="s">
        <v>712</v>
      </c>
      <c r="H3065" s="1" t="s">
        <v>713</v>
      </c>
      <c r="I3065" s="1" t="s">
        <v>714</v>
      </c>
      <c r="J3065" s="1" t="s">
        <v>7657</v>
      </c>
      <c r="K3065" s="1" t="s">
        <v>716</v>
      </c>
      <c r="L3065" s="1" t="s">
        <v>13029</v>
      </c>
      <c r="M3065" s="1" t="s">
        <v>718</v>
      </c>
    </row>
    <row r="3066" customFormat="false" ht="15" hidden="false" customHeight="false" outlineLevel="0" collapsed="false">
      <c r="A3066" s="1" t="s">
        <v>13030</v>
      </c>
      <c r="B3066" s="1" t="s">
        <v>13031</v>
      </c>
      <c r="C3066" s="1" t="s">
        <v>5618</v>
      </c>
      <c r="D3066" s="2" t="n">
        <v>38981</v>
      </c>
      <c r="E3066" s="1" t="s">
        <v>763</v>
      </c>
      <c r="F3066" s="1" t="s">
        <v>711</v>
      </c>
      <c r="G3066" s="1" t="s">
        <v>712</v>
      </c>
      <c r="H3066" s="1" t="s">
        <v>713</v>
      </c>
      <c r="I3066" s="1" t="s">
        <v>714</v>
      </c>
      <c r="J3066" s="1" t="s">
        <v>2041</v>
      </c>
      <c r="K3066" s="1" t="s">
        <v>716</v>
      </c>
      <c r="L3066" s="1" t="s">
        <v>13032</v>
      </c>
      <c r="M3066" s="1" t="s">
        <v>718</v>
      </c>
    </row>
    <row r="3067" customFormat="false" ht="15" hidden="false" customHeight="false" outlineLevel="0" collapsed="false">
      <c r="A3067" s="1" t="s">
        <v>13033</v>
      </c>
      <c r="B3067" s="1" t="s">
        <v>13034</v>
      </c>
      <c r="C3067" s="1" t="s">
        <v>13035</v>
      </c>
      <c r="D3067" s="2" t="n">
        <v>38695</v>
      </c>
      <c r="E3067" s="1" t="s">
        <v>710</v>
      </c>
      <c r="F3067" s="1" t="s">
        <v>711</v>
      </c>
      <c r="G3067" s="1" t="s">
        <v>722</v>
      </c>
      <c r="H3067" s="1" t="s">
        <v>713</v>
      </c>
      <c r="I3067" s="1" t="s">
        <v>714</v>
      </c>
      <c r="J3067" s="1" t="s">
        <v>4940</v>
      </c>
      <c r="K3067" s="1" t="s">
        <v>716</v>
      </c>
      <c r="L3067" s="1" t="s">
        <v>13036</v>
      </c>
      <c r="M3067" s="1" t="s">
        <v>718</v>
      </c>
    </row>
    <row r="3068" customFormat="false" ht="15" hidden="false" customHeight="false" outlineLevel="0" collapsed="false">
      <c r="A3068" s="1" t="s">
        <v>13037</v>
      </c>
      <c r="B3068" s="1" t="s">
        <v>13038</v>
      </c>
      <c r="C3068" s="1" t="s">
        <v>13035</v>
      </c>
      <c r="D3068" s="2" t="n">
        <v>37776</v>
      </c>
      <c r="E3068" s="1" t="s">
        <v>763</v>
      </c>
      <c r="F3068" s="1" t="s">
        <v>711</v>
      </c>
      <c r="G3068" s="1" t="s">
        <v>722</v>
      </c>
      <c r="H3068" s="1" t="s">
        <v>713</v>
      </c>
      <c r="I3068" s="1" t="s">
        <v>714</v>
      </c>
      <c r="J3068" s="1" t="s">
        <v>13039</v>
      </c>
      <c r="K3068" s="1" t="s">
        <v>716</v>
      </c>
      <c r="L3068" s="1" t="s">
        <v>13036</v>
      </c>
      <c r="M3068" s="1" t="s">
        <v>718</v>
      </c>
    </row>
    <row r="3069" customFormat="false" ht="15" hidden="false" customHeight="false" outlineLevel="0" collapsed="false">
      <c r="A3069" s="1" t="s">
        <v>13040</v>
      </c>
      <c r="B3069" s="1" t="s">
        <v>13041</v>
      </c>
      <c r="C3069" s="1" t="s">
        <v>8647</v>
      </c>
      <c r="D3069" s="2" t="n">
        <v>38405</v>
      </c>
      <c r="E3069" s="1" t="s">
        <v>763</v>
      </c>
      <c r="F3069" s="1" t="s">
        <v>711</v>
      </c>
      <c r="G3069" s="1" t="s">
        <v>712</v>
      </c>
      <c r="H3069" s="1" t="s">
        <v>713</v>
      </c>
      <c r="I3069" s="1" t="s">
        <v>714</v>
      </c>
      <c r="J3069" s="1" t="s">
        <v>1620</v>
      </c>
      <c r="K3069" s="1" t="s">
        <v>716</v>
      </c>
      <c r="L3069" s="1" t="s">
        <v>955</v>
      </c>
      <c r="M3069" s="1" t="s">
        <v>718</v>
      </c>
    </row>
    <row r="3070" customFormat="false" ht="15" hidden="false" customHeight="false" outlineLevel="0" collapsed="false">
      <c r="A3070" s="1" t="s">
        <v>13042</v>
      </c>
      <c r="B3070" s="1" t="s">
        <v>13043</v>
      </c>
      <c r="C3070" s="1" t="s">
        <v>13044</v>
      </c>
      <c r="D3070" s="2" t="n">
        <v>38765</v>
      </c>
      <c r="E3070" s="1" t="s">
        <v>763</v>
      </c>
      <c r="F3070" s="1" t="s">
        <v>711</v>
      </c>
      <c r="G3070" s="1" t="s">
        <v>13045</v>
      </c>
      <c r="H3070" s="1" t="s">
        <v>713</v>
      </c>
      <c r="I3070" s="1" t="s">
        <v>714</v>
      </c>
      <c r="J3070" s="1" t="s">
        <v>740</v>
      </c>
      <c r="K3070" s="1" t="s">
        <v>13046</v>
      </c>
      <c r="L3070" s="1" t="s">
        <v>5930</v>
      </c>
      <c r="M3070" s="1" t="s">
        <v>718</v>
      </c>
    </row>
    <row r="3071" customFormat="false" ht="15" hidden="false" customHeight="false" outlineLevel="0" collapsed="false">
      <c r="A3071" s="1" t="s">
        <v>13047</v>
      </c>
      <c r="B3071" s="1" t="s">
        <v>7676</v>
      </c>
      <c r="C3071" s="1" t="s">
        <v>3200</v>
      </c>
      <c r="D3071" s="2" t="n">
        <v>38885</v>
      </c>
      <c r="E3071" s="1" t="s">
        <v>710</v>
      </c>
      <c r="F3071" s="1" t="s">
        <v>711</v>
      </c>
      <c r="G3071" s="1" t="s">
        <v>712</v>
      </c>
      <c r="H3071" s="1" t="s">
        <v>713</v>
      </c>
      <c r="I3071" s="1" t="s">
        <v>714</v>
      </c>
      <c r="J3071" s="1" t="s">
        <v>6365</v>
      </c>
      <c r="K3071" s="1" t="s">
        <v>13048</v>
      </c>
      <c r="L3071" s="1" t="s">
        <v>13049</v>
      </c>
      <c r="M3071" s="1" t="s">
        <v>718</v>
      </c>
    </row>
    <row r="3072" customFormat="false" ht="15" hidden="false" customHeight="false" outlineLevel="0" collapsed="false">
      <c r="A3072" s="1" t="s">
        <v>13050</v>
      </c>
      <c r="B3072" s="1" t="s">
        <v>13051</v>
      </c>
      <c r="C3072" s="1" t="s">
        <v>3200</v>
      </c>
      <c r="D3072" s="2" t="n">
        <v>39332</v>
      </c>
      <c r="E3072" s="1" t="s">
        <v>763</v>
      </c>
      <c r="F3072" s="1" t="s">
        <v>711</v>
      </c>
      <c r="G3072" s="1" t="s">
        <v>712</v>
      </c>
      <c r="H3072" s="1" t="s">
        <v>713</v>
      </c>
      <c r="I3072" s="1" t="s">
        <v>714</v>
      </c>
      <c r="J3072" s="1" t="s">
        <v>1530</v>
      </c>
      <c r="K3072" s="1" t="s">
        <v>13052</v>
      </c>
      <c r="L3072" s="1" t="s">
        <v>6405</v>
      </c>
      <c r="M3072" s="1" t="s">
        <v>718</v>
      </c>
    </row>
    <row r="3073" customFormat="false" ht="15" hidden="false" customHeight="false" outlineLevel="0" collapsed="false">
      <c r="A3073" s="1" t="s">
        <v>13053</v>
      </c>
      <c r="B3073" s="1" t="s">
        <v>13054</v>
      </c>
      <c r="C3073" s="1" t="s">
        <v>13055</v>
      </c>
      <c r="D3073" s="2" t="n">
        <v>38949</v>
      </c>
      <c r="E3073" s="1" t="s">
        <v>763</v>
      </c>
      <c r="F3073" s="1" t="s">
        <v>711</v>
      </c>
      <c r="G3073" s="1" t="s">
        <v>712</v>
      </c>
      <c r="H3073" s="1" t="s">
        <v>713</v>
      </c>
      <c r="I3073" s="1" t="s">
        <v>714</v>
      </c>
      <c r="J3073" s="1" t="s">
        <v>1530</v>
      </c>
      <c r="K3073" s="1" t="s">
        <v>13056</v>
      </c>
      <c r="L3073" s="1" t="s">
        <v>13057</v>
      </c>
      <c r="M3073" s="1" t="s">
        <v>718</v>
      </c>
    </row>
    <row r="3074" customFormat="false" ht="15" hidden="false" customHeight="false" outlineLevel="0" collapsed="false">
      <c r="A3074" s="1" t="s">
        <v>13058</v>
      </c>
      <c r="B3074" s="1" t="s">
        <v>13059</v>
      </c>
      <c r="C3074" s="1" t="s">
        <v>13060</v>
      </c>
      <c r="D3074" s="2" t="n">
        <v>39167</v>
      </c>
      <c r="E3074" s="1" t="s">
        <v>763</v>
      </c>
      <c r="F3074" s="1" t="s">
        <v>711</v>
      </c>
      <c r="G3074" s="1" t="s">
        <v>712</v>
      </c>
      <c r="H3074" s="1" t="s">
        <v>713</v>
      </c>
      <c r="I3074" s="1" t="s">
        <v>714</v>
      </c>
      <c r="J3074" s="1" t="s">
        <v>751</v>
      </c>
      <c r="K3074" s="1" t="s">
        <v>13061</v>
      </c>
      <c r="L3074" s="1" t="s">
        <v>13062</v>
      </c>
      <c r="M3074" s="1" t="s">
        <v>718</v>
      </c>
    </row>
    <row r="3075" customFormat="false" ht="15" hidden="false" customHeight="false" outlineLevel="0" collapsed="false">
      <c r="A3075" s="1" t="s">
        <v>13063</v>
      </c>
      <c r="B3075" s="1" t="s">
        <v>13064</v>
      </c>
      <c r="C3075" s="1" t="s">
        <v>13065</v>
      </c>
      <c r="D3075" s="2" t="n">
        <v>38364</v>
      </c>
      <c r="E3075" s="1" t="s">
        <v>710</v>
      </c>
      <c r="F3075" s="1" t="s">
        <v>711</v>
      </c>
      <c r="G3075" s="1" t="s">
        <v>722</v>
      </c>
      <c r="H3075" s="1" t="s">
        <v>713</v>
      </c>
      <c r="I3075" s="1" t="s">
        <v>714</v>
      </c>
      <c r="J3075" s="1" t="s">
        <v>821</v>
      </c>
      <c r="K3075" s="1" t="s">
        <v>716</v>
      </c>
      <c r="L3075" s="1" t="s">
        <v>13066</v>
      </c>
      <c r="M3075" s="1" t="s">
        <v>718</v>
      </c>
    </row>
    <row r="3076" customFormat="false" ht="15" hidden="false" customHeight="false" outlineLevel="0" collapsed="false">
      <c r="A3076" s="1" t="s">
        <v>13067</v>
      </c>
      <c r="B3076" s="1" t="s">
        <v>13068</v>
      </c>
      <c r="C3076" s="1" t="s">
        <v>13069</v>
      </c>
      <c r="D3076" s="2" t="n">
        <v>39498</v>
      </c>
      <c r="E3076" s="1" t="s">
        <v>710</v>
      </c>
      <c r="F3076" s="1" t="s">
        <v>711</v>
      </c>
      <c r="G3076" s="1" t="s">
        <v>1220</v>
      </c>
      <c r="H3076" s="1" t="s">
        <v>713</v>
      </c>
      <c r="I3076" s="1" t="s">
        <v>714</v>
      </c>
      <c r="J3076" s="1" t="s">
        <v>7865</v>
      </c>
      <c r="K3076" s="1" t="s">
        <v>13070</v>
      </c>
      <c r="L3076" s="1" t="s">
        <v>13071</v>
      </c>
      <c r="M3076" s="1" t="s">
        <v>718</v>
      </c>
    </row>
    <row r="3077" customFormat="false" ht="15" hidden="false" customHeight="false" outlineLevel="0" collapsed="false">
      <c r="A3077" s="1" t="s">
        <v>13072</v>
      </c>
      <c r="B3077" s="1" t="s">
        <v>12929</v>
      </c>
      <c r="C3077" s="1" t="s">
        <v>13073</v>
      </c>
      <c r="D3077" s="2" t="n">
        <v>39275</v>
      </c>
      <c r="E3077" s="1" t="s">
        <v>763</v>
      </c>
      <c r="F3077" s="1" t="s">
        <v>711</v>
      </c>
      <c r="G3077" s="1" t="s">
        <v>712</v>
      </c>
      <c r="H3077" s="1" t="s">
        <v>713</v>
      </c>
      <c r="I3077" s="1" t="s">
        <v>714</v>
      </c>
      <c r="J3077" s="1" t="s">
        <v>13074</v>
      </c>
      <c r="K3077" s="1" t="s">
        <v>716</v>
      </c>
      <c r="L3077" s="1" t="s">
        <v>13075</v>
      </c>
      <c r="M3077" s="1" t="s">
        <v>718</v>
      </c>
    </row>
    <row r="3078" customFormat="false" ht="15" hidden="false" customHeight="false" outlineLevel="0" collapsed="false">
      <c r="A3078" s="1" t="s">
        <v>13076</v>
      </c>
      <c r="B3078" s="1" t="s">
        <v>5628</v>
      </c>
      <c r="C3078" s="1" t="s">
        <v>13077</v>
      </c>
      <c r="D3078" s="2" t="n">
        <v>37674</v>
      </c>
      <c r="E3078" s="1" t="s">
        <v>710</v>
      </c>
      <c r="F3078" s="1" t="s">
        <v>711</v>
      </c>
      <c r="G3078" s="1" t="s">
        <v>712</v>
      </c>
      <c r="H3078" s="1" t="s">
        <v>713</v>
      </c>
      <c r="I3078" s="1" t="s">
        <v>714</v>
      </c>
      <c r="J3078" s="1" t="s">
        <v>2499</v>
      </c>
      <c r="K3078" s="1" t="s">
        <v>13078</v>
      </c>
      <c r="L3078" s="1" t="s">
        <v>13079</v>
      </c>
      <c r="M3078" s="1" t="s">
        <v>718</v>
      </c>
    </row>
    <row r="3079" customFormat="false" ht="15" hidden="false" customHeight="false" outlineLevel="0" collapsed="false">
      <c r="A3079" s="1" t="s">
        <v>13080</v>
      </c>
      <c r="B3079" s="1" t="s">
        <v>13081</v>
      </c>
      <c r="C3079" s="1" t="s">
        <v>13082</v>
      </c>
      <c r="D3079" s="2" t="n">
        <v>38900</v>
      </c>
      <c r="E3079" s="1" t="s">
        <v>710</v>
      </c>
      <c r="F3079" s="1" t="s">
        <v>711</v>
      </c>
      <c r="G3079" s="1" t="s">
        <v>712</v>
      </c>
      <c r="H3079" s="1" t="s">
        <v>713</v>
      </c>
      <c r="I3079" s="1" t="s">
        <v>714</v>
      </c>
      <c r="J3079" s="1" t="s">
        <v>2499</v>
      </c>
      <c r="K3079" s="1" t="s">
        <v>13078</v>
      </c>
      <c r="L3079" s="1" t="s">
        <v>2599</v>
      </c>
      <c r="M3079" s="1" t="s">
        <v>718</v>
      </c>
    </row>
    <row r="3080" customFormat="false" ht="15" hidden="false" customHeight="false" outlineLevel="0" collapsed="false">
      <c r="A3080" s="1" t="s">
        <v>13083</v>
      </c>
      <c r="B3080" s="1" t="s">
        <v>6334</v>
      </c>
      <c r="C3080" s="1" t="s">
        <v>13084</v>
      </c>
      <c r="D3080" s="2" t="n">
        <v>38479</v>
      </c>
      <c r="E3080" s="1" t="s">
        <v>710</v>
      </c>
      <c r="F3080" s="1" t="s">
        <v>711</v>
      </c>
      <c r="G3080" s="1" t="s">
        <v>712</v>
      </c>
      <c r="H3080" s="1" t="s">
        <v>713</v>
      </c>
      <c r="I3080" s="1" t="s">
        <v>714</v>
      </c>
      <c r="J3080" s="1" t="s">
        <v>1530</v>
      </c>
      <c r="K3080" s="1" t="s">
        <v>716</v>
      </c>
      <c r="L3080" s="1" t="s">
        <v>13085</v>
      </c>
      <c r="M3080" s="1" t="s">
        <v>718</v>
      </c>
    </row>
    <row r="3081" customFormat="false" ht="15" hidden="false" customHeight="false" outlineLevel="0" collapsed="false">
      <c r="A3081" s="1" t="s">
        <v>13086</v>
      </c>
      <c r="B3081" s="1" t="s">
        <v>13087</v>
      </c>
      <c r="C3081" s="1" t="s">
        <v>10786</v>
      </c>
      <c r="D3081" s="2" t="n">
        <v>38914</v>
      </c>
      <c r="E3081" s="1" t="s">
        <v>763</v>
      </c>
      <c r="F3081" s="1" t="s">
        <v>711</v>
      </c>
      <c r="G3081" s="1" t="s">
        <v>712</v>
      </c>
      <c r="H3081" s="1" t="s">
        <v>713</v>
      </c>
      <c r="I3081" s="1" t="s">
        <v>714</v>
      </c>
      <c r="J3081" s="1" t="s">
        <v>9891</v>
      </c>
      <c r="K3081" s="1" t="s">
        <v>13088</v>
      </c>
      <c r="L3081" s="1" t="s">
        <v>10788</v>
      </c>
      <c r="M3081" s="1" t="s">
        <v>718</v>
      </c>
    </row>
    <row r="3082" customFormat="false" ht="15" hidden="false" customHeight="false" outlineLevel="0" collapsed="false">
      <c r="A3082" s="1" t="s">
        <v>13089</v>
      </c>
      <c r="B3082" s="1" t="s">
        <v>13090</v>
      </c>
      <c r="C3082" s="1" t="s">
        <v>13091</v>
      </c>
      <c r="D3082" s="2" t="n">
        <v>38862</v>
      </c>
      <c r="E3082" s="1" t="s">
        <v>763</v>
      </c>
      <c r="F3082" s="1" t="s">
        <v>711</v>
      </c>
      <c r="G3082" s="1" t="s">
        <v>712</v>
      </c>
      <c r="H3082" s="1" t="s">
        <v>713</v>
      </c>
      <c r="I3082" s="1" t="s">
        <v>714</v>
      </c>
      <c r="J3082" s="1" t="s">
        <v>1530</v>
      </c>
      <c r="K3082" s="1" t="s">
        <v>13092</v>
      </c>
      <c r="L3082" s="1" t="s">
        <v>13093</v>
      </c>
      <c r="M3082" s="1" t="s">
        <v>718</v>
      </c>
    </row>
    <row r="3083" customFormat="false" ht="15" hidden="false" customHeight="false" outlineLevel="0" collapsed="false">
      <c r="A3083" s="1" t="s">
        <v>13094</v>
      </c>
      <c r="B3083" s="1" t="s">
        <v>13095</v>
      </c>
      <c r="C3083" s="1" t="s">
        <v>13096</v>
      </c>
      <c r="D3083" s="2" t="n">
        <v>39092</v>
      </c>
      <c r="E3083" s="1" t="s">
        <v>763</v>
      </c>
      <c r="F3083" s="1" t="s">
        <v>711</v>
      </c>
      <c r="G3083" s="1" t="s">
        <v>712</v>
      </c>
      <c r="H3083" s="1" t="s">
        <v>713</v>
      </c>
      <c r="I3083" s="1" t="s">
        <v>714</v>
      </c>
      <c r="J3083" s="1" t="s">
        <v>13074</v>
      </c>
      <c r="K3083" s="1" t="s">
        <v>716</v>
      </c>
      <c r="L3083" s="1" t="s">
        <v>13097</v>
      </c>
      <c r="M3083" s="1" t="s">
        <v>718</v>
      </c>
    </row>
    <row r="3084" customFormat="false" ht="15" hidden="false" customHeight="false" outlineLevel="0" collapsed="false">
      <c r="A3084" s="1" t="s">
        <v>13098</v>
      </c>
      <c r="B3084" s="1" t="s">
        <v>2974</v>
      </c>
      <c r="C3084" s="1" t="s">
        <v>13099</v>
      </c>
      <c r="D3084" s="2" t="n">
        <v>38947</v>
      </c>
      <c r="E3084" s="1" t="s">
        <v>710</v>
      </c>
      <c r="F3084" s="1" t="s">
        <v>711</v>
      </c>
      <c r="G3084" s="1" t="s">
        <v>712</v>
      </c>
      <c r="H3084" s="1" t="s">
        <v>713</v>
      </c>
      <c r="I3084" s="1" t="s">
        <v>714</v>
      </c>
      <c r="J3084" s="1" t="s">
        <v>715</v>
      </c>
      <c r="K3084" s="1" t="s">
        <v>13100</v>
      </c>
      <c r="L3084" s="1" t="s">
        <v>13101</v>
      </c>
      <c r="M3084" s="1" t="s">
        <v>718</v>
      </c>
    </row>
    <row r="3085" customFormat="false" ht="15" hidden="false" customHeight="false" outlineLevel="0" collapsed="false">
      <c r="A3085" s="1" t="s">
        <v>13102</v>
      </c>
      <c r="B3085" s="1" t="s">
        <v>13103</v>
      </c>
      <c r="C3085" s="1" t="s">
        <v>13104</v>
      </c>
      <c r="D3085" s="2" t="n">
        <v>38745</v>
      </c>
      <c r="E3085" s="1" t="s">
        <v>710</v>
      </c>
      <c r="F3085" s="1" t="s">
        <v>711</v>
      </c>
      <c r="G3085" s="1" t="s">
        <v>722</v>
      </c>
      <c r="H3085" s="1" t="s">
        <v>713</v>
      </c>
      <c r="I3085" s="1" t="s">
        <v>714</v>
      </c>
      <c r="J3085" s="1" t="s">
        <v>13105</v>
      </c>
      <c r="K3085" s="1" t="s">
        <v>13106</v>
      </c>
      <c r="L3085" s="1" t="s">
        <v>13107</v>
      </c>
      <c r="M3085" s="1" t="s">
        <v>718</v>
      </c>
    </row>
    <row r="3086" customFormat="false" ht="15" hidden="false" customHeight="false" outlineLevel="0" collapsed="false">
      <c r="A3086" s="1" t="s">
        <v>13108</v>
      </c>
      <c r="B3086" s="1" t="s">
        <v>13109</v>
      </c>
      <c r="C3086" s="1" t="s">
        <v>820</v>
      </c>
      <c r="D3086" s="2" t="n">
        <v>39031</v>
      </c>
      <c r="E3086" s="1" t="s">
        <v>763</v>
      </c>
      <c r="F3086" s="1" t="s">
        <v>711</v>
      </c>
      <c r="G3086" s="1" t="s">
        <v>712</v>
      </c>
      <c r="H3086" s="1" t="s">
        <v>713</v>
      </c>
      <c r="I3086" s="1" t="s">
        <v>714</v>
      </c>
      <c r="J3086" s="1" t="s">
        <v>740</v>
      </c>
      <c r="K3086" s="1" t="s">
        <v>716</v>
      </c>
      <c r="L3086" s="1" t="s">
        <v>822</v>
      </c>
      <c r="M3086" s="1" t="s">
        <v>718</v>
      </c>
    </row>
    <row r="3087" customFormat="false" ht="15" hidden="false" customHeight="false" outlineLevel="0" collapsed="false">
      <c r="A3087" s="1" t="s">
        <v>13110</v>
      </c>
      <c r="B3087" s="1" t="s">
        <v>13111</v>
      </c>
      <c r="C3087" s="1" t="s">
        <v>1185</v>
      </c>
      <c r="D3087" s="2" t="n">
        <v>38873</v>
      </c>
      <c r="E3087" s="1" t="s">
        <v>710</v>
      </c>
      <c r="F3087" s="1" t="s">
        <v>711</v>
      </c>
      <c r="G3087" s="1" t="s">
        <v>712</v>
      </c>
      <c r="H3087" s="1" t="s">
        <v>713</v>
      </c>
      <c r="I3087" s="1" t="s">
        <v>714</v>
      </c>
      <c r="J3087" s="1" t="s">
        <v>13112</v>
      </c>
      <c r="K3087" s="1" t="s">
        <v>13113</v>
      </c>
      <c r="L3087" s="1" t="s">
        <v>13114</v>
      </c>
      <c r="M3087" s="1" t="s">
        <v>718</v>
      </c>
    </row>
    <row r="3088" customFormat="false" ht="15" hidden="false" customHeight="false" outlineLevel="0" collapsed="false">
      <c r="A3088" s="1" t="s">
        <v>13115</v>
      </c>
      <c r="B3088" s="1" t="s">
        <v>13116</v>
      </c>
      <c r="C3088" s="1" t="s">
        <v>1262</v>
      </c>
      <c r="D3088" s="2" t="n">
        <v>38459</v>
      </c>
      <c r="E3088" s="1" t="s">
        <v>763</v>
      </c>
      <c r="F3088" s="1" t="s">
        <v>711</v>
      </c>
      <c r="G3088" s="1" t="s">
        <v>722</v>
      </c>
      <c r="H3088" s="1" t="s">
        <v>713</v>
      </c>
      <c r="I3088" s="1" t="s">
        <v>714</v>
      </c>
      <c r="J3088" s="1" t="s">
        <v>2499</v>
      </c>
      <c r="K3088" s="1" t="s">
        <v>13117</v>
      </c>
      <c r="L3088" s="1" t="s">
        <v>1263</v>
      </c>
      <c r="M3088" s="1" t="s">
        <v>718</v>
      </c>
    </row>
    <row r="3089" customFormat="false" ht="15" hidden="false" customHeight="false" outlineLevel="0" collapsed="false">
      <c r="A3089" s="1" t="s">
        <v>13118</v>
      </c>
      <c r="B3089" s="1" t="s">
        <v>13119</v>
      </c>
      <c r="C3089" s="1" t="s">
        <v>12383</v>
      </c>
      <c r="D3089" s="2" t="n">
        <v>38937</v>
      </c>
      <c r="E3089" s="1" t="s">
        <v>763</v>
      </c>
      <c r="F3089" s="1" t="s">
        <v>711</v>
      </c>
      <c r="G3089" s="1" t="s">
        <v>712</v>
      </c>
      <c r="H3089" s="1" t="s">
        <v>713</v>
      </c>
      <c r="I3089" s="1" t="s">
        <v>714</v>
      </c>
      <c r="J3089" s="1" t="s">
        <v>2000</v>
      </c>
      <c r="K3089" s="1" t="s">
        <v>13120</v>
      </c>
      <c r="L3089" s="1" t="s">
        <v>12385</v>
      </c>
      <c r="M3089" s="1" t="s">
        <v>718</v>
      </c>
    </row>
    <row r="3090" customFormat="false" ht="15" hidden="false" customHeight="false" outlineLevel="0" collapsed="false">
      <c r="A3090" s="1" t="s">
        <v>13121</v>
      </c>
      <c r="B3090" s="1" t="s">
        <v>13122</v>
      </c>
      <c r="C3090" s="1" t="s">
        <v>12652</v>
      </c>
      <c r="D3090" s="2" t="n">
        <v>38879</v>
      </c>
      <c r="E3090" s="1" t="s">
        <v>710</v>
      </c>
      <c r="F3090" s="1" t="s">
        <v>711</v>
      </c>
      <c r="G3090" s="1" t="s">
        <v>712</v>
      </c>
      <c r="H3090" s="1" t="s">
        <v>713</v>
      </c>
      <c r="I3090" s="1" t="s">
        <v>714</v>
      </c>
      <c r="J3090" s="1" t="s">
        <v>13123</v>
      </c>
      <c r="K3090" s="1" t="s">
        <v>13124</v>
      </c>
      <c r="L3090" s="1" t="s">
        <v>13125</v>
      </c>
      <c r="M3090" s="1" t="s">
        <v>718</v>
      </c>
    </row>
    <row r="3091" customFormat="false" ht="15" hidden="false" customHeight="false" outlineLevel="0" collapsed="false">
      <c r="A3091" s="1" t="s">
        <v>13126</v>
      </c>
      <c r="B3091" s="1" t="s">
        <v>13127</v>
      </c>
      <c r="C3091" s="1" t="s">
        <v>2632</v>
      </c>
      <c r="D3091" s="2" t="n">
        <v>39082</v>
      </c>
      <c r="E3091" s="1" t="s">
        <v>710</v>
      </c>
      <c r="F3091" s="1" t="s">
        <v>711</v>
      </c>
      <c r="G3091" s="1" t="s">
        <v>1220</v>
      </c>
      <c r="H3091" s="1" t="s">
        <v>713</v>
      </c>
      <c r="I3091" s="1" t="s">
        <v>714</v>
      </c>
      <c r="J3091" s="1" t="s">
        <v>2499</v>
      </c>
      <c r="K3091" s="1" t="s">
        <v>13128</v>
      </c>
      <c r="L3091" s="1" t="s">
        <v>6950</v>
      </c>
      <c r="M3091" s="1" t="s">
        <v>718</v>
      </c>
    </row>
    <row r="3092" customFormat="false" ht="15" hidden="false" customHeight="false" outlineLevel="0" collapsed="false">
      <c r="A3092" s="1" t="s">
        <v>13129</v>
      </c>
      <c r="B3092" s="1" t="s">
        <v>11460</v>
      </c>
      <c r="C3092" s="1" t="s">
        <v>13130</v>
      </c>
      <c r="D3092" s="2" t="n">
        <v>37699</v>
      </c>
      <c r="E3092" s="1" t="s">
        <v>763</v>
      </c>
      <c r="F3092" s="1" t="s">
        <v>711</v>
      </c>
      <c r="G3092" s="1" t="s">
        <v>712</v>
      </c>
      <c r="H3092" s="1" t="s">
        <v>713</v>
      </c>
      <c r="I3092" s="1" t="s">
        <v>714</v>
      </c>
      <c r="J3092" s="1" t="s">
        <v>751</v>
      </c>
      <c r="K3092" s="1" t="s">
        <v>716</v>
      </c>
      <c r="L3092" s="1" t="s">
        <v>10920</v>
      </c>
      <c r="M3092" s="1" t="s">
        <v>718</v>
      </c>
    </row>
    <row r="3093" customFormat="false" ht="15" hidden="false" customHeight="false" outlineLevel="0" collapsed="false">
      <c r="A3093" s="1" t="s">
        <v>13131</v>
      </c>
      <c r="B3093" s="1" t="s">
        <v>1682</v>
      </c>
      <c r="C3093" s="1" t="s">
        <v>3892</v>
      </c>
      <c r="D3093" s="2" t="n">
        <v>38915</v>
      </c>
      <c r="E3093" s="1" t="s">
        <v>763</v>
      </c>
      <c r="F3093" s="1" t="s">
        <v>711</v>
      </c>
      <c r="G3093" s="1" t="s">
        <v>712</v>
      </c>
      <c r="H3093" s="1" t="s">
        <v>713</v>
      </c>
      <c r="I3093" s="1" t="s">
        <v>714</v>
      </c>
      <c r="J3093" s="1" t="s">
        <v>7865</v>
      </c>
      <c r="K3093" s="1" t="s">
        <v>716</v>
      </c>
      <c r="L3093" s="1" t="s">
        <v>3894</v>
      </c>
      <c r="M3093" s="1" t="s">
        <v>718</v>
      </c>
    </row>
    <row r="3094" customFormat="false" ht="15" hidden="false" customHeight="false" outlineLevel="0" collapsed="false">
      <c r="A3094" s="1" t="s">
        <v>13132</v>
      </c>
      <c r="B3094" s="1" t="s">
        <v>13133</v>
      </c>
      <c r="C3094" s="1" t="s">
        <v>3604</v>
      </c>
      <c r="D3094" s="2" t="n">
        <v>38932</v>
      </c>
      <c r="E3094" s="1" t="s">
        <v>763</v>
      </c>
      <c r="F3094" s="1" t="s">
        <v>711</v>
      </c>
      <c r="G3094" s="1" t="s">
        <v>712</v>
      </c>
      <c r="H3094" s="1" t="s">
        <v>713</v>
      </c>
      <c r="I3094" s="1" t="s">
        <v>714</v>
      </c>
      <c r="J3094" s="1" t="s">
        <v>716</v>
      </c>
      <c r="K3094" s="1" t="s">
        <v>716</v>
      </c>
      <c r="L3094" s="1" t="s">
        <v>2833</v>
      </c>
      <c r="M3094" s="1" t="s">
        <v>718</v>
      </c>
    </row>
    <row r="3095" customFormat="false" ht="15" hidden="false" customHeight="false" outlineLevel="0" collapsed="false">
      <c r="A3095" s="1" t="s">
        <v>13134</v>
      </c>
      <c r="B3095" s="1" t="s">
        <v>13135</v>
      </c>
      <c r="C3095" s="1" t="s">
        <v>13136</v>
      </c>
      <c r="D3095" s="2" t="n">
        <v>38964</v>
      </c>
      <c r="E3095" s="1" t="s">
        <v>763</v>
      </c>
      <c r="F3095" s="1" t="s">
        <v>711</v>
      </c>
      <c r="G3095" s="1" t="s">
        <v>712</v>
      </c>
      <c r="H3095" s="1" t="s">
        <v>713</v>
      </c>
      <c r="I3095" s="1" t="s">
        <v>714</v>
      </c>
      <c r="J3095" s="1" t="s">
        <v>13137</v>
      </c>
      <c r="K3095" s="1" t="s">
        <v>13138</v>
      </c>
      <c r="L3095" s="1" t="s">
        <v>13139</v>
      </c>
      <c r="M3095" s="1" t="s">
        <v>718</v>
      </c>
    </row>
    <row r="3096" customFormat="false" ht="15" hidden="false" customHeight="false" outlineLevel="0" collapsed="false">
      <c r="A3096" s="1" t="s">
        <v>13140</v>
      </c>
      <c r="B3096" s="1" t="s">
        <v>13141</v>
      </c>
      <c r="C3096" s="1" t="s">
        <v>13142</v>
      </c>
      <c r="D3096" s="2" t="n">
        <v>39029</v>
      </c>
      <c r="E3096" s="1" t="s">
        <v>763</v>
      </c>
      <c r="F3096" s="1" t="s">
        <v>711</v>
      </c>
      <c r="G3096" s="1" t="s">
        <v>712</v>
      </c>
      <c r="H3096" s="1" t="s">
        <v>713</v>
      </c>
      <c r="I3096" s="1" t="s">
        <v>714</v>
      </c>
      <c r="J3096" s="1" t="s">
        <v>8416</v>
      </c>
      <c r="K3096" s="1" t="s">
        <v>716</v>
      </c>
      <c r="L3096" s="1" t="s">
        <v>13143</v>
      </c>
      <c r="M3096" s="1" t="s">
        <v>718</v>
      </c>
    </row>
    <row r="3097" customFormat="false" ht="15" hidden="false" customHeight="false" outlineLevel="0" collapsed="false">
      <c r="A3097" s="1" t="s">
        <v>13144</v>
      </c>
      <c r="B3097" s="1" t="s">
        <v>13145</v>
      </c>
      <c r="C3097" s="1" t="s">
        <v>13146</v>
      </c>
      <c r="D3097" s="2" t="n">
        <v>39077</v>
      </c>
      <c r="E3097" s="1" t="s">
        <v>763</v>
      </c>
      <c r="F3097" s="1" t="s">
        <v>711</v>
      </c>
      <c r="G3097" s="1" t="s">
        <v>712</v>
      </c>
      <c r="H3097" s="1" t="s">
        <v>713</v>
      </c>
      <c r="I3097" s="1" t="s">
        <v>714</v>
      </c>
      <c r="J3097" s="1" t="s">
        <v>2997</v>
      </c>
      <c r="K3097" s="1" t="s">
        <v>13147</v>
      </c>
      <c r="L3097" s="1" t="s">
        <v>13148</v>
      </c>
      <c r="M3097" s="1" t="s">
        <v>718</v>
      </c>
    </row>
    <row r="3098" customFormat="false" ht="15" hidden="false" customHeight="false" outlineLevel="0" collapsed="false">
      <c r="A3098" s="1" t="s">
        <v>13149</v>
      </c>
      <c r="B3098" s="1" t="s">
        <v>13150</v>
      </c>
      <c r="C3098" s="1" t="s">
        <v>13151</v>
      </c>
      <c r="D3098" s="2" t="n">
        <v>39079</v>
      </c>
      <c r="E3098" s="1" t="s">
        <v>710</v>
      </c>
      <c r="F3098" s="1" t="s">
        <v>711</v>
      </c>
      <c r="G3098" s="1" t="s">
        <v>712</v>
      </c>
      <c r="H3098" s="1" t="s">
        <v>713</v>
      </c>
      <c r="I3098" s="1" t="s">
        <v>714</v>
      </c>
      <c r="J3098" s="1" t="s">
        <v>13152</v>
      </c>
      <c r="K3098" s="1" t="s">
        <v>716</v>
      </c>
      <c r="L3098" s="1" t="s">
        <v>5837</v>
      </c>
      <c r="M3098" s="1" t="s">
        <v>718</v>
      </c>
    </row>
    <row r="3099" customFormat="false" ht="15" hidden="false" customHeight="false" outlineLevel="0" collapsed="false">
      <c r="A3099" s="1" t="s">
        <v>13153</v>
      </c>
      <c r="B3099" s="1" t="s">
        <v>2606</v>
      </c>
      <c r="C3099" s="1" t="s">
        <v>13154</v>
      </c>
      <c r="D3099" s="2" t="n">
        <v>39359</v>
      </c>
      <c r="E3099" s="1" t="s">
        <v>710</v>
      </c>
      <c r="F3099" s="1" t="s">
        <v>711</v>
      </c>
      <c r="G3099" s="1" t="s">
        <v>712</v>
      </c>
      <c r="H3099" s="1" t="s">
        <v>713</v>
      </c>
      <c r="I3099" s="1" t="s">
        <v>714</v>
      </c>
      <c r="J3099" s="1" t="s">
        <v>1530</v>
      </c>
      <c r="K3099" s="1" t="s">
        <v>716</v>
      </c>
      <c r="L3099" s="1" t="s">
        <v>3542</v>
      </c>
      <c r="M3099" s="1" t="s">
        <v>718</v>
      </c>
    </row>
    <row r="3100" customFormat="false" ht="15" hidden="false" customHeight="false" outlineLevel="0" collapsed="false">
      <c r="A3100" s="1" t="s">
        <v>13155</v>
      </c>
      <c r="B3100" s="1" t="s">
        <v>13156</v>
      </c>
      <c r="C3100" s="1" t="s">
        <v>3539</v>
      </c>
      <c r="D3100" s="2" t="n">
        <v>37737</v>
      </c>
      <c r="E3100" s="1" t="s">
        <v>710</v>
      </c>
      <c r="F3100" s="1" t="s">
        <v>711</v>
      </c>
      <c r="G3100" s="1" t="s">
        <v>712</v>
      </c>
      <c r="H3100" s="1" t="s">
        <v>713</v>
      </c>
      <c r="I3100" s="1" t="s">
        <v>714</v>
      </c>
      <c r="J3100" s="1" t="s">
        <v>13157</v>
      </c>
      <c r="K3100" s="1" t="s">
        <v>13158</v>
      </c>
      <c r="L3100" s="1" t="s">
        <v>3542</v>
      </c>
      <c r="M3100" s="1" t="s">
        <v>718</v>
      </c>
    </row>
    <row r="3101" customFormat="false" ht="15" hidden="false" customHeight="false" outlineLevel="0" collapsed="false">
      <c r="A3101" s="1" t="s">
        <v>13159</v>
      </c>
      <c r="B3101" s="1" t="s">
        <v>13160</v>
      </c>
      <c r="C3101" s="1" t="s">
        <v>1473</v>
      </c>
      <c r="D3101" s="2" t="n">
        <v>38758</v>
      </c>
      <c r="E3101" s="1" t="s">
        <v>710</v>
      </c>
      <c r="F3101" s="1" t="s">
        <v>711</v>
      </c>
      <c r="G3101" s="1" t="s">
        <v>712</v>
      </c>
      <c r="H3101" s="1" t="s">
        <v>713</v>
      </c>
      <c r="I3101" s="1" t="s">
        <v>714</v>
      </c>
      <c r="J3101" s="1" t="s">
        <v>7865</v>
      </c>
      <c r="K3101" s="1" t="s">
        <v>13161</v>
      </c>
      <c r="L3101" s="1" t="s">
        <v>11230</v>
      </c>
      <c r="M3101" s="1" t="s">
        <v>718</v>
      </c>
    </row>
    <row r="3102" customFormat="false" ht="15" hidden="false" customHeight="false" outlineLevel="0" collapsed="false">
      <c r="A3102" s="1" t="s">
        <v>13162</v>
      </c>
      <c r="B3102" s="1" t="s">
        <v>13163</v>
      </c>
      <c r="C3102" s="1" t="s">
        <v>10548</v>
      </c>
      <c r="D3102" s="2" t="n">
        <v>38902</v>
      </c>
      <c r="E3102" s="1" t="s">
        <v>763</v>
      </c>
      <c r="F3102" s="1" t="s">
        <v>711</v>
      </c>
      <c r="G3102" s="1" t="s">
        <v>722</v>
      </c>
      <c r="H3102" s="1" t="s">
        <v>713</v>
      </c>
      <c r="I3102" s="1" t="s">
        <v>714</v>
      </c>
      <c r="J3102" s="1" t="s">
        <v>7565</v>
      </c>
      <c r="K3102" s="1" t="s">
        <v>716</v>
      </c>
      <c r="L3102" s="1" t="s">
        <v>13164</v>
      </c>
      <c r="M3102" s="1" t="s">
        <v>718</v>
      </c>
    </row>
    <row r="3103" customFormat="false" ht="15" hidden="false" customHeight="false" outlineLevel="0" collapsed="false">
      <c r="A3103" s="1" t="s">
        <v>13165</v>
      </c>
      <c r="B3103" s="1" t="s">
        <v>13166</v>
      </c>
      <c r="C3103" s="1" t="s">
        <v>1583</v>
      </c>
      <c r="D3103" s="2" t="n">
        <v>38273</v>
      </c>
      <c r="E3103" s="1" t="s">
        <v>710</v>
      </c>
      <c r="F3103" s="1" t="s">
        <v>711</v>
      </c>
      <c r="G3103" s="1" t="s">
        <v>722</v>
      </c>
      <c r="H3103" s="1" t="s">
        <v>713</v>
      </c>
      <c r="I3103" s="1" t="s">
        <v>714</v>
      </c>
      <c r="J3103" s="1" t="s">
        <v>10677</v>
      </c>
      <c r="K3103" s="1" t="s">
        <v>11601</v>
      </c>
      <c r="L3103" s="1" t="s">
        <v>1586</v>
      </c>
      <c r="M3103" s="1" t="s">
        <v>718</v>
      </c>
    </row>
    <row r="3104" customFormat="false" ht="15" hidden="false" customHeight="false" outlineLevel="0" collapsed="false">
      <c r="A3104" s="1" t="s">
        <v>13167</v>
      </c>
      <c r="B3104" s="1" t="s">
        <v>13168</v>
      </c>
      <c r="C3104" s="1" t="s">
        <v>3633</v>
      </c>
      <c r="D3104" s="2" t="n">
        <v>39037</v>
      </c>
      <c r="E3104" s="1" t="s">
        <v>763</v>
      </c>
      <c r="F3104" s="1" t="s">
        <v>711</v>
      </c>
      <c r="G3104" s="1" t="s">
        <v>712</v>
      </c>
      <c r="H3104" s="1" t="s">
        <v>713</v>
      </c>
      <c r="I3104" s="1" t="s">
        <v>714</v>
      </c>
      <c r="J3104" s="1" t="s">
        <v>10677</v>
      </c>
      <c r="K3104" s="1" t="s">
        <v>13169</v>
      </c>
      <c r="L3104" s="1" t="s">
        <v>2851</v>
      </c>
      <c r="M3104" s="1" t="s">
        <v>718</v>
      </c>
    </row>
    <row r="3105" customFormat="false" ht="15" hidden="false" customHeight="false" outlineLevel="0" collapsed="false">
      <c r="A3105" s="1" t="s">
        <v>13170</v>
      </c>
      <c r="B3105" s="1" t="s">
        <v>13171</v>
      </c>
      <c r="C3105" s="1" t="s">
        <v>2965</v>
      </c>
      <c r="D3105" s="2" t="n">
        <v>39436</v>
      </c>
      <c r="E3105" s="1" t="s">
        <v>710</v>
      </c>
      <c r="F3105" s="1" t="s">
        <v>711</v>
      </c>
      <c r="G3105" s="1" t="s">
        <v>712</v>
      </c>
      <c r="H3105" s="1" t="s">
        <v>713</v>
      </c>
      <c r="I3105" s="1" t="s">
        <v>714</v>
      </c>
      <c r="J3105" s="1" t="s">
        <v>6801</v>
      </c>
      <c r="K3105" s="1" t="s">
        <v>13172</v>
      </c>
      <c r="L3105" s="1" t="s">
        <v>2967</v>
      </c>
      <c r="M3105" s="1" t="s">
        <v>718</v>
      </c>
    </row>
    <row r="3106" customFormat="false" ht="15" hidden="false" customHeight="false" outlineLevel="0" collapsed="false">
      <c r="A3106" s="1" t="s">
        <v>13173</v>
      </c>
      <c r="B3106" s="1" t="s">
        <v>13174</v>
      </c>
      <c r="C3106" s="1" t="s">
        <v>8162</v>
      </c>
      <c r="D3106" s="2" t="n">
        <v>39428</v>
      </c>
      <c r="E3106" s="1" t="s">
        <v>763</v>
      </c>
      <c r="F3106" s="1" t="s">
        <v>711</v>
      </c>
      <c r="G3106" s="1" t="s">
        <v>712</v>
      </c>
      <c r="H3106" s="1" t="s">
        <v>713</v>
      </c>
      <c r="I3106" s="1" t="s">
        <v>714</v>
      </c>
      <c r="J3106" s="1" t="s">
        <v>10677</v>
      </c>
      <c r="K3106" s="1" t="s">
        <v>13175</v>
      </c>
      <c r="L3106" s="1" t="s">
        <v>7350</v>
      </c>
      <c r="M3106" s="1" t="s">
        <v>718</v>
      </c>
    </row>
    <row r="3107" customFormat="false" ht="15" hidden="false" customHeight="false" outlineLevel="0" collapsed="false">
      <c r="A3107" s="1" t="s">
        <v>13176</v>
      </c>
      <c r="B3107" s="1" t="s">
        <v>13177</v>
      </c>
      <c r="C3107" s="1" t="s">
        <v>2948</v>
      </c>
      <c r="D3107" s="2" t="n">
        <v>38843</v>
      </c>
      <c r="E3107" s="1" t="s">
        <v>710</v>
      </c>
      <c r="F3107" s="1" t="s">
        <v>711</v>
      </c>
      <c r="G3107" s="1" t="s">
        <v>712</v>
      </c>
      <c r="H3107" s="1" t="s">
        <v>713</v>
      </c>
      <c r="I3107" s="1" t="s">
        <v>714</v>
      </c>
      <c r="J3107" s="1" t="s">
        <v>13178</v>
      </c>
      <c r="K3107" s="1" t="s">
        <v>716</v>
      </c>
      <c r="L3107" s="1" t="s">
        <v>2950</v>
      </c>
      <c r="M3107" s="1" t="s">
        <v>718</v>
      </c>
    </row>
    <row r="3108" customFormat="false" ht="15" hidden="false" customHeight="false" outlineLevel="0" collapsed="false">
      <c r="A3108" s="1" t="s">
        <v>13179</v>
      </c>
      <c r="B3108" s="1" t="s">
        <v>13180</v>
      </c>
      <c r="C3108" s="1" t="s">
        <v>11324</v>
      </c>
      <c r="D3108" s="2" t="n">
        <v>38535</v>
      </c>
      <c r="E3108" s="1" t="s">
        <v>763</v>
      </c>
      <c r="F3108" s="1" t="s">
        <v>711</v>
      </c>
      <c r="G3108" s="1" t="s">
        <v>712</v>
      </c>
      <c r="H3108" s="1" t="s">
        <v>713</v>
      </c>
      <c r="I3108" s="1" t="s">
        <v>714</v>
      </c>
      <c r="J3108" s="1" t="s">
        <v>13181</v>
      </c>
      <c r="K3108" s="1" t="s">
        <v>716</v>
      </c>
      <c r="L3108" s="1" t="s">
        <v>13182</v>
      </c>
      <c r="M3108" s="1" t="s">
        <v>718</v>
      </c>
    </row>
    <row r="3109" customFormat="false" ht="15" hidden="false" customHeight="false" outlineLevel="0" collapsed="false">
      <c r="A3109" s="1" t="s">
        <v>13183</v>
      </c>
      <c r="B3109" s="1" t="s">
        <v>13184</v>
      </c>
      <c r="C3109" s="1" t="s">
        <v>13185</v>
      </c>
      <c r="D3109" s="2" t="n">
        <v>38911</v>
      </c>
      <c r="E3109" s="1" t="s">
        <v>763</v>
      </c>
      <c r="F3109" s="1" t="s">
        <v>711</v>
      </c>
      <c r="G3109" s="1" t="s">
        <v>712</v>
      </c>
      <c r="H3109" s="1" t="s">
        <v>713</v>
      </c>
      <c r="I3109" s="1" t="s">
        <v>714</v>
      </c>
      <c r="J3109" s="1" t="s">
        <v>13186</v>
      </c>
      <c r="K3109" s="1" t="s">
        <v>716</v>
      </c>
      <c r="L3109" s="1" t="s">
        <v>9862</v>
      </c>
      <c r="M3109" s="1" t="s">
        <v>718</v>
      </c>
    </row>
    <row r="3110" customFormat="false" ht="15" hidden="false" customHeight="false" outlineLevel="0" collapsed="false">
      <c r="A3110" s="1" t="s">
        <v>13187</v>
      </c>
      <c r="B3110" s="1" t="s">
        <v>13188</v>
      </c>
      <c r="C3110" s="1" t="s">
        <v>1139</v>
      </c>
      <c r="D3110" s="2" t="n">
        <v>39001</v>
      </c>
      <c r="E3110" s="1" t="s">
        <v>710</v>
      </c>
      <c r="F3110" s="1" t="s">
        <v>711</v>
      </c>
      <c r="G3110" s="1" t="s">
        <v>712</v>
      </c>
      <c r="H3110" s="1" t="s">
        <v>713</v>
      </c>
      <c r="I3110" s="1" t="s">
        <v>714</v>
      </c>
      <c r="J3110" s="1" t="s">
        <v>13189</v>
      </c>
      <c r="K3110" s="1" t="s">
        <v>13190</v>
      </c>
      <c r="L3110" s="1" t="s">
        <v>8039</v>
      </c>
      <c r="M3110" s="1" t="s">
        <v>718</v>
      </c>
    </row>
    <row r="3111" customFormat="false" ht="15" hidden="false" customHeight="false" outlineLevel="0" collapsed="false">
      <c r="A3111" s="1" t="s">
        <v>13191</v>
      </c>
      <c r="B3111" s="1" t="s">
        <v>13192</v>
      </c>
      <c r="C3111" s="1" t="s">
        <v>1049</v>
      </c>
      <c r="D3111" s="2" t="n">
        <v>38333</v>
      </c>
      <c r="E3111" s="1" t="s">
        <v>710</v>
      </c>
      <c r="F3111" s="1" t="s">
        <v>711</v>
      </c>
      <c r="G3111" s="1" t="s">
        <v>722</v>
      </c>
      <c r="H3111" s="1" t="s">
        <v>713</v>
      </c>
      <c r="I3111" s="1" t="s">
        <v>714</v>
      </c>
      <c r="J3111" s="1" t="s">
        <v>740</v>
      </c>
      <c r="K3111" s="1" t="s">
        <v>716</v>
      </c>
      <c r="L3111" s="1" t="s">
        <v>2221</v>
      </c>
      <c r="M3111" s="1" t="s">
        <v>718</v>
      </c>
    </row>
    <row r="3112" customFormat="false" ht="15" hidden="false" customHeight="false" outlineLevel="0" collapsed="false">
      <c r="A3112" s="1" t="s">
        <v>13193</v>
      </c>
      <c r="B3112" s="1" t="s">
        <v>13194</v>
      </c>
      <c r="C3112" s="1" t="s">
        <v>11658</v>
      </c>
      <c r="D3112" s="2" t="n">
        <v>37817</v>
      </c>
      <c r="E3112" s="1" t="s">
        <v>763</v>
      </c>
      <c r="F3112" s="1" t="s">
        <v>711</v>
      </c>
      <c r="G3112" s="1" t="s">
        <v>712</v>
      </c>
      <c r="H3112" s="1" t="s">
        <v>713</v>
      </c>
      <c r="I3112" s="1" t="s">
        <v>714</v>
      </c>
      <c r="J3112" s="1" t="s">
        <v>821</v>
      </c>
      <c r="K3112" s="1" t="s">
        <v>13195</v>
      </c>
      <c r="L3112" s="1" t="s">
        <v>13196</v>
      </c>
      <c r="M3112" s="1" t="s">
        <v>718</v>
      </c>
    </row>
    <row r="3113" customFormat="false" ht="15" hidden="false" customHeight="false" outlineLevel="0" collapsed="false">
      <c r="A3113" s="1" t="s">
        <v>13197</v>
      </c>
      <c r="B3113" s="1" t="s">
        <v>13198</v>
      </c>
      <c r="C3113" s="1" t="s">
        <v>13199</v>
      </c>
      <c r="D3113" s="2" t="n">
        <v>39067</v>
      </c>
      <c r="E3113" s="1" t="s">
        <v>710</v>
      </c>
      <c r="F3113" s="1" t="s">
        <v>711</v>
      </c>
      <c r="G3113" s="1" t="s">
        <v>712</v>
      </c>
      <c r="H3113" s="1" t="s">
        <v>713</v>
      </c>
      <c r="I3113" s="1" t="s">
        <v>714</v>
      </c>
      <c r="J3113" s="1" t="s">
        <v>13200</v>
      </c>
      <c r="K3113" s="1" t="s">
        <v>716</v>
      </c>
      <c r="L3113" s="1" t="s">
        <v>13201</v>
      </c>
      <c r="M3113" s="1" t="s">
        <v>718</v>
      </c>
    </row>
    <row r="3114" customFormat="false" ht="15" hidden="false" customHeight="false" outlineLevel="0" collapsed="false">
      <c r="A3114" s="1" t="s">
        <v>13202</v>
      </c>
      <c r="B3114" s="1" t="s">
        <v>13203</v>
      </c>
      <c r="C3114" s="1" t="s">
        <v>2350</v>
      </c>
      <c r="D3114" s="2" t="n">
        <v>33730</v>
      </c>
      <c r="E3114" s="1" t="s">
        <v>763</v>
      </c>
      <c r="F3114" s="1" t="s">
        <v>711</v>
      </c>
      <c r="G3114" s="1" t="s">
        <v>722</v>
      </c>
      <c r="H3114" s="1" t="s">
        <v>713</v>
      </c>
      <c r="I3114" s="1" t="s">
        <v>714</v>
      </c>
      <c r="J3114" s="1" t="s">
        <v>716</v>
      </c>
      <c r="K3114" s="1" t="s">
        <v>716</v>
      </c>
      <c r="L3114" s="1" t="s">
        <v>1418</v>
      </c>
      <c r="M3114" s="1" t="s">
        <v>718</v>
      </c>
    </row>
    <row r="3115" customFormat="false" ht="15" hidden="false" customHeight="false" outlineLevel="0" collapsed="false">
      <c r="A3115" s="1" t="s">
        <v>13204</v>
      </c>
      <c r="B3115" s="1" t="s">
        <v>13205</v>
      </c>
      <c r="C3115" s="1" t="s">
        <v>11675</v>
      </c>
      <c r="D3115" s="2" t="n">
        <v>38911</v>
      </c>
      <c r="E3115" s="1" t="s">
        <v>763</v>
      </c>
      <c r="F3115" s="1" t="s">
        <v>711</v>
      </c>
      <c r="G3115" s="1" t="s">
        <v>722</v>
      </c>
      <c r="H3115" s="1" t="s">
        <v>713</v>
      </c>
      <c r="I3115" s="1" t="s">
        <v>714</v>
      </c>
      <c r="J3115" s="1" t="s">
        <v>10764</v>
      </c>
      <c r="K3115" s="1" t="s">
        <v>13206</v>
      </c>
      <c r="L3115" s="1" t="s">
        <v>13207</v>
      </c>
      <c r="M3115" s="1" t="s">
        <v>718</v>
      </c>
    </row>
    <row r="3116" customFormat="false" ht="15" hidden="false" customHeight="false" outlineLevel="0" collapsed="false">
      <c r="A3116" s="1" t="s">
        <v>13208</v>
      </c>
      <c r="B3116" s="1" t="s">
        <v>13209</v>
      </c>
      <c r="C3116" s="1" t="s">
        <v>7400</v>
      </c>
      <c r="D3116" s="2" t="n">
        <v>38991</v>
      </c>
      <c r="E3116" s="1" t="s">
        <v>710</v>
      </c>
      <c r="F3116" s="1" t="s">
        <v>711</v>
      </c>
      <c r="G3116" s="1" t="s">
        <v>712</v>
      </c>
      <c r="H3116" s="1" t="s">
        <v>713</v>
      </c>
      <c r="I3116" s="1" t="s">
        <v>714</v>
      </c>
      <c r="J3116" s="1" t="s">
        <v>740</v>
      </c>
      <c r="K3116" s="1" t="s">
        <v>7401</v>
      </c>
      <c r="L3116" s="1" t="s">
        <v>13210</v>
      </c>
      <c r="M3116" s="1" t="s">
        <v>718</v>
      </c>
    </row>
    <row r="3117" customFormat="false" ht="15" hidden="false" customHeight="false" outlineLevel="0" collapsed="false">
      <c r="A3117" s="1" t="s">
        <v>13211</v>
      </c>
      <c r="B3117" s="1" t="s">
        <v>13212</v>
      </c>
      <c r="C3117" s="1" t="s">
        <v>10413</v>
      </c>
      <c r="D3117" s="2" t="n">
        <v>38992</v>
      </c>
      <c r="E3117" s="1" t="s">
        <v>710</v>
      </c>
      <c r="F3117" s="1" t="s">
        <v>711</v>
      </c>
      <c r="G3117" s="1" t="s">
        <v>722</v>
      </c>
      <c r="H3117" s="1" t="s">
        <v>713</v>
      </c>
      <c r="I3117" s="1" t="s">
        <v>714</v>
      </c>
      <c r="J3117" s="1" t="s">
        <v>4940</v>
      </c>
      <c r="K3117" s="1" t="s">
        <v>13213</v>
      </c>
      <c r="L3117" s="1" t="s">
        <v>3034</v>
      </c>
      <c r="M3117" s="1" t="s">
        <v>718</v>
      </c>
    </row>
    <row r="3118" customFormat="false" ht="15" hidden="false" customHeight="false" outlineLevel="0" collapsed="false">
      <c r="A3118" s="1" t="s">
        <v>13214</v>
      </c>
      <c r="B3118" s="1" t="s">
        <v>3194</v>
      </c>
      <c r="C3118" s="1" t="s">
        <v>13215</v>
      </c>
      <c r="D3118" s="2" t="n">
        <v>38141</v>
      </c>
      <c r="E3118" s="1" t="s">
        <v>710</v>
      </c>
      <c r="F3118" s="1" t="s">
        <v>711</v>
      </c>
      <c r="G3118" s="1" t="s">
        <v>722</v>
      </c>
      <c r="H3118" s="1" t="s">
        <v>713</v>
      </c>
      <c r="I3118" s="1" t="s">
        <v>714</v>
      </c>
      <c r="J3118" s="1" t="s">
        <v>13216</v>
      </c>
      <c r="K3118" s="1" t="s">
        <v>13217</v>
      </c>
      <c r="L3118" s="1" t="s">
        <v>13218</v>
      </c>
      <c r="M3118" s="1" t="s">
        <v>718</v>
      </c>
    </row>
    <row r="3119" customFormat="false" ht="15" hidden="false" customHeight="false" outlineLevel="0" collapsed="false">
      <c r="A3119" s="1" t="s">
        <v>13219</v>
      </c>
      <c r="B3119" s="1" t="s">
        <v>1108</v>
      </c>
      <c r="C3119" s="1" t="s">
        <v>789</v>
      </c>
      <c r="D3119" s="2" t="n">
        <v>38302</v>
      </c>
      <c r="E3119" s="1" t="s">
        <v>710</v>
      </c>
      <c r="F3119" s="1" t="s">
        <v>711</v>
      </c>
      <c r="G3119" s="1" t="s">
        <v>722</v>
      </c>
      <c r="H3119" s="1" t="s">
        <v>713</v>
      </c>
      <c r="I3119" s="1" t="s">
        <v>714</v>
      </c>
      <c r="J3119" s="1" t="s">
        <v>9891</v>
      </c>
      <c r="K3119" s="1" t="s">
        <v>716</v>
      </c>
      <c r="L3119" s="1" t="s">
        <v>792</v>
      </c>
      <c r="M3119" s="1" t="s">
        <v>718</v>
      </c>
    </row>
    <row r="3120" customFormat="false" ht="15" hidden="false" customHeight="false" outlineLevel="0" collapsed="false">
      <c r="A3120" s="1" t="s">
        <v>13220</v>
      </c>
      <c r="B3120" s="1" t="s">
        <v>1913</v>
      </c>
      <c r="C3120" s="1" t="s">
        <v>13221</v>
      </c>
      <c r="D3120" s="2" t="n">
        <v>38787</v>
      </c>
      <c r="E3120" s="1" t="s">
        <v>710</v>
      </c>
      <c r="F3120" s="1" t="s">
        <v>711</v>
      </c>
      <c r="G3120" s="1" t="s">
        <v>712</v>
      </c>
      <c r="H3120" s="1" t="s">
        <v>713</v>
      </c>
      <c r="I3120" s="1" t="s">
        <v>714</v>
      </c>
      <c r="J3120" s="1" t="s">
        <v>740</v>
      </c>
      <c r="K3120" s="1" t="s">
        <v>13222</v>
      </c>
      <c r="L3120" s="1" t="s">
        <v>13223</v>
      </c>
      <c r="M3120" s="1" t="s">
        <v>718</v>
      </c>
    </row>
    <row r="3121" customFormat="false" ht="15" hidden="false" customHeight="false" outlineLevel="0" collapsed="false">
      <c r="A3121" s="1" t="s">
        <v>13224</v>
      </c>
      <c r="B3121" s="1" t="s">
        <v>13225</v>
      </c>
      <c r="C3121" s="1" t="s">
        <v>10513</v>
      </c>
      <c r="D3121" s="2" t="n">
        <v>38750</v>
      </c>
      <c r="E3121" s="1" t="s">
        <v>710</v>
      </c>
      <c r="F3121" s="1" t="s">
        <v>711</v>
      </c>
      <c r="G3121" s="1" t="s">
        <v>712</v>
      </c>
      <c r="H3121" s="1" t="s">
        <v>713</v>
      </c>
      <c r="I3121" s="1" t="s">
        <v>714</v>
      </c>
      <c r="J3121" s="1" t="s">
        <v>1530</v>
      </c>
      <c r="K3121" s="1" t="s">
        <v>716</v>
      </c>
      <c r="L3121" s="1" t="s">
        <v>10516</v>
      </c>
      <c r="M3121" s="1" t="s">
        <v>718</v>
      </c>
    </row>
    <row r="3122" customFormat="false" ht="15" hidden="false" customHeight="false" outlineLevel="0" collapsed="false">
      <c r="A3122" s="1" t="s">
        <v>13226</v>
      </c>
      <c r="B3122" s="1" t="s">
        <v>2811</v>
      </c>
      <c r="C3122" s="1" t="s">
        <v>12468</v>
      </c>
      <c r="D3122" s="2" t="n">
        <v>38921</v>
      </c>
      <c r="E3122" s="1" t="s">
        <v>763</v>
      </c>
      <c r="F3122" s="1" t="s">
        <v>711</v>
      </c>
      <c r="G3122" s="1" t="s">
        <v>712</v>
      </c>
      <c r="H3122" s="1" t="s">
        <v>713</v>
      </c>
      <c r="I3122" s="1" t="s">
        <v>714</v>
      </c>
      <c r="J3122" s="1" t="s">
        <v>892</v>
      </c>
      <c r="K3122" s="1" t="s">
        <v>11614</v>
      </c>
      <c r="L3122" s="1" t="s">
        <v>13227</v>
      </c>
      <c r="M3122" s="1" t="s">
        <v>718</v>
      </c>
    </row>
    <row r="3123" customFormat="false" ht="15" hidden="false" customHeight="false" outlineLevel="0" collapsed="false">
      <c r="A3123" s="1" t="s">
        <v>13228</v>
      </c>
      <c r="B3123" s="1" t="s">
        <v>8022</v>
      </c>
      <c r="C3123" s="1" t="s">
        <v>7617</v>
      </c>
      <c r="D3123" s="2" t="n">
        <v>38338</v>
      </c>
      <c r="E3123" s="1" t="s">
        <v>710</v>
      </c>
      <c r="F3123" s="1" t="s">
        <v>711</v>
      </c>
      <c r="G3123" s="1" t="s">
        <v>2083</v>
      </c>
      <c r="H3123" s="1" t="s">
        <v>2083</v>
      </c>
      <c r="I3123" s="1" t="s">
        <v>2084</v>
      </c>
      <c r="J3123" s="1" t="s">
        <v>10504</v>
      </c>
      <c r="K3123" s="1" t="s">
        <v>716</v>
      </c>
      <c r="L3123" s="1" t="s">
        <v>13229</v>
      </c>
      <c r="M3123" s="1" t="s">
        <v>2083</v>
      </c>
    </row>
    <row r="3124" customFormat="false" ht="15" hidden="false" customHeight="false" outlineLevel="0" collapsed="false">
      <c r="A3124" s="1" t="s">
        <v>13230</v>
      </c>
      <c r="B3124" s="1" t="s">
        <v>13231</v>
      </c>
      <c r="C3124" s="1" t="s">
        <v>7617</v>
      </c>
      <c r="D3124" s="2" t="n">
        <v>38338</v>
      </c>
      <c r="E3124" s="1" t="s">
        <v>710</v>
      </c>
      <c r="F3124" s="1" t="s">
        <v>4714</v>
      </c>
      <c r="G3124" s="1" t="s">
        <v>2083</v>
      </c>
      <c r="H3124" s="1" t="s">
        <v>2083</v>
      </c>
      <c r="I3124" s="1" t="s">
        <v>2084</v>
      </c>
      <c r="J3124" s="1" t="s">
        <v>10504</v>
      </c>
      <c r="K3124" s="1" t="s">
        <v>716</v>
      </c>
      <c r="L3124" s="1" t="s">
        <v>13229</v>
      </c>
      <c r="M3124" s="1" t="s">
        <v>2083</v>
      </c>
    </row>
    <row r="3125" customFormat="false" ht="15" hidden="false" customHeight="false" outlineLevel="0" collapsed="false">
      <c r="A3125" s="1" t="s">
        <v>13232</v>
      </c>
      <c r="B3125" s="1" t="s">
        <v>13233</v>
      </c>
      <c r="C3125" s="1" t="s">
        <v>13234</v>
      </c>
      <c r="D3125" s="2" t="n">
        <v>38828</v>
      </c>
      <c r="E3125" s="1" t="s">
        <v>710</v>
      </c>
      <c r="F3125" s="1" t="s">
        <v>711</v>
      </c>
      <c r="G3125" s="1" t="s">
        <v>13235</v>
      </c>
      <c r="H3125" s="1" t="s">
        <v>713</v>
      </c>
      <c r="I3125" s="1" t="s">
        <v>714</v>
      </c>
      <c r="J3125" s="1" t="s">
        <v>7565</v>
      </c>
      <c r="K3125" s="1" t="s">
        <v>716</v>
      </c>
      <c r="L3125" s="1" t="s">
        <v>13236</v>
      </c>
      <c r="M3125" s="1" t="s">
        <v>718</v>
      </c>
    </row>
    <row r="3126" customFormat="false" ht="15" hidden="false" customHeight="false" outlineLevel="0" collapsed="false">
      <c r="A3126" s="1" t="s">
        <v>13237</v>
      </c>
      <c r="B3126" s="1" t="s">
        <v>13238</v>
      </c>
      <c r="C3126" s="1" t="s">
        <v>13239</v>
      </c>
      <c r="D3126" s="2" t="n">
        <v>37968</v>
      </c>
      <c r="E3126" s="1" t="s">
        <v>710</v>
      </c>
      <c r="F3126" s="1" t="s">
        <v>711</v>
      </c>
      <c r="G3126" s="1" t="s">
        <v>712</v>
      </c>
      <c r="H3126" s="1" t="s">
        <v>713</v>
      </c>
      <c r="I3126" s="1" t="s">
        <v>714</v>
      </c>
      <c r="J3126" s="1" t="s">
        <v>10677</v>
      </c>
      <c r="K3126" s="1" t="s">
        <v>13240</v>
      </c>
      <c r="L3126" s="1" t="s">
        <v>13241</v>
      </c>
      <c r="M3126" s="1" t="s">
        <v>718</v>
      </c>
    </row>
    <row r="3127" customFormat="false" ht="15" hidden="false" customHeight="false" outlineLevel="0" collapsed="false">
      <c r="A3127" s="1" t="s">
        <v>13242</v>
      </c>
      <c r="B3127" s="1" t="s">
        <v>13243</v>
      </c>
      <c r="C3127" s="1" t="s">
        <v>13244</v>
      </c>
      <c r="D3127" s="2" t="n">
        <v>39000</v>
      </c>
      <c r="E3127" s="1" t="s">
        <v>710</v>
      </c>
      <c r="F3127" s="1" t="s">
        <v>711</v>
      </c>
      <c r="G3127" s="1" t="s">
        <v>712</v>
      </c>
      <c r="H3127" s="1" t="s">
        <v>713</v>
      </c>
      <c r="I3127" s="1" t="s">
        <v>714</v>
      </c>
      <c r="J3127" s="1" t="s">
        <v>826</v>
      </c>
      <c r="K3127" s="1" t="s">
        <v>13245</v>
      </c>
      <c r="L3127" s="1" t="s">
        <v>13246</v>
      </c>
      <c r="M3127" s="1" t="s">
        <v>718</v>
      </c>
    </row>
    <row r="3128" customFormat="false" ht="15" hidden="false" customHeight="false" outlineLevel="0" collapsed="false">
      <c r="A3128" s="1" t="s">
        <v>13247</v>
      </c>
      <c r="B3128" s="1" t="s">
        <v>13248</v>
      </c>
      <c r="C3128" s="1" t="s">
        <v>13249</v>
      </c>
      <c r="D3128" s="2" t="n">
        <v>39139</v>
      </c>
      <c r="E3128" s="1" t="s">
        <v>763</v>
      </c>
      <c r="F3128" s="1" t="s">
        <v>711</v>
      </c>
      <c r="G3128" s="1" t="s">
        <v>712</v>
      </c>
      <c r="H3128" s="1" t="s">
        <v>713</v>
      </c>
      <c r="I3128" s="1" t="s">
        <v>714</v>
      </c>
      <c r="J3128" s="1" t="s">
        <v>716</v>
      </c>
      <c r="K3128" s="1" t="s">
        <v>716</v>
      </c>
      <c r="L3128" s="1" t="s">
        <v>13250</v>
      </c>
      <c r="M3128" s="1" t="s">
        <v>718</v>
      </c>
    </row>
    <row r="3129" customFormat="false" ht="15" hidden="false" customHeight="false" outlineLevel="0" collapsed="false">
      <c r="A3129" s="1" t="s">
        <v>13251</v>
      </c>
      <c r="B3129" s="1" t="s">
        <v>13252</v>
      </c>
      <c r="C3129" s="1" t="s">
        <v>13253</v>
      </c>
      <c r="D3129" s="2" t="n">
        <v>38001</v>
      </c>
      <c r="E3129" s="1" t="s">
        <v>763</v>
      </c>
      <c r="F3129" s="1" t="s">
        <v>711</v>
      </c>
      <c r="G3129" s="1" t="s">
        <v>712</v>
      </c>
      <c r="H3129" s="1" t="s">
        <v>713</v>
      </c>
      <c r="I3129" s="1" t="s">
        <v>714</v>
      </c>
      <c r="J3129" s="1" t="s">
        <v>1081</v>
      </c>
      <c r="K3129" s="1" t="s">
        <v>13254</v>
      </c>
      <c r="L3129" s="1" t="s">
        <v>13255</v>
      </c>
      <c r="M3129" s="1" t="s">
        <v>718</v>
      </c>
    </row>
    <row r="3130" customFormat="false" ht="15" hidden="false" customHeight="false" outlineLevel="0" collapsed="false">
      <c r="A3130" s="1" t="s">
        <v>13256</v>
      </c>
      <c r="B3130" s="1" t="s">
        <v>11524</v>
      </c>
      <c r="C3130" s="1" t="s">
        <v>13257</v>
      </c>
      <c r="D3130" s="2" t="n">
        <v>38842</v>
      </c>
      <c r="E3130" s="1" t="s">
        <v>710</v>
      </c>
      <c r="F3130" s="1" t="s">
        <v>711</v>
      </c>
      <c r="G3130" s="1" t="s">
        <v>722</v>
      </c>
      <c r="H3130" s="1" t="s">
        <v>713</v>
      </c>
      <c r="I3130" s="1" t="s">
        <v>714</v>
      </c>
      <c r="J3130" s="1" t="s">
        <v>716</v>
      </c>
      <c r="K3130" s="1" t="s">
        <v>716</v>
      </c>
      <c r="L3130" s="1" t="s">
        <v>13258</v>
      </c>
      <c r="M3130" s="1" t="s">
        <v>718</v>
      </c>
    </row>
    <row r="3131" customFormat="false" ht="15" hidden="false" customHeight="false" outlineLevel="0" collapsed="false">
      <c r="A3131" s="1" t="s">
        <v>13259</v>
      </c>
      <c r="B3131" s="1" t="s">
        <v>13260</v>
      </c>
      <c r="C3131" s="1" t="s">
        <v>1637</v>
      </c>
      <c r="D3131" s="2" t="n">
        <v>38918</v>
      </c>
      <c r="E3131" s="1" t="s">
        <v>710</v>
      </c>
      <c r="F3131" s="1" t="s">
        <v>711</v>
      </c>
      <c r="G3131" s="1" t="s">
        <v>722</v>
      </c>
      <c r="H3131" s="1" t="s">
        <v>713</v>
      </c>
      <c r="I3131" s="1" t="s">
        <v>714</v>
      </c>
      <c r="J3131" s="1" t="s">
        <v>10764</v>
      </c>
      <c r="K3131" s="1" t="s">
        <v>716</v>
      </c>
      <c r="L3131" s="1" t="s">
        <v>4762</v>
      </c>
      <c r="M3131" s="1" t="s">
        <v>718</v>
      </c>
    </row>
    <row r="3132" customFormat="false" ht="15" hidden="false" customHeight="false" outlineLevel="0" collapsed="false">
      <c r="A3132" s="1" t="s">
        <v>13261</v>
      </c>
      <c r="B3132" s="1" t="s">
        <v>13262</v>
      </c>
      <c r="C3132" s="1" t="s">
        <v>756</v>
      </c>
      <c r="D3132" s="2" t="n">
        <v>38957</v>
      </c>
      <c r="E3132" s="1" t="s">
        <v>710</v>
      </c>
      <c r="F3132" s="1" t="s">
        <v>711</v>
      </c>
      <c r="G3132" s="1" t="s">
        <v>722</v>
      </c>
      <c r="H3132" s="1" t="s">
        <v>713</v>
      </c>
      <c r="I3132" s="1" t="s">
        <v>714</v>
      </c>
      <c r="J3132" s="1" t="s">
        <v>11412</v>
      </c>
      <c r="K3132" s="1" t="s">
        <v>13263</v>
      </c>
      <c r="L3132" s="1" t="s">
        <v>13264</v>
      </c>
      <c r="M3132" s="1" t="s">
        <v>718</v>
      </c>
    </row>
    <row r="3133" customFormat="false" ht="15" hidden="false" customHeight="false" outlineLevel="0" collapsed="false">
      <c r="A3133" s="1" t="s">
        <v>13265</v>
      </c>
      <c r="B3133" s="1" t="s">
        <v>13266</v>
      </c>
      <c r="C3133" s="1" t="s">
        <v>8596</v>
      </c>
      <c r="D3133" s="2" t="n">
        <v>37694</v>
      </c>
      <c r="E3133" s="1" t="s">
        <v>710</v>
      </c>
      <c r="F3133" s="1" t="s">
        <v>711</v>
      </c>
      <c r="G3133" s="1" t="s">
        <v>775</v>
      </c>
      <c r="H3133" s="1" t="s">
        <v>713</v>
      </c>
      <c r="I3133" s="1" t="s">
        <v>714</v>
      </c>
      <c r="J3133" s="1" t="s">
        <v>2807</v>
      </c>
      <c r="K3133" s="1" t="s">
        <v>716</v>
      </c>
      <c r="L3133" s="1" t="s">
        <v>13267</v>
      </c>
      <c r="M3133" s="1" t="s">
        <v>718</v>
      </c>
    </row>
    <row r="3134" customFormat="false" ht="15" hidden="false" customHeight="false" outlineLevel="0" collapsed="false">
      <c r="A3134" s="1" t="s">
        <v>13268</v>
      </c>
      <c r="B3134" s="1" t="s">
        <v>13269</v>
      </c>
      <c r="C3134" s="1" t="s">
        <v>13270</v>
      </c>
      <c r="D3134" s="2" t="n">
        <v>38699</v>
      </c>
      <c r="E3134" s="1" t="s">
        <v>763</v>
      </c>
      <c r="F3134" s="1" t="s">
        <v>711</v>
      </c>
      <c r="G3134" s="1" t="s">
        <v>712</v>
      </c>
      <c r="H3134" s="1" t="s">
        <v>713</v>
      </c>
      <c r="I3134" s="1" t="s">
        <v>714</v>
      </c>
      <c r="J3134" s="1" t="s">
        <v>13271</v>
      </c>
      <c r="K3134" s="1" t="s">
        <v>716</v>
      </c>
      <c r="L3134" s="1" t="s">
        <v>13272</v>
      </c>
      <c r="M3134" s="1" t="s">
        <v>718</v>
      </c>
    </row>
    <row r="3135" customFormat="false" ht="15" hidden="false" customHeight="false" outlineLevel="0" collapsed="false">
      <c r="A3135" s="1" t="s">
        <v>13273</v>
      </c>
      <c r="B3135" s="1" t="s">
        <v>12269</v>
      </c>
      <c r="C3135" s="1" t="s">
        <v>13274</v>
      </c>
      <c r="D3135" s="2" t="n">
        <v>39100</v>
      </c>
      <c r="E3135" s="1" t="s">
        <v>710</v>
      </c>
      <c r="F3135" s="1" t="s">
        <v>711</v>
      </c>
      <c r="G3135" s="1" t="s">
        <v>712</v>
      </c>
      <c r="H3135" s="1" t="s">
        <v>713</v>
      </c>
      <c r="I3135" s="1" t="s">
        <v>714</v>
      </c>
      <c r="J3135" s="1" t="s">
        <v>8853</v>
      </c>
      <c r="K3135" s="1" t="s">
        <v>13275</v>
      </c>
      <c r="L3135" s="1" t="s">
        <v>13276</v>
      </c>
      <c r="M3135" s="1" t="s">
        <v>718</v>
      </c>
    </row>
    <row r="3136" customFormat="false" ht="15" hidden="false" customHeight="false" outlineLevel="0" collapsed="false">
      <c r="A3136" s="1" t="s">
        <v>13277</v>
      </c>
      <c r="B3136" s="1" t="s">
        <v>13278</v>
      </c>
      <c r="C3136" s="1" t="s">
        <v>6075</v>
      </c>
      <c r="D3136" s="2" t="n">
        <v>39073</v>
      </c>
      <c r="E3136" s="1" t="s">
        <v>763</v>
      </c>
      <c r="F3136" s="1" t="s">
        <v>711</v>
      </c>
      <c r="G3136" s="1" t="s">
        <v>722</v>
      </c>
      <c r="H3136" s="1" t="s">
        <v>713</v>
      </c>
      <c r="I3136" s="1" t="s">
        <v>714</v>
      </c>
      <c r="J3136" s="1" t="s">
        <v>1131</v>
      </c>
      <c r="K3136" s="1" t="s">
        <v>13279</v>
      </c>
      <c r="L3136" s="1" t="s">
        <v>6078</v>
      </c>
      <c r="M3136" s="1" t="s">
        <v>718</v>
      </c>
    </row>
    <row r="3137" customFormat="false" ht="15" hidden="false" customHeight="false" outlineLevel="0" collapsed="false">
      <c r="A3137" s="1" t="s">
        <v>13280</v>
      </c>
      <c r="B3137" s="1" t="s">
        <v>11152</v>
      </c>
      <c r="C3137" s="1" t="s">
        <v>11927</v>
      </c>
      <c r="D3137" s="2" t="n">
        <v>38447</v>
      </c>
      <c r="E3137" s="1" t="s">
        <v>763</v>
      </c>
      <c r="F3137" s="1" t="s">
        <v>711</v>
      </c>
      <c r="G3137" s="1" t="s">
        <v>722</v>
      </c>
      <c r="H3137" s="1" t="s">
        <v>713</v>
      </c>
      <c r="I3137" s="1" t="s">
        <v>714</v>
      </c>
      <c r="J3137" s="1" t="s">
        <v>1244</v>
      </c>
      <c r="K3137" s="1" t="s">
        <v>13281</v>
      </c>
      <c r="L3137" s="1" t="s">
        <v>11929</v>
      </c>
      <c r="M3137" s="1" t="s">
        <v>718</v>
      </c>
    </row>
    <row r="3138" customFormat="false" ht="15" hidden="false" customHeight="false" outlineLevel="0" collapsed="false">
      <c r="A3138" s="1" t="s">
        <v>13282</v>
      </c>
      <c r="B3138" s="1" t="s">
        <v>13283</v>
      </c>
      <c r="C3138" s="1" t="s">
        <v>13284</v>
      </c>
      <c r="D3138" s="2" t="n">
        <v>38371</v>
      </c>
      <c r="E3138" s="1" t="s">
        <v>710</v>
      </c>
      <c r="F3138" s="1" t="s">
        <v>711</v>
      </c>
      <c r="G3138" s="1" t="s">
        <v>712</v>
      </c>
      <c r="H3138" s="1" t="s">
        <v>713</v>
      </c>
      <c r="I3138" s="1" t="s">
        <v>714</v>
      </c>
      <c r="J3138" s="1" t="s">
        <v>2000</v>
      </c>
      <c r="K3138" s="1" t="s">
        <v>13285</v>
      </c>
      <c r="L3138" s="1" t="s">
        <v>13286</v>
      </c>
      <c r="M3138" s="1" t="s">
        <v>718</v>
      </c>
    </row>
    <row r="3139" customFormat="false" ht="15" hidden="false" customHeight="false" outlineLevel="0" collapsed="false">
      <c r="A3139" s="1" t="s">
        <v>13287</v>
      </c>
      <c r="B3139" s="1" t="s">
        <v>5844</v>
      </c>
      <c r="C3139" s="1" t="s">
        <v>3850</v>
      </c>
      <c r="D3139" s="2" t="n">
        <v>38143</v>
      </c>
      <c r="E3139" s="1" t="s">
        <v>710</v>
      </c>
      <c r="F3139" s="1" t="s">
        <v>711</v>
      </c>
      <c r="G3139" s="1" t="s">
        <v>712</v>
      </c>
      <c r="H3139" s="1" t="s">
        <v>713</v>
      </c>
      <c r="I3139" s="1" t="s">
        <v>714</v>
      </c>
      <c r="J3139" s="1" t="s">
        <v>13288</v>
      </c>
      <c r="K3139" s="1" t="s">
        <v>13289</v>
      </c>
      <c r="L3139" s="1" t="s">
        <v>13290</v>
      </c>
      <c r="M3139" s="1" t="s">
        <v>718</v>
      </c>
    </row>
    <row r="3140" customFormat="false" ht="15" hidden="false" customHeight="false" outlineLevel="0" collapsed="false">
      <c r="A3140" s="1" t="s">
        <v>13291</v>
      </c>
      <c r="B3140" s="1" t="s">
        <v>7404</v>
      </c>
      <c r="C3140" s="1" t="s">
        <v>3850</v>
      </c>
      <c r="D3140" s="2" t="n">
        <v>38143</v>
      </c>
      <c r="E3140" s="1" t="s">
        <v>710</v>
      </c>
      <c r="F3140" s="1" t="s">
        <v>711</v>
      </c>
      <c r="G3140" s="1" t="s">
        <v>712</v>
      </c>
      <c r="H3140" s="1" t="s">
        <v>713</v>
      </c>
      <c r="I3140" s="1" t="s">
        <v>714</v>
      </c>
      <c r="J3140" s="1" t="s">
        <v>13292</v>
      </c>
      <c r="K3140" s="1" t="s">
        <v>716</v>
      </c>
      <c r="L3140" s="1" t="s">
        <v>13290</v>
      </c>
      <c r="M3140" s="1" t="s">
        <v>718</v>
      </c>
    </row>
    <row r="3141" customFormat="false" ht="15" hidden="false" customHeight="false" outlineLevel="0" collapsed="false">
      <c r="A3141" s="1" t="s">
        <v>13293</v>
      </c>
      <c r="B3141" s="1" t="s">
        <v>13294</v>
      </c>
      <c r="C3141" s="1" t="s">
        <v>8730</v>
      </c>
      <c r="D3141" s="2" t="n">
        <v>39105</v>
      </c>
      <c r="E3141" s="1" t="s">
        <v>763</v>
      </c>
      <c r="F3141" s="1" t="s">
        <v>711</v>
      </c>
      <c r="G3141" s="1" t="s">
        <v>722</v>
      </c>
      <c r="H3141" s="1" t="s">
        <v>713</v>
      </c>
      <c r="I3141" s="1" t="s">
        <v>714</v>
      </c>
      <c r="J3141" s="1" t="s">
        <v>1045</v>
      </c>
      <c r="K3141" s="1" t="s">
        <v>716</v>
      </c>
      <c r="L3141" s="1" t="s">
        <v>8733</v>
      </c>
      <c r="M3141" s="1" t="s">
        <v>718</v>
      </c>
    </row>
    <row r="3142" customFormat="false" ht="15" hidden="false" customHeight="false" outlineLevel="0" collapsed="false">
      <c r="A3142" s="1" t="s">
        <v>13295</v>
      </c>
      <c r="B3142" s="1" t="s">
        <v>13296</v>
      </c>
      <c r="C3142" s="1" t="s">
        <v>8591</v>
      </c>
      <c r="D3142" s="2" t="n">
        <v>38365</v>
      </c>
      <c r="E3142" s="1" t="s">
        <v>763</v>
      </c>
      <c r="F3142" s="1" t="s">
        <v>711</v>
      </c>
      <c r="G3142" s="1" t="s">
        <v>712</v>
      </c>
      <c r="H3142" s="1" t="s">
        <v>713</v>
      </c>
      <c r="I3142" s="1" t="s">
        <v>714</v>
      </c>
      <c r="J3142" s="1" t="s">
        <v>716</v>
      </c>
      <c r="K3142" s="1" t="s">
        <v>716</v>
      </c>
      <c r="L3142" s="1" t="s">
        <v>8593</v>
      </c>
      <c r="M3142" s="1" t="s">
        <v>718</v>
      </c>
    </row>
    <row r="3143" customFormat="false" ht="15" hidden="false" customHeight="false" outlineLevel="0" collapsed="false">
      <c r="A3143" s="1" t="s">
        <v>13297</v>
      </c>
      <c r="B3143" s="1" t="s">
        <v>6574</v>
      </c>
      <c r="C3143" s="1" t="s">
        <v>13298</v>
      </c>
      <c r="D3143" s="2" t="n">
        <v>38575</v>
      </c>
      <c r="E3143" s="1" t="s">
        <v>763</v>
      </c>
      <c r="F3143" s="1" t="s">
        <v>711</v>
      </c>
      <c r="G3143" s="1" t="s">
        <v>722</v>
      </c>
      <c r="H3143" s="1" t="s">
        <v>713</v>
      </c>
      <c r="I3143" s="1" t="s">
        <v>714</v>
      </c>
      <c r="J3143" s="1" t="s">
        <v>1530</v>
      </c>
      <c r="K3143" s="1" t="s">
        <v>716</v>
      </c>
      <c r="L3143" s="1" t="s">
        <v>6315</v>
      </c>
      <c r="M3143" s="1" t="s">
        <v>718</v>
      </c>
    </row>
    <row r="3144" customFormat="false" ht="15" hidden="false" customHeight="false" outlineLevel="0" collapsed="false">
      <c r="A3144" s="1" t="s">
        <v>13299</v>
      </c>
      <c r="B3144" s="1" t="s">
        <v>2650</v>
      </c>
      <c r="C3144" s="1" t="s">
        <v>7970</v>
      </c>
      <c r="D3144" s="2" t="n">
        <v>38953</v>
      </c>
      <c r="E3144" s="1" t="s">
        <v>710</v>
      </c>
      <c r="F3144" s="1" t="s">
        <v>711</v>
      </c>
      <c r="G3144" s="1" t="s">
        <v>722</v>
      </c>
      <c r="H3144" s="1" t="s">
        <v>713</v>
      </c>
      <c r="I3144" s="1" t="s">
        <v>714</v>
      </c>
      <c r="J3144" s="1" t="s">
        <v>1149</v>
      </c>
      <c r="K3144" s="1" t="s">
        <v>13300</v>
      </c>
      <c r="L3144" s="1" t="s">
        <v>13301</v>
      </c>
      <c r="M3144" s="1" t="s">
        <v>718</v>
      </c>
    </row>
    <row r="3145" customFormat="false" ht="15" hidden="false" customHeight="false" outlineLevel="0" collapsed="false">
      <c r="A3145" s="1" t="s">
        <v>13302</v>
      </c>
      <c r="B3145" s="1" t="s">
        <v>13303</v>
      </c>
      <c r="C3145" s="1" t="s">
        <v>10215</v>
      </c>
      <c r="D3145" s="2" t="n">
        <v>38606</v>
      </c>
      <c r="E3145" s="1" t="s">
        <v>710</v>
      </c>
      <c r="F3145" s="1" t="s">
        <v>711</v>
      </c>
      <c r="G3145" s="1" t="s">
        <v>712</v>
      </c>
      <c r="H3145" s="1" t="s">
        <v>713</v>
      </c>
      <c r="I3145" s="1" t="s">
        <v>714</v>
      </c>
      <c r="J3145" s="1" t="s">
        <v>13304</v>
      </c>
      <c r="K3145" s="1" t="s">
        <v>10216</v>
      </c>
      <c r="L3145" s="1" t="s">
        <v>13305</v>
      </c>
      <c r="M3145" s="1" t="s">
        <v>718</v>
      </c>
    </row>
    <row r="3146" customFormat="false" ht="15" hidden="false" customHeight="false" outlineLevel="0" collapsed="false">
      <c r="A3146" s="1" t="s">
        <v>13306</v>
      </c>
      <c r="B3146" s="1" t="s">
        <v>13307</v>
      </c>
      <c r="C3146" s="1" t="s">
        <v>7301</v>
      </c>
      <c r="D3146" s="2" t="n">
        <v>32742</v>
      </c>
      <c r="E3146" s="1" t="s">
        <v>710</v>
      </c>
      <c r="F3146" s="1" t="s">
        <v>711</v>
      </c>
      <c r="G3146" s="1" t="s">
        <v>722</v>
      </c>
      <c r="H3146" s="1" t="s">
        <v>713</v>
      </c>
      <c r="I3146" s="1" t="s">
        <v>714</v>
      </c>
      <c r="J3146" s="1" t="s">
        <v>716</v>
      </c>
      <c r="K3146" s="1" t="s">
        <v>716</v>
      </c>
      <c r="L3146" s="1" t="s">
        <v>1418</v>
      </c>
      <c r="M3146" s="1" t="s">
        <v>718</v>
      </c>
    </row>
    <row r="3147" customFormat="false" ht="15" hidden="false" customHeight="false" outlineLevel="0" collapsed="false">
      <c r="A3147" s="1" t="s">
        <v>13308</v>
      </c>
      <c r="B3147" s="1" t="s">
        <v>13309</v>
      </c>
      <c r="C3147" s="1" t="s">
        <v>13310</v>
      </c>
      <c r="D3147" s="2" t="n">
        <v>34646</v>
      </c>
      <c r="E3147" s="1" t="s">
        <v>710</v>
      </c>
      <c r="F3147" s="1" t="s">
        <v>711</v>
      </c>
      <c r="G3147" s="1" t="s">
        <v>722</v>
      </c>
      <c r="H3147" s="1" t="s">
        <v>713</v>
      </c>
      <c r="I3147" s="1" t="s">
        <v>714</v>
      </c>
      <c r="J3147" s="1" t="s">
        <v>716</v>
      </c>
      <c r="K3147" s="1" t="s">
        <v>716</v>
      </c>
      <c r="L3147" s="1" t="s">
        <v>1418</v>
      </c>
      <c r="M3147" s="1" t="s">
        <v>718</v>
      </c>
    </row>
    <row r="3148" customFormat="false" ht="15" hidden="false" customHeight="false" outlineLevel="0" collapsed="false">
      <c r="A3148" s="1" t="s">
        <v>13311</v>
      </c>
      <c r="B3148" s="1" t="s">
        <v>13312</v>
      </c>
      <c r="C3148" s="1" t="s">
        <v>2350</v>
      </c>
      <c r="D3148" s="2" t="n">
        <v>32456</v>
      </c>
      <c r="E3148" s="1" t="s">
        <v>763</v>
      </c>
      <c r="F3148" s="1" t="s">
        <v>711</v>
      </c>
      <c r="G3148" s="1" t="s">
        <v>712</v>
      </c>
      <c r="H3148" s="1" t="s">
        <v>713</v>
      </c>
      <c r="I3148" s="1" t="s">
        <v>714</v>
      </c>
      <c r="J3148" s="1" t="s">
        <v>716</v>
      </c>
      <c r="K3148" s="1" t="s">
        <v>716</v>
      </c>
      <c r="L3148" s="1" t="s">
        <v>1418</v>
      </c>
      <c r="M3148" s="1" t="s">
        <v>718</v>
      </c>
    </row>
    <row r="3149" customFormat="false" ht="15" hidden="false" customHeight="false" outlineLevel="0" collapsed="false">
      <c r="A3149" s="1" t="s">
        <v>13313</v>
      </c>
      <c r="B3149" s="1" t="s">
        <v>8872</v>
      </c>
      <c r="C3149" s="1" t="s">
        <v>13314</v>
      </c>
      <c r="D3149" s="2" t="n">
        <v>25974</v>
      </c>
      <c r="E3149" s="1" t="s">
        <v>710</v>
      </c>
      <c r="F3149" s="1" t="s">
        <v>711</v>
      </c>
      <c r="G3149" s="1" t="s">
        <v>775</v>
      </c>
      <c r="H3149" s="1" t="s">
        <v>713</v>
      </c>
      <c r="I3149" s="1" t="s">
        <v>714</v>
      </c>
      <c r="J3149" s="1" t="s">
        <v>716</v>
      </c>
      <c r="K3149" s="1" t="s">
        <v>716</v>
      </c>
      <c r="L3149" s="1" t="s">
        <v>1418</v>
      </c>
      <c r="M3149" s="1" t="s">
        <v>718</v>
      </c>
    </row>
    <row r="3150" customFormat="false" ht="15" hidden="false" customHeight="false" outlineLevel="0" collapsed="false">
      <c r="A3150" s="1" t="s">
        <v>13315</v>
      </c>
      <c r="B3150" s="1" t="s">
        <v>13316</v>
      </c>
      <c r="C3150" s="1" t="s">
        <v>7119</v>
      </c>
      <c r="D3150" s="2" t="n">
        <v>38235</v>
      </c>
      <c r="E3150" s="1" t="s">
        <v>710</v>
      </c>
      <c r="F3150" s="1" t="s">
        <v>711</v>
      </c>
      <c r="G3150" s="1" t="s">
        <v>712</v>
      </c>
      <c r="H3150" s="1" t="s">
        <v>713</v>
      </c>
      <c r="I3150" s="1" t="s">
        <v>714</v>
      </c>
      <c r="J3150" s="1" t="s">
        <v>12284</v>
      </c>
      <c r="K3150" s="1" t="s">
        <v>716</v>
      </c>
      <c r="L3150" s="1" t="s">
        <v>7122</v>
      </c>
      <c r="M3150" s="1" t="s">
        <v>718</v>
      </c>
    </row>
    <row r="3151" customFormat="false" ht="15" hidden="false" customHeight="false" outlineLevel="0" collapsed="false">
      <c r="A3151" s="1" t="s">
        <v>13317</v>
      </c>
      <c r="B3151" s="1" t="s">
        <v>13318</v>
      </c>
      <c r="C3151" s="1" t="s">
        <v>1539</v>
      </c>
      <c r="D3151" s="2" t="n">
        <v>38794</v>
      </c>
      <c r="E3151" s="1" t="s">
        <v>763</v>
      </c>
      <c r="F3151" s="1" t="s">
        <v>711</v>
      </c>
      <c r="G3151" s="1" t="s">
        <v>722</v>
      </c>
      <c r="H3151" s="1" t="s">
        <v>713</v>
      </c>
      <c r="I3151" s="1" t="s">
        <v>714</v>
      </c>
      <c r="J3151" s="1" t="s">
        <v>13319</v>
      </c>
      <c r="K3151" s="1" t="s">
        <v>13320</v>
      </c>
      <c r="L3151" s="1" t="s">
        <v>1540</v>
      </c>
      <c r="M3151" s="1" t="s">
        <v>718</v>
      </c>
    </row>
    <row r="3152" customFormat="false" ht="15" hidden="false" customHeight="false" outlineLevel="0" collapsed="false">
      <c r="A3152" s="1" t="s">
        <v>13321</v>
      </c>
      <c r="B3152" s="1" t="s">
        <v>13322</v>
      </c>
      <c r="C3152" s="1" t="s">
        <v>1539</v>
      </c>
      <c r="D3152" s="2" t="n">
        <v>38287</v>
      </c>
      <c r="E3152" s="1" t="s">
        <v>710</v>
      </c>
      <c r="F3152" s="1" t="s">
        <v>711</v>
      </c>
      <c r="G3152" s="1" t="s">
        <v>722</v>
      </c>
      <c r="H3152" s="1" t="s">
        <v>713</v>
      </c>
      <c r="I3152" s="1" t="s">
        <v>714</v>
      </c>
      <c r="J3152" s="1" t="s">
        <v>13319</v>
      </c>
      <c r="K3152" s="1" t="s">
        <v>13320</v>
      </c>
      <c r="L3152" s="1" t="s">
        <v>1540</v>
      </c>
      <c r="M3152" s="1" t="s">
        <v>718</v>
      </c>
    </row>
    <row r="3153" customFormat="false" ht="15" hidden="false" customHeight="false" outlineLevel="0" collapsed="false">
      <c r="A3153" s="1" t="s">
        <v>13323</v>
      </c>
      <c r="B3153" s="1" t="s">
        <v>13324</v>
      </c>
      <c r="C3153" s="1" t="s">
        <v>750</v>
      </c>
      <c r="D3153" s="2" t="n">
        <v>37006</v>
      </c>
      <c r="E3153" s="1" t="s">
        <v>763</v>
      </c>
      <c r="F3153" s="1" t="s">
        <v>711</v>
      </c>
      <c r="G3153" s="1" t="s">
        <v>722</v>
      </c>
      <c r="H3153" s="1" t="s">
        <v>713</v>
      </c>
      <c r="I3153" s="1" t="s">
        <v>714</v>
      </c>
      <c r="J3153" s="1" t="s">
        <v>13325</v>
      </c>
      <c r="K3153" s="1" t="s">
        <v>716</v>
      </c>
      <c r="L3153" s="1" t="s">
        <v>13326</v>
      </c>
      <c r="M3153" s="1" t="s">
        <v>718</v>
      </c>
    </row>
    <row r="3154" customFormat="false" ht="15" hidden="false" customHeight="false" outlineLevel="0" collapsed="false">
      <c r="A3154" s="1" t="s">
        <v>13327</v>
      </c>
      <c r="B3154" s="1" t="s">
        <v>13328</v>
      </c>
      <c r="C3154" s="1" t="s">
        <v>13329</v>
      </c>
      <c r="D3154" s="2" t="n">
        <v>31614</v>
      </c>
      <c r="E3154" s="1" t="s">
        <v>763</v>
      </c>
      <c r="F3154" s="1" t="s">
        <v>711</v>
      </c>
      <c r="G3154" s="1" t="s">
        <v>6271</v>
      </c>
      <c r="H3154" s="1" t="s">
        <v>713</v>
      </c>
      <c r="I3154" s="1" t="s">
        <v>714</v>
      </c>
      <c r="J3154" s="1" t="s">
        <v>716</v>
      </c>
      <c r="K3154" s="1" t="s">
        <v>716</v>
      </c>
      <c r="L3154" s="1" t="s">
        <v>1418</v>
      </c>
      <c r="M3154" s="1" t="s">
        <v>718</v>
      </c>
    </row>
    <row r="3155" customFormat="false" ht="15" hidden="false" customHeight="false" outlineLevel="0" collapsed="false">
      <c r="A3155" s="1" t="s">
        <v>13330</v>
      </c>
      <c r="B3155" s="1" t="s">
        <v>13331</v>
      </c>
      <c r="C3155" s="1" t="s">
        <v>13332</v>
      </c>
      <c r="D3155" s="2" t="n">
        <v>30977</v>
      </c>
      <c r="E3155" s="1" t="s">
        <v>763</v>
      </c>
      <c r="F3155" s="1" t="s">
        <v>711</v>
      </c>
      <c r="G3155" s="1" t="s">
        <v>712</v>
      </c>
      <c r="H3155" s="1" t="s">
        <v>713</v>
      </c>
      <c r="I3155" s="1" t="s">
        <v>714</v>
      </c>
      <c r="J3155" s="1" t="s">
        <v>716</v>
      </c>
      <c r="K3155" s="1" t="s">
        <v>716</v>
      </c>
      <c r="L3155" s="1" t="s">
        <v>1418</v>
      </c>
      <c r="M3155" s="1" t="s">
        <v>718</v>
      </c>
    </row>
    <row r="3156" customFormat="false" ht="15" hidden="false" customHeight="false" outlineLevel="0" collapsed="false">
      <c r="A3156" s="1" t="s">
        <v>13333</v>
      </c>
      <c r="B3156" s="1" t="s">
        <v>13334</v>
      </c>
      <c r="C3156" s="1" t="s">
        <v>13335</v>
      </c>
      <c r="D3156" s="2" t="n">
        <v>38031</v>
      </c>
      <c r="E3156" s="1" t="s">
        <v>710</v>
      </c>
      <c r="F3156" s="1" t="s">
        <v>711</v>
      </c>
      <c r="G3156" s="1" t="s">
        <v>722</v>
      </c>
      <c r="H3156" s="1" t="s">
        <v>713</v>
      </c>
      <c r="I3156" s="1" t="s">
        <v>714</v>
      </c>
      <c r="J3156" s="1" t="s">
        <v>13336</v>
      </c>
      <c r="K3156" s="1" t="s">
        <v>716</v>
      </c>
      <c r="L3156" s="1" t="s">
        <v>983</v>
      </c>
      <c r="M3156" s="1" t="s">
        <v>718</v>
      </c>
    </row>
    <row r="3157" customFormat="false" ht="15" hidden="false" customHeight="false" outlineLevel="0" collapsed="false">
      <c r="A3157" s="1" t="s">
        <v>13337</v>
      </c>
      <c r="B3157" s="1" t="s">
        <v>13338</v>
      </c>
      <c r="C3157" s="1" t="s">
        <v>1139</v>
      </c>
      <c r="D3157" s="2" t="n">
        <v>38970</v>
      </c>
      <c r="E3157" s="1" t="s">
        <v>710</v>
      </c>
      <c r="F3157" s="1" t="s">
        <v>711</v>
      </c>
      <c r="G3157" s="1" t="s">
        <v>712</v>
      </c>
      <c r="H3157" s="1" t="s">
        <v>713</v>
      </c>
      <c r="I3157" s="1" t="s">
        <v>714</v>
      </c>
      <c r="J3157" s="1" t="s">
        <v>13339</v>
      </c>
      <c r="K3157" s="1" t="s">
        <v>13340</v>
      </c>
      <c r="L3157" s="1" t="s">
        <v>1061</v>
      </c>
      <c r="M3157" s="1" t="s">
        <v>718</v>
      </c>
    </row>
    <row r="3158" customFormat="false" ht="15" hidden="false" customHeight="false" outlineLevel="0" collapsed="false">
      <c r="A3158" s="1" t="s">
        <v>13341</v>
      </c>
      <c r="B3158" s="1" t="s">
        <v>1637</v>
      </c>
      <c r="C3158" s="1" t="s">
        <v>13342</v>
      </c>
      <c r="D3158" s="2" t="n">
        <v>38294</v>
      </c>
      <c r="E3158" s="1" t="s">
        <v>710</v>
      </c>
      <c r="F3158" s="1" t="s">
        <v>711</v>
      </c>
      <c r="G3158" s="1" t="s">
        <v>722</v>
      </c>
      <c r="H3158" s="1" t="s">
        <v>713</v>
      </c>
      <c r="I3158" s="1" t="s">
        <v>714</v>
      </c>
      <c r="J3158" s="1" t="s">
        <v>716</v>
      </c>
      <c r="K3158" s="1" t="s">
        <v>716</v>
      </c>
      <c r="L3158" s="1" t="s">
        <v>4762</v>
      </c>
      <c r="M3158" s="1" t="s">
        <v>718</v>
      </c>
    </row>
    <row r="3159" customFormat="false" ht="15" hidden="false" customHeight="false" outlineLevel="0" collapsed="false">
      <c r="A3159" s="1" t="s">
        <v>13343</v>
      </c>
      <c r="B3159" s="1" t="s">
        <v>13344</v>
      </c>
      <c r="C3159" s="1" t="s">
        <v>13345</v>
      </c>
      <c r="D3159" s="2" t="n">
        <v>37268</v>
      </c>
      <c r="E3159" s="1" t="s">
        <v>763</v>
      </c>
      <c r="F3159" s="1" t="s">
        <v>711</v>
      </c>
      <c r="G3159" s="1" t="s">
        <v>722</v>
      </c>
      <c r="H3159" s="1" t="s">
        <v>713</v>
      </c>
      <c r="I3159" s="1" t="s">
        <v>714</v>
      </c>
      <c r="J3159" s="1" t="s">
        <v>716</v>
      </c>
      <c r="K3159" s="1" t="s">
        <v>716</v>
      </c>
      <c r="L3159" s="1" t="s">
        <v>13346</v>
      </c>
      <c r="M3159" s="1" t="s">
        <v>718</v>
      </c>
    </row>
    <row r="3160" customFormat="false" ht="15" hidden="false" customHeight="false" outlineLevel="0" collapsed="false">
      <c r="A3160" s="1" t="s">
        <v>13347</v>
      </c>
      <c r="B3160" s="1" t="s">
        <v>5995</v>
      </c>
      <c r="C3160" s="1" t="s">
        <v>2703</v>
      </c>
      <c r="D3160" s="2" t="n">
        <v>38609</v>
      </c>
      <c r="E3160" s="1" t="s">
        <v>710</v>
      </c>
      <c r="F3160" s="1" t="s">
        <v>711</v>
      </c>
      <c r="G3160" s="1" t="s">
        <v>712</v>
      </c>
      <c r="H3160" s="1" t="s">
        <v>713</v>
      </c>
      <c r="I3160" s="1" t="s">
        <v>714</v>
      </c>
      <c r="J3160" s="1" t="s">
        <v>13348</v>
      </c>
      <c r="K3160" s="1" t="s">
        <v>13349</v>
      </c>
      <c r="L3160" s="1" t="s">
        <v>13350</v>
      </c>
      <c r="M3160" s="1" t="s">
        <v>718</v>
      </c>
    </row>
    <row r="3161" customFormat="false" ht="15" hidden="false" customHeight="false" outlineLevel="0" collapsed="false">
      <c r="A3161" s="1" t="s">
        <v>13351</v>
      </c>
      <c r="B3161" s="1" t="s">
        <v>13352</v>
      </c>
      <c r="C3161" s="1" t="s">
        <v>13353</v>
      </c>
      <c r="D3161" s="2" t="n">
        <v>38768</v>
      </c>
      <c r="E3161" s="1" t="s">
        <v>763</v>
      </c>
      <c r="F3161" s="1" t="s">
        <v>711</v>
      </c>
      <c r="G3161" s="1" t="s">
        <v>712</v>
      </c>
      <c r="H3161" s="1" t="s">
        <v>713</v>
      </c>
      <c r="I3161" s="1" t="s">
        <v>714</v>
      </c>
      <c r="J3161" s="1" t="s">
        <v>13354</v>
      </c>
      <c r="K3161" s="1" t="s">
        <v>13355</v>
      </c>
      <c r="L3161" s="1" t="s">
        <v>13356</v>
      </c>
      <c r="M3161" s="1" t="s">
        <v>718</v>
      </c>
    </row>
    <row r="3162" customFormat="false" ht="15" hidden="false" customHeight="false" outlineLevel="0" collapsed="false">
      <c r="A3162" s="1" t="s">
        <v>13357</v>
      </c>
      <c r="B3162" s="1" t="s">
        <v>13358</v>
      </c>
      <c r="C3162" s="1" t="s">
        <v>13359</v>
      </c>
      <c r="D3162" s="2" t="n">
        <v>39069</v>
      </c>
      <c r="E3162" s="1" t="s">
        <v>763</v>
      </c>
      <c r="F3162" s="1" t="s">
        <v>711</v>
      </c>
      <c r="G3162" s="1" t="s">
        <v>722</v>
      </c>
      <c r="H3162" s="1" t="s">
        <v>713</v>
      </c>
      <c r="I3162" s="1" t="s">
        <v>714</v>
      </c>
      <c r="J3162" s="1" t="s">
        <v>13354</v>
      </c>
      <c r="K3162" s="1" t="s">
        <v>13355</v>
      </c>
      <c r="L3162" s="1" t="s">
        <v>13356</v>
      </c>
      <c r="M3162" s="1" t="s">
        <v>718</v>
      </c>
    </row>
    <row r="3163" customFormat="false" ht="15" hidden="false" customHeight="false" outlineLevel="0" collapsed="false">
      <c r="A3163" s="1" t="s">
        <v>13360</v>
      </c>
      <c r="B3163" s="1" t="s">
        <v>13361</v>
      </c>
      <c r="C3163" s="1" t="s">
        <v>8033</v>
      </c>
      <c r="D3163" s="2" t="n">
        <v>38935</v>
      </c>
      <c r="E3163" s="1" t="s">
        <v>763</v>
      </c>
      <c r="F3163" s="1" t="s">
        <v>711</v>
      </c>
      <c r="G3163" s="1" t="s">
        <v>712</v>
      </c>
      <c r="H3163" s="1" t="s">
        <v>713</v>
      </c>
      <c r="I3163" s="1" t="s">
        <v>714</v>
      </c>
      <c r="J3163" s="1" t="s">
        <v>13354</v>
      </c>
      <c r="K3163" s="1" t="s">
        <v>13355</v>
      </c>
      <c r="L3163" s="1" t="s">
        <v>13362</v>
      </c>
      <c r="M3163" s="1" t="s">
        <v>718</v>
      </c>
    </row>
    <row r="3164" customFormat="false" ht="15" hidden="false" customHeight="false" outlineLevel="0" collapsed="false">
      <c r="A3164" s="1" t="s">
        <v>13363</v>
      </c>
      <c r="B3164" s="1" t="s">
        <v>13364</v>
      </c>
      <c r="C3164" s="1" t="s">
        <v>13365</v>
      </c>
      <c r="D3164" s="2" t="n">
        <v>38951</v>
      </c>
      <c r="E3164" s="1" t="s">
        <v>763</v>
      </c>
      <c r="F3164" s="1" t="s">
        <v>711</v>
      </c>
      <c r="G3164" s="1" t="s">
        <v>712</v>
      </c>
      <c r="H3164" s="1" t="s">
        <v>713</v>
      </c>
      <c r="I3164" s="1" t="s">
        <v>714</v>
      </c>
      <c r="J3164" s="1" t="s">
        <v>13354</v>
      </c>
      <c r="K3164" s="1" t="s">
        <v>13355</v>
      </c>
      <c r="L3164" s="1" t="s">
        <v>13366</v>
      </c>
      <c r="M3164" s="1" t="s">
        <v>718</v>
      </c>
    </row>
    <row r="3165" customFormat="false" ht="15" hidden="false" customHeight="false" outlineLevel="0" collapsed="false">
      <c r="A3165" s="1" t="s">
        <v>13367</v>
      </c>
      <c r="B3165" s="1" t="s">
        <v>13368</v>
      </c>
      <c r="C3165" s="1" t="s">
        <v>13369</v>
      </c>
      <c r="D3165" s="2" t="n">
        <v>38572</v>
      </c>
      <c r="E3165" s="1" t="s">
        <v>710</v>
      </c>
      <c r="F3165" s="1" t="s">
        <v>711</v>
      </c>
      <c r="G3165" s="1" t="s">
        <v>1450</v>
      </c>
      <c r="H3165" s="1" t="s">
        <v>713</v>
      </c>
      <c r="I3165" s="1" t="s">
        <v>714</v>
      </c>
      <c r="J3165" s="1" t="s">
        <v>1445</v>
      </c>
      <c r="K3165" s="1" t="s">
        <v>13370</v>
      </c>
      <c r="L3165" s="1" t="s">
        <v>13371</v>
      </c>
      <c r="M3165" s="1" t="s">
        <v>718</v>
      </c>
    </row>
    <row r="3166" customFormat="false" ht="15" hidden="false" customHeight="false" outlineLevel="0" collapsed="false">
      <c r="A3166" s="1" t="s">
        <v>13372</v>
      </c>
      <c r="B3166" s="1" t="s">
        <v>1716</v>
      </c>
      <c r="C3166" s="1" t="s">
        <v>7114</v>
      </c>
      <c r="D3166" s="2" t="n">
        <v>39723</v>
      </c>
      <c r="E3166" s="1" t="s">
        <v>710</v>
      </c>
      <c r="F3166" s="1" t="s">
        <v>711</v>
      </c>
      <c r="G3166" s="1" t="s">
        <v>712</v>
      </c>
      <c r="H3166" s="1" t="s">
        <v>713</v>
      </c>
      <c r="I3166" s="1" t="s">
        <v>714</v>
      </c>
      <c r="J3166" s="1" t="s">
        <v>4239</v>
      </c>
      <c r="K3166" s="1" t="s">
        <v>13373</v>
      </c>
      <c r="L3166" s="1" t="s">
        <v>5729</v>
      </c>
      <c r="M3166" s="1" t="s">
        <v>718</v>
      </c>
    </row>
    <row r="3167" customFormat="false" ht="15" hidden="false" customHeight="false" outlineLevel="0" collapsed="false">
      <c r="A3167" s="1" t="s">
        <v>13374</v>
      </c>
      <c r="B3167" s="1" t="s">
        <v>13375</v>
      </c>
      <c r="C3167" s="1" t="s">
        <v>1295</v>
      </c>
      <c r="D3167" s="2" t="n">
        <v>39649</v>
      </c>
      <c r="E3167" s="1" t="s">
        <v>710</v>
      </c>
      <c r="F3167" s="1" t="s">
        <v>711</v>
      </c>
      <c r="G3167" s="1" t="s">
        <v>712</v>
      </c>
      <c r="H3167" s="1" t="s">
        <v>713</v>
      </c>
      <c r="I3167" s="1" t="s">
        <v>714</v>
      </c>
      <c r="J3167" s="1" t="s">
        <v>13376</v>
      </c>
      <c r="K3167" s="1" t="s">
        <v>13377</v>
      </c>
      <c r="L3167" s="1" t="s">
        <v>3263</v>
      </c>
      <c r="M3167" s="1" t="s">
        <v>718</v>
      </c>
    </row>
    <row r="3168" customFormat="false" ht="15" hidden="false" customHeight="false" outlineLevel="0" collapsed="false">
      <c r="A3168" s="1" t="s">
        <v>13378</v>
      </c>
      <c r="B3168" s="1" t="s">
        <v>13379</v>
      </c>
      <c r="C3168" s="1" t="s">
        <v>13380</v>
      </c>
      <c r="D3168" s="2" t="n">
        <v>38351</v>
      </c>
      <c r="E3168" s="1" t="s">
        <v>710</v>
      </c>
      <c r="F3168" s="1" t="s">
        <v>711</v>
      </c>
      <c r="G3168" s="1" t="s">
        <v>722</v>
      </c>
      <c r="H3168" s="1" t="s">
        <v>713</v>
      </c>
      <c r="I3168" s="1" t="s">
        <v>714</v>
      </c>
      <c r="J3168" s="1" t="s">
        <v>9891</v>
      </c>
      <c r="K3168" s="1" t="s">
        <v>13381</v>
      </c>
      <c r="L3168" s="1" t="s">
        <v>13382</v>
      </c>
      <c r="M3168" s="1" t="s">
        <v>718</v>
      </c>
    </row>
    <row r="3169" customFormat="false" ht="15" hidden="false" customHeight="false" outlineLevel="0" collapsed="false">
      <c r="A3169" s="1" t="s">
        <v>13383</v>
      </c>
      <c r="B3169" s="1" t="s">
        <v>13384</v>
      </c>
      <c r="C3169" s="1" t="s">
        <v>2632</v>
      </c>
      <c r="D3169" s="2" t="n">
        <v>37794</v>
      </c>
      <c r="E3169" s="1" t="s">
        <v>710</v>
      </c>
      <c r="F3169" s="1" t="s">
        <v>711</v>
      </c>
      <c r="G3169" s="1" t="s">
        <v>722</v>
      </c>
      <c r="H3169" s="1" t="s">
        <v>713</v>
      </c>
      <c r="I3169" s="1" t="s">
        <v>714</v>
      </c>
      <c r="J3169" s="1" t="s">
        <v>8853</v>
      </c>
      <c r="K3169" s="1" t="s">
        <v>13385</v>
      </c>
      <c r="L3169" s="1" t="s">
        <v>13386</v>
      </c>
      <c r="M3169" s="1" t="s">
        <v>718</v>
      </c>
    </row>
    <row r="3170" customFormat="false" ht="15" hidden="false" customHeight="false" outlineLevel="0" collapsed="false">
      <c r="A3170" s="1" t="s">
        <v>13387</v>
      </c>
      <c r="B3170" s="1" t="s">
        <v>784</v>
      </c>
      <c r="C3170" s="1" t="s">
        <v>13388</v>
      </c>
      <c r="D3170" s="2" t="n">
        <v>38538</v>
      </c>
      <c r="E3170" s="1" t="s">
        <v>710</v>
      </c>
      <c r="F3170" s="1" t="s">
        <v>711</v>
      </c>
      <c r="G3170" s="1" t="s">
        <v>712</v>
      </c>
      <c r="H3170" s="1" t="s">
        <v>713</v>
      </c>
      <c r="I3170" s="1" t="s">
        <v>714</v>
      </c>
      <c r="J3170" s="1" t="s">
        <v>13389</v>
      </c>
      <c r="K3170" s="1" t="s">
        <v>13390</v>
      </c>
      <c r="L3170" s="1" t="s">
        <v>13391</v>
      </c>
      <c r="M3170" s="1" t="s">
        <v>718</v>
      </c>
    </row>
    <row r="3171" customFormat="false" ht="15" hidden="false" customHeight="false" outlineLevel="0" collapsed="false">
      <c r="A3171" s="1" t="s">
        <v>13392</v>
      </c>
      <c r="B3171" s="1" t="s">
        <v>13375</v>
      </c>
      <c r="C3171" s="1" t="s">
        <v>1072</v>
      </c>
      <c r="D3171" s="2" t="n">
        <v>38679</v>
      </c>
      <c r="E3171" s="1" t="s">
        <v>710</v>
      </c>
      <c r="F3171" s="1" t="s">
        <v>711</v>
      </c>
      <c r="G3171" s="1" t="s">
        <v>712</v>
      </c>
      <c r="H3171" s="1" t="s">
        <v>713</v>
      </c>
      <c r="I3171" s="1" t="s">
        <v>714</v>
      </c>
      <c r="J3171" s="1" t="s">
        <v>2000</v>
      </c>
      <c r="K3171" s="1" t="s">
        <v>10501</v>
      </c>
      <c r="L3171" s="1" t="s">
        <v>1073</v>
      </c>
      <c r="M3171" s="1" t="s">
        <v>718</v>
      </c>
    </row>
    <row r="3172" customFormat="false" ht="15" hidden="false" customHeight="false" outlineLevel="0" collapsed="false">
      <c r="A3172" s="1" t="s">
        <v>13393</v>
      </c>
      <c r="B3172" s="1" t="s">
        <v>13394</v>
      </c>
      <c r="C3172" s="1" t="s">
        <v>13395</v>
      </c>
      <c r="D3172" s="2" t="n">
        <v>37933</v>
      </c>
      <c r="E3172" s="1" t="s">
        <v>763</v>
      </c>
      <c r="F3172" s="1" t="s">
        <v>711</v>
      </c>
      <c r="G3172" s="1" t="s">
        <v>712</v>
      </c>
      <c r="H3172" s="1" t="s">
        <v>713</v>
      </c>
      <c r="I3172" s="1" t="s">
        <v>714</v>
      </c>
      <c r="J3172" s="1" t="s">
        <v>2997</v>
      </c>
      <c r="K3172" s="1" t="s">
        <v>13396</v>
      </c>
      <c r="L3172" s="1" t="s">
        <v>13397</v>
      </c>
      <c r="M3172" s="1" t="s">
        <v>718</v>
      </c>
    </row>
    <row r="3173" customFormat="false" ht="15" hidden="false" customHeight="false" outlineLevel="0" collapsed="false">
      <c r="A3173" s="1" t="s">
        <v>13398</v>
      </c>
      <c r="B3173" s="1" t="s">
        <v>13399</v>
      </c>
      <c r="C3173" s="1" t="s">
        <v>13400</v>
      </c>
      <c r="D3173" s="2" t="n">
        <v>26415</v>
      </c>
      <c r="E3173" s="1" t="s">
        <v>763</v>
      </c>
      <c r="F3173" s="1" t="s">
        <v>711</v>
      </c>
      <c r="G3173" s="1" t="s">
        <v>712</v>
      </c>
      <c r="H3173" s="1" t="s">
        <v>713</v>
      </c>
      <c r="I3173" s="1" t="s">
        <v>714</v>
      </c>
      <c r="J3173" s="1" t="s">
        <v>716</v>
      </c>
      <c r="K3173" s="1" t="s">
        <v>716</v>
      </c>
      <c r="L3173" s="1" t="s">
        <v>1418</v>
      </c>
      <c r="M3173" s="1" t="s">
        <v>718</v>
      </c>
    </row>
    <row r="3174" customFormat="false" ht="15" hidden="false" customHeight="false" outlineLevel="0" collapsed="false">
      <c r="A3174" s="1" t="s">
        <v>13401</v>
      </c>
      <c r="B3174" s="1" t="s">
        <v>13402</v>
      </c>
      <c r="C3174" s="1" t="s">
        <v>13403</v>
      </c>
      <c r="D3174" s="2" t="n">
        <v>37589</v>
      </c>
      <c r="E3174" s="1" t="s">
        <v>763</v>
      </c>
      <c r="F3174" s="1" t="s">
        <v>711</v>
      </c>
      <c r="G3174" s="1" t="s">
        <v>712</v>
      </c>
      <c r="H3174" s="1" t="s">
        <v>713</v>
      </c>
      <c r="I3174" s="1" t="s">
        <v>714</v>
      </c>
      <c r="J3174" s="1" t="s">
        <v>716</v>
      </c>
      <c r="K3174" s="1" t="s">
        <v>716</v>
      </c>
      <c r="L3174" s="1" t="s">
        <v>13404</v>
      </c>
      <c r="M3174" s="1" t="s">
        <v>718</v>
      </c>
    </row>
    <row r="3175" customFormat="false" ht="15" hidden="false" customHeight="false" outlineLevel="0" collapsed="false">
      <c r="A3175" s="1" t="s">
        <v>13405</v>
      </c>
      <c r="B3175" s="1" t="s">
        <v>13406</v>
      </c>
      <c r="C3175" s="1" t="s">
        <v>13407</v>
      </c>
      <c r="D3175" s="2" t="n">
        <v>37626</v>
      </c>
      <c r="E3175" s="1" t="s">
        <v>763</v>
      </c>
      <c r="F3175" s="1" t="s">
        <v>711</v>
      </c>
      <c r="G3175" s="1" t="s">
        <v>712</v>
      </c>
      <c r="H3175" s="1" t="s">
        <v>713</v>
      </c>
      <c r="I3175" s="1" t="s">
        <v>714</v>
      </c>
      <c r="J3175" s="1" t="s">
        <v>716</v>
      </c>
      <c r="K3175" s="1" t="s">
        <v>716</v>
      </c>
      <c r="L3175" s="1" t="s">
        <v>13408</v>
      </c>
      <c r="M3175" s="1" t="s">
        <v>718</v>
      </c>
    </row>
    <row r="3176" customFormat="false" ht="15" hidden="false" customHeight="false" outlineLevel="0" collapsed="false">
      <c r="A3176" s="1" t="s">
        <v>13409</v>
      </c>
      <c r="B3176" s="1" t="s">
        <v>13410</v>
      </c>
      <c r="C3176" s="1" t="s">
        <v>13411</v>
      </c>
      <c r="D3176" s="2" t="n">
        <v>38154</v>
      </c>
      <c r="E3176" s="1" t="s">
        <v>763</v>
      </c>
      <c r="F3176" s="1" t="s">
        <v>711</v>
      </c>
      <c r="G3176" s="1" t="s">
        <v>1220</v>
      </c>
      <c r="H3176" s="1" t="s">
        <v>713</v>
      </c>
      <c r="I3176" s="1" t="s">
        <v>714</v>
      </c>
      <c r="J3176" s="1" t="s">
        <v>2564</v>
      </c>
      <c r="K3176" s="1" t="s">
        <v>716</v>
      </c>
      <c r="L3176" s="1" t="s">
        <v>13412</v>
      </c>
      <c r="M3176" s="1" t="s">
        <v>718</v>
      </c>
    </row>
    <row r="3177" customFormat="false" ht="15" hidden="false" customHeight="false" outlineLevel="0" collapsed="false">
      <c r="A3177" s="1" t="s">
        <v>13413</v>
      </c>
      <c r="B3177" s="1" t="s">
        <v>727</v>
      </c>
      <c r="C3177" s="1" t="s">
        <v>10181</v>
      </c>
      <c r="D3177" s="2" t="n">
        <v>38465</v>
      </c>
      <c r="E3177" s="1" t="s">
        <v>710</v>
      </c>
      <c r="F3177" s="1" t="s">
        <v>711</v>
      </c>
      <c r="G3177" s="1" t="s">
        <v>712</v>
      </c>
      <c r="H3177" s="1" t="s">
        <v>713</v>
      </c>
      <c r="I3177" s="1" t="s">
        <v>714</v>
      </c>
      <c r="J3177" s="1" t="s">
        <v>716</v>
      </c>
      <c r="K3177" s="1" t="s">
        <v>716</v>
      </c>
      <c r="L3177" s="1" t="s">
        <v>13414</v>
      </c>
      <c r="M3177" s="1" t="s">
        <v>718</v>
      </c>
    </row>
    <row r="3178" customFormat="false" ht="15" hidden="false" customHeight="false" outlineLevel="0" collapsed="false">
      <c r="A3178" s="1" t="s">
        <v>13415</v>
      </c>
      <c r="B3178" s="1" t="s">
        <v>13416</v>
      </c>
      <c r="C3178" s="1" t="s">
        <v>13417</v>
      </c>
      <c r="D3178" s="2" t="n">
        <v>29859</v>
      </c>
      <c r="E3178" s="1" t="s">
        <v>763</v>
      </c>
      <c r="F3178" s="1" t="s">
        <v>711</v>
      </c>
      <c r="G3178" s="1" t="s">
        <v>712</v>
      </c>
      <c r="H3178" s="1" t="s">
        <v>713</v>
      </c>
      <c r="I3178" s="1" t="s">
        <v>714</v>
      </c>
      <c r="J3178" s="1" t="s">
        <v>716</v>
      </c>
      <c r="K3178" s="1" t="s">
        <v>716</v>
      </c>
      <c r="L3178" s="1" t="s">
        <v>1418</v>
      </c>
      <c r="M3178" s="1" t="s">
        <v>718</v>
      </c>
    </row>
    <row r="3179" customFormat="false" ht="15" hidden="false" customHeight="false" outlineLevel="0" collapsed="false">
      <c r="A3179" s="1" t="s">
        <v>13418</v>
      </c>
      <c r="B3179" s="1" t="s">
        <v>13419</v>
      </c>
      <c r="C3179" s="1" t="s">
        <v>13420</v>
      </c>
      <c r="D3179" s="2" t="n">
        <v>39552</v>
      </c>
      <c r="E3179" s="1" t="s">
        <v>763</v>
      </c>
      <c r="F3179" s="1" t="s">
        <v>711</v>
      </c>
      <c r="G3179" s="1" t="s">
        <v>712</v>
      </c>
      <c r="H3179" s="1" t="s">
        <v>713</v>
      </c>
      <c r="I3179" s="1" t="s">
        <v>714</v>
      </c>
      <c r="J3179" s="1" t="s">
        <v>13421</v>
      </c>
      <c r="K3179" s="1" t="s">
        <v>716</v>
      </c>
      <c r="L3179" s="1" t="s">
        <v>13422</v>
      </c>
      <c r="M3179" s="1" t="s">
        <v>718</v>
      </c>
    </row>
    <row r="3180" customFormat="false" ht="15" hidden="false" customHeight="false" outlineLevel="0" collapsed="false">
      <c r="A3180" s="1" t="s">
        <v>13423</v>
      </c>
      <c r="B3180" s="1" t="s">
        <v>13424</v>
      </c>
      <c r="C3180" s="1" t="s">
        <v>13425</v>
      </c>
      <c r="D3180" s="2" t="n">
        <v>39041</v>
      </c>
      <c r="E3180" s="1" t="s">
        <v>710</v>
      </c>
      <c r="F3180" s="1" t="s">
        <v>711</v>
      </c>
      <c r="G3180" s="1" t="s">
        <v>722</v>
      </c>
      <c r="H3180" s="1" t="s">
        <v>713</v>
      </c>
      <c r="I3180" s="1" t="s">
        <v>714</v>
      </c>
      <c r="J3180" s="1" t="s">
        <v>13426</v>
      </c>
      <c r="K3180" s="1" t="s">
        <v>716</v>
      </c>
      <c r="L3180" s="1" t="s">
        <v>7049</v>
      </c>
      <c r="M3180" s="1" t="s">
        <v>718</v>
      </c>
    </row>
    <row r="3181" customFormat="false" ht="15" hidden="false" customHeight="false" outlineLevel="0" collapsed="false">
      <c r="A3181" s="1" t="s">
        <v>13427</v>
      </c>
      <c r="B3181" s="1" t="s">
        <v>13428</v>
      </c>
      <c r="C3181" s="1" t="s">
        <v>7348</v>
      </c>
      <c r="D3181" s="2" t="n">
        <v>38722</v>
      </c>
      <c r="E3181" s="1" t="s">
        <v>710</v>
      </c>
      <c r="F3181" s="1" t="s">
        <v>711</v>
      </c>
      <c r="G3181" s="1" t="s">
        <v>712</v>
      </c>
      <c r="H3181" s="1" t="s">
        <v>713</v>
      </c>
      <c r="I3181" s="1" t="s">
        <v>714</v>
      </c>
      <c r="J3181" s="1" t="s">
        <v>1131</v>
      </c>
      <c r="K3181" s="1" t="s">
        <v>716</v>
      </c>
      <c r="L3181" s="1" t="s">
        <v>13429</v>
      </c>
      <c r="M3181" s="1" t="s">
        <v>718</v>
      </c>
    </row>
    <row r="3182" customFormat="false" ht="15" hidden="false" customHeight="false" outlineLevel="0" collapsed="false">
      <c r="A3182" s="1" t="s">
        <v>13430</v>
      </c>
      <c r="B3182" s="1" t="s">
        <v>13431</v>
      </c>
      <c r="C3182" s="1" t="s">
        <v>8384</v>
      </c>
      <c r="D3182" s="2" t="n">
        <v>39064</v>
      </c>
      <c r="E3182" s="1" t="s">
        <v>710</v>
      </c>
      <c r="F3182" s="1" t="s">
        <v>711</v>
      </c>
      <c r="G3182" s="1" t="s">
        <v>712</v>
      </c>
      <c r="H3182" s="1" t="s">
        <v>713</v>
      </c>
      <c r="I3182" s="1" t="s">
        <v>714</v>
      </c>
      <c r="J3182" s="1" t="s">
        <v>712</v>
      </c>
      <c r="K3182" s="1" t="s">
        <v>716</v>
      </c>
      <c r="L3182" s="1" t="s">
        <v>13432</v>
      </c>
      <c r="M3182" s="1" t="s">
        <v>718</v>
      </c>
    </row>
    <row r="3183" customFormat="false" ht="15" hidden="false" customHeight="false" outlineLevel="0" collapsed="false">
      <c r="A3183" s="1" t="s">
        <v>13433</v>
      </c>
      <c r="B3183" s="1" t="s">
        <v>1538</v>
      </c>
      <c r="C3183" s="1" t="s">
        <v>9028</v>
      </c>
      <c r="D3183" s="2" t="n">
        <v>39192</v>
      </c>
      <c r="E3183" s="1" t="s">
        <v>763</v>
      </c>
      <c r="F3183" s="1" t="s">
        <v>711</v>
      </c>
      <c r="G3183" s="1" t="s">
        <v>964</v>
      </c>
      <c r="H3183" s="1" t="s">
        <v>713</v>
      </c>
      <c r="I3183" s="1" t="s">
        <v>714</v>
      </c>
      <c r="J3183" s="1" t="s">
        <v>11173</v>
      </c>
      <c r="K3183" s="1" t="s">
        <v>716</v>
      </c>
      <c r="L3183" s="1" t="s">
        <v>13434</v>
      </c>
      <c r="M3183" s="1" t="s">
        <v>718</v>
      </c>
    </row>
    <row r="3184" customFormat="false" ht="15" hidden="false" customHeight="false" outlineLevel="0" collapsed="false">
      <c r="A3184" s="1" t="s">
        <v>13435</v>
      </c>
      <c r="B3184" s="1" t="s">
        <v>13436</v>
      </c>
      <c r="C3184" s="1" t="s">
        <v>1185</v>
      </c>
      <c r="D3184" s="2" t="n">
        <v>39394</v>
      </c>
      <c r="E3184" s="1" t="s">
        <v>710</v>
      </c>
      <c r="F3184" s="1" t="s">
        <v>711</v>
      </c>
      <c r="G3184" s="1" t="s">
        <v>712</v>
      </c>
      <c r="H3184" s="1" t="s">
        <v>713</v>
      </c>
      <c r="I3184" s="1" t="s">
        <v>714</v>
      </c>
      <c r="J3184" s="1" t="s">
        <v>902</v>
      </c>
      <c r="K3184" s="1" t="s">
        <v>13437</v>
      </c>
      <c r="L3184" s="1" t="s">
        <v>13114</v>
      </c>
      <c r="M3184" s="1" t="s">
        <v>718</v>
      </c>
    </row>
    <row r="3185" customFormat="false" ht="15" hidden="false" customHeight="false" outlineLevel="0" collapsed="false">
      <c r="A3185" s="1" t="s">
        <v>13438</v>
      </c>
      <c r="B3185" s="1" t="s">
        <v>13439</v>
      </c>
      <c r="C3185" s="1" t="s">
        <v>13440</v>
      </c>
      <c r="D3185" s="2" t="n">
        <v>39371</v>
      </c>
      <c r="E3185" s="1" t="s">
        <v>710</v>
      </c>
      <c r="F3185" s="1" t="s">
        <v>711</v>
      </c>
      <c r="G3185" s="1" t="s">
        <v>712</v>
      </c>
      <c r="H3185" s="1" t="s">
        <v>713</v>
      </c>
      <c r="I3185" s="1" t="s">
        <v>714</v>
      </c>
      <c r="J3185" s="1" t="s">
        <v>1584</v>
      </c>
      <c r="K3185" s="1" t="s">
        <v>13441</v>
      </c>
      <c r="L3185" s="1" t="s">
        <v>9884</v>
      </c>
      <c r="M3185" s="1" t="s">
        <v>718</v>
      </c>
    </row>
    <row r="3186" customFormat="false" ht="15" hidden="false" customHeight="false" outlineLevel="0" collapsed="false">
      <c r="A3186" s="1" t="s">
        <v>13442</v>
      </c>
      <c r="B3186" s="1" t="s">
        <v>6470</v>
      </c>
      <c r="C3186" s="1" t="s">
        <v>2006</v>
      </c>
      <c r="D3186" s="2" t="n">
        <v>39131</v>
      </c>
      <c r="E3186" s="1" t="s">
        <v>763</v>
      </c>
      <c r="F3186" s="1" t="s">
        <v>711</v>
      </c>
      <c r="G3186" s="1" t="s">
        <v>712</v>
      </c>
      <c r="H3186" s="1" t="s">
        <v>713</v>
      </c>
      <c r="I3186" s="1" t="s">
        <v>714</v>
      </c>
      <c r="J3186" s="1" t="s">
        <v>1398</v>
      </c>
      <c r="K3186" s="1" t="s">
        <v>716</v>
      </c>
      <c r="L3186" s="1" t="s">
        <v>13443</v>
      </c>
      <c r="M3186" s="1" t="s">
        <v>718</v>
      </c>
    </row>
    <row r="3187" customFormat="false" ht="15" hidden="false" customHeight="false" outlineLevel="0" collapsed="false">
      <c r="A3187" s="1" t="s">
        <v>13444</v>
      </c>
      <c r="B3187" s="1" t="s">
        <v>13445</v>
      </c>
      <c r="C3187" s="1" t="s">
        <v>13446</v>
      </c>
      <c r="D3187" s="2" t="n">
        <v>39445</v>
      </c>
      <c r="E3187" s="1" t="s">
        <v>710</v>
      </c>
      <c r="F3187" s="1" t="s">
        <v>711</v>
      </c>
      <c r="G3187" s="1" t="s">
        <v>712</v>
      </c>
      <c r="H3187" s="1" t="s">
        <v>713</v>
      </c>
      <c r="I3187" s="1" t="s">
        <v>714</v>
      </c>
      <c r="J3187" s="1" t="s">
        <v>805</v>
      </c>
      <c r="K3187" s="1" t="s">
        <v>13447</v>
      </c>
      <c r="L3187" s="1" t="s">
        <v>13448</v>
      </c>
      <c r="M3187" s="1" t="s">
        <v>718</v>
      </c>
    </row>
    <row r="3188" customFormat="false" ht="15" hidden="false" customHeight="false" outlineLevel="0" collapsed="false">
      <c r="A3188" s="1" t="s">
        <v>13449</v>
      </c>
      <c r="B3188" s="1" t="s">
        <v>13450</v>
      </c>
      <c r="C3188" s="1" t="s">
        <v>750</v>
      </c>
      <c r="D3188" s="2" t="n">
        <v>39629</v>
      </c>
      <c r="E3188" s="1" t="s">
        <v>763</v>
      </c>
      <c r="F3188" s="1" t="s">
        <v>711</v>
      </c>
      <c r="G3188" s="1" t="s">
        <v>712</v>
      </c>
      <c r="H3188" s="1" t="s">
        <v>713</v>
      </c>
      <c r="I3188" s="1" t="s">
        <v>714</v>
      </c>
      <c r="J3188" s="1" t="s">
        <v>1723</v>
      </c>
      <c r="K3188" s="1" t="s">
        <v>716</v>
      </c>
      <c r="L3188" s="1" t="s">
        <v>13451</v>
      </c>
      <c r="M3188" s="1" t="s">
        <v>718</v>
      </c>
    </row>
    <row r="3189" customFormat="false" ht="15" hidden="false" customHeight="false" outlineLevel="0" collapsed="false">
      <c r="A3189" s="1" t="s">
        <v>13452</v>
      </c>
      <c r="B3189" s="1" t="s">
        <v>13453</v>
      </c>
      <c r="C3189" s="1" t="s">
        <v>13454</v>
      </c>
      <c r="D3189" s="2" t="n">
        <v>39295</v>
      </c>
      <c r="E3189" s="1" t="s">
        <v>710</v>
      </c>
      <c r="F3189" s="1" t="s">
        <v>711</v>
      </c>
      <c r="G3189" s="1" t="s">
        <v>722</v>
      </c>
      <c r="H3189" s="1" t="s">
        <v>713</v>
      </c>
      <c r="I3189" s="1" t="s">
        <v>714</v>
      </c>
      <c r="J3189" s="1" t="s">
        <v>13455</v>
      </c>
      <c r="K3189" s="1" t="s">
        <v>13456</v>
      </c>
      <c r="L3189" s="1" t="s">
        <v>13457</v>
      </c>
      <c r="M3189" s="1" t="s">
        <v>718</v>
      </c>
    </row>
    <row r="3190" customFormat="false" ht="15" hidden="false" customHeight="false" outlineLevel="0" collapsed="false">
      <c r="A3190" s="1" t="s">
        <v>13458</v>
      </c>
      <c r="B3190" s="1" t="s">
        <v>13459</v>
      </c>
      <c r="C3190" s="1" t="s">
        <v>13460</v>
      </c>
      <c r="D3190" s="2" t="n">
        <v>39368</v>
      </c>
      <c r="E3190" s="1" t="s">
        <v>763</v>
      </c>
      <c r="F3190" s="1" t="s">
        <v>711</v>
      </c>
      <c r="G3190" s="1" t="s">
        <v>722</v>
      </c>
      <c r="H3190" s="1" t="s">
        <v>713</v>
      </c>
      <c r="I3190" s="1" t="s">
        <v>714</v>
      </c>
      <c r="J3190" s="1" t="s">
        <v>4239</v>
      </c>
      <c r="K3190" s="1" t="s">
        <v>13461</v>
      </c>
      <c r="L3190" s="1" t="s">
        <v>13462</v>
      </c>
      <c r="M3190" s="1" t="s">
        <v>718</v>
      </c>
    </row>
    <row r="3191" customFormat="false" ht="15" hidden="false" customHeight="false" outlineLevel="0" collapsed="false">
      <c r="A3191" s="1" t="s">
        <v>13463</v>
      </c>
      <c r="B3191" s="1" t="s">
        <v>12890</v>
      </c>
      <c r="C3191" s="1" t="s">
        <v>1049</v>
      </c>
      <c r="D3191" s="2" t="n">
        <v>39317</v>
      </c>
      <c r="E3191" s="1" t="s">
        <v>710</v>
      </c>
      <c r="F3191" s="1" t="s">
        <v>711</v>
      </c>
      <c r="G3191" s="1" t="s">
        <v>712</v>
      </c>
      <c r="H3191" s="1" t="s">
        <v>713</v>
      </c>
      <c r="I3191" s="1" t="s">
        <v>714</v>
      </c>
      <c r="J3191" s="1" t="s">
        <v>4239</v>
      </c>
      <c r="K3191" s="1" t="s">
        <v>716</v>
      </c>
      <c r="L3191" s="1" t="s">
        <v>7060</v>
      </c>
      <c r="M3191" s="1" t="s">
        <v>718</v>
      </c>
    </row>
    <row r="3192" customFormat="false" ht="15" hidden="false" customHeight="false" outlineLevel="0" collapsed="false">
      <c r="A3192" s="1" t="s">
        <v>13464</v>
      </c>
      <c r="B3192" s="1" t="s">
        <v>13465</v>
      </c>
      <c r="C3192" s="1" t="s">
        <v>2212</v>
      </c>
      <c r="D3192" s="2" t="n">
        <v>38846</v>
      </c>
      <c r="E3192" s="1" t="s">
        <v>763</v>
      </c>
      <c r="F3192" s="1" t="s">
        <v>711</v>
      </c>
      <c r="G3192" s="1" t="s">
        <v>712</v>
      </c>
      <c r="H3192" s="1" t="s">
        <v>713</v>
      </c>
      <c r="I3192" s="1" t="s">
        <v>714</v>
      </c>
      <c r="J3192" s="1" t="s">
        <v>2117</v>
      </c>
      <c r="K3192" s="1" t="s">
        <v>716</v>
      </c>
      <c r="L3192" s="1" t="s">
        <v>2119</v>
      </c>
      <c r="M3192" s="1" t="s">
        <v>718</v>
      </c>
    </row>
    <row r="3193" customFormat="false" ht="15" hidden="false" customHeight="false" outlineLevel="0" collapsed="false">
      <c r="A3193" s="1" t="s">
        <v>13466</v>
      </c>
      <c r="B3193" s="1" t="s">
        <v>13467</v>
      </c>
      <c r="C3193" s="1" t="s">
        <v>13468</v>
      </c>
      <c r="D3193" s="2" t="n">
        <v>39363</v>
      </c>
      <c r="E3193" s="1" t="s">
        <v>763</v>
      </c>
      <c r="F3193" s="1" t="s">
        <v>711</v>
      </c>
      <c r="G3193" s="1" t="s">
        <v>722</v>
      </c>
      <c r="H3193" s="1" t="s">
        <v>713</v>
      </c>
      <c r="I3193" s="1" t="s">
        <v>714</v>
      </c>
      <c r="J3193" s="1" t="s">
        <v>13469</v>
      </c>
      <c r="K3193" s="1" t="s">
        <v>13470</v>
      </c>
      <c r="L3193" s="1" t="s">
        <v>13471</v>
      </c>
      <c r="M3193" s="1" t="s">
        <v>718</v>
      </c>
    </row>
    <row r="3194" customFormat="false" ht="15" hidden="false" customHeight="false" outlineLevel="0" collapsed="false">
      <c r="A3194" s="1" t="s">
        <v>13472</v>
      </c>
      <c r="B3194" s="1" t="s">
        <v>10917</v>
      </c>
      <c r="C3194" s="1" t="s">
        <v>13473</v>
      </c>
      <c r="D3194" s="2" t="n">
        <v>39188</v>
      </c>
      <c r="E3194" s="1" t="s">
        <v>763</v>
      </c>
      <c r="F3194" s="1" t="s">
        <v>711</v>
      </c>
      <c r="G3194" s="1" t="s">
        <v>712</v>
      </c>
      <c r="H3194" s="1" t="s">
        <v>713</v>
      </c>
      <c r="I3194" s="1" t="s">
        <v>714</v>
      </c>
      <c r="J3194" s="1" t="s">
        <v>10491</v>
      </c>
      <c r="K3194" s="1" t="s">
        <v>716</v>
      </c>
      <c r="L3194" s="1" t="s">
        <v>13474</v>
      </c>
      <c r="M3194" s="1" t="s">
        <v>718</v>
      </c>
    </row>
    <row r="3195" customFormat="false" ht="15" hidden="false" customHeight="false" outlineLevel="0" collapsed="false">
      <c r="A3195" s="1" t="s">
        <v>13475</v>
      </c>
      <c r="B3195" s="1" t="s">
        <v>13476</v>
      </c>
      <c r="C3195" s="1" t="s">
        <v>13477</v>
      </c>
      <c r="D3195" s="2" t="n">
        <v>39351</v>
      </c>
      <c r="E3195" s="1" t="s">
        <v>710</v>
      </c>
      <c r="F3195" s="1" t="s">
        <v>711</v>
      </c>
      <c r="G3195" s="1" t="s">
        <v>722</v>
      </c>
      <c r="H3195" s="1" t="s">
        <v>713</v>
      </c>
      <c r="I3195" s="1" t="s">
        <v>714</v>
      </c>
      <c r="J3195" s="1" t="s">
        <v>1055</v>
      </c>
      <c r="K3195" s="1" t="s">
        <v>13478</v>
      </c>
      <c r="L3195" s="1" t="s">
        <v>13479</v>
      </c>
      <c r="M3195" s="1" t="s">
        <v>718</v>
      </c>
    </row>
    <row r="3196" customFormat="false" ht="15" hidden="false" customHeight="false" outlineLevel="0" collapsed="false">
      <c r="A3196" s="1" t="s">
        <v>13480</v>
      </c>
      <c r="B3196" s="1" t="s">
        <v>13481</v>
      </c>
      <c r="C3196" s="1" t="s">
        <v>5950</v>
      </c>
      <c r="D3196" s="2" t="n">
        <v>39036</v>
      </c>
      <c r="E3196" s="1" t="s">
        <v>710</v>
      </c>
      <c r="F3196" s="1" t="s">
        <v>711</v>
      </c>
      <c r="G3196" s="1" t="s">
        <v>712</v>
      </c>
      <c r="H3196" s="1" t="s">
        <v>713</v>
      </c>
      <c r="I3196" s="1" t="s">
        <v>714</v>
      </c>
      <c r="J3196" s="1" t="s">
        <v>1398</v>
      </c>
      <c r="K3196" s="1" t="s">
        <v>716</v>
      </c>
      <c r="L3196" s="1" t="s">
        <v>13482</v>
      </c>
      <c r="M3196" s="1" t="s">
        <v>718</v>
      </c>
    </row>
    <row r="3197" customFormat="false" ht="15" hidden="false" customHeight="false" outlineLevel="0" collapsed="false">
      <c r="A3197" s="1" t="s">
        <v>13483</v>
      </c>
      <c r="B3197" s="1" t="s">
        <v>13484</v>
      </c>
      <c r="C3197" s="1" t="s">
        <v>10477</v>
      </c>
      <c r="D3197" s="2" t="n">
        <v>37562</v>
      </c>
      <c r="E3197" s="1" t="s">
        <v>710</v>
      </c>
      <c r="F3197" s="1" t="s">
        <v>711</v>
      </c>
      <c r="G3197" s="1" t="s">
        <v>722</v>
      </c>
      <c r="H3197" s="1" t="s">
        <v>713</v>
      </c>
      <c r="I3197" s="1" t="s">
        <v>714</v>
      </c>
      <c r="J3197" s="1" t="s">
        <v>805</v>
      </c>
      <c r="K3197" s="1" t="s">
        <v>13485</v>
      </c>
      <c r="L3197" s="1" t="s">
        <v>13486</v>
      </c>
      <c r="M3197" s="1" t="s">
        <v>718</v>
      </c>
    </row>
    <row r="3198" customFormat="false" ht="15" hidden="false" customHeight="false" outlineLevel="0" collapsed="false">
      <c r="A3198" s="1" t="s">
        <v>13487</v>
      </c>
      <c r="B3198" s="1" t="s">
        <v>10526</v>
      </c>
      <c r="C3198" s="1" t="s">
        <v>13488</v>
      </c>
      <c r="D3198" s="2" t="n">
        <v>37069</v>
      </c>
      <c r="E3198" s="1" t="s">
        <v>763</v>
      </c>
      <c r="F3198" s="1" t="s">
        <v>711</v>
      </c>
      <c r="G3198" s="1" t="s">
        <v>712</v>
      </c>
      <c r="H3198" s="1" t="s">
        <v>713</v>
      </c>
      <c r="I3198" s="1" t="s">
        <v>714</v>
      </c>
      <c r="J3198" s="1" t="s">
        <v>8447</v>
      </c>
      <c r="K3198" s="1" t="s">
        <v>13489</v>
      </c>
      <c r="L3198" s="1" t="s">
        <v>13490</v>
      </c>
      <c r="M3198" s="1" t="s">
        <v>718</v>
      </c>
    </row>
    <row r="3199" customFormat="false" ht="15" hidden="false" customHeight="false" outlineLevel="0" collapsed="false">
      <c r="A3199" s="1" t="s">
        <v>13491</v>
      </c>
      <c r="B3199" s="1" t="s">
        <v>1523</v>
      </c>
      <c r="C3199" s="1" t="s">
        <v>13492</v>
      </c>
      <c r="D3199" s="2" t="n">
        <v>38969</v>
      </c>
      <c r="E3199" s="1" t="s">
        <v>763</v>
      </c>
      <c r="F3199" s="1" t="s">
        <v>711</v>
      </c>
      <c r="G3199" s="1" t="s">
        <v>775</v>
      </c>
      <c r="H3199" s="1" t="s">
        <v>713</v>
      </c>
      <c r="I3199" s="1" t="s">
        <v>714</v>
      </c>
      <c r="J3199" s="1" t="s">
        <v>1723</v>
      </c>
      <c r="K3199" s="1" t="s">
        <v>13493</v>
      </c>
      <c r="L3199" s="1" t="s">
        <v>13494</v>
      </c>
      <c r="M3199" s="1" t="s">
        <v>718</v>
      </c>
    </row>
    <row r="3200" customFormat="false" ht="15" hidden="false" customHeight="false" outlineLevel="0" collapsed="false">
      <c r="A3200" s="1" t="s">
        <v>13495</v>
      </c>
      <c r="B3200" s="1" t="s">
        <v>12206</v>
      </c>
      <c r="C3200" s="1" t="s">
        <v>13496</v>
      </c>
      <c r="D3200" s="2" t="n">
        <v>38050</v>
      </c>
      <c r="E3200" s="1" t="s">
        <v>763</v>
      </c>
      <c r="F3200" s="1" t="s">
        <v>711</v>
      </c>
      <c r="G3200" s="1" t="s">
        <v>712</v>
      </c>
      <c r="H3200" s="1" t="s">
        <v>713</v>
      </c>
      <c r="I3200" s="1" t="s">
        <v>714</v>
      </c>
      <c r="J3200" s="1" t="s">
        <v>751</v>
      </c>
      <c r="K3200" s="1" t="s">
        <v>13497</v>
      </c>
      <c r="L3200" s="1" t="s">
        <v>13498</v>
      </c>
      <c r="M3200" s="1" t="s">
        <v>718</v>
      </c>
    </row>
    <row r="3201" customFormat="false" ht="15" hidden="false" customHeight="false" outlineLevel="0" collapsed="false">
      <c r="A3201" s="1" t="s">
        <v>13499</v>
      </c>
      <c r="B3201" s="1" t="s">
        <v>13500</v>
      </c>
      <c r="C3201" s="1" t="s">
        <v>13501</v>
      </c>
      <c r="D3201" s="2" t="n">
        <v>38024</v>
      </c>
      <c r="E3201" s="1" t="s">
        <v>763</v>
      </c>
      <c r="F3201" s="1" t="s">
        <v>711</v>
      </c>
      <c r="G3201" s="1" t="s">
        <v>712</v>
      </c>
      <c r="H3201" s="1" t="s">
        <v>713</v>
      </c>
      <c r="I3201" s="1" t="s">
        <v>714</v>
      </c>
      <c r="J3201" s="1" t="s">
        <v>13502</v>
      </c>
      <c r="K3201" s="1" t="s">
        <v>13503</v>
      </c>
      <c r="L3201" s="1" t="s">
        <v>13504</v>
      </c>
      <c r="M3201" s="1" t="s">
        <v>718</v>
      </c>
    </row>
    <row r="3202" customFormat="false" ht="15" hidden="false" customHeight="false" outlineLevel="0" collapsed="false">
      <c r="A3202" s="1" t="s">
        <v>13505</v>
      </c>
      <c r="B3202" s="1" t="s">
        <v>13506</v>
      </c>
      <c r="C3202" s="1" t="s">
        <v>13507</v>
      </c>
      <c r="D3202" s="2" t="n">
        <v>39143</v>
      </c>
      <c r="E3202" s="1" t="s">
        <v>763</v>
      </c>
      <c r="F3202" s="1" t="s">
        <v>711</v>
      </c>
      <c r="G3202" s="1" t="s">
        <v>722</v>
      </c>
      <c r="H3202" s="1" t="s">
        <v>713</v>
      </c>
      <c r="I3202" s="1" t="s">
        <v>714</v>
      </c>
      <c r="J3202" s="1" t="s">
        <v>13508</v>
      </c>
      <c r="K3202" s="1" t="s">
        <v>13509</v>
      </c>
      <c r="L3202" s="1" t="s">
        <v>13510</v>
      </c>
      <c r="M3202" s="1" t="s">
        <v>718</v>
      </c>
    </row>
    <row r="3203" customFormat="false" ht="15" hidden="false" customHeight="false" outlineLevel="0" collapsed="false">
      <c r="A3203" s="1" t="s">
        <v>13511</v>
      </c>
      <c r="B3203" s="1" t="s">
        <v>13512</v>
      </c>
      <c r="C3203" s="1" t="s">
        <v>5746</v>
      </c>
      <c r="D3203" s="2" t="n">
        <v>39147</v>
      </c>
      <c r="E3203" s="1" t="s">
        <v>763</v>
      </c>
      <c r="F3203" s="1" t="s">
        <v>711</v>
      </c>
      <c r="G3203" s="1" t="s">
        <v>775</v>
      </c>
      <c r="H3203" s="1" t="s">
        <v>713</v>
      </c>
      <c r="I3203" s="1" t="s">
        <v>714</v>
      </c>
      <c r="J3203" s="1" t="s">
        <v>13513</v>
      </c>
      <c r="K3203" s="1" t="s">
        <v>13514</v>
      </c>
      <c r="L3203" s="1" t="s">
        <v>13515</v>
      </c>
      <c r="M3203" s="1" t="s">
        <v>718</v>
      </c>
    </row>
    <row r="3204" customFormat="false" ht="15" hidden="false" customHeight="false" outlineLevel="0" collapsed="false">
      <c r="A3204" s="1" t="s">
        <v>681</v>
      </c>
      <c r="B3204" s="1" t="s">
        <v>13516</v>
      </c>
      <c r="C3204" s="1" t="s">
        <v>7223</v>
      </c>
      <c r="D3204" s="2" t="n">
        <v>39076</v>
      </c>
      <c r="E3204" s="1" t="s">
        <v>763</v>
      </c>
      <c r="F3204" s="1" t="s">
        <v>711</v>
      </c>
      <c r="G3204" s="1" t="s">
        <v>712</v>
      </c>
      <c r="H3204" s="1" t="s">
        <v>713</v>
      </c>
      <c r="I3204" s="1" t="s">
        <v>714</v>
      </c>
      <c r="J3204" s="1" t="s">
        <v>13517</v>
      </c>
      <c r="K3204" s="1" t="s">
        <v>716</v>
      </c>
      <c r="L3204" s="1" t="s">
        <v>7226</v>
      </c>
      <c r="M3204" s="1" t="s">
        <v>718</v>
      </c>
    </row>
    <row r="3205" customFormat="false" ht="15" hidden="false" customHeight="false" outlineLevel="0" collapsed="false">
      <c r="A3205" s="1" t="s">
        <v>13518</v>
      </c>
      <c r="B3205" s="1" t="s">
        <v>8149</v>
      </c>
      <c r="C3205" s="1" t="s">
        <v>12247</v>
      </c>
      <c r="D3205" s="2" t="n">
        <v>39415</v>
      </c>
      <c r="E3205" s="1" t="s">
        <v>710</v>
      </c>
      <c r="F3205" s="1" t="s">
        <v>711</v>
      </c>
      <c r="G3205" s="1" t="s">
        <v>712</v>
      </c>
      <c r="H3205" s="1" t="s">
        <v>713</v>
      </c>
      <c r="I3205" s="1" t="s">
        <v>714</v>
      </c>
      <c r="J3205" s="1" t="s">
        <v>13519</v>
      </c>
      <c r="K3205" s="1" t="s">
        <v>13520</v>
      </c>
      <c r="L3205" s="1" t="s">
        <v>13510</v>
      </c>
      <c r="M3205" s="1" t="s">
        <v>718</v>
      </c>
    </row>
    <row r="3206" customFormat="false" ht="15" hidden="false" customHeight="false" outlineLevel="0" collapsed="false">
      <c r="A3206" s="1" t="s">
        <v>13521</v>
      </c>
      <c r="B3206" s="1" t="s">
        <v>13522</v>
      </c>
      <c r="C3206" s="1" t="s">
        <v>3974</v>
      </c>
      <c r="D3206" s="2" t="n">
        <v>39345</v>
      </c>
      <c r="E3206" s="1" t="s">
        <v>710</v>
      </c>
      <c r="F3206" s="1" t="s">
        <v>711</v>
      </c>
      <c r="G3206" s="1" t="s">
        <v>712</v>
      </c>
      <c r="H3206" s="1" t="s">
        <v>713</v>
      </c>
      <c r="I3206" s="1" t="s">
        <v>714</v>
      </c>
      <c r="J3206" s="1" t="s">
        <v>10504</v>
      </c>
      <c r="K3206" s="1" t="s">
        <v>13523</v>
      </c>
      <c r="L3206" s="1" t="s">
        <v>3978</v>
      </c>
      <c r="M3206" s="1" t="s">
        <v>718</v>
      </c>
    </row>
    <row r="3207" customFormat="false" ht="15" hidden="false" customHeight="false" outlineLevel="0" collapsed="false">
      <c r="A3207" s="1" t="s">
        <v>13524</v>
      </c>
      <c r="B3207" s="1" t="s">
        <v>13525</v>
      </c>
      <c r="C3207" s="1" t="s">
        <v>7348</v>
      </c>
      <c r="D3207" s="2" t="n">
        <v>39249</v>
      </c>
      <c r="E3207" s="1" t="s">
        <v>763</v>
      </c>
      <c r="F3207" s="1" t="s">
        <v>711</v>
      </c>
      <c r="G3207" s="1" t="s">
        <v>712</v>
      </c>
      <c r="H3207" s="1" t="s">
        <v>713</v>
      </c>
      <c r="I3207" s="1" t="s">
        <v>714</v>
      </c>
      <c r="J3207" s="1" t="s">
        <v>8879</v>
      </c>
      <c r="K3207" s="1" t="s">
        <v>716</v>
      </c>
      <c r="L3207" s="1" t="s">
        <v>10688</v>
      </c>
      <c r="M3207" s="1" t="s">
        <v>718</v>
      </c>
    </row>
    <row r="3208" customFormat="false" ht="15" hidden="false" customHeight="false" outlineLevel="0" collapsed="false">
      <c r="A3208" s="1" t="s">
        <v>13526</v>
      </c>
      <c r="B3208" s="1" t="s">
        <v>13527</v>
      </c>
      <c r="C3208" s="1" t="s">
        <v>1332</v>
      </c>
      <c r="D3208" s="2" t="n">
        <v>38832</v>
      </c>
      <c r="E3208" s="1" t="s">
        <v>710</v>
      </c>
      <c r="F3208" s="1" t="s">
        <v>711</v>
      </c>
      <c r="G3208" s="1" t="s">
        <v>722</v>
      </c>
      <c r="H3208" s="1" t="s">
        <v>713</v>
      </c>
      <c r="I3208" s="1" t="s">
        <v>714</v>
      </c>
      <c r="J3208" s="1" t="s">
        <v>13528</v>
      </c>
      <c r="K3208" s="1" t="s">
        <v>13529</v>
      </c>
      <c r="L3208" s="1" t="s">
        <v>1334</v>
      </c>
      <c r="M3208" s="1" t="s">
        <v>718</v>
      </c>
    </row>
    <row r="3209" customFormat="false" ht="15" hidden="false" customHeight="false" outlineLevel="0" collapsed="false">
      <c r="A3209" s="1" t="s">
        <v>13530</v>
      </c>
      <c r="B3209" s="1" t="s">
        <v>11647</v>
      </c>
      <c r="C3209" s="1" t="s">
        <v>739</v>
      </c>
      <c r="D3209" s="2" t="n">
        <v>39387</v>
      </c>
      <c r="E3209" s="1" t="s">
        <v>763</v>
      </c>
      <c r="F3209" s="1" t="s">
        <v>711</v>
      </c>
      <c r="G3209" s="1" t="s">
        <v>722</v>
      </c>
      <c r="H3209" s="1" t="s">
        <v>713</v>
      </c>
      <c r="I3209" s="1" t="s">
        <v>714</v>
      </c>
      <c r="J3209" s="1" t="s">
        <v>832</v>
      </c>
      <c r="K3209" s="1" t="s">
        <v>716</v>
      </c>
      <c r="L3209" s="1" t="s">
        <v>1342</v>
      </c>
      <c r="M3209" s="1" t="s">
        <v>718</v>
      </c>
    </row>
    <row r="3210" customFormat="false" ht="15" hidden="false" customHeight="false" outlineLevel="0" collapsed="false">
      <c r="A3210" s="1" t="s">
        <v>13531</v>
      </c>
      <c r="B3210" s="1" t="s">
        <v>13532</v>
      </c>
      <c r="C3210" s="1" t="s">
        <v>13533</v>
      </c>
      <c r="D3210" s="2" t="n">
        <v>39336</v>
      </c>
      <c r="E3210" s="1" t="s">
        <v>710</v>
      </c>
      <c r="F3210" s="1" t="s">
        <v>711</v>
      </c>
      <c r="G3210" s="1" t="s">
        <v>712</v>
      </c>
      <c r="H3210" s="1" t="s">
        <v>713</v>
      </c>
      <c r="I3210" s="1" t="s">
        <v>714</v>
      </c>
      <c r="J3210" s="1" t="s">
        <v>715</v>
      </c>
      <c r="K3210" s="1" t="s">
        <v>13534</v>
      </c>
      <c r="L3210" s="1" t="s">
        <v>13535</v>
      </c>
      <c r="M3210" s="1" t="s">
        <v>718</v>
      </c>
    </row>
    <row r="3211" customFormat="false" ht="15" hidden="false" customHeight="false" outlineLevel="0" collapsed="false">
      <c r="A3211" s="1" t="s">
        <v>13536</v>
      </c>
      <c r="B3211" s="1" t="s">
        <v>5195</v>
      </c>
      <c r="C3211" s="1" t="s">
        <v>13537</v>
      </c>
      <c r="D3211" s="2" t="n">
        <v>39319</v>
      </c>
      <c r="E3211" s="1" t="s">
        <v>763</v>
      </c>
      <c r="F3211" s="1" t="s">
        <v>711</v>
      </c>
      <c r="G3211" s="1" t="s">
        <v>712</v>
      </c>
      <c r="H3211" s="1" t="s">
        <v>713</v>
      </c>
      <c r="I3211" s="1" t="s">
        <v>714</v>
      </c>
      <c r="J3211" s="1" t="s">
        <v>1723</v>
      </c>
      <c r="K3211" s="1" t="s">
        <v>716</v>
      </c>
      <c r="L3211" s="1" t="s">
        <v>13538</v>
      </c>
      <c r="M3211" s="1" t="s">
        <v>718</v>
      </c>
    </row>
    <row r="3212" customFormat="false" ht="15" hidden="false" customHeight="false" outlineLevel="0" collapsed="false">
      <c r="A3212" s="1" t="s">
        <v>13539</v>
      </c>
      <c r="B3212" s="1" t="s">
        <v>13540</v>
      </c>
      <c r="C3212" s="1" t="s">
        <v>13541</v>
      </c>
      <c r="D3212" s="2" t="n">
        <v>38597</v>
      </c>
      <c r="E3212" s="1" t="s">
        <v>710</v>
      </c>
      <c r="F3212" s="1" t="s">
        <v>711</v>
      </c>
      <c r="G3212" s="1" t="s">
        <v>775</v>
      </c>
      <c r="H3212" s="1" t="s">
        <v>713</v>
      </c>
      <c r="I3212" s="1" t="s">
        <v>714</v>
      </c>
      <c r="J3212" s="1" t="s">
        <v>1530</v>
      </c>
      <c r="K3212" s="1" t="s">
        <v>13542</v>
      </c>
      <c r="L3212" s="1" t="s">
        <v>13543</v>
      </c>
      <c r="M3212" s="1" t="s">
        <v>718</v>
      </c>
    </row>
    <row r="3213" customFormat="false" ht="15" hidden="false" customHeight="false" outlineLevel="0" collapsed="false">
      <c r="A3213" s="1" t="s">
        <v>13544</v>
      </c>
      <c r="B3213" s="1" t="s">
        <v>13545</v>
      </c>
      <c r="C3213" s="1" t="s">
        <v>13546</v>
      </c>
      <c r="D3213" s="2" t="n">
        <v>39655</v>
      </c>
      <c r="E3213" s="1" t="s">
        <v>763</v>
      </c>
      <c r="F3213" s="1" t="s">
        <v>711</v>
      </c>
      <c r="G3213" s="1" t="s">
        <v>712</v>
      </c>
      <c r="H3213" s="1" t="s">
        <v>713</v>
      </c>
      <c r="I3213" s="1" t="s">
        <v>714</v>
      </c>
      <c r="J3213" s="1" t="s">
        <v>928</v>
      </c>
      <c r="K3213" s="1" t="s">
        <v>13547</v>
      </c>
      <c r="L3213" s="1" t="s">
        <v>13548</v>
      </c>
      <c r="M3213" s="1" t="s">
        <v>718</v>
      </c>
    </row>
    <row r="3214" customFormat="false" ht="15" hidden="false" customHeight="false" outlineLevel="0" collapsed="false">
      <c r="A3214" s="1" t="s">
        <v>13549</v>
      </c>
      <c r="B3214" s="1" t="s">
        <v>13550</v>
      </c>
      <c r="C3214" s="1" t="s">
        <v>13551</v>
      </c>
      <c r="D3214" s="2" t="n">
        <v>39162</v>
      </c>
      <c r="E3214" s="1" t="s">
        <v>710</v>
      </c>
      <c r="F3214" s="1" t="s">
        <v>711</v>
      </c>
      <c r="G3214" s="1" t="s">
        <v>712</v>
      </c>
      <c r="H3214" s="1" t="s">
        <v>713</v>
      </c>
      <c r="I3214" s="1" t="s">
        <v>714</v>
      </c>
      <c r="J3214" s="1" t="s">
        <v>2714</v>
      </c>
      <c r="K3214" s="1" t="s">
        <v>716</v>
      </c>
      <c r="L3214" s="1" t="s">
        <v>13552</v>
      </c>
      <c r="M3214" s="1" t="s">
        <v>718</v>
      </c>
    </row>
    <row r="3215" customFormat="false" ht="15" hidden="false" customHeight="false" outlineLevel="0" collapsed="false">
      <c r="A3215" s="1" t="s">
        <v>13553</v>
      </c>
      <c r="B3215" s="1" t="s">
        <v>13554</v>
      </c>
      <c r="C3215" s="1" t="s">
        <v>13555</v>
      </c>
      <c r="D3215" s="2" t="n">
        <v>39243</v>
      </c>
      <c r="E3215" s="1" t="s">
        <v>763</v>
      </c>
      <c r="F3215" s="1" t="s">
        <v>711</v>
      </c>
      <c r="G3215" s="1" t="s">
        <v>712</v>
      </c>
      <c r="H3215" s="1" t="s">
        <v>713</v>
      </c>
      <c r="I3215" s="1" t="s">
        <v>714</v>
      </c>
      <c r="J3215" s="1" t="s">
        <v>1505</v>
      </c>
      <c r="K3215" s="1" t="s">
        <v>13556</v>
      </c>
      <c r="L3215" s="1" t="s">
        <v>13557</v>
      </c>
      <c r="M3215" s="1" t="s">
        <v>718</v>
      </c>
    </row>
    <row r="3216" customFormat="false" ht="15" hidden="false" customHeight="false" outlineLevel="0" collapsed="false">
      <c r="A3216" s="1" t="s">
        <v>13558</v>
      </c>
      <c r="B3216" s="1" t="s">
        <v>13559</v>
      </c>
      <c r="C3216" s="1" t="s">
        <v>13560</v>
      </c>
      <c r="D3216" s="2" t="n">
        <v>39293</v>
      </c>
      <c r="E3216" s="1" t="s">
        <v>763</v>
      </c>
      <c r="F3216" s="1" t="s">
        <v>711</v>
      </c>
      <c r="G3216" s="1" t="s">
        <v>722</v>
      </c>
      <c r="H3216" s="1" t="s">
        <v>713</v>
      </c>
      <c r="I3216" s="1" t="s">
        <v>714</v>
      </c>
      <c r="J3216" s="1" t="s">
        <v>13561</v>
      </c>
      <c r="K3216" s="1" t="s">
        <v>716</v>
      </c>
      <c r="L3216" s="1" t="s">
        <v>10221</v>
      </c>
      <c r="M3216" s="1" t="s">
        <v>718</v>
      </c>
    </row>
    <row r="3217" customFormat="false" ht="15" hidden="false" customHeight="false" outlineLevel="0" collapsed="false">
      <c r="A3217" s="1" t="s">
        <v>13562</v>
      </c>
      <c r="B3217" s="1" t="s">
        <v>1121</v>
      </c>
      <c r="C3217" s="1" t="s">
        <v>13563</v>
      </c>
      <c r="D3217" s="2" t="n">
        <v>39681</v>
      </c>
      <c r="E3217" s="1" t="s">
        <v>710</v>
      </c>
      <c r="F3217" s="1" t="s">
        <v>711</v>
      </c>
      <c r="G3217" s="1" t="s">
        <v>712</v>
      </c>
      <c r="H3217" s="1" t="s">
        <v>713</v>
      </c>
      <c r="I3217" s="1" t="s">
        <v>714</v>
      </c>
      <c r="J3217" s="1" t="s">
        <v>821</v>
      </c>
      <c r="K3217" s="1" t="s">
        <v>13564</v>
      </c>
      <c r="L3217" s="1" t="s">
        <v>13565</v>
      </c>
      <c r="M3217" s="1" t="s">
        <v>718</v>
      </c>
    </row>
    <row r="3218" customFormat="false" ht="15" hidden="false" customHeight="false" outlineLevel="0" collapsed="false">
      <c r="A3218" s="1" t="s">
        <v>13566</v>
      </c>
      <c r="B3218" s="1" t="s">
        <v>13567</v>
      </c>
      <c r="C3218" s="1" t="s">
        <v>13568</v>
      </c>
      <c r="D3218" s="2" t="n">
        <v>39335</v>
      </c>
      <c r="E3218" s="1" t="s">
        <v>763</v>
      </c>
      <c r="F3218" s="1" t="s">
        <v>711</v>
      </c>
      <c r="G3218" s="1" t="s">
        <v>712</v>
      </c>
      <c r="H3218" s="1" t="s">
        <v>713</v>
      </c>
      <c r="I3218" s="1" t="s">
        <v>714</v>
      </c>
      <c r="J3218" s="1" t="s">
        <v>715</v>
      </c>
      <c r="K3218" s="1" t="s">
        <v>13569</v>
      </c>
      <c r="L3218" s="1" t="s">
        <v>10053</v>
      </c>
      <c r="M3218" s="1" t="s">
        <v>718</v>
      </c>
    </row>
    <row r="3219" customFormat="false" ht="15" hidden="false" customHeight="false" outlineLevel="0" collapsed="false">
      <c r="A3219" s="1" t="s">
        <v>13570</v>
      </c>
      <c r="B3219" s="1" t="s">
        <v>13571</v>
      </c>
      <c r="C3219" s="1" t="s">
        <v>13572</v>
      </c>
      <c r="D3219" s="2" t="n">
        <v>39431</v>
      </c>
      <c r="E3219" s="1" t="s">
        <v>763</v>
      </c>
      <c r="F3219" s="1" t="s">
        <v>711</v>
      </c>
      <c r="G3219" s="1" t="s">
        <v>712</v>
      </c>
      <c r="H3219" s="1" t="s">
        <v>713</v>
      </c>
      <c r="I3219" s="1" t="s">
        <v>714</v>
      </c>
      <c r="J3219" s="1" t="s">
        <v>8416</v>
      </c>
      <c r="K3219" s="1" t="s">
        <v>13573</v>
      </c>
      <c r="L3219" s="1" t="s">
        <v>8670</v>
      </c>
      <c r="M3219" s="1" t="s">
        <v>718</v>
      </c>
    </row>
    <row r="3220" customFormat="false" ht="15" hidden="false" customHeight="false" outlineLevel="0" collapsed="false">
      <c r="A3220" s="1" t="s">
        <v>13574</v>
      </c>
      <c r="B3220" s="1" t="s">
        <v>13575</v>
      </c>
      <c r="C3220" s="1" t="s">
        <v>13576</v>
      </c>
      <c r="D3220" s="2" t="n">
        <v>39409</v>
      </c>
      <c r="E3220" s="1" t="s">
        <v>763</v>
      </c>
      <c r="F3220" s="1" t="s">
        <v>711</v>
      </c>
      <c r="G3220" s="1" t="s">
        <v>712</v>
      </c>
      <c r="H3220" s="1" t="s">
        <v>713</v>
      </c>
      <c r="I3220" s="1" t="s">
        <v>714</v>
      </c>
      <c r="J3220" s="1" t="s">
        <v>928</v>
      </c>
      <c r="K3220" s="1" t="s">
        <v>716</v>
      </c>
      <c r="L3220" s="1" t="s">
        <v>13577</v>
      </c>
      <c r="M3220" s="1" t="s">
        <v>718</v>
      </c>
    </row>
    <row r="3221" customFormat="false" ht="15" hidden="false" customHeight="false" outlineLevel="0" collapsed="false">
      <c r="A3221" s="1" t="s">
        <v>13578</v>
      </c>
      <c r="B3221" s="1" t="s">
        <v>13579</v>
      </c>
      <c r="C3221" s="1" t="s">
        <v>10430</v>
      </c>
      <c r="D3221" s="2" t="n">
        <v>39372</v>
      </c>
      <c r="E3221" s="1" t="s">
        <v>763</v>
      </c>
      <c r="F3221" s="1" t="s">
        <v>711</v>
      </c>
      <c r="G3221" s="1" t="s">
        <v>712</v>
      </c>
      <c r="H3221" s="1" t="s">
        <v>713</v>
      </c>
      <c r="I3221" s="1" t="s">
        <v>714</v>
      </c>
      <c r="J3221" s="1" t="s">
        <v>821</v>
      </c>
      <c r="K3221" s="1" t="s">
        <v>716</v>
      </c>
      <c r="L3221" s="1" t="s">
        <v>13580</v>
      </c>
      <c r="M3221" s="1" t="s">
        <v>718</v>
      </c>
    </row>
    <row r="3222" customFormat="false" ht="15" hidden="false" customHeight="false" outlineLevel="0" collapsed="false">
      <c r="A3222" s="1" t="s">
        <v>13581</v>
      </c>
      <c r="B3222" s="1" t="s">
        <v>13582</v>
      </c>
      <c r="C3222" s="1" t="s">
        <v>13583</v>
      </c>
      <c r="D3222" s="2" t="n">
        <v>38590</v>
      </c>
      <c r="E3222" s="1" t="s">
        <v>763</v>
      </c>
      <c r="F3222" s="1" t="s">
        <v>711</v>
      </c>
      <c r="G3222" s="1" t="s">
        <v>712</v>
      </c>
      <c r="H3222" s="1" t="s">
        <v>713</v>
      </c>
      <c r="I3222" s="1" t="s">
        <v>714</v>
      </c>
      <c r="J3222" s="1" t="s">
        <v>1114</v>
      </c>
      <c r="K3222" s="1" t="s">
        <v>13584</v>
      </c>
      <c r="L3222" s="1" t="s">
        <v>13585</v>
      </c>
      <c r="M3222" s="1" t="s">
        <v>718</v>
      </c>
    </row>
    <row r="3223" customFormat="false" ht="15" hidden="false" customHeight="false" outlineLevel="0" collapsed="false">
      <c r="A3223" s="1" t="s">
        <v>13586</v>
      </c>
      <c r="B3223" s="1" t="s">
        <v>13587</v>
      </c>
      <c r="C3223" s="1" t="s">
        <v>13588</v>
      </c>
      <c r="D3223" s="2" t="n">
        <v>39164</v>
      </c>
      <c r="E3223" s="1" t="s">
        <v>763</v>
      </c>
      <c r="F3223" s="1" t="s">
        <v>711</v>
      </c>
      <c r="G3223" s="1" t="s">
        <v>722</v>
      </c>
      <c r="H3223" s="1" t="s">
        <v>713</v>
      </c>
      <c r="I3223" s="1" t="s">
        <v>714</v>
      </c>
      <c r="J3223" s="1" t="s">
        <v>1584</v>
      </c>
      <c r="K3223" s="1" t="s">
        <v>716</v>
      </c>
      <c r="L3223" s="1" t="s">
        <v>860</v>
      </c>
      <c r="M3223" s="1" t="s">
        <v>718</v>
      </c>
    </row>
    <row r="3224" customFormat="false" ht="15" hidden="false" customHeight="false" outlineLevel="0" collapsed="false">
      <c r="A3224" s="1" t="s">
        <v>13589</v>
      </c>
      <c r="B3224" s="1" t="s">
        <v>13590</v>
      </c>
      <c r="C3224" s="1" t="s">
        <v>13591</v>
      </c>
      <c r="D3224" s="2" t="n">
        <v>39338</v>
      </c>
      <c r="E3224" s="1" t="s">
        <v>710</v>
      </c>
      <c r="F3224" s="1" t="s">
        <v>711</v>
      </c>
      <c r="G3224" s="1" t="s">
        <v>712</v>
      </c>
      <c r="H3224" s="1" t="s">
        <v>713</v>
      </c>
      <c r="I3224" s="1" t="s">
        <v>714</v>
      </c>
      <c r="J3224" s="1" t="s">
        <v>1149</v>
      </c>
      <c r="K3224" s="1" t="s">
        <v>716</v>
      </c>
      <c r="L3224" s="1" t="s">
        <v>13592</v>
      </c>
      <c r="M3224" s="1" t="s">
        <v>718</v>
      </c>
    </row>
    <row r="3225" customFormat="false" ht="15" hidden="false" customHeight="false" outlineLevel="0" collapsed="false">
      <c r="A3225" s="1" t="s">
        <v>13593</v>
      </c>
      <c r="B3225" s="1" t="s">
        <v>13594</v>
      </c>
      <c r="C3225" s="1" t="s">
        <v>13595</v>
      </c>
      <c r="D3225" s="2" t="n">
        <v>39130</v>
      </c>
      <c r="E3225" s="1" t="s">
        <v>763</v>
      </c>
      <c r="F3225" s="1" t="s">
        <v>711</v>
      </c>
      <c r="G3225" s="1" t="s">
        <v>712</v>
      </c>
      <c r="H3225" s="1" t="s">
        <v>713</v>
      </c>
      <c r="I3225" s="1" t="s">
        <v>714</v>
      </c>
      <c r="J3225" s="1" t="s">
        <v>5211</v>
      </c>
      <c r="K3225" s="1" t="s">
        <v>13596</v>
      </c>
      <c r="L3225" s="1" t="s">
        <v>13597</v>
      </c>
      <c r="M3225" s="1" t="s">
        <v>718</v>
      </c>
    </row>
    <row r="3226" customFormat="false" ht="15" hidden="false" customHeight="false" outlineLevel="0" collapsed="false">
      <c r="A3226" s="1" t="s">
        <v>13598</v>
      </c>
      <c r="B3226" s="1" t="s">
        <v>13599</v>
      </c>
      <c r="C3226" s="1" t="s">
        <v>6236</v>
      </c>
      <c r="D3226" s="2" t="n">
        <v>38615</v>
      </c>
      <c r="E3226" s="1" t="s">
        <v>763</v>
      </c>
      <c r="F3226" s="1" t="s">
        <v>711</v>
      </c>
      <c r="G3226" s="1" t="s">
        <v>712</v>
      </c>
      <c r="H3226" s="1" t="s">
        <v>713</v>
      </c>
      <c r="I3226" s="1" t="s">
        <v>714</v>
      </c>
      <c r="J3226" s="1" t="s">
        <v>4239</v>
      </c>
      <c r="K3226" s="1" t="s">
        <v>716</v>
      </c>
      <c r="L3226" s="1" t="s">
        <v>6238</v>
      </c>
      <c r="M3226" s="1" t="s">
        <v>718</v>
      </c>
    </row>
    <row r="3227" customFormat="false" ht="15" hidden="false" customHeight="false" outlineLevel="0" collapsed="false">
      <c r="A3227" s="1" t="s">
        <v>13600</v>
      </c>
      <c r="B3227" s="1" t="s">
        <v>13601</v>
      </c>
      <c r="C3227" s="1" t="s">
        <v>13602</v>
      </c>
      <c r="D3227" s="2" t="n">
        <v>39085</v>
      </c>
      <c r="E3227" s="1" t="s">
        <v>710</v>
      </c>
      <c r="F3227" s="1" t="s">
        <v>711</v>
      </c>
      <c r="G3227" s="1" t="s">
        <v>712</v>
      </c>
      <c r="H3227" s="1" t="s">
        <v>713</v>
      </c>
      <c r="I3227" s="1" t="s">
        <v>714</v>
      </c>
      <c r="J3227" s="1" t="s">
        <v>8504</v>
      </c>
      <c r="K3227" s="1" t="s">
        <v>716</v>
      </c>
      <c r="L3227" s="1" t="s">
        <v>10989</v>
      </c>
      <c r="M3227" s="1" t="s">
        <v>718</v>
      </c>
    </row>
    <row r="3228" customFormat="false" ht="15" hidden="false" customHeight="false" outlineLevel="0" collapsed="false">
      <c r="A3228" s="1" t="s">
        <v>13603</v>
      </c>
      <c r="B3228" s="1" t="s">
        <v>8090</v>
      </c>
      <c r="C3228" s="1" t="s">
        <v>8209</v>
      </c>
      <c r="D3228" s="2" t="n">
        <v>39609</v>
      </c>
      <c r="E3228" s="1" t="s">
        <v>763</v>
      </c>
      <c r="F3228" s="1" t="s">
        <v>711</v>
      </c>
      <c r="G3228" s="1" t="s">
        <v>712</v>
      </c>
      <c r="H3228" s="1" t="s">
        <v>713</v>
      </c>
      <c r="I3228" s="1" t="s">
        <v>714</v>
      </c>
      <c r="J3228" s="1" t="s">
        <v>13604</v>
      </c>
      <c r="K3228" s="1" t="s">
        <v>13605</v>
      </c>
      <c r="L3228" s="1" t="s">
        <v>8212</v>
      </c>
      <c r="M3228" s="1" t="s">
        <v>718</v>
      </c>
    </row>
    <row r="3229" customFormat="false" ht="15" hidden="false" customHeight="false" outlineLevel="0" collapsed="false">
      <c r="A3229" s="1" t="s">
        <v>13606</v>
      </c>
      <c r="B3229" s="1" t="s">
        <v>13607</v>
      </c>
      <c r="C3229" s="1" t="s">
        <v>13608</v>
      </c>
      <c r="D3229" s="2" t="n">
        <v>39177</v>
      </c>
      <c r="E3229" s="1" t="s">
        <v>763</v>
      </c>
      <c r="F3229" s="1" t="s">
        <v>711</v>
      </c>
      <c r="G3229" s="1" t="s">
        <v>1220</v>
      </c>
      <c r="H3229" s="1" t="s">
        <v>713</v>
      </c>
      <c r="I3229" s="1" t="s">
        <v>714</v>
      </c>
      <c r="J3229" s="1" t="s">
        <v>8879</v>
      </c>
      <c r="K3229" s="1" t="s">
        <v>716</v>
      </c>
      <c r="L3229" s="1" t="s">
        <v>13609</v>
      </c>
      <c r="M3229" s="1" t="s">
        <v>718</v>
      </c>
    </row>
    <row r="3230" customFormat="false" ht="15" hidden="false" customHeight="false" outlineLevel="0" collapsed="false">
      <c r="A3230" s="1" t="s">
        <v>13610</v>
      </c>
      <c r="B3230" s="1" t="s">
        <v>13611</v>
      </c>
      <c r="C3230" s="1" t="s">
        <v>1185</v>
      </c>
      <c r="D3230" s="2" t="n">
        <v>39412</v>
      </c>
      <c r="E3230" s="1" t="s">
        <v>763</v>
      </c>
      <c r="F3230" s="1" t="s">
        <v>711</v>
      </c>
      <c r="G3230" s="1" t="s">
        <v>722</v>
      </c>
      <c r="H3230" s="1" t="s">
        <v>713</v>
      </c>
      <c r="I3230" s="1" t="s">
        <v>714</v>
      </c>
      <c r="J3230" s="1" t="s">
        <v>8879</v>
      </c>
      <c r="K3230" s="1" t="s">
        <v>13612</v>
      </c>
      <c r="L3230" s="1" t="s">
        <v>1186</v>
      </c>
      <c r="M3230" s="1" t="s">
        <v>718</v>
      </c>
    </row>
    <row r="3231" customFormat="false" ht="15" hidden="false" customHeight="false" outlineLevel="0" collapsed="false">
      <c r="A3231" s="1" t="s">
        <v>13613</v>
      </c>
      <c r="B3231" s="1" t="s">
        <v>13614</v>
      </c>
      <c r="C3231" s="1" t="s">
        <v>5542</v>
      </c>
      <c r="D3231" s="2" t="n">
        <v>39904</v>
      </c>
      <c r="E3231" s="1" t="s">
        <v>763</v>
      </c>
      <c r="F3231" s="1" t="s">
        <v>711</v>
      </c>
      <c r="G3231" s="1" t="s">
        <v>712</v>
      </c>
      <c r="H3231" s="1" t="s">
        <v>713</v>
      </c>
      <c r="I3231" s="1" t="s">
        <v>714</v>
      </c>
      <c r="J3231" s="1" t="s">
        <v>13615</v>
      </c>
      <c r="K3231" s="1" t="s">
        <v>716</v>
      </c>
      <c r="L3231" s="1" t="s">
        <v>11816</v>
      </c>
      <c r="M3231" s="1" t="s">
        <v>718</v>
      </c>
    </row>
    <row r="3232" customFormat="false" ht="15" hidden="false" customHeight="false" outlineLevel="0" collapsed="false">
      <c r="A3232" s="1" t="s">
        <v>13616</v>
      </c>
      <c r="B3232" s="1" t="s">
        <v>13617</v>
      </c>
      <c r="C3232" s="1" t="s">
        <v>13618</v>
      </c>
      <c r="D3232" s="2" t="n">
        <v>39224</v>
      </c>
      <c r="E3232" s="1" t="s">
        <v>710</v>
      </c>
      <c r="F3232" s="1" t="s">
        <v>711</v>
      </c>
      <c r="G3232" s="1" t="s">
        <v>712</v>
      </c>
      <c r="H3232" s="1" t="s">
        <v>713</v>
      </c>
      <c r="I3232" s="1" t="s">
        <v>714</v>
      </c>
      <c r="J3232" s="1" t="s">
        <v>10508</v>
      </c>
      <c r="K3232" s="1" t="s">
        <v>13619</v>
      </c>
      <c r="L3232" s="1" t="s">
        <v>13620</v>
      </c>
      <c r="M3232" s="1" t="s">
        <v>718</v>
      </c>
    </row>
    <row r="3233" customFormat="false" ht="15" hidden="false" customHeight="false" outlineLevel="0" collapsed="false">
      <c r="A3233" s="1" t="s">
        <v>13621</v>
      </c>
      <c r="B3233" s="1" t="s">
        <v>5433</v>
      </c>
      <c r="C3233" s="1" t="s">
        <v>13622</v>
      </c>
      <c r="D3233" s="2" t="n">
        <v>39152</v>
      </c>
      <c r="E3233" s="1" t="s">
        <v>763</v>
      </c>
      <c r="F3233" s="1" t="s">
        <v>711</v>
      </c>
      <c r="G3233" s="1" t="s">
        <v>712</v>
      </c>
      <c r="H3233" s="1" t="s">
        <v>713</v>
      </c>
      <c r="I3233" s="1" t="s">
        <v>714</v>
      </c>
      <c r="J3233" s="1" t="s">
        <v>13623</v>
      </c>
      <c r="K3233" s="1" t="s">
        <v>13624</v>
      </c>
      <c r="L3233" s="1" t="s">
        <v>2425</v>
      </c>
      <c r="M3233" s="1" t="s">
        <v>718</v>
      </c>
    </row>
    <row r="3234" customFormat="false" ht="15" hidden="false" customHeight="false" outlineLevel="0" collapsed="false">
      <c r="A3234" s="1" t="s">
        <v>13625</v>
      </c>
      <c r="B3234" s="1" t="s">
        <v>13626</v>
      </c>
      <c r="C3234" s="1" t="s">
        <v>13627</v>
      </c>
      <c r="D3234" s="2" t="n">
        <v>39355</v>
      </c>
      <c r="E3234" s="1" t="s">
        <v>763</v>
      </c>
      <c r="F3234" s="1" t="s">
        <v>711</v>
      </c>
      <c r="G3234" s="1" t="s">
        <v>712</v>
      </c>
      <c r="H3234" s="1" t="s">
        <v>713</v>
      </c>
      <c r="I3234" s="1" t="s">
        <v>714</v>
      </c>
      <c r="J3234" s="1" t="s">
        <v>13628</v>
      </c>
      <c r="K3234" s="1" t="s">
        <v>13629</v>
      </c>
      <c r="L3234" s="1" t="s">
        <v>1634</v>
      </c>
      <c r="M3234" s="1" t="s">
        <v>718</v>
      </c>
    </row>
    <row r="3235" customFormat="false" ht="15" hidden="false" customHeight="false" outlineLevel="0" collapsed="false">
      <c r="A3235" s="1" t="s">
        <v>13630</v>
      </c>
      <c r="B3235" s="1" t="s">
        <v>1481</v>
      </c>
      <c r="C3235" s="1" t="s">
        <v>13631</v>
      </c>
      <c r="D3235" s="2" t="n">
        <v>39416</v>
      </c>
      <c r="E3235" s="1" t="s">
        <v>710</v>
      </c>
      <c r="F3235" s="1" t="s">
        <v>711</v>
      </c>
      <c r="G3235" s="1" t="s">
        <v>712</v>
      </c>
      <c r="H3235" s="1" t="s">
        <v>713</v>
      </c>
      <c r="I3235" s="1" t="s">
        <v>714</v>
      </c>
      <c r="J3235" s="1" t="s">
        <v>13632</v>
      </c>
      <c r="K3235" s="1" t="s">
        <v>13633</v>
      </c>
      <c r="L3235" s="1" t="s">
        <v>11531</v>
      </c>
      <c r="M3235" s="1" t="s">
        <v>718</v>
      </c>
    </row>
    <row r="3236" customFormat="false" ht="15" hidden="false" customHeight="false" outlineLevel="0" collapsed="false">
      <c r="A3236" s="1" t="s">
        <v>13634</v>
      </c>
      <c r="B3236" s="1" t="s">
        <v>13635</v>
      </c>
      <c r="C3236" s="1" t="s">
        <v>13636</v>
      </c>
      <c r="D3236" s="2" t="n">
        <v>39334</v>
      </c>
      <c r="E3236" s="1" t="s">
        <v>710</v>
      </c>
      <c r="F3236" s="1" t="s">
        <v>711</v>
      </c>
      <c r="G3236" s="1" t="s">
        <v>712</v>
      </c>
      <c r="H3236" s="1" t="s">
        <v>713</v>
      </c>
      <c r="I3236" s="1" t="s">
        <v>714</v>
      </c>
      <c r="J3236" s="1" t="s">
        <v>1530</v>
      </c>
      <c r="K3236" s="1" t="s">
        <v>13637</v>
      </c>
      <c r="L3236" s="1" t="s">
        <v>4552</v>
      </c>
      <c r="M3236" s="1" t="s">
        <v>718</v>
      </c>
    </row>
    <row r="3237" customFormat="false" ht="15" hidden="false" customHeight="false" outlineLevel="0" collapsed="false">
      <c r="A3237" s="1" t="s">
        <v>13638</v>
      </c>
      <c r="B3237" s="1" t="s">
        <v>9782</v>
      </c>
      <c r="C3237" s="1" t="s">
        <v>1849</v>
      </c>
      <c r="D3237" s="2" t="n">
        <v>39340</v>
      </c>
      <c r="E3237" s="1" t="s">
        <v>710</v>
      </c>
      <c r="F3237" s="1" t="s">
        <v>711</v>
      </c>
      <c r="G3237" s="1" t="s">
        <v>712</v>
      </c>
      <c r="H3237" s="1" t="s">
        <v>713</v>
      </c>
      <c r="I3237" s="1" t="s">
        <v>714</v>
      </c>
      <c r="J3237" s="1" t="s">
        <v>1530</v>
      </c>
      <c r="K3237" s="1" t="s">
        <v>13639</v>
      </c>
      <c r="L3237" s="1" t="s">
        <v>13640</v>
      </c>
      <c r="M3237" s="1" t="s">
        <v>718</v>
      </c>
    </row>
    <row r="3238" customFormat="false" ht="15" hidden="false" customHeight="false" outlineLevel="0" collapsed="false">
      <c r="A3238" s="1" t="s">
        <v>13641</v>
      </c>
      <c r="B3238" s="1" t="s">
        <v>13642</v>
      </c>
      <c r="C3238" s="1" t="s">
        <v>13636</v>
      </c>
      <c r="D3238" s="2" t="n">
        <v>39334</v>
      </c>
      <c r="E3238" s="1" t="s">
        <v>710</v>
      </c>
      <c r="F3238" s="1" t="s">
        <v>711</v>
      </c>
      <c r="G3238" s="1" t="s">
        <v>712</v>
      </c>
      <c r="H3238" s="1" t="s">
        <v>713</v>
      </c>
      <c r="I3238" s="1" t="s">
        <v>714</v>
      </c>
      <c r="J3238" s="1" t="s">
        <v>1530</v>
      </c>
      <c r="K3238" s="1" t="s">
        <v>13637</v>
      </c>
      <c r="L3238" s="1" t="s">
        <v>4552</v>
      </c>
      <c r="M3238" s="1" t="s">
        <v>718</v>
      </c>
    </row>
    <row r="3239" customFormat="false" ht="15" hidden="false" customHeight="false" outlineLevel="0" collapsed="false">
      <c r="A3239" s="1" t="s">
        <v>13643</v>
      </c>
      <c r="B3239" s="1" t="s">
        <v>13644</v>
      </c>
      <c r="C3239" s="1" t="s">
        <v>2643</v>
      </c>
      <c r="D3239" s="2" t="n">
        <v>39504</v>
      </c>
      <c r="E3239" s="1" t="s">
        <v>763</v>
      </c>
      <c r="F3239" s="1" t="s">
        <v>711</v>
      </c>
      <c r="G3239" s="1" t="s">
        <v>712</v>
      </c>
      <c r="H3239" s="1" t="s">
        <v>713</v>
      </c>
      <c r="I3239" s="1" t="s">
        <v>714</v>
      </c>
      <c r="J3239" s="1" t="s">
        <v>5758</v>
      </c>
      <c r="K3239" s="1" t="s">
        <v>716</v>
      </c>
      <c r="L3239" s="1" t="s">
        <v>4413</v>
      </c>
      <c r="M3239" s="1" t="s">
        <v>718</v>
      </c>
    </row>
    <row r="3240" customFormat="false" ht="15" hidden="false" customHeight="false" outlineLevel="0" collapsed="false">
      <c r="A3240" s="1" t="s">
        <v>13645</v>
      </c>
      <c r="B3240" s="1" t="s">
        <v>13646</v>
      </c>
      <c r="C3240" s="1" t="s">
        <v>13647</v>
      </c>
      <c r="D3240" s="2" t="n">
        <v>39134</v>
      </c>
      <c r="E3240" s="1" t="s">
        <v>763</v>
      </c>
      <c r="F3240" s="1" t="s">
        <v>711</v>
      </c>
      <c r="G3240" s="1" t="s">
        <v>712</v>
      </c>
      <c r="H3240" s="1" t="s">
        <v>713</v>
      </c>
      <c r="I3240" s="1" t="s">
        <v>714</v>
      </c>
      <c r="J3240" s="1" t="s">
        <v>1530</v>
      </c>
      <c r="K3240" s="1" t="s">
        <v>13648</v>
      </c>
      <c r="L3240" s="1" t="s">
        <v>13649</v>
      </c>
      <c r="M3240" s="1" t="s">
        <v>718</v>
      </c>
    </row>
    <row r="3241" customFormat="false" ht="15" hidden="false" customHeight="false" outlineLevel="0" collapsed="false">
      <c r="A3241" s="1" t="s">
        <v>13650</v>
      </c>
      <c r="B3241" s="1" t="s">
        <v>13651</v>
      </c>
      <c r="C3241" s="1" t="s">
        <v>13652</v>
      </c>
      <c r="D3241" s="2" t="n">
        <v>39344</v>
      </c>
      <c r="E3241" s="1" t="s">
        <v>710</v>
      </c>
      <c r="F3241" s="1" t="s">
        <v>711</v>
      </c>
      <c r="G3241" s="1" t="s">
        <v>712</v>
      </c>
      <c r="H3241" s="1" t="s">
        <v>713</v>
      </c>
      <c r="I3241" s="1" t="s">
        <v>714</v>
      </c>
      <c r="J3241" s="1" t="s">
        <v>13653</v>
      </c>
      <c r="K3241" s="1" t="s">
        <v>9894</v>
      </c>
      <c r="L3241" s="1" t="s">
        <v>13654</v>
      </c>
      <c r="M3241" s="1" t="s">
        <v>718</v>
      </c>
    </row>
    <row r="3242" customFormat="false" ht="15" hidden="false" customHeight="false" outlineLevel="0" collapsed="false">
      <c r="A3242" s="1" t="s">
        <v>13655</v>
      </c>
      <c r="B3242" s="1" t="s">
        <v>13656</v>
      </c>
      <c r="C3242" s="1" t="s">
        <v>12292</v>
      </c>
      <c r="D3242" s="2" t="n">
        <v>39138</v>
      </c>
      <c r="E3242" s="1" t="s">
        <v>710</v>
      </c>
      <c r="F3242" s="1" t="s">
        <v>711</v>
      </c>
      <c r="G3242" s="1" t="s">
        <v>712</v>
      </c>
      <c r="H3242" s="1" t="s">
        <v>713</v>
      </c>
      <c r="I3242" s="1" t="s">
        <v>714</v>
      </c>
      <c r="J3242" s="1" t="s">
        <v>13657</v>
      </c>
      <c r="K3242" s="1" t="s">
        <v>13658</v>
      </c>
      <c r="L3242" s="1" t="s">
        <v>3019</v>
      </c>
      <c r="M3242" s="1" t="s">
        <v>718</v>
      </c>
    </row>
    <row r="3243" customFormat="false" ht="15" hidden="false" customHeight="false" outlineLevel="0" collapsed="false">
      <c r="A3243" s="1" t="s">
        <v>13659</v>
      </c>
      <c r="B3243" s="1" t="s">
        <v>13660</v>
      </c>
      <c r="C3243" s="1" t="s">
        <v>13661</v>
      </c>
      <c r="D3243" s="2" t="n">
        <v>39380</v>
      </c>
      <c r="E3243" s="1" t="s">
        <v>763</v>
      </c>
      <c r="F3243" s="1" t="s">
        <v>711</v>
      </c>
      <c r="G3243" s="1" t="s">
        <v>722</v>
      </c>
      <c r="H3243" s="1" t="s">
        <v>713</v>
      </c>
      <c r="I3243" s="1" t="s">
        <v>714</v>
      </c>
      <c r="J3243" s="1" t="s">
        <v>10504</v>
      </c>
      <c r="K3243" s="1" t="s">
        <v>8093</v>
      </c>
      <c r="L3243" s="1" t="s">
        <v>4936</v>
      </c>
      <c r="M3243" s="1" t="s">
        <v>718</v>
      </c>
    </row>
    <row r="3244" customFormat="false" ht="15" hidden="false" customHeight="false" outlineLevel="0" collapsed="false">
      <c r="A3244" s="1" t="s">
        <v>13662</v>
      </c>
      <c r="B3244" s="1" t="s">
        <v>13663</v>
      </c>
      <c r="C3244" s="1" t="s">
        <v>13664</v>
      </c>
      <c r="D3244" s="2" t="n">
        <v>39390</v>
      </c>
      <c r="E3244" s="1" t="s">
        <v>763</v>
      </c>
      <c r="F3244" s="1" t="s">
        <v>711</v>
      </c>
      <c r="G3244" s="1" t="s">
        <v>722</v>
      </c>
      <c r="H3244" s="1" t="s">
        <v>713</v>
      </c>
      <c r="I3244" s="1" t="s">
        <v>714</v>
      </c>
      <c r="J3244" s="1" t="s">
        <v>10504</v>
      </c>
      <c r="K3244" s="1" t="s">
        <v>13665</v>
      </c>
      <c r="L3244" s="1" t="s">
        <v>13666</v>
      </c>
      <c r="M3244" s="1" t="s">
        <v>718</v>
      </c>
    </row>
    <row r="3245" customFormat="false" ht="15" hidden="false" customHeight="false" outlineLevel="0" collapsed="false">
      <c r="A3245" s="1" t="s">
        <v>13667</v>
      </c>
      <c r="B3245" s="1" t="s">
        <v>13668</v>
      </c>
      <c r="C3245" s="1" t="s">
        <v>7846</v>
      </c>
      <c r="D3245" s="2" t="n">
        <v>39235</v>
      </c>
      <c r="E3245" s="1" t="s">
        <v>763</v>
      </c>
      <c r="F3245" s="1" t="s">
        <v>711</v>
      </c>
      <c r="G3245" s="1" t="s">
        <v>712</v>
      </c>
      <c r="H3245" s="1" t="s">
        <v>713</v>
      </c>
      <c r="I3245" s="1" t="s">
        <v>714</v>
      </c>
      <c r="J3245" s="1" t="s">
        <v>13669</v>
      </c>
      <c r="K3245" s="1" t="s">
        <v>13670</v>
      </c>
      <c r="L3245" s="1" t="s">
        <v>7849</v>
      </c>
      <c r="M3245" s="1" t="s">
        <v>718</v>
      </c>
    </row>
    <row r="3246" customFormat="false" ht="15" hidden="false" customHeight="false" outlineLevel="0" collapsed="false">
      <c r="A3246" s="1" t="s">
        <v>13671</v>
      </c>
      <c r="B3246" s="1" t="s">
        <v>13672</v>
      </c>
      <c r="C3246" s="1" t="s">
        <v>13673</v>
      </c>
      <c r="D3246" s="2" t="n">
        <v>39423</v>
      </c>
      <c r="E3246" s="1" t="s">
        <v>763</v>
      </c>
      <c r="F3246" s="1" t="s">
        <v>711</v>
      </c>
      <c r="G3246" s="1" t="s">
        <v>712</v>
      </c>
      <c r="H3246" s="1" t="s">
        <v>713</v>
      </c>
      <c r="I3246" s="1" t="s">
        <v>714</v>
      </c>
      <c r="J3246" s="1" t="s">
        <v>8504</v>
      </c>
      <c r="K3246" s="1" t="s">
        <v>13674</v>
      </c>
      <c r="L3246" s="1" t="s">
        <v>13675</v>
      </c>
      <c r="M3246" s="1" t="s">
        <v>718</v>
      </c>
    </row>
    <row r="3247" customFormat="false" ht="15" hidden="false" customHeight="false" outlineLevel="0" collapsed="false">
      <c r="A3247" s="1" t="s">
        <v>13676</v>
      </c>
      <c r="B3247" s="1" t="s">
        <v>13677</v>
      </c>
      <c r="C3247" s="1" t="s">
        <v>3875</v>
      </c>
      <c r="D3247" s="2" t="n">
        <v>39348</v>
      </c>
      <c r="E3247" s="1" t="s">
        <v>763</v>
      </c>
      <c r="F3247" s="1" t="s">
        <v>711</v>
      </c>
      <c r="G3247" s="1" t="s">
        <v>712</v>
      </c>
      <c r="H3247" s="1" t="s">
        <v>713</v>
      </c>
      <c r="I3247" s="1" t="s">
        <v>714</v>
      </c>
      <c r="J3247" s="1" t="s">
        <v>8879</v>
      </c>
      <c r="K3247" s="1" t="s">
        <v>716</v>
      </c>
      <c r="L3247" s="1" t="s">
        <v>13678</v>
      </c>
      <c r="M3247" s="1" t="s">
        <v>718</v>
      </c>
    </row>
    <row r="3248" customFormat="false" ht="15" hidden="false" customHeight="false" outlineLevel="0" collapsed="false">
      <c r="A3248" s="1" t="s">
        <v>13679</v>
      </c>
      <c r="B3248" s="1" t="s">
        <v>13680</v>
      </c>
      <c r="C3248" s="1" t="s">
        <v>13681</v>
      </c>
      <c r="D3248" s="2" t="n">
        <v>38656</v>
      </c>
      <c r="E3248" s="1" t="s">
        <v>710</v>
      </c>
      <c r="F3248" s="1" t="s">
        <v>711</v>
      </c>
      <c r="G3248" s="1" t="s">
        <v>712</v>
      </c>
      <c r="H3248" s="1" t="s">
        <v>713</v>
      </c>
      <c r="I3248" s="1" t="s">
        <v>714</v>
      </c>
      <c r="J3248" s="1" t="s">
        <v>8879</v>
      </c>
      <c r="K3248" s="1" t="s">
        <v>716</v>
      </c>
      <c r="L3248" s="1" t="s">
        <v>13682</v>
      </c>
      <c r="M3248" s="1" t="s">
        <v>718</v>
      </c>
    </row>
    <row r="3249" customFormat="false" ht="15" hidden="false" customHeight="false" outlineLevel="0" collapsed="false">
      <c r="A3249" s="1" t="s">
        <v>13683</v>
      </c>
      <c r="B3249" s="1" t="s">
        <v>13684</v>
      </c>
      <c r="C3249" s="1" t="s">
        <v>13496</v>
      </c>
      <c r="D3249" s="2" t="n">
        <v>39164</v>
      </c>
      <c r="E3249" s="1" t="s">
        <v>763</v>
      </c>
      <c r="F3249" s="1" t="s">
        <v>711</v>
      </c>
      <c r="G3249" s="1" t="s">
        <v>712</v>
      </c>
      <c r="H3249" s="1" t="s">
        <v>713</v>
      </c>
      <c r="I3249" s="1" t="s">
        <v>714</v>
      </c>
      <c r="J3249" s="1" t="s">
        <v>8879</v>
      </c>
      <c r="K3249" s="1" t="s">
        <v>13497</v>
      </c>
      <c r="L3249" s="1" t="s">
        <v>13498</v>
      </c>
      <c r="M3249" s="1" t="s">
        <v>718</v>
      </c>
    </row>
    <row r="3250" customFormat="false" ht="15" hidden="false" customHeight="false" outlineLevel="0" collapsed="false">
      <c r="A3250" s="1" t="s">
        <v>13685</v>
      </c>
      <c r="B3250" s="1" t="s">
        <v>13686</v>
      </c>
      <c r="C3250" s="1" t="s">
        <v>13687</v>
      </c>
      <c r="D3250" s="2" t="n">
        <v>39357</v>
      </c>
      <c r="E3250" s="1" t="s">
        <v>710</v>
      </c>
      <c r="F3250" s="1" t="s">
        <v>711</v>
      </c>
      <c r="G3250" s="1" t="s">
        <v>722</v>
      </c>
      <c r="H3250" s="1" t="s">
        <v>713</v>
      </c>
      <c r="I3250" s="1" t="s">
        <v>714</v>
      </c>
      <c r="J3250" s="1" t="s">
        <v>13688</v>
      </c>
      <c r="K3250" s="1" t="s">
        <v>13689</v>
      </c>
      <c r="L3250" s="1" t="s">
        <v>13690</v>
      </c>
      <c r="M3250" s="1" t="s">
        <v>718</v>
      </c>
    </row>
    <row r="3251" customFormat="false" ht="15" hidden="false" customHeight="false" outlineLevel="0" collapsed="false">
      <c r="A3251" s="1" t="s">
        <v>13691</v>
      </c>
      <c r="B3251" s="1" t="s">
        <v>13692</v>
      </c>
      <c r="C3251" s="1" t="s">
        <v>2970</v>
      </c>
      <c r="D3251" s="2" t="n">
        <v>39470</v>
      </c>
      <c r="E3251" s="1" t="s">
        <v>763</v>
      </c>
      <c r="F3251" s="1" t="s">
        <v>711</v>
      </c>
      <c r="G3251" s="1" t="s">
        <v>712</v>
      </c>
      <c r="H3251" s="1" t="s">
        <v>713</v>
      </c>
      <c r="I3251" s="1" t="s">
        <v>714</v>
      </c>
      <c r="J3251" s="1" t="s">
        <v>8879</v>
      </c>
      <c r="K3251" s="1" t="s">
        <v>13693</v>
      </c>
      <c r="L3251" s="1" t="s">
        <v>9641</v>
      </c>
      <c r="M3251" s="1" t="s">
        <v>718</v>
      </c>
    </row>
    <row r="3252" customFormat="false" ht="15" hidden="false" customHeight="false" outlineLevel="0" collapsed="false">
      <c r="A3252" s="1" t="s">
        <v>13694</v>
      </c>
      <c r="B3252" s="1" t="s">
        <v>13695</v>
      </c>
      <c r="C3252" s="1" t="s">
        <v>13696</v>
      </c>
      <c r="D3252" s="2" t="n">
        <v>39349</v>
      </c>
      <c r="E3252" s="1" t="s">
        <v>710</v>
      </c>
      <c r="F3252" s="1" t="s">
        <v>711</v>
      </c>
      <c r="G3252" s="1" t="s">
        <v>722</v>
      </c>
      <c r="H3252" s="1" t="s">
        <v>713</v>
      </c>
      <c r="I3252" s="1" t="s">
        <v>714</v>
      </c>
      <c r="J3252" s="1" t="s">
        <v>8314</v>
      </c>
      <c r="K3252" s="1" t="s">
        <v>13697</v>
      </c>
      <c r="L3252" s="1" t="s">
        <v>5507</v>
      </c>
      <c r="M3252" s="1" t="s">
        <v>718</v>
      </c>
    </row>
    <row r="3253" customFormat="false" ht="15" hidden="false" customHeight="false" outlineLevel="0" collapsed="false">
      <c r="A3253" s="1" t="s">
        <v>13698</v>
      </c>
      <c r="B3253" s="1" t="s">
        <v>13699</v>
      </c>
      <c r="C3253" s="1" t="s">
        <v>750</v>
      </c>
      <c r="D3253" s="2" t="n">
        <v>39354</v>
      </c>
      <c r="E3253" s="1" t="s">
        <v>763</v>
      </c>
      <c r="F3253" s="1" t="s">
        <v>711</v>
      </c>
      <c r="G3253" s="1" t="s">
        <v>13700</v>
      </c>
      <c r="H3253" s="1" t="s">
        <v>713</v>
      </c>
      <c r="I3253" s="1" t="s">
        <v>714</v>
      </c>
      <c r="J3253" s="1" t="s">
        <v>13701</v>
      </c>
      <c r="K3253" s="1" t="s">
        <v>13702</v>
      </c>
      <c r="L3253" s="1" t="s">
        <v>13703</v>
      </c>
      <c r="M3253" s="1" t="s">
        <v>718</v>
      </c>
    </row>
    <row r="3254" customFormat="false" ht="15" hidden="false" customHeight="false" outlineLevel="0" collapsed="false">
      <c r="A3254" s="1" t="s">
        <v>13704</v>
      </c>
      <c r="B3254" s="1" t="s">
        <v>13705</v>
      </c>
      <c r="C3254" s="1" t="s">
        <v>13706</v>
      </c>
      <c r="D3254" s="2" t="n">
        <v>39184</v>
      </c>
      <c r="E3254" s="1" t="s">
        <v>763</v>
      </c>
      <c r="F3254" s="1" t="s">
        <v>711</v>
      </c>
      <c r="G3254" s="1" t="s">
        <v>722</v>
      </c>
      <c r="H3254" s="1" t="s">
        <v>713</v>
      </c>
      <c r="I3254" s="1" t="s">
        <v>714</v>
      </c>
      <c r="J3254" s="1" t="s">
        <v>8879</v>
      </c>
      <c r="K3254" s="1" t="s">
        <v>716</v>
      </c>
      <c r="L3254" s="1" t="s">
        <v>13707</v>
      </c>
      <c r="M3254" s="1" t="s">
        <v>718</v>
      </c>
    </row>
    <row r="3255" customFormat="false" ht="15" hidden="false" customHeight="false" outlineLevel="0" collapsed="false">
      <c r="A3255" s="1" t="s">
        <v>13708</v>
      </c>
      <c r="B3255" s="1" t="s">
        <v>13709</v>
      </c>
      <c r="C3255" s="1" t="s">
        <v>2632</v>
      </c>
      <c r="D3255" s="2" t="n">
        <v>38811</v>
      </c>
      <c r="E3255" s="1" t="s">
        <v>710</v>
      </c>
      <c r="F3255" s="1" t="s">
        <v>711</v>
      </c>
      <c r="G3255" s="1" t="s">
        <v>722</v>
      </c>
      <c r="H3255" s="1" t="s">
        <v>713</v>
      </c>
      <c r="I3255" s="1" t="s">
        <v>714</v>
      </c>
      <c r="J3255" s="1" t="s">
        <v>13710</v>
      </c>
      <c r="K3255" s="1" t="s">
        <v>716</v>
      </c>
      <c r="L3255" s="1" t="s">
        <v>13711</v>
      </c>
      <c r="M3255" s="1" t="s">
        <v>718</v>
      </c>
    </row>
    <row r="3256" customFormat="false" ht="15" hidden="false" customHeight="false" outlineLevel="0" collapsed="false">
      <c r="A3256" s="1" t="s">
        <v>13712</v>
      </c>
      <c r="B3256" s="1" t="s">
        <v>13713</v>
      </c>
      <c r="C3256" s="1" t="s">
        <v>2380</v>
      </c>
      <c r="D3256" s="2" t="n">
        <v>39284</v>
      </c>
      <c r="E3256" s="1" t="s">
        <v>763</v>
      </c>
      <c r="F3256" s="1" t="s">
        <v>711</v>
      </c>
      <c r="G3256" s="1" t="s">
        <v>712</v>
      </c>
      <c r="H3256" s="1" t="s">
        <v>713</v>
      </c>
      <c r="I3256" s="1" t="s">
        <v>714</v>
      </c>
      <c r="J3256" s="1" t="s">
        <v>8416</v>
      </c>
      <c r="K3256" s="1" t="s">
        <v>13714</v>
      </c>
      <c r="L3256" s="1" t="s">
        <v>2382</v>
      </c>
      <c r="M3256" s="1" t="s">
        <v>718</v>
      </c>
    </row>
    <row r="3257" customFormat="false" ht="15" hidden="false" customHeight="false" outlineLevel="0" collapsed="false">
      <c r="A3257" s="1" t="s">
        <v>13715</v>
      </c>
      <c r="B3257" s="1" t="s">
        <v>13716</v>
      </c>
      <c r="C3257" s="1" t="s">
        <v>1253</v>
      </c>
      <c r="D3257" s="2" t="n">
        <v>39253</v>
      </c>
      <c r="E3257" s="1" t="s">
        <v>710</v>
      </c>
      <c r="F3257" s="1" t="s">
        <v>711</v>
      </c>
      <c r="G3257" s="1" t="s">
        <v>712</v>
      </c>
      <c r="H3257" s="1" t="s">
        <v>713</v>
      </c>
      <c r="I3257" s="1" t="s">
        <v>714</v>
      </c>
      <c r="J3257" s="1" t="s">
        <v>8314</v>
      </c>
      <c r="K3257" s="1" t="s">
        <v>13717</v>
      </c>
      <c r="L3257" s="1" t="s">
        <v>4808</v>
      </c>
      <c r="M3257" s="1" t="s">
        <v>718</v>
      </c>
    </row>
    <row r="3258" customFormat="false" ht="15" hidden="false" customHeight="false" outlineLevel="0" collapsed="false">
      <c r="A3258" s="1" t="s">
        <v>13718</v>
      </c>
      <c r="B3258" s="1" t="s">
        <v>13719</v>
      </c>
      <c r="C3258" s="1" t="s">
        <v>13720</v>
      </c>
      <c r="D3258" s="2" t="n">
        <v>39317</v>
      </c>
      <c r="E3258" s="1" t="s">
        <v>763</v>
      </c>
      <c r="F3258" s="1" t="s">
        <v>711</v>
      </c>
      <c r="G3258" s="1" t="s">
        <v>712</v>
      </c>
      <c r="H3258" s="1" t="s">
        <v>713</v>
      </c>
      <c r="I3258" s="1" t="s">
        <v>714</v>
      </c>
      <c r="J3258" s="1" t="s">
        <v>8879</v>
      </c>
      <c r="K3258" s="1" t="s">
        <v>13721</v>
      </c>
      <c r="L3258" s="1" t="s">
        <v>13722</v>
      </c>
      <c r="M3258" s="1" t="s">
        <v>718</v>
      </c>
    </row>
    <row r="3259" customFormat="false" ht="15" hidden="false" customHeight="false" outlineLevel="0" collapsed="false">
      <c r="A3259" s="1" t="s">
        <v>13723</v>
      </c>
      <c r="B3259" s="1" t="s">
        <v>11135</v>
      </c>
      <c r="C3259" s="1" t="s">
        <v>13724</v>
      </c>
      <c r="D3259" s="2" t="n">
        <v>39319</v>
      </c>
      <c r="E3259" s="1" t="s">
        <v>710</v>
      </c>
      <c r="F3259" s="1" t="s">
        <v>711</v>
      </c>
      <c r="G3259" s="1" t="s">
        <v>712</v>
      </c>
      <c r="H3259" s="1" t="s">
        <v>713</v>
      </c>
      <c r="I3259" s="1" t="s">
        <v>714</v>
      </c>
      <c r="J3259" s="1" t="s">
        <v>8416</v>
      </c>
      <c r="K3259" s="1" t="s">
        <v>13725</v>
      </c>
      <c r="L3259" s="1" t="s">
        <v>13726</v>
      </c>
      <c r="M3259" s="1" t="s">
        <v>718</v>
      </c>
    </row>
    <row r="3260" customFormat="false" ht="15" hidden="false" customHeight="false" outlineLevel="0" collapsed="false">
      <c r="A3260" s="1" t="s">
        <v>13727</v>
      </c>
      <c r="B3260" s="1" t="s">
        <v>13728</v>
      </c>
      <c r="C3260" s="1" t="s">
        <v>13729</v>
      </c>
      <c r="D3260" s="2" t="n">
        <v>39140</v>
      </c>
      <c r="E3260" s="1" t="s">
        <v>763</v>
      </c>
      <c r="F3260" s="1" t="s">
        <v>711</v>
      </c>
      <c r="G3260" s="1" t="s">
        <v>1450</v>
      </c>
      <c r="H3260" s="1" t="s">
        <v>713</v>
      </c>
      <c r="I3260" s="1" t="s">
        <v>714</v>
      </c>
      <c r="J3260" s="1" t="s">
        <v>13730</v>
      </c>
      <c r="K3260" s="1" t="s">
        <v>13714</v>
      </c>
      <c r="L3260" s="1" t="s">
        <v>13731</v>
      </c>
      <c r="M3260" s="1" t="s">
        <v>718</v>
      </c>
    </row>
    <row r="3261" customFormat="false" ht="15" hidden="false" customHeight="false" outlineLevel="0" collapsed="false">
      <c r="A3261" s="1" t="s">
        <v>13732</v>
      </c>
      <c r="B3261" s="1" t="s">
        <v>13733</v>
      </c>
      <c r="C3261" s="1" t="s">
        <v>1756</v>
      </c>
      <c r="D3261" s="2" t="n">
        <v>39249</v>
      </c>
      <c r="E3261" s="1" t="s">
        <v>710</v>
      </c>
      <c r="F3261" s="1" t="s">
        <v>711</v>
      </c>
      <c r="G3261" s="1" t="s">
        <v>712</v>
      </c>
      <c r="H3261" s="1" t="s">
        <v>713</v>
      </c>
      <c r="I3261" s="1" t="s">
        <v>714</v>
      </c>
      <c r="J3261" s="1" t="s">
        <v>8504</v>
      </c>
      <c r="K3261" s="1" t="s">
        <v>13734</v>
      </c>
      <c r="L3261" s="1" t="s">
        <v>1474</v>
      </c>
      <c r="M3261" s="1" t="s">
        <v>718</v>
      </c>
    </row>
    <row r="3262" customFormat="false" ht="15" hidden="false" customHeight="false" outlineLevel="0" collapsed="false">
      <c r="A3262" s="1" t="s">
        <v>13735</v>
      </c>
      <c r="B3262" s="1" t="s">
        <v>13736</v>
      </c>
      <c r="C3262" s="1" t="s">
        <v>1529</v>
      </c>
      <c r="D3262" s="2" t="n">
        <v>39669</v>
      </c>
      <c r="E3262" s="1" t="s">
        <v>710</v>
      </c>
      <c r="F3262" s="1" t="s">
        <v>711</v>
      </c>
      <c r="G3262" s="1" t="s">
        <v>722</v>
      </c>
      <c r="H3262" s="1" t="s">
        <v>713</v>
      </c>
      <c r="I3262" s="1" t="s">
        <v>714</v>
      </c>
      <c r="J3262" s="1" t="s">
        <v>8416</v>
      </c>
      <c r="K3262" s="1" t="s">
        <v>13734</v>
      </c>
      <c r="L3262" s="1" t="s">
        <v>1474</v>
      </c>
      <c r="M3262" s="1" t="s">
        <v>718</v>
      </c>
    </row>
    <row r="3263" customFormat="false" ht="15" hidden="false" customHeight="false" outlineLevel="0" collapsed="false">
      <c r="A3263" s="1" t="s">
        <v>13737</v>
      </c>
      <c r="B3263" s="1" t="s">
        <v>13738</v>
      </c>
      <c r="C3263" s="1" t="s">
        <v>2632</v>
      </c>
      <c r="D3263" s="2" t="n">
        <v>39561</v>
      </c>
      <c r="E3263" s="1" t="s">
        <v>763</v>
      </c>
      <c r="F3263" s="1" t="s">
        <v>711</v>
      </c>
      <c r="G3263" s="1" t="s">
        <v>712</v>
      </c>
      <c r="H3263" s="1" t="s">
        <v>713</v>
      </c>
      <c r="I3263" s="1" t="s">
        <v>714</v>
      </c>
      <c r="J3263" s="1" t="s">
        <v>8504</v>
      </c>
      <c r="K3263" s="1" t="s">
        <v>716</v>
      </c>
      <c r="L3263" s="1" t="s">
        <v>1474</v>
      </c>
      <c r="M3263" s="1" t="s">
        <v>718</v>
      </c>
    </row>
    <row r="3264" customFormat="false" ht="15" hidden="false" customHeight="false" outlineLevel="0" collapsed="false">
      <c r="A3264" s="1" t="s">
        <v>13739</v>
      </c>
      <c r="B3264" s="1" t="s">
        <v>13740</v>
      </c>
      <c r="C3264" s="1" t="s">
        <v>13741</v>
      </c>
      <c r="D3264" s="2" t="n">
        <v>39159</v>
      </c>
      <c r="E3264" s="1" t="s">
        <v>763</v>
      </c>
      <c r="F3264" s="1" t="s">
        <v>711</v>
      </c>
      <c r="G3264" s="1" t="s">
        <v>712</v>
      </c>
      <c r="H3264" s="1" t="s">
        <v>713</v>
      </c>
      <c r="I3264" s="1" t="s">
        <v>714</v>
      </c>
      <c r="J3264" s="1" t="s">
        <v>8416</v>
      </c>
      <c r="K3264" s="1" t="s">
        <v>13742</v>
      </c>
      <c r="L3264" s="1" t="s">
        <v>13743</v>
      </c>
      <c r="M3264" s="1" t="s">
        <v>718</v>
      </c>
    </row>
    <row r="3265" customFormat="false" ht="15" hidden="false" customHeight="false" outlineLevel="0" collapsed="false">
      <c r="A3265" s="1" t="s">
        <v>13744</v>
      </c>
      <c r="B3265" s="1" t="s">
        <v>13745</v>
      </c>
      <c r="C3265" s="1" t="s">
        <v>2121</v>
      </c>
      <c r="D3265" s="2" t="n">
        <v>39244</v>
      </c>
      <c r="E3265" s="1" t="s">
        <v>763</v>
      </c>
      <c r="F3265" s="1" t="s">
        <v>711</v>
      </c>
      <c r="G3265" s="1" t="s">
        <v>712</v>
      </c>
      <c r="H3265" s="1" t="s">
        <v>713</v>
      </c>
      <c r="I3265" s="1" t="s">
        <v>714</v>
      </c>
      <c r="J3265" s="1" t="s">
        <v>13746</v>
      </c>
      <c r="K3265" s="1" t="s">
        <v>716</v>
      </c>
      <c r="L3265" s="1" t="s">
        <v>3809</v>
      </c>
      <c r="M3265" s="1" t="s">
        <v>718</v>
      </c>
    </row>
    <row r="3266" customFormat="false" ht="15" hidden="false" customHeight="false" outlineLevel="0" collapsed="false">
      <c r="A3266" s="1" t="s">
        <v>13747</v>
      </c>
      <c r="B3266" s="1" t="s">
        <v>2811</v>
      </c>
      <c r="C3266" s="1" t="s">
        <v>13748</v>
      </c>
      <c r="D3266" s="2" t="n">
        <v>39249</v>
      </c>
      <c r="E3266" s="1" t="s">
        <v>763</v>
      </c>
      <c r="F3266" s="1" t="s">
        <v>711</v>
      </c>
      <c r="G3266" s="1" t="s">
        <v>722</v>
      </c>
      <c r="H3266" s="1" t="s">
        <v>713</v>
      </c>
      <c r="I3266" s="1" t="s">
        <v>714</v>
      </c>
      <c r="J3266" s="1" t="s">
        <v>10504</v>
      </c>
      <c r="K3266" s="1" t="s">
        <v>716</v>
      </c>
      <c r="L3266" s="1" t="s">
        <v>9522</v>
      </c>
      <c r="M3266" s="1" t="s">
        <v>718</v>
      </c>
    </row>
    <row r="3267" customFormat="false" ht="15" hidden="false" customHeight="false" outlineLevel="0" collapsed="false">
      <c r="A3267" s="1" t="s">
        <v>13749</v>
      </c>
      <c r="B3267" s="1" t="s">
        <v>13750</v>
      </c>
      <c r="C3267" s="1" t="s">
        <v>8339</v>
      </c>
      <c r="D3267" s="2" t="n">
        <v>39134</v>
      </c>
      <c r="E3267" s="1" t="s">
        <v>710</v>
      </c>
      <c r="F3267" s="1" t="s">
        <v>711</v>
      </c>
      <c r="G3267" s="1" t="s">
        <v>712</v>
      </c>
      <c r="H3267" s="1" t="s">
        <v>713</v>
      </c>
      <c r="I3267" s="1" t="s">
        <v>714</v>
      </c>
      <c r="J3267" s="1" t="s">
        <v>8879</v>
      </c>
      <c r="K3267" s="1" t="s">
        <v>13751</v>
      </c>
      <c r="L3267" s="1" t="s">
        <v>8342</v>
      </c>
      <c r="M3267" s="1" t="s">
        <v>718</v>
      </c>
    </row>
    <row r="3268" customFormat="false" ht="15" hidden="false" customHeight="false" outlineLevel="0" collapsed="false">
      <c r="A3268" s="1" t="s">
        <v>13752</v>
      </c>
      <c r="B3268" s="1" t="s">
        <v>1024</v>
      </c>
      <c r="C3268" s="1" t="s">
        <v>6596</v>
      </c>
      <c r="D3268" s="2" t="n">
        <v>39270</v>
      </c>
      <c r="E3268" s="1" t="s">
        <v>763</v>
      </c>
      <c r="F3268" s="1" t="s">
        <v>711</v>
      </c>
      <c r="G3268" s="1" t="s">
        <v>722</v>
      </c>
      <c r="H3268" s="1" t="s">
        <v>713</v>
      </c>
      <c r="I3268" s="1" t="s">
        <v>714</v>
      </c>
      <c r="J3268" s="1" t="s">
        <v>13753</v>
      </c>
      <c r="K3268" s="1" t="s">
        <v>716</v>
      </c>
      <c r="L3268" s="1" t="s">
        <v>13754</v>
      </c>
      <c r="M3268" s="1" t="s">
        <v>718</v>
      </c>
    </row>
    <row r="3269" customFormat="false" ht="15" hidden="false" customHeight="false" outlineLevel="0" collapsed="false">
      <c r="A3269" s="1" t="s">
        <v>13755</v>
      </c>
      <c r="B3269" s="1" t="s">
        <v>13756</v>
      </c>
      <c r="C3269" s="1" t="s">
        <v>1143</v>
      </c>
      <c r="D3269" s="2" t="n">
        <v>39481</v>
      </c>
      <c r="E3269" s="1" t="s">
        <v>710</v>
      </c>
      <c r="F3269" s="1" t="s">
        <v>711</v>
      </c>
      <c r="G3269" s="1" t="s">
        <v>722</v>
      </c>
      <c r="H3269" s="1" t="s">
        <v>713</v>
      </c>
      <c r="I3269" s="1" t="s">
        <v>714</v>
      </c>
      <c r="J3269" s="1" t="s">
        <v>13757</v>
      </c>
      <c r="K3269" s="1" t="s">
        <v>13758</v>
      </c>
      <c r="L3269" s="1" t="s">
        <v>13759</v>
      </c>
      <c r="M3269" s="1" t="s">
        <v>718</v>
      </c>
    </row>
    <row r="3270" customFormat="false" ht="15" hidden="false" customHeight="false" outlineLevel="0" collapsed="false">
      <c r="A3270" s="1" t="s">
        <v>13760</v>
      </c>
      <c r="B3270" s="1" t="s">
        <v>13761</v>
      </c>
      <c r="C3270" s="1" t="s">
        <v>3556</v>
      </c>
      <c r="D3270" s="2" t="n">
        <v>39396</v>
      </c>
      <c r="E3270" s="1" t="s">
        <v>710</v>
      </c>
      <c r="F3270" s="1" t="s">
        <v>711</v>
      </c>
      <c r="G3270" s="1" t="s">
        <v>712</v>
      </c>
      <c r="H3270" s="1" t="s">
        <v>713</v>
      </c>
      <c r="I3270" s="1" t="s">
        <v>714</v>
      </c>
      <c r="J3270" s="1" t="s">
        <v>8879</v>
      </c>
      <c r="K3270" s="1" t="s">
        <v>13762</v>
      </c>
      <c r="L3270" s="1" t="s">
        <v>8071</v>
      </c>
      <c r="M3270" s="1" t="s">
        <v>718</v>
      </c>
    </row>
    <row r="3271" customFormat="false" ht="15" hidden="false" customHeight="false" outlineLevel="0" collapsed="false">
      <c r="A3271" s="1" t="s">
        <v>13763</v>
      </c>
      <c r="B3271" s="1" t="s">
        <v>2441</v>
      </c>
      <c r="C3271" s="1" t="s">
        <v>13764</v>
      </c>
      <c r="D3271" s="2" t="n">
        <v>39457</v>
      </c>
      <c r="E3271" s="1" t="s">
        <v>763</v>
      </c>
      <c r="F3271" s="1" t="s">
        <v>711</v>
      </c>
      <c r="G3271" s="1" t="s">
        <v>712</v>
      </c>
      <c r="H3271" s="1" t="s">
        <v>713</v>
      </c>
      <c r="I3271" s="1" t="s">
        <v>714</v>
      </c>
      <c r="J3271" s="1" t="s">
        <v>13765</v>
      </c>
      <c r="K3271" s="1" t="s">
        <v>13766</v>
      </c>
      <c r="L3271" s="1" t="s">
        <v>13767</v>
      </c>
      <c r="M3271" s="1" t="s">
        <v>718</v>
      </c>
    </row>
    <row r="3272" customFormat="false" ht="15" hidden="false" customHeight="false" outlineLevel="0" collapsed="false">
      <c r="A3272" s="1" t="s">
        <v>13768</v>
      </c>
      <c r="B3272" s="1" t="s">
        <v>7651</v>
      </c>
      <c r="C3272" s="1" t="s">
        <v>6966</v>
      </c>
      <c r="D3272" s="2" t="n">
        <v>39378</v>
      </c>
      <c r="E3272" s="1" t="s">
        <v>710</v>
      </c>
      <c r="F3272" s="1" t="s">
        <v>711</v>
      </c>
      <c r="G3272" s="1" t="s">
        <v>722</v>
      </c>
      <c r="H3272" s="1" t="s">
        <v>713</v>
      </c>
      <c r="I3272" s="1" t="s">
        <v>714</v>
      </c>
      <c r="J3272" s="1" t="s">
        <v>12526</v>
      </c>
      <c r="K3272" s="1" t="s">
        <v>13769</v>
      </c>
      <c r="L3272" s="1" t="s">
        <v>13770</v>
      </c>
      <c r="M3272" s="1" t="s">
        <v>718</v>
      </c>
    </row>
    <row r="3273" customFormat="false" ht="15" hidden="false" customHeight="false" outlineLevel="0" collapsed="false">
      <c r="A3273" s="1" t="s">
        <v>13771</v>
      </c>
      <c r="B3273" s="1" t="s">
        <v>13772</v>
      </c>
      <c r="C3273" s="1" t="s">
        <v>13773</v>
      </c>
      <c r="D3273" s="2" t="n">
        <v>39874</v>
      </c>
      <c r="E3273" s="1" t="s">
        <v>763</v>
      </c>
      <c r="F3273" s="1" t="s">
        <v>711</v>
      </c>
      <c r="G3273" s="1" t="s">
        <v>712</v>
      </c>
      <c r="H3273" s="1" t="s">
        <v>713</v>
      </c>
      <c r="I3273" s="1" t="s">
        <v>714</v>
      </c>
      <c r="J3273" s="1" t="s">
        <v>13774</v>
      </c>
      <c r="K3273" s="1" t="s">
        <v>13775</v>
      </c>
      <c r="L3273" s="1" t="s">
        <v>13776</v>
      </c>
      <c r="M3273" s="1" t="s">
        <v>718</v>
      </c>
    </row>
    <row r="3274" customFormat="false" ht="15" hidden="false" customHeight="false" outlineLevel="0" collapsed="false">
      <c r="A3274" s="1" t="s">
        <v>13777</v>
      </c>
      <c r="B3274" s="1" t="s">
        <v>13778</v>
      </c>
      <c r="C3274" s="1" t="s">
        <v>9002</v>
      </c>
      <c r="D3274" s="2" t="n">
        <v>39220</v>
      </c>
      <c r="E3274" s="1" t="s">
        <v>763</v>
      </c>
      <c r="F3274" s="1" t="s">
        <v>711</v>
      </c>
      <c r="G3274" s="1" t="s">
        <v>722</v>
      </c>
      <c r="H3274" s="1" t="s">
        <v>713</v>
      </c>
      <c r="I3274" s="1" t="s">
        <v>714</v>
      </c>
      <c r="J3274" s="1" t="s">
        <v>8879</v>
      </c>
      <c r="K3274" s="1" t="s">
        <v>13779</v>
      </c>
      <c r="L3274" s="1" t="s">
        <v>9004</v>
      </c>
      <c r="M3274" s="1" t="s">
        <v>718</v>
      </c>
    </row>
    <row r="3275" customFormat="false" ht="15" hidden="false" customHeight="false" outlineLevel="0" collapsed="false">
      <c r="A3275" s="1" t="s">
        <v>13780</v>
      </c>
      <c r="B3275" s="1" t="s">
        <v>13781</v>
      </c>
      <c r="C3275" s="1" t="s">
        <v>11488</v>
      </c>
      <c r="D3275" s="2" t="n">
        <v>39196</v>
      </c>
      <c r="E3275" s="1" t="s">
        <v>763</v>
      </c>
      <c r="F3275" s="1" t="s">
        <v>711</v>
      </c>
      <c r="G3275" s="1" t="s">
        <v>712</v>
      </c>
      <c r="H3275" s="1" t="s">
        <v>713</v>
      </c>
      <c r="I3275" s="1" t="s">
        <v>714</v>
      </c>
      <c r="J3275" s="1" t="s">
        <v>8504</v>
      </c>
      <c r="K3275" s="1" t="s">
        <v>716</v>
      </c>
      <c r="L3275" s="1" t="s">
        <v>7540</v>
      </c>
      <c r="M3275" s="1" t="s">
        <v>718</v>
      </c>
    </row>
    <row r="3276" customFormat="false" ht="15" hidden="false" customHeight="false" outlineLevel="0" collapsed="false">
      <c r="A3276" s="1" t="s">
        <v>13782</v>
      </c>
      <c r="B3276" s="1" t="s">
        <v>13783</v>
      </c>
      <c r="C3276" s="1" t="s">
        <v>3191</v>
      </c>
      <c r="D3276" s="2" t="n">
        <v>39793</v>
      </c>
      <c r="E3276" s="1" t="s">
        <v>763</v>
      </c>
      <c r="F3276" s="1" t="s">
        <v>711</v>
      </c>
      <c r="G3276" s="1" t="s">
        <v>712</v>
      </c>
      <c r="H3276" s="1" t="s">
        <v>713</v>
      </c>
      <c r="I3276" s="1" t="s">
        <v>714</v>
      </c>
      <c r="J3276" s="1" t="s">
        <v>13784</v>
      </c>
      <c r="K3276" s="1" t="s">
        <v>13785</v>
      </c>
      <c r="L3276" s="1" t="s">
        <v>12940</v>
      </c>
      <c r="M3276" s="1" t="s">
        <v>718</v>
      </c>
    </row>
    <row r="3277" customFormat="false" ht="15" hidden="false" customHeight="false" outlineLevel="0" collapsed="false">
      <c r="A3277" s="1" t="s">
        <v>13786</v>
      </c>
      <c r="B3277" s="1" t="s">
        <v>13787</v>
      </c>
      <c r="C3277" s="1" t="s">
        <v>1068</v>
      </c>
      <c r="D3277" s="2" t="n">
        <v>39559</v>
      </c>
      <c r="E3277" s="1" t="s">
        <v>763</v>
      </c>
      <c r="F3277" s="1" t="s">
        <v>711</v>
      </c>
      <c r="G3277" s="1" t="s">
        <v>722</v>
      </c>
      <c r="H3277" s="1" t="s">
        <v>713</v>
      </c>
      <c r="I3277" s="1" t="s">
        <v>714</v>
      </c>
      <c r="J3277" s="1" t="s">
        <v>13788</v>
      </c>
      <c r="K3277" s="1" t="s">
        <v>716</v>
      </c>
      <c r="L3277" s="1" t="s">
        <v>1069</v>
      </c>
      <c r="M3277" s="1" t="s">
        <v>718</v>
      </c>
    </row>
    <row r="3278" customFormat="false" ht="15" hidden="false" customHeight="false" outlineLevel="0" collapsed="false">
      <c r="A3278" s="1" t="s">
        <v>13789</v>
      </c>
      <c r="B3278" s="1" t="s">
        <v>2344</v>
      </c>
      <c r="C3278" s="1" t="s">
        <v>13790</v>
      </c>
      <c r="D3278" s="2" t="n">
        <v>39153</v>
      </c>
      <c r="E3278" s="1" t="s">
        <v>710</v>
      </c>
      <c r="F3278" s="1" t="s">
        <v>711</v>
      </c>
      <c r="G3278" s="1" t="s">
        <v>712</v>
      </c>
      <c r="H3278" s="1" t="s">
        <v>713</v>
      </c>
      <c r="I3278" s="1" t="s">
        <v>714</v>
      </c>
      <c r="J3278" s="1" t="s">
        <v>13791</v>
      </c>
      <c r="K3278" s="1" t="s">
        <v>13792</v>
      </c>
      <c r="L3278" s="1" t="s">
        <v>8808</v>
      </c>
      <c r="M3278" s="1" t="s">
        <v>718</v>
      </c>
    </row>
    <row r="3279" customFormat="false" ht="15" hidden="false" customHeight="false" outlineLevel="0" collapsed="false">
      <c r="A3279" s="1" t="s">
        <v>13793</v>
      </c>
      <c r="B3279" s="1" t="s">
        <v>13794</v>
      </c>
      <c r="C3279" s="1" t="s">
        <v>13795</v>
      </c>
      <c r="D3279" s="2" t="n">
        <v>39329</v>
      </c>
      <c r="E3279" s="1" t="s">
        <v>763</v>
      </c>
      <c r="F3279" s="1" t="s">
        <v>711</v>
      </c>
      <c r="G3279" s="1" t="s">
        <v>712</v>
      </c>
      <c r="H3279" s="1" t="s">
        <v>713</v>
      </c>
      <c r="I3279" s="1" t="s">
        <v>714</v>
      </c>
      <c r="J3279" s="1" t="s">
        <v>13796</v>
      </c>
      <c r="K3279" s="1" t="s">
        <v>13797</v>
      </c>
      <c r="L3279" s="1" t="s">
        <v>5533</v>
      </c>
      <c r="M3279" s="1" t="s">
        <v>718</v>
      </c>
    </row>
    <row r="3280" customFormat="false" ht="15" hidden="false" customHeight="false" outlineLevel="0" collapsed="false">
      <c r="A3280" s="1" t="s">
        <v>13798</v>
      </c>
      <c r="B3280" s="1" t="s">
        <v>3363</v>
      </c>
      <c r="C3280" s="1" t="s">
        <v>13799</v>
      </c>
      <c r="D3280" s="2" t="n">
        <v>39196</v>
      </c>
      <c r="E3280" s="1" t="s">
        <v>710</v>
      </c>
      <c r="F3280" s="1" t="s">
        <v>711</v>
      </c>
      <c r="G3280" s="1" t="s">
        <v>712</v>
      </c>
      <c r="H3280" s="1" t="s">
        <v>713</v>
      </c>
      <c r="I3280" s="1" t="s">
        <v>714</v>
      </c>
      <c r="J3280" s="1" t="s">
        <v>8416</v>
      </c>
      <c r="K3280" s="1" t="s">
        <v>13800</v>
      </c>
      <c r="L3280" s="1" t="s">
        <v>13801</v>
      </c>
      <c r="M3280" s="1" t="s">
        <v>718</v>
      </c>
    </row>
    <row r="3281" customFormat="false" ht="15" hidden="false" customHeight="false" outlineLevel="0" collapsed="false">
      <c r="A3281" s="1" t="s">
        <v>13802</v>
      </c>
      <c r="B3281" s="1" t="s">
        <v>13803</v>
      </c>
      <c r="C3281" s="1" t="s">
        <v>13804</v>
      </c>
      <c r="D3281" s="2" t="n">
        <v>39359</v>
      </c>
      <c r="E3281" s="1" t="s">
        <v>763</v>
      </c>
      <c r="F3281" s="1" t="s">
        <v>711</v>
      </c>
      <c r="G3281" s="1" t="s">
        <v>722</v>
      </c>
      <c r="H3281" s="1" t="s">
        <v>713</v>
      </c>
      <c r="I3281" s="1" t="s">
        <v>714</v>
      </c>
      <c r="J3281" s="1" t="s">
        <v>13710</v>
      </c>
      <c r="K3281" s="1" t="s">
        <v>716</v>
      </c>
      <c r="L3281" s="1" t="s">
        <v>9853</v>
      </c>
      <c r="M3281" s="1" t="s">
        <v>718</v>
      </c>
    </row>
    <row r="3282" customFormat="false" ht="15" hidden="false" customHeight="false" outlineLevel="0" collapsed="false">
      <c r="A3282" s="1" t="s">
        <v>13805</v>
      </c>
      <c r="B3282" s="1" t="s">
        <v>13806</v>
      </c>
      <c r="C3282" s="1" t="s">
        <v>1606</v>
      </c>
      <c r="D3282" s="2" t="n">
        <v>39129</v>
      </c>
      <c r="E3282" s="1" t="s">
        <v>710</v>
      </c>
      <c r="F3282" s="1" t="s">
        <v>711</v>
      </c>
      <c r="G3282" s="1" t="s">
        <v>712</v>
      </c>
      <c r="H3282" s="1" t="s">
        <v>713</v>
      </c>
      <c r="I3282" s="1" t="s">
        <v>714</v>
      </c>
      <c r="J3282" s="1" t="s">
        <v>13807</v>
      </c>
      <c r="K3282" s="1" t="s">
        <v>13808</v>
      </c>
      <c r="L3282" s="1" t="s">
        <v>9690</v>
      </c>
      <c r="M3282" s="1" t="s">
        <v>718</v>
      </c>
    </row>
    <row r="3283" customFormat="false" ht="15" hidden="false" customHeight="false" outlineLevel="0" collapsed="false">
      <c r="A3283" s="1" t="s">
        <v>13809</v>
      </c>
      <c r="B3283" s="1" t="s">
        <v>13810</v>
      </c>
      <c r="C3283" s="1" t="s">
        <v>13811</v>
      </c>
      <c r="D3283" s="2" t="n">
        <v>39150</v>
      </c>
      <c r="E3283" s="1" t="s">
        <v>710</v>
      </c>
      <c r="F3283" s="1" t="s">
        <v>711</v>
      </c>
      <c r="G3283" s="1" t="s">
        <v>712</v>
      </c>
      <c r="H3283" s="1" t="s">
        <v>713</v>
      </c>
      <c r="I3283" s="1" t="s">
        <v>714</v>
      </c>
      <c r="J3283" s="1" t="s">
        <v>716</v>
      </c>
      <c r="K3283" s="1" t="s">
        <v>13812</v>
      </c>
      <c r="L3283" s="1" t="s">
        <v>13813</v>
      </c>
      <c r="M3283" s="1" t="s">
        <v>718</v>
      </c>
    </row>
    <row r="3284" customFormat="false" ht="15" hidden="false" customHeight="false" outlineLevel="0" collapsed="false">
      <c r="A3284" s="1" t="s">
        <v>13814</v>
      </c>
      <c r="B3284" s="1" t="s">
        <v>13815</v>
      </c>
      <c r="C3284" s="1" t="s">
        <v>13816</v>
      </c>
      <c r="D3284" s="2" t="n">
        <v>39186</v>
      </c>
      <c r="E3284" s="1" t="s">
        <v>763</v>
      </c>
      <c r="F3284" s="1" t="s">
        <v>711</v>
      </c>
      <c r="G3284" s="1" t="s">
        <v>712</v>
      </c>
      <c r="H3284" s="1" t="s">
        <v>713</v>
      </c>
      <c r="I3284" s="1" t="s">
        <v>714</v>
      </c>
      <c r="J3284" s="1" t="s">
        <v>13817</v>
      </c>
      <c r="K3284" s="1" t="s">
        <v>13818</v>
      </c>
      <c r="L3284" s="1" t="s">
        <v>13819</v>
      </c>
      <c r="M3284" s="1" t="s">
        <v>718</v>
      </c>
    </row>
    <row r="3285" customFormat="false" ht="15" hidden="false" customHeight="false" outlineLevel="0" collapsed="false">
      <c r="A3285" s="1" t="s">
        <v>13820</v>
      </c>
      <c r="B3285" s="1" t="s">
        <v>13821</v>
      </c>
      <c r="C3285" s="1" t="s">
        <v>11476</v>
      </c>
      <c r="D3285" s="2" t="n">
        <v>39150</v>
      </c>
      <c r="E3285" s="1" t="s">
        <v>763</v>
      </c>
      <c r="F3285" s="1" t="s">
        <v>711</v>
      </c>
      <c r="G3285" s="1" t="s">
        <v>722</v>
      </c>
      <c r="H3285" s="1" t="s">
        <v>713</v>
      </c>
      <c r="I3285" s="1" t="s">
        <v>714</v>
      </c>
      <c r="J3285" s="1" t="s">
        <v>13822</v>
      </c>
      <c r="K3285" s="1" t="s">
        <v>716</v>
      </c>
      <c r="L3285" s="1" t="s">
        <v>11478</v>
      </c>
      <c r="M3285" s="1" t="s">
        <v>718</v>
      </c>
    </row>
    <row r="3286" customFormat="false" ht="15" hidden="false" customHeight="false" outlineLevel="0" collapsed="false">
      <c r="A3286" s="1" t="s">
        <v>13823</v>
      </c>
      <c r="B3286" s="1" t="s">
        <v>13824</v>
      </c>
      <c r="C3286" s="1" t="s">
        <v>13825</v>
      </c>
      <c r="D3286" s="2" t="n">
        <v>39158</v>
      </c>
      <c r="E3286" s="1" t="s">
        <v>763</v>
      </c>
      <c r="F3286" s="1" t="s">
        <v>711</v>
      </c>
      <c r="G3286" s="1" t="s">
        <v>712</v>
      </c>
      <c r="H3286" s="1" t="s">
        <v>713</v>
      </c>
      <c r="I3286" s="1" t="s">
        <v>714</v>
      </c>
      <c r="J3286" s="1" t="s">
        <v>13826</v>
      </c>
      <c r="K3286" s="1" t="s">
        <v>13827</v>
      </c>
      <c r="L3286" s="1" t="s">
        <v>7837</v>
      </c>
      <c r="M3286" s="1" t="s">
        <v>718</v>
      </c>
    </row>
    <row r="3287" customFormat="false" ht="15" hidden="false" customHeight="false" outlineLevel="0" collapsed="false">
      <c r="A3287" s="1" t="s">
        <v>13828</v>
      </c>
      <c r="B3287" s="1" t="s">
        <v>13829</v>
      </c>
      <c r="C3287" s="1" t="s">
        <v>9028</v>
      </c>
      <c r="D3287" s="2" t="n">
        <v>39139</v>
      </c>
      <c r="E3287" s="1" t="s">
        <v>763</v>
      </c>
      <c r="F3287" s="1" t="s">
        <v>711</v>
      </c>
      <c r="G3287" s="1" t="s">
        <v>712</v>
      </c>
      <c r="H3287" s="1" t="s">
        <v>713</v>
      </c>
      <c r="I3287" s="1" t="s">
        <v>714</v>
      </c>
      <c r="J3287" s="1" t="s">
        <v>1530</v>
      </c>
      <c r="K3287" s="1" t="s">
        <v>13830</v>
      </c>
      <c r="L3287" s="1" t="s">
        <v>13831</v>
      </c>
      <c r="M3287" s="1" t="s">
        <v>718</v>
      </c>
    </row>
    <row r="3288" customFormat="false" ht="15" hidden="false" customHeight="false" outlineLevel="0" collapsed="false">
      <c r="A3288" s="1" t="s">
        <v>13832</v>
      </c>
      <c r="B3288" s="1" t="s">
        <v>4594</v>
      </c>
      <c r="C3288" s="1" t="s">
        <v>13833</v>
      </c>
      <c r="D3288" s="2" t="n">
        <v>39174</v>
      </c>
      <c r="E3288" s="1" t="s">
        <v>710</v>
      </c>
      <c r="F3288" s="1" t="s">
        <v>711</v>
      </c>
      <c r="G3288" s="1" t="s">
        <v>712</v>
      </c>
      <c r="H3288" s="1" t="s">
        <v>713</v>
      </c>
      <c r="I3288" s="1" t="s">
        <v>714</v>
      </c>
      <c r="J3288" s="1" t="s">
        <v>6242</v>
      </c>
      <c r="K3288" s="1" t="s">
        <v>13834</v>
      </c>
      <c r="L3288" s="1" t="s">
        <v>13835</v>
      </c>
      <c r="M3288" s="1" t="s">
        <v>718</v>
      </c>
    </row>
    <row r="3289" customFormat="false" ht="15" hidden="false" customHeight="false" outlineLevel="0" collapsed="false">
      <c r="A3289" s="1" t="s">
        <v>13836</v>
      </c>
      <c r="B3289" s="1" t="s">
        <v>13837</v>
      </c>
      <c r="C3289" s="1" t="s">
        <v>1337</v>
      </c>
      <c r="D3289" s="2" t="n">
        <v>39271</v>
      </c>
      <c r="E3289" s="1" t="s">
        <v>763</v>
      </c>
      <c r="F3289" s="1" t="s">
        <v>711</v>
      </c>
      <c r="G3289" s="1" t="s">
        <v>722</v>
      </c>
      <c r="H3289" s="1" t="s">
        <v>713</v>
      </c>
      <c r="I3289" s="1" t="s">
        <v>714</v>
      </c>
      <c r="J3289" s="1" t="s">
        <v>13838</v>
      </c>
      <c r="K3289" s="1" t="s">
        <v>13839</v>
      </c>
      <c r="L3289" s="1" t="s">
        <v>1338</v>
      </c>
      <c r="M3289" s="1" t="s">
        <v>718</v>
      </c>
    </row>
    <row r="3290" customFormat="false" ht="15" hidden="false" customHeight="false" outlineLevel="0" collapsed="false">
      <c r="A3290" s="1" t="s">
        <v>13840</v>
      </c>
      <c r="B3290" s="1" t="s">
        <v>13841</v>
      </c>
      <c r="C3290" s="1" t="s">
        <v>1787</v>
      </c>
      <c r="D3290" s="2" t="n">
        <v>39425</v>
      </c>
      <c r="E3290" s="1" t="s">
        <v>763</v>
      </c>
      <c r="F3290" s="1" t="s">
        <v>711</v>
      </c>
      <c r="G3290" s="1" t="s">
        <v>712</v>
      </c>
      <c r="H3290" s="1" t="s">
        <v>713</v>
      </c>
      <c r="I3290" s="1" t="s">
        <v>714</v>
      </c>
      <c r="J3290" s="1" t="s">
        <v>740</v>
      </c>
      <c r="K3290" s="1" t="s">
        <v>13842</v>
      </c>
      <c r="L3290" s="1" t="s">
        <v>1789</v>
      </c>
      <c r="M3290" s="1" t="s">
        <v>718</v>
      </c>
    </row>
    <row r="3291" customFormat="false" ht="15" hidden="false" customHeight="false" outlineLevel="0" collapsed="false">
      <c r="A3291" s="1" t="s">
        <v>13843</v>
      </c>
      <c r="B3291" s="1" t="s">
        <v>1397</v>
      </c>
      <c r="C3291" s="1" t="s">
        <v>13844</v>
      </c>
      <c r="D3291" s="2" t="n">
        <v>39693</v>
      </c>
      <c r="E3291" s="1" t="s">
        <v>710</v>
      </c>
      <c r="F3291" s="1" t="s">
        <v>711</v>
      </c>
      <c r="G3291" s="1" t="s">
        <v>712</v>
      </c>
      <c r="H3291" s="1" t="s">
        <v>713</v>
      </c>
      <c r="I3291" s="1" t="s">
        <v>714</v>
      </c>
      <c r="J3291" s="1" t="s">
        <v>740</v>
      </c>
      <c r="K3291" s="1" t="s">
        <v>13845</v>
      </c>
      <c r="L3291" s="1" t="s">
        <v>13846</v>
      </c>
      <c r="M3291" s="1" t="s">
        <v>718</v>
      </c>
    </row>
    <row r="3292" customFormat="false" ht="15" hidden="false" customHeight="false" outlineLevel="0" collapsed="false">
      <c r="A3292" s="1" t="s">
        <v>13847</v>
      </c>
      <c r="B3292" s="1" t="s">
        <v>13848</v>
      </c>
      <c r="C3292" s="1" t="s">
        <v>13849</v>
      </c>
      <c r="D3292" s="2" t="n">
        <v>39668</v>
      </c>
      <c r="E3292" s="1" t="s">
        <v>710</v>
      </c>
      <c r="F3292" s="1" t="s">
        <v>711</v>
      </c>
      <c r="G3292" s="1" t="s">
        <v>712</v>
      </c>
      <c r="H3292" s="1" t="s">
        <v>713</v>
      </c>
      <c r="I3292" s="1" t="s">
        <v>714</v>
      </c>
      <c r="J3292" s="1" t="s">
        <v>13850</v>
      </c>
      <c r="K3292" s="1" t="s">
        <v>13851</v>
      </c>
      <c r="L3292" s="1" t="s">
        <v>5581</v>
      </c>
      <c r="M3292" s="1" t="s">
        <v>718</v>
      </c>
    </row>
    <row r="3293" customFormat="false" ht="15" hidden="false" customHeight="false" outlineLevel="0" collapsed="false">
      <c r="A3293" s="1" t="s">
        <v>13852</v>
      </c>
      <c r="B3293" s="1" t="s">
        <v>13853</v>
      </c>
      <c r="C3293" s="1" t="s">
        <v>1421</v>
      </c>
      <c r="D3293" s="2" t="n">
        <v>39941</v>
      </c>
      <c r="E3293" s="1" t="s">
        <v>763</v>
      </c>
      <c r="F3293" s="1" t="s">
        <v>711</v>
      </c>
      <c r="G3293" s="1" t="s">
        <v>722</v>
      </c>
      <c r="H3293" s="1" t="s">
        <v>713</v>
      </c>
      <c r="I3293" s="1" t="s">
        <v>714</v>
      </c>
      <c r="J3293" s="1" t="s">
        <v>13854</v>
      </c>
      <c r="K3293" s="1" t="s">
        <v>13855</v>
      </c>
      <c r="L3293" s="1" t="s">
        <v>6636</v>
      </c>
      <c r="M3293" s="1" t="s">
        <v>718</v>
      </c>
    </row>
    <row r="3294" customFormat="false" ht="15" hidden="false" customHeight="false" outlineLevel="0" collapsed="false">
      <c r="A3294" s="1" t="s">
        <v>13856</v>
      </c>
      <c r="B3294" s="1" t="s">
        <v>13857</v>
      </c>
      <c r="C3294" s="1" t="s">
        <v>13858</v>
      </c>
      <c r="D3294" s="2" t="n">
        <v>39124</v>
      </c>
      <c r="E3294" s="1" t="s">
        <v>763</v>
      </c>
      <c r="F3294" s="1" t="s">
        <v>711</v>
      </c>
      <c r="G3294" s="1" t="s">
        <v>712</v>
      </c>
      <c r="H3294" s="1" t="s">
        <v>713</v>
      </c>
      <c r="I3294" s="1" t="s">
        <v>714</v>
      </c>
      <c r="J3294" s="1" t="s">
        <v>715</v>
      </c>
      <c r="K3294" s="1" t="s">
        <v>13674</v>
      </c>
      <c r="L3294" s="1" t="s">
        <v>13859</v>
      </c>
      <c r="M3294" s="1" t="s">
        <v>718</v>
      </c>
    </row>
    <row r="3295" customFormat="false" ht="15" hidden="false" customHeight="false" outlineLevel="0" collapsed="false">
      <c r="A3295" s="1" t="s">
        <v>13860</v>
      </c>
      <c r="B3295" s="1" t="s">
        <v>13861</v>
      </c>
      <c r="C3295" s="1" t="s">
        <v>13858</v>
      </c>
      <c r="D3295" s="2" t="n">
        <v>39742</v>
      </c>
      <c r="E3295" s="1" t="s">
        <v>763</v>
      </c>
      <c r="F3295" s="1" t="s">
        <v>711</v>
      </c>
      <c r="G3295" s="1" t="s">
        <v>712</v>
      </c>
      <c r="H3295" s="1" t="s">
        <v>713</v>
      </c>
      <c r="I3295" s="1" t="s">
        <v>714</v>
      </c>
      <c r="J3295" s="1" t="s">
        <v>715</v>
      </c>
      <c r="K3295" s="1" t="s">
        <v>13674</v>
      </c>
      <c r="L3295" s="1" t="s">
        <v>13859</v>
      </c>
      <c r="M3295" s="1" t="s">
        <v>718</v>
      </c>
    </row>
    <row r="3296" customFormat="false" ht="15" hidden="false" customHeight="false" outlineLevel="0" collapsed="false">
      <c r="A3296" s="1" t="s">
        <v>13862</v>
      </c>
      <c r="B3296" s="1" t="s">
        <v>1075</v>
      </c>
      <c r="C3296" s="1" t="s">
        <v>1139</v>
      </c>
      <c r="D3296" s="2" t="n">
        <v>39164</v>
      </c>
      <c r="E3296" s="1" t="s">
        <v>710</v>
      </c>
      <c r="F3296" s="1" t="s">
        <v>711</v>
      </c>
      <c r="G3296" s="1" t="s">
        <v>722</v>
      </c>
      <c r="H3296" s="1" t="s">
        <v>713</v>
      </c>
      <c r="I3296" s="1" t="s">
        <v>714</v>
      </c>
      <c r="J3296" s="1" t="s">
        <v>715</v>
      </c>
      <c r="K3296" s="1" t="s">
        <v>13693</v>
      </c>
      <c r="L3296" s="1" t="s">
        <v>9641</v>
      </c>
      <c r="M3296" s="1" t="s">
        <v>718</v>
      </c>
    </row>
    <row r="3297" customFormat="false" ht="15" hidden="false" customHeight="false" outlineLevel="0" collapsed="false">
      <c r="A3297" s="1" t="s">
        <v>13863</v>
      </c>
      <c r="B3297" s="1" t="s">
        <v>13864</v>
      </c>
      <c r="C3297" s="1" t="s">
        <v>4370</v>
      </c>
      <c r="D3297" s="2" t="n">
        <v>39580</v>
      </c>
      <c r="E3297" s="1" t="s">
        <v>710</v>
      </c>
      <c r="F3297" s="1" t="s">
        <v>711</v>
      </c>
      <c r="G3297" s="1" t="s">
        <v>712</v>
      </c>
      <c r="H3297" s="1" t="s">
        <v>713</v>
      </c>
      <c r="I3297" s="1" t="s">
        <v>714</v>
      </c>
      <c r="J3297" s="1" t="s">
        <v>715</v>
      </c>
      <c r="K3297" s="1" t="s">
        <v>13865</v>
      </c>
      <c r="L3297" s="1" t="s">
        <v>13866</v>
      </c>
      <c r="M3297" s="1" t="s">
        <v>718</v>
      </c>
    </row>
    <row r="3298" customFormat="false" ht="15" hidden="false" customHeight="false" outlineLevel="0" collapsed="false">
      <c r="A3298" s="1" t="s">
        <v>13867</v>
      </c>
      <c r="B3298" s="1" t="s">
        <v>10578</v>
      </c>
      <c r="C3298" s="1" t="s">
        <v>1230</v>
      </c>
      <c r="D3298" s="2" t="n">
        <v>39564</v>
      </c>
      <c r="E3298" s="1" t="s">
        <v>763</v>
      </c>
      <c r="F3298" s="1" t="s">
        <v>711</v>
      </c>
      <c r="G3298" s="1" t="s">
        <v>712</v>
      </c>
      <c r="H3298" s="1" t="s">
        <v>713</v>
      </c>
      <c r="I3298" s="1" t="s">
        <v>714</v>
      </c>
      <c r="J3298" s="1" t="s">
        <v>715</v>
      </c>
      <c r="K3298" s="1" t="s">
        <v>716</v>
      </c>
      <c r="L3298" s="1" t="s">
        <v>13868</v>
      </c>
      <c r="M3298" s="1" t="s">
        <v>718</v>
      </c>
    </row>
    <row r="3299" customFormat="false" ht="15" hidden="false" customHeight="false" outlineLevel="0" collapsed="false">
      <c r="A3299" s="1" t="s">
        <v>13869</v>
      </c>
      <c r="B3299" s="1" t="s">
        <v>13870</v>
      </c>
      <c r="C3299" s="1" t="s">
        <v>13871</v>
      </c>
      <c r="D3299" s="2" t="n">
        <v>39496</v>
      </c>
      <c r="E3299" s="1" t="s">
        <v>763</v>
      </c>
      <c r="F3299" s="1" t="s">
        <v>711</v>
      </c>
      <c r="G3299" s="1" t="s">
        <v>712</v>
      </c>
      <c r="H3299" s="1" t="s">
        <v>713</v>
      </c>
      <c r="I3299" s="1" t="s">
        <v>714</v>
      </c>
      <c r="J3299" s="1" t="s">
        <v>13872</v>
      </c>
      <c r="K3299" s="1" t="s">
        <v>13873</v>
      </c>
      <c r="L3299" s="1" t="s">
        <v>5483</v>
      </c>
      <c r="M3299" s="1" t="s">
        <v>718</v>
      </c>
    </row>
    <row r="3300" customFormat="false" ht="15" hidden="false" customHeight="false" outlineLevel="0" collapsed="false">
      <c r="A3300" s="1" t="s">
        <v>13874</v>
      </c>
      <c r="B3300" s="1" t="s">
        <v>13875</v>
      </c>
      <c r="C3300" s="1" t="s">
        <v>13284</v>
      </c>
      <c r="D3300" s="2" t="n">
        <v>39042</v>
      </c>
      <c r="E3300" s="1" t="s">
        <v>710</v>
      </c>
      <c r="F3300" s="1" t="s">
        <v>711</v>
      </c>
      <c r="G3300" s="1" t="s">
        <v>712</v>
      </c>
      <c r="H3300" s="1" t="s">
        <v>713</v>
      </c>
      <c r="I3300" s="1" t="s">
        <v>714</v>
      </c>
      <c r="J3300" s="1" t="s">
        <v>1723</v>
      </c>
      <c r="K3300" s="1" t="s">
        <v>716</v>
      </c>
      <c r="L3300" s="1" t="s">
        <v>13286</v>
      </c>
      <c r="M3300" s="1" t="s">
        <v>718</v>
      </c>
    </row>
    <row r="3301" customFormat="false" ht="15" hidden="false" customHeight="false" outlineLevel="0" collapsed="false">
      <c r="A3301" s="1" t="s">
        <v>13876</v>
      </c>
      <c r="B3301" s="1" t="s">
        <v>13877</v>
      </c>
      <c r="C3301" s="1" t="s">
        <v>7521</v>
      </c>
      <c r="D3301" s="2" t="n">
        <v>39724</v>
      </c>
      <c r="E3301" s="1" t="s">
        <v>763</v>
      </c>
      <c r="F3301" s="1" t="s">
        <v>711</v>
      </c>
      <c r="G3301" s="1" t="s">
        <v>712</v>
      </c>
      <c r="H3301" s="1" t="s">
        <v>713</v>
      </c>
      <c r="I3301" s="1" t="s">
        <v>714</v>
      </c>
      <c r="J3301" s="1" t="s">
        <v>1723</v>
      </c>
      <c r="K3301" s="1" t="s">
        <v>13878</v>
      </c>
      <c r="L3301" s="1" t="s">
        <v>13250</v>
      </c>
      <c r="M3301" s="1" t="s">
        <v>718</v>
      </c>
    </row>
    <row r="3302" customFormat="false" ht="15" hidden="false" customHeight="false" outlineLevel="0" collapsed="false">
      <c r="A3302" s="1" t="s">
        <v>13879</v>
      </c>
      <c r="B3302" s="1" t="s">
        <v>13880</v>
      </c>
      <c r="C3302" s="1" t="s">
        <v>13881</v>
      </c>
      <c r="D3302" s="2" t="n">
        <v>38948</v>
      </c>
      <c r="E3302" s="1" t="s">
        <v>763</v>
      </c>
      <c r="F3302" s="1" t="s">
        <v>711</v>
      </c>
      <c r="G3302" s="1" t="s">
        <v>775</v>
      </c>
      <c r="H3302" s="1" t="s">
        <v>713</v>
      </c>
      <c r="I3302" s="1" t="s">
        <v>714</v>
      </c>
      <c r="J3302" s="1" t="s">
        <v>2000</v>
      </c>
      <c r="K3302" s="1" t="s">
        <v>13882</v>
      </c>
      <c r="L3302" s="1" t="s">
        <v>13883</v>
      </c>
      <c r="M3302" s="1" t="s">
        <v>718</v>
      </c>
    </row>
    <row r="3303" customFormat="false" ht="15" hidden="false" customHeight="false" outlineLevel="0" collapsed="false">
      <c r="A3303" s="1" t="s">
        <v>13884</v>
      </c>
      <c r="B3303" s="1" t="s">
        <v>12333</v>
      </c>
      <c r="C3303" s="1" t="s">
        <v>1139</v>
      </c>
      <c r="D3303" s="2" t="n">
        <v>39376</v>
      </c>
      <c r="E3303" s="1" t="s">
        <v>763</v>
      </c>
      <c r="F3303" s="1" t="s">
        <v>711</v>
      </c>
      <c r="G3303" s="1" t="s">
        <v>722</v>
      </c>
      <c r="H3303" s="1" t="s">
        <v>713</v>
      </c>
      <c r="I3303" s="1" t="s">
        <v>714</v>
      </c>
      <c r="J3303" s="1" t="s">
        <v>978</v>
      </c>
      <c r="K3303" s="1" t="s">
        <v>13885</v>
      </c>
      <c r="L3303" s="1" t="s">
        <v>13886</v>
      </c>
      <c r="M3303" s="1" t="s">
        <v>718</v>
      </c>
    </row>
    <row r="3304" customFormat="false" ht="15" hidden="false" customHeight="false" outlineLevel="0" collapsed="false">
      <c r="A3304" s="1" t="s">
        <v>13887</v>
      </c>
      <c r="B3304" s="1" t="s">
        <v>13888</v>
      </c>
      <c r="C3304" s="1" t="s">
        <v>13889</v>
      </c>
      <c r="D3304" s="2" t="n">
        <v>39227</v>
      </c>
      <c r="E3304" s="1" t="s">
        <v>763</v>
      </c>
      <c r="F3304" s="1" t="s">
        <v>711</v>
      </c>
      <c r="G3304" s="1" t="s">
        <v>13890</v>
      </c>
      <c r="H3304" s="1" t="s">
        <v>713</v>
      </c>
      <c r="I3304" s="1" t="s">
        <v>714</v>
      </c>
      <c r="J3304" s="1" t="s">
        <v>12492</v>
      </c>
      <c r="K3304" s="1" t="s">
        <v>13891</v>
      </c>
      <c r="L3304" s="1" t="s">
        <v>13892</v>
      </c>
      <c r="M3304" s="1" t="s">
        <v>718</v>
      </c>
    </row>
    <row r="3305" customFormat="false" ht="15" hidden="false" customHeight="false" outlineLevel="0" collapsed="false">
      <c r="A3305" s="1" t="s">
        <v>13893</v>
      </c>
      <c r="B3305" s="1" t="s">
        <v>13894</v>
      </c>
      <c r="C3305" s="1" t="s">
        <v>1117</v>
      </c>
      <c r="D3305" s="2" t="n">
        <v>39232</v>
      </c>
      <c r="E3305" s="1" t="s">
        <v>763</v>
      </c>
      <c r="F3305" s="1" t="s">
        <v>711</v>
      </c>
      <c r="G3305" s="1" t="s">
        <v>712</v>
      </c>
      <c r="H3305" s="1" t="s">
        <v>713</v>
      </c>
      <c r="I3305" s="1" t="s">
        <v>714</v>
      </c>
      <c r="J3305" s="1" t="s">
        <v>13895</v>
      </c>
      <c r="K3305" s="1" t="s">
        <v>13896</v>
      </c>
      <c r="L3305" s="1" t="s">
        <v>1119</v>
      </c>
      <c r="M3305" s="1" t="s">
        <v>718</v>
      </c>
    </row>
    <row r="3306" customFormat="false" ht="15" hidden="false" customHeight="false" outlineLevel="0" collapsed="false">
      <c r="A3306" s="1" t="s">
        <v>13897</v>
      </c>
      <c r="B3306" s="1" t="s">
        <v>13898</v>
      </c>
      <c r="C3306" s="1" t="s">
        <v>13899</v>
      </c>
      <c r="D3306" s="2" t="n">
        <v>39121</v>
      </c>
      <c r="E3306" s="1" t="s">
        <v>763</v>
      </c>
      <c r="F3306" s="1" t="s">
        <v>711</v>
      </c>
      <c r="G3306" s="1" t="s">
        <v>722</v>
      </c>
      <c r="H3306" s="1" t="s">
        <v>713</v>
      </c>
      <c r="I3306" s="1" t="s">
        <v>714</v>
      </c>
      <c r="J3306" s="1" t="s">
        <v>1505</v>
      </c>
      <c r="K3306" s="1" t="s">
        <v>13900</v>
      </c>
      <c r="L3306" s="1" t="s">
        <v>13901</v>
      </c>
      <c r="M3306" s="1" t="s">
        <v>718</v>
      </c>
    </row>
    <row r="3307" customFormat="false" ht="15" hidden="false" customHeight="false" outlineLevel="0" collapsed="false">
      <c r="A3307" s="1" t="s">
        <v>13902</v>
      </c>
      <c r="B3307" s="1" t="s">
        <v>13903</v>
      </c>
      <c r="C3307" s="1" t="s">
        <v>11988</v>
      </c>
      <c r="D3307" s="2" t="n">
        <v>39331</v>
      </c>
      <c r="E3307" s="1" t="s">
        <v>763</v>
      </c>
      <c r="F3307" s="1" t="s">
        <v>711</v>
      </c>
      <c r="G3307" s="1" t="s">
        <v>722</v>
      </c>
      <c r="H3307" s="1" t="s">
        <v>713</v>
      </c>
      <c r="I3307" s="1" t="s">
        <v>714</v>
      </c>
      <c r="J3307" s="1" t="s">
        <v>4121</v>
      </c>
      <c r="K3307" s="1" t="s">
        <v>13904</v>
      </c>
      <c r="L3307" s="1" t="s">
        <v>13905</v>
      </c>
      <c r="M3307" s="1" t="s">
        <v>718</v>
      </c>
    </row>
    <row r="3308" customFormat="false" ht="15" hidden="false" customHeight="false" outlineLevel="0" collapsed="false">
      <c r="A3308" s="1" t="s">
        <v>13906</v>
      </c>
      <c r="B3308" s="1" t="s">
        <v>13907</v>
      </c>
      <c r="C3308" s="1" t="s">
        <v>13908</v>
      </c>
      <c r="D3308" s="2" t="n">
        <v>39674</v>
      </c>
      <c r="E3308" s="1" t="s">
        <v>763</v>
      </c>
      <c r="F3308" s="1" t="s">
        <v>711</v>
      </c>
      <c r="G3308" s="1" t="s">
        <v>712</v>
      </c>
      <c r="H3308" s="1" t="s">
        <v>713</v>
      </c>
      <c r="I3308" s="1" t="s">
        <v>714</v>
      </c>
      <c r="J3308" s="1" t="s">
        <v>13909</v>
      </c>
      <c r="K3308" s="1" t="s">
        <v>13910</v>
      </c>
      <c r="L3308" s="1" t="s">
        <v>13911</v>
      </c>
      <c r="M3308" s="1" t="s">
        <v>718</v>
      </c>
    </row>
    <row r="3309" customFormat="false" ht="15" hidden="false" customHeight="false" outlineLevel="0" collapsed="false">
      <c r="A3309" s="1" t="s">
        <v>13912</v>
      </c>
      <c r="B3309" s="1" t="s">
        <v>13913</v>
      </c>
      <c r="C3309" s="1" t="s">
        <v>4280</v>
      </c>
      <c r="D3309" s="2" t="n">
        <v>39031</v>
      </c>
      <c r="E3309" s="1" t="s">
        <v>710</v>
      </c>
      <c r="F3309" s="1" t="s">
        <v>711</v>
      </c>
      <c r="G3309" s="1" t="s">
        <v>712</v>
      </c>
      <c r="H3309" s="1" t="s">
        <v>713</v>
      </c>
      <c r="I3309" s="1" t="s">
        <v>714</v>
      </c>
      <c r="J3309" s="1" t="s">
        <v>1584</v>
      </c>
      <c r="K3309" s="1" t="s">
        <v>716</v>
      </c>
      <c r="L3309" s="1" t="s">
        <v>4282</v>
      </c>
      <c r="M3309" s="1" t="s">
        <v>718</v>
      </c>
    </row>
    <row r="3310" customFormat="false" ht="15" hidden="false" customHeight="false" outlineLevel="0" collapsed="false">
      <c r="A3310" s="1" t="s">
        <v>13914</v>
      </c>
      <c r="B3310" s="1" t="s">
        <v>5048</v>
      </c>
      <c r="C3310" s="1" t="s">
        <v>9551</v>
      </c>
      <c r="D3310" s="2" t="n">
        <v>38940</v>
      </c>
      <c r="E3310" s="1" t="s">
        <v>710</v>
      </c>
      <c r="F3310" s="1" t="s">
        <v>711</v>
      </c>
      <c r="G3310" s="1" t="s">
        <v>712</v>
      </c>
      <c r="H3310" s="1" t="s">
        <v>713</v>
      </c>
      <c r="I3310" s="1" t="s">
        <v>714</v>
      </c>
      <c r="J3310" s="1" t="s">
        <v>13872</v>
      </c>
      <c r="K3310" s="1" t="s">
        <v>13915</v>
      </c>
      <c r="L3310" s="1" t="s">
        <v>9554</v>
      </c>
      <c r="M3310" s="1" t="s">
        <v>718</v>
      </c>
    </row>
    <row r="3311" customFormat="false" ht="15" hidden="false" customHeight="false" outlineLevel="0" collapsed="false">
      <c r="A3311" s="1" t="s">
        <v>13916</v>
      </c>
      <c r="B3311" s="1" t="s">
        <v>13917</v>
      </c>
      <c r="C3311" s="1" t="s">
        <v>4280</v>
      </c>
      <c r="D3311" s="2" t="n">
        <v>38436</v>
      </c>
      <c r="E3311" s="1" t="s">
        <v>710</v>
      </c>
      <c r="F3311" s="1" t="s">
        <v>711</v>
      </c>
      <c r="G3311" s="1" t="s">
        <v>722</v>
      </c>
      <c r="H3311" s="1" t="s">
        <v>713</v>
      </c>
      <c r="I3311" s="1" t="s">
        <v>714</v>
      </c>
      <c r="J3311" s="1" t="s">
        <v>1584</v>
      </c>
      <c r="K3311" s="1" t="s">
        <v>716</v>
      </c>
      <c r="L3311" s="1" t="s">
        <v>4282</v>
      </c>
      <c r="M3311" s="1" t="s">
        <v>718</v>
      </c>
    </row>
    <row r="3312" customFormat="false" ht="15" hidden="false" customHeight="false" outlineLevel="0" collapsed="false">
      <c r="A3312" s="1" t="s">
        <v>13918</v>
      </c>
      <c r="B3312" s="1" t="s">
        <v>13919</v>
      </c>
      <c r="C3312" s="1" t="s">
        <v>750</v>
      </c>
      <c r="D3312" s="2" t="n">
        <v>39483</v>
      </c>
      <c r="E3312" s="1" t="s">
        <v>710</v>
      </c>
      <c r="F3312" s="1" t="s">
        <v>711</v>
      </c>
      <c r="G3312" s="1" t="s">
        <v>722</v>
      </c>
      <c r="H3312" s="1" t="s">
        <v>713</v>
      </c>
      <c r="I3312" s="1" t="s">
        <v>714</v>
      </c>
      <c r="J3312" s="1" t="s">
        <v>892</v>
      </c>
      <c r="K3312" s="1" t="s">
        <v>716</v>
      </c>
      <c r="L3312" s="1" t="s">
        <v>13920</v>
      </c>
      <c r="M3312" s="1" t="s">
        <v>718</v>
      </c>
    </row>
    <row r="3313" customFormat="false" ht="15" hidden="false" customHeight="false" outlineLevel="0" collapsed="false">
      <c r="A3313" s="1" t="s">
        <v>13921</v>
      </c>
      <c r="B3313" s="1" t="s">
        <v>13922</v>
      </c>
      <c r="C3313" s="1" t="s">
        <v>6623</v>
      </c>
      <c r="D3313" s="2" t="n">
        <v>39383</v>
      </c>
      <c r="E3313" s="1" t="s">
        <v>763</v>
      </c>
      <c r="F3313" s="1" t="s">
        <v>711</v>
      </c>
      <c r="G3313" s="1" t="s">
        <v>712</v>
      </c>
      <c r="H3313" s="1" t="s">
        <v>713</v>
      </c>
      <c r="I3313" s="1" t="s">
        <v>714</v>
      </c>
      <c r="J3313" s="1" t="s">
        <v>1244</v>
      </c>
      <c r="K3313" s="1" t="s">
        <v>716</v>
      </c>
      <c r="L3313" s="1" t="s">
        <v>13923</v>
      </c>
      <c r="M3313" s="1" t="s">
        <v>718</v>
      </c>
    </row>
    <row r="3314" customFormat="false" ht="15" hidden="false" customHeight="false" outlineLevel="0" collapsed="false">
      <c r="A3314" s="1" t="s">
        <v>13924</v>
      </c>
      <c r="B3314" s="1" t="s">
        <v>3544</v>
      </c>
      <c r="C3314" s="1" t="s">
        <v>12624</v>
      </c>
      <c r="D3314" s="2" t="n">
        <v>39490</v>
      </c>
      <c r="E3314" s="1" t="s">
        <v>710</v>
      </c>
      <c r="F3314" s="1" t="s">
        <v>711</v>
      </c>
      <c r="G3314" s="1" t="s">
        <v>712</v>
      </c>
      <c r="H3314" s="1" t="s">
        <v>713</v>
      </c>
      <c r="I3314" s="1" t="s">
        <v>714</v>
      </c>
      <c r="J3314" s="1" t="s">
        <v>7565</v>
      </c>
      <c r="K3314" s="1" t="s">
        <v>13925</v>
      </c>
      <c r="L3314" s="1" t="s">
        <v>12626</v>
      </c>
      <c r="M3314" s="1" t="s">
        <v>718</v>
      </c>
    </row>
    <row r="3315" customFormat="false" ht="15" hidden="false" customHeight="false" outlineLevel="0" collapsed="false">
      <c r="A3315" s="1" t="s">
        <v>13926</v>
      </c>
      <c r="B3315" s="1" t="s">
        <v>13927</v>
      </c>
      <c r="C3315" s="1" t="s">
        <v>13928</v>
      </c>
      <c r="D3315" s="2" t="n">
        <v>39309</v>
      </c>
      <c r="E3315" s="1" t="s">
        <v>710</v>
      </c>
      <c r="F3315" s="1" t="s">
        <v>711</v>
      </c>
      <c r="G3315" s="1" t="s">
        <v>712</v>
      </c>
      <c r="H3315" s="1" t="s">
        <v>713</v>
      </c>
      <c r="I3315" s="1" t="s">
        <v>714</v>
      </c>
      <c r="J3315" s="1" t="s">
        <v>838</v>
      </c>
      <c r="K3315" s="1" t="s">
        <v>13929</v>
      </c>
      <c r="L3315" s="1" t="s">
        <v>13930</v>
      </c>
      <c r="M3315" s="1" t="s">
        <v>718</v>
      </c>
    </row>
    <row r="3316" customFormat="false" ht="15" hidden="false" customHeight="false" outlineLevel="0" collapsed="false">
      <c r="A3316" s="1" t="s">
        <v>13931</v>
      </c>
      <c r="B3316" s="1" t="s">
        <v>13932</v>
      </c>
      <c r="C3316" s="1" t="s">
        <v>10370</v>
      </c>
      <c r="D3316" s="2" t="n">
        <v>39290</v>
      </c>
      <c r="E3316" s="1" t="s">
        <v>763</v>
      </c>
      <c r="F3316" s="1" t="s">
        <v>711</v>
      </c>
      <c r="G3316" s="1" t="s">
        <v>712</v>
      </c>
      <c r="H3316" s="1" t="s">
        <v>713</v>
      </c>
      <c r="I3316" s="1" t="s">
        <v>714</v>
      </c>
      <c r="J3316" s="1" t="s">
        <v>2117</v>
      </c>
      <c r="K3316" s="1" t="s">
        <v>716</v>
      </c>
      <c r="L3316" s="1" t="s">
        <v>8406</v>
      </c>
      <c r="M3316" s="1" t="s">
        <v>718</v>
      </c>
    </row>
    <row r="3317" customFormat="false" ht="15" hidden="false" customHeight="false" outlineLevel="0" collapsed="false">
      <c r="A3317" s="1" t="s">
        <v>13933</v>
      </c>
      <c r="B3317" s="1" t="s">
        <v>13934</v>
      </c>
      <c r="C3317" s="1" t="s">
        <v>9002</v>
      </c>
      <c r="D3317" s="2" t="n">
        <v>38834</v>
      </c>
      <c r="E3317" s="1" t="s">
        <v>710</v>
      </c>
      <c r="F3317" s="1" t="s">
        <v>711</v>
      </c>
      <c r="G3317" s="1" t="s">
        <v>712</v>
      </c>
      <c r="H3317" s="1" t="s">
        <v>713</v>
      </c>
      <c r="I3317" s="1" t="s">
        <v>714</v>
      </c>
      <c r="J3317" s="1" t="s">
        <v>2807</v>
      </c>
      <c r="K3317" s="1" t="s">
        <v>13935</v>
      </c>
      <c r="L3317" s="1" t="s">
        <v>13936</v>
      </c>
      <c r="M3317" s="1" t="s">
        <v>718</v>
      </c>
    </row>
    <row r="3318" customFormat="false" ht="15" hidden="false" customHeight="false" outlineLevel="0" collapsed="false">
      <c r="A3318" s="1" t="s">
        <v>13937</v>
      </c>
      <c r="B3318" s="1" t="s">
        <v>13938</v>
      </c>
      <c r="C3318" s="1" t="s">
        <v>9990</v>
      </c>
      <c r="D3318" s="2" t="n">
        <v>39128</v>
      </c>
      <c r="E3318" s="1" t="s">
        <v>763</v>
      </c>
      <c r="F3318" s="1" t="s">
        <v>711</v>
      </c>
      <c r="G3318" s="1" t="s">
        <v>712</v>
      </c>
      <c r="H3318" s="1" t="s">
        <v>713</v>
      </c>
      <c r="I3318" s="1" t="s">
        <v>714</v>
      </c>
      <c r="J3318" s="1" t="s">
        <v>2807</v>
      </c>
      <c r="K3318" s="1" t="s">
        <v>13939</v>
      </c>
      <c r="L3318" s="1" t="s">
        <v>9992</v>
      </c>
      <c r="M3318" s="1" t="s">
        <v>718</v>
      </c>
    </row>
    <row r="3319" customFormat="false" ht="15" hidden="false" customHeight="false" outlineLevel="0" collapsed="false">
      <c r="A3319" s="1" t="s">
        <v>13940</v>
      </c>
      <c r="B3319" s="1" t="s">
        <v>13941</v>
      </c>
      <c r="C3319" s="1" t="s">
        <v>9420</v>
      </c>
      <c r="D3319" s="2" t="n">
        <v>39214</v>
      </c>
      <c r="E3319" s="1" t="s">
        <v>763</v>
      </c>
      <c r="F3319" s="1" t="s">
        <v>711</v>
      </c>
      <c r="G3319" s="1" t="s">
        <v>722</v>
      </c>
      <c r="H3319" s="1" t="s">
        <v>713</v>
      </c>
      <c r="I3319" s="1" t="s">
        <v>714</v>
      </c>
      <c r="J3319" s="1" t="s">
        <v>5211</v>
      </c>
      <c r="K3319" s="1" t="s">
        <v>716</v>
      </c>
      <c r="L3319" s="1" t="s">
        <v>9423</v>
      </c>
      <c r="M3319" s="1" t="s">
        <v>718</v>
      </c>
    </row>
    <row r="3320" customFormat="false" ht="15" hidden="false" customHeight="false" outlineLevel="0" collapsed="false">
      <c r="A3320" s="1" t="s">
        <v>13942</v>
      </c>
      <c r="B3320" s="1" t="s">
        <v>13943</v>
      </c>
      <c r="C3320" s="1" t="s">
        <v>13944</v>
      </c>
      <c r="D3320" s="2" t="n">
        <v>39222</v>
      </c>
      <c r="E3320" s="1" t="s">
        <v>763</v>
      </c>
      <c r="F3320" s="1" t="s">
        <v>711</v>
      </c>
      <c r="G3320" s="1" t="s">
        <v>712</v>
      </c>
      <c r="H3320" s="1" t="s">
        <v>713</v>
      </c>
      <c r="I3320" s="1" t="s">
        <v>714</v>
      </c>
      <c r="J3320" s="1" t="s">
        <v>928</v>
      </c>
      <c r="K3320" s="1" t="s">
        <v>13945</v>
      </c>
      <c r="L3320" s="1" t="s">
        <v>13946</v>
      </c>
      <c r="M3320" s="1" t="s">
        <v>718</v>
      </c>
    </row>
    <row r="3321" customFormat="false" ht="15" hidden="false" customHeight="false" outlineLevel="0" collapsed="false">
      <c r="A3321" s="1" t="s">
        <v>13947</v>
      </c>
      <c r="B3321" s="1" t="s">
        <v>13948</v>
      </c>
      <c r="C3321" s="1" t="s">
        <v>13949</v>
      </c>
      <c r="D3321" s="2" t="n">
        <v>39441</v>
      </c>
      <c r="E3321" s="1" t="s">
        <v>763</v>
      </c>
      <c r="F3321" s="1" t="s">
        <v>711</v>
      </c>
      <c r="G3321" s="1" t="s">
        <v>722</v>
      </c>
      <c r="H3321" s="1" t="s">
        <v>713</v>
      </c>
      <c r="I3321" s="1" t="s">
        <v>714</v>
      </c>
      <c r="J3321" s="1" t="s">
        <v>1244</v>
      </c>
      <c r="K3321" s="1" t="s">
        <v>12906</v>
      </c>
      <c r="L3321" s="1" t="s">
        <v>13950</v>
      </c>
      <c r="M3321" s="1" t="s">
        <v>718</v>
      </c>
    </row>
    <row r="3322" customFormat="false" ht="15" hidden="false" customHeight="false" outlineLevel="0" collapsed="false">
      <c r="A3322" s="1" t="s">
        <v>13951</v>
      </c>
      <c r="B3322" s="1" t="s">
        <v>13952</v>
      </c>
      <c r="C3322" s="1" t="s">
        <v>13953</v>
      </c>
      <c r="D3322" s="2" t="n">
        <v>38048</v>
      </c>
      <c r="E3322" s="1" t="s">
        <v>763</v>
      </c>
      <c r="F3322" s="1" t="s">
        <v>711</v>
      </c>
      <c r="G3322" s="1" t="s">
        <v>13954</v>
      </c>
      <c r="H3322" s="1" t="s">
        <v>713</v>
      </c>
      <c r="I3322" s="1" t="s">
        <v>714</v>
      </c>
      <c r="J3322" s="1" t="s">
        <v>13753</v>
      </c>
      <c r="K3322" s="1" t="s">
        <v>12577</v>
      </c>
      <c r="L3322" s="1" t="s">
        <v>13955</v>
      </c>
      <c r="M3322" s="1" t="s">
        <v>718</v>
      </c>
    </row>
    <row r="3323" customFormat="false" ht="15" hidden="false" customHeight="false" outlineLevel="0" collapsed="false">
      <c r="A3323" s="1" t="s">
        <v>13956</v>
      </c>
      <c r="B3323" s="1" t="s">
        <v>13957</v>
      </c>
      <c r="C3323" s="1" t="s">
        <v>10902</v>
      </c>
      <c r="D3323" s="2" t="n">
        <v>39079</v>
      </c>
      <c r="E3323" s="1" t="s">
        <v>763</v>
      </c>
      <c r="F3323" s="1" t="s">
        <v>711</v>
      </c>
      <c r="G3323" s="1" t="s">
        <v>712</v>
      </c>
      <c r="H3323" s="1" t="s">
        <v>713</v>
      </c>
      <c r="I3323" s="1" t="s">
        <v>714</v>
      </c>
      <c r="J3323" s="1" t="s">
        <v>740</v>
      </c>
      <c r="K3323" s="1" t="s">
        <v>716</v>
      </c>
      <c r="L3323" s="1" t="s">
        <v>10904</v>
      </c>
      <c r="M3323" s="1" t="s">
        <v>718</v>
      </c>
    </row>
    <row r="3324" customFormat="false" ht="15" hidden="false" customHeight="false" outlineLevel="0" collapsed="false">
      <c r="A3324" s="1" t="s">
        <v>13958</v>
      </c>
      <c r="B3324" s="1" t="s">
        <v>13959</v>
      </c>
      <c r="C3324" s="1" t="s">
        <v>3067</v>
      </c>
      <c r="D3324" s="2" t="n">
        <v>37784</v>
      </c>
      <c r="E3324" s="1" t="s">
        <v>763</v>
      </c>
      <c r="F3324" s="1" t="s">
        <v>711</v>
      </c>
      <c r="G3324" s="1" t="s">
        <v>775</v>
      </c>
      <c r="H3324" s="1" t="s">
        <v>713</v>
      </c>
      <c r="I3324" s="1" t="s">
        <v>714</v>
      </c>
      <c r="J3324" s="1" t="s">
        <v>8447</v>
      </c>
      <c r="K3324" s="1" t="s">
        <v>716</v>
      </c>
      <c r="L3324" s="1" t="s">
        <v>13490</v>
      </c>
      <c r="M3324" s="1" t="s">
        <v>718</v>
      </c>
    </row>
    <row r="3325" customFormat="false" ht="15" hidden="false" customHeight="false" outlineLevel="0" collapsed="false">
      <c r="A3325" s="1" t="s">
        <v>13960</v>
      </c>
      <c r="B3325" s="1" t="s">
        <v>13961</v>
      </c>
      <c r="C3325" s="1" t="s">
        <v>13899</v>
      </c>
      <c r="D3325" s="2" t="n">
        <v>38443</v>
      </c>
      <c r="E3325" s="1" t="s">
        <v>763</v>
      </c>
      <c r="F3325" s="1" t="s">
        <v>711</v>
      </c>
      <c r="G3325" s="1" t="s">
        <v>722</v>
      </c>
      <c r="H3325" s="1" t="s">
        <v>713</v>
      </c>
      <c r="I3325" s="1" t="s">
        <v>714</v>
      </c>
      <c r="J3325" s="1" t="s">
        <v>1149</v>
      </c>
      <c r="K3325" s="1" t="s">
        <v>13962</v>
      </c>
      <c r="L3325" s="1" t="s">
        <v>13901</v>
      </c>
      <c r="M3325" s="1" t="s">
        <v>718</v>
      </c>
    </row>
    <row r="3326" customFormat="false" ht="15" hidden="false" customHeight="false" outlineLevel="0" collapsed="false">
      <c r="A3326" s="1" t="s">
        <v>13963</v>
      </c>
      <c r="B3326" s="1" t="s">
        <v>13964</v>
      </c>
      <c r="C3326" s="1" t="s">
        <v>12107</v>
      </c>
      <c r="D3326" s="2" t="n">
        <v>39451</v>
      </c>
      <c r="E3326" s="1" t="s">
        <v>710</v>
      </c>
      <c r="F3326" s="1" t="s">
        <v>711</v>
      </c>
      <c r="G3326" s="1" t="s">
        <v>712</v>
      </c>
      <c r="H3326" s="1" t="s">
        <v>713</v>
      </c>
      <c r="I3326" s="1" t="s">
        <v>714</v>
      </c>
      <c r="J3326" s="1" t="s">
        <v>13688</v>
      </c>
      <c r="K3326" s="1" t="s">
        <v>13965</v>
      </c>
      <c r="L3326" s="1" t="s">
        <v>13966</v>
      </c>
      <c r="M3326" s="1" t="s">
        <v>718</v>
      </c>
    </row>
    <row r="3327" customFormat="false" ht="15" hidden="false" customHeight="false" outlineLevel="0" collapsed="false">
      <c r="A3327" s="1" t="s">
        <v>13967</v>
      </c>
      <c r="B3327" s="1" t="s">
        <v>13968</v>
      </c>
      <c r="C3327" s="1" t="s">
        <v>13969</v>
      </c>
      <c r="D3327" s="2" t="n">
        <v>39753</v>
      </c>
      <c r="E3327" s="1" t="s">
        <v>763</v>
      </c>
      <c r="F3327" s="1" t="s">
        <v>711</v>
      </c>
      <c r="G3327" s="1" t="s">
        <v>712</v>
      </c>
      <c r="H3327" s="1" t="s">
        <v>713</v>
      </c>
      <c r="I3327" s="1" t="s">
        <v>714</v>
      </c>
      <c r="J3327" s="1" t="s">
        <v>751</v>
      </c>
      <c r="K3327" s="1" t="s">
        <v>716</v>
      </c>
      <c r="L3327" s="1" t="s">
        <v>13970</v>
      </c>
      <c r="M3327" s="1" t="s">
        <v>718</v>
      </c>
    </row>
    <row r="3328" customFormat="false" ht="15" hidden="false" customHeight="false" outlineLevel="0" collapsed="false">
      <c r="A3328" s="1" t="s">
        <v>13971</v>
      </c>
      <c r="B3328" s="1" t="s">
        <v>13972</v>
      </c>
      <c r="C3328" s="1" t="s">
        <v>3238</v>
      </c>
      <c r="D3328" s="2" t="n">
        <v>39496</v>
      </c>
      <c r="E3328" s="1" t="s">
        <v>710</v>
      </c>
      <c r="F3328" s="1" t="s">
        <v>711</v>
      </c>
      <c r="G3328" s="1" t="s">
        <v>712</v>
      </c>
      <c r="H3328" s="1" t="s">
        <v>713</v>
      </c>
      <c r="I3328" s="1" t="s">
        <v>714</v>
      </c>
      <c r="J3328" s="1" t="s">
        <v>5117</v>
      </c>
      <c r="K3328" s="1" t="s">
        <v>13973</v>
      </c>
      <c r="L3328" s="1" t="s">
        <v>3240</v>
      </c>
      <c r="M3328" s="1" t="s">
        <v>718</v>
      </c>
    </row>
    <row r="3329" customFormat="false" ht="15" hidden="false" customHeight="false" outlineLevel="0" collapsed="false">
      <c r="A3329" s="1" t="s">
        <v>13974</v>
      </c>
      <c r="B3329" s="1" t="s">
        <v>1481</v>
      </c>
      <c r="C3329" s="1" t="s">
        <v>789</v>
      </c>
      <c r="D3329" s="2" t="n">
        <v>38988</v>
      </c>
      <c r="E3329" s="1" t="s">
        <v>710</v>
      </c>
      <c r="F3329" s="1" t="s">
        <v>711</v>
      </c>
      <c r="G3329" s="1" t="s">
        <v>712</v>
      </c>
      <c r="H3329" s="1" t="s">
        <v>713</v>
      </c>
      <c r="I3329" s="1" t="s">
        <v>714</v>
      </c>
      <c r="J3329" s="1" t="s">
        <v>2117</v>
      </c>
      <c r="K3329" s="1" t="s">
        <v>716</v>
      </c>
      <c r="L3329" s="1" t="s">
        <v>792</v>
      </c>
      <c r="M3329" s="1" t="s">
        <v>718</v>
      </c>
    </row>
    <row r="3330" customFormat="false" ht="15" hidden="false" customHeight="false" outlineLevel="0" collapsed="false">
      <c r="A3330" s="1" t="s">
        <v>13975</v>
      </c>
      <c r="B3330" s="1" t="s">
        <v>12149</v>
      </c>
      <c r="C3330" s="1" t="s">
        <v>13492</v>
      </c>
      <c r="D3330" s="2" t="n">
        <v>39464</v>
      </c>
      <c r="E3330" s="1" t="s">
        <v>710</v>
      </c>
      <c r="F3330" s="1" t="s">
        <v>711</v>
      </c>
      <c r="G3330" s="1" t="s">
        <v>712</v>
      </c>
      <c r="H3330" s="1" t="s">
        <v>713</v>
      </c>
      <c r="I3330" s="1" t="s">
        <v>714</v>
      </c>
      <c r="J3330" s="1" t="s">
        <v>1723</v>
      </c>
      <c r="K3330" s="1" t="s">
        <v>13976</v>
      </c>
      <c r="L3330" s="1" t="s">
        <v>13494</v>
      </c>
      <c r="M3330" s="1" t="s">
        <v>718</v>
      </c>
    </row>
    <row r="3331" customFormat="false" ht="15" hidden="false" customHeight="false" outlineLevel="0" collapsed="false">
      <c r="A3331" s="1" t="s">
        <v>13977</v>
      </c>
      <c r="B3331" s="1" t="s">
        <v>4018</v>
      </c>
      <c r="C3331" s="1" t="s">
        <v>13978</v>
      </c>
      <c r="D3331" s="2" t="n">
        <v>29974</v>
      </c>
      <c r="E3331" s="1" t="s">
        <v>710</v>
      </c>
      <c r="F3331" s="1" t="s">
        <v>711</v>
      </c>
      <c r="G3331" s="1" t="s">
        <v>722</v>
      </c>
      <c r="H3331" s="1" t="s">
        <v>713</v>
      </c>
      <c r="I3331" s="1" t="s">
        <v>714</v>
      </c>
      <c r="J3331" s="1" t="s">
        <v>4239</v>
      </c>
      <c r="K3331" s="1" t="s">
        <v>716</v>
      </c>
      <c r="L3331" s="1" t="s">
        <v>834</v>
      </c>
      <c r="M3331" s="1" t="s">
        <v>718</v>
      </c>
    </row>
    <row r="3332" customFormat="false" ht="15" hidden="false" customHeight="false" outlineLevel="0" collapsed="false">
      <c r="A3332" s="1" t="s">
        <v>13979</v>
      </c>
      <c r="B3332" s="1" t="s">
        <v>6049</v>
      </c>
      <c r="C3332" s="1" t="s">
        <v>13980</v>
      </c>
      <c r="D3332" s="2" t="n">
        <v>35482</v>
      </c>
      <c r="E3332" s="1" t="s">
        <v>710</v>
      </c>
      <c r="F3332" s="1" t="s">
        <v>711</v>
      </c>
      <c r="G3332" s="1" t="s">
        <v>712</v>
      </c>
      <c r="H3332" s="1" t="s">
        <v>713</v>
      </c>
      <c r="I3332" s="1" t="s">
        <v>714</v>
      </c>
      <c r="J3332" s="1" t="s">
        <v>716</v>
      </c>
      <c r="K3332" s="1" t="s">
        <v>716</v>
      </c>
      <c r="L3332" s="1" t="s">
        <v>834</v>
      </c>
      <c r="M3332" s="1" t="s">
        <v>718</v>
      </c>
    </row>
    <row r="3333" customFormat="false" ht="15" hidden="false" customHeight="false" outlineLevel="0" collapsed="false">
      <c r="A3333" s="1" t="s">
        <v>13981</v>
      </c>
      <c r="B3333" s="1" t="s">
        <v>13982</v>
      </c>
      <c r="C3333" s="1" t="s">
        <v>13983</v>
      </c>
      <c r="D3333" s="2" t="n">
        <v>30807</v>
      </c>
      <c r="E3333" s="1" t="s">
        <v>763</v>
      </c>
      <c r="F3333" s="1" t="s">
        <v>711</v>
      </c>
      <c r="G3333" s="1" t="s">
        <v>712</v>
      </c>
      <c r="H3333" s="1" t="s">
        <v>713</v>
      </c>
      <c r="I3333" s="1" t="s">
        <v>714</v>
      </c>
      <c r="J3333" s="1" t="s">
        <v>716</v>
      </c>
      <c r="K3333" s="1" t="s">
        <v>716</v>
      </c>
      <c r="L3333" s="1" t="s">
        <v>834</v>
      </c>
      <c r="M3333" s="1" t="s">
        <v>718</v>
      </c>
    </row>
    <row r="3334" customFormat="false" ht="15" hidden="false" customHeight="false" outlineLevel="0" collapsed="false">
      <c r="A3334" s="1" t="s">
        <v>13984</v>
      </c>
      <c r="B3334" s="1" t="s">
        <v>13985</v>
      </c>
      <c r="C3334" s="1" t="s">
        <v>1234</v>
      </c>
      <c r="D3334" s="2" t="n">
        <v>39340</v>
      </c>
      <c r="E3334" s="1" t="s">
        <v>710</v>
      </c>
      <c r="F3334" s="1" t="s">
        <v>711</v>
      </c>
      <c r="G3334" s="1" t="s">
        <v>722</v>
      </c>
      <c r="H3334" s="1" t="s">
        <v>713</v>
      </c>
      <c r="I3334" s="1" t="s">
        <v>714</v>
      </c>
      <c r="J3334" s="1" t="s">
        <v>13986</v>
      </c>
      <c r="K3334" s="1" t="s">
        <v>13987</v>
      </c>
      <c r="L3334" s="1" t="s">
        <v>1236</v>
      </c>
      <c r="M3334" s="1" t="s">
        <v>718</v>
      </c>
    </row>
    <row r="3335" customFormat="false" ht="15" hidden="false" customHeight="false" outlineLevel="0" collapsed="false">
      <c r="A3335" s="1" t="s">
        <v>13988</v>
      </c>
      <c r="B3335" s="1" t="s">
        <v>13989</v>
      </c>
      <c r="C3335" s="1" t="s">
        <v>13990</v>
      </c>
      <c r="D3335" s="2" t="n">
        <v>39281</v>
      </c>
      <c r="E3335" s="1" t="s">
        <v>763</v>
      </c>
      <c r="F3335" s="1" t="s">
        <v>711</v>
      </c>
      <c r="G3335" s="1" t="s">
        <v>722</v>
      </c>
      <c r="H3335" s="1" t="s">
        <v>713</v>
      </c>
      <c r="I3335" s="1" t="s">
        <v>714</v>
      </c>
      <c r="J3335" s="1" t="s">
        <v>13986</v>
      </c>
      <c r="K3335" s="1" t="s">
        <v>13987</v>
      </c>
      <c r="L3335" s="1" t="s">
        <v>1236</v>
      </c>
      <c r="M3335" s="1" t="s">
        <v>718</v>
      </c>
    </row>
    <row r="3336" customFormat="false" ht="15" hidden="false" customHeight="false" outlineLevel="0" collapsed="false">
      <c r="A3336" s="1" t="s">
        <v>13991</v>
      </c>
      <c r="B3336" s="1" t="s">
        <v>13992</v>
      </c>
      <c r="C3336" s="1" t="s">
        <v>13993</v>
      </c>
      <c r="D3336" s="2" t="n">
        <v>39331</v>
      </c>
      <c r="E3336" s="1" t="s">
        <v>763</v>
      </c>
      <c r="F3336" s="1" t="s">
        <v>711</v>
      </c>
      <c r="G3336" s="1" t="s">
        <v>712</v>
      </c>
      <c r="H3336" s="1" t="s">
        <v>713</v>
      </c>
      <c r="I3336" s="1" t="s">
        <v>714</v>
      </c>
      <c r="J3336" s="1" t="s">
        <v>13986</v>
      </c>
      <c r="K3336" s="1" t="s">
        <v>13987</v>
      </c>
      <c r="L3336" s="1" t="s">
        <v>1236</v>
      </c>
      <c r="M3336" s="1" t="s">
        <v>718</v>
      </c>
    </row>
    <row r="3337" customFormat="false" ht="15" hidden="false" customHeight="false" outlineLevel="0" collapsed="false">
      <c r="A3337" s="1" t="s">
        <v>13994</v>
      </c>
      <c r="B3337" s="1" t="s">
        <v>13995</v>
      </c>
      <c r="C3337" s="1" t="s">
        <v>6270</v>
      </c>
      <c r="D3337" s="2" t="n">
        <v>39410</v>
      </c>
      <c r="E3337" s="1" t="s">
        <v>710</v>
      </c>
      <c r="F3337" s="1" t="s">
        <v>711</v>
      </c>
      <c r="G3337" s="1" t="s">
        <v>712</v>
      </c>
      <c r="H3337" s="1" t="s">
        <v>713</v>
      </c>
      <c r="I3337" s="1" t="s">
        <v>714</v>
      </c>
      <c r="J3337" s="1" t="s">
        <v>13996</v>
      </c>
      <c r="K3337" s="1" t="s">
        <v>13997</v>
      </c>
      <c r="L3337" s="1" t="s">
        <v>13998</v>
      </c>
      <c r="M3337" s="1" t="s">
        <v>718</v>
      </c>
    </row>
    <row r="3338" customFormat="false" ht="15" hidden="false" customHeight="false" outlineLevel="0" collapsed="false">
      <c r="A3338" s="1" t="s">
        <v>13999</v>
      </c>
      <c r="B3338" s="1" t="s">
        <v>14000</v>
      </c>
      <c r="C3338" s="1" t="s">
        <v>750</v>
      </c>
      <c r="D3338" s="2" t="n">
        <v>38474</v>
      </c>
      <c r="E3338" s="1" t="s">
        <v>710</v>
      </c>
      <c r="F3338" s="1" t="s">
        <v>711</v>
      </c>
      <c r="G3338" s="1" t="s">
        <v>722</v>
      </c>
      <c r="H3338" s="1" t="s">
        <v>713</v>
      </c>
      <c r="I3338" s="1" t="s">
        <v>714</v>
      </c>
      <c r="J3338" s="1" t="s">
        <v>12469</v>
      </c>
      <c r="K3338" s="1" t="s">
        <v>716</v>
      </c>
      <c r="L3338" s="1" t="s">
        <v>13920</v>
      </c>
      <c r="M3338" s="1" t="s">
        <v>718</v>
      </c>
    </row>
    <row r="3339" customFormat="false" ht="15" hidden="false" customHeight="false" outlineLevel="0" collapsed="false">
      <c r="A3339" s="1" t="s">
        <v>14001</v>
      </c>
      <c r="B3339" s="1" t="s">
        <v>14002</v>
      </c>
      <c r="C3339" s="1" t="s">
        <v>14003</v>
      </c>
      <c r="D3339" s="2" t="n">
        <v>39230</v>
      </c>
      <c r="E3339" s="1" t="s">
        <v>763</v>
      </c>
      <c r="F3339" s="1" t="s">
        <v>711</v>
      </c>
      <c r="G3339" s="1" t="s">
        <v>712</v>
      </c>
      <c r="H3339" s="1" t="s">
        <v>713</v>
      </c>
      <c r="I3339" s="1" t="s">
        <v>714</v>
      </c>
      <c r="J3339" s="1" t="s">
        <v>14004</v>
      </c>
      <c r="K3339" s="1" t="s">
        <v>14005</v>
      </c>
      <c r="L3339" s="1" t="s">
        <v>14006</v>
      </c>
      <c r="M3339" s="1" t="s">
        <v>718</v>
      </c>
    </row>
    <row r="3340" customFormat="false" ht="15" hidden="false" customHeight="false" outlineLevel="0" collapsed="false">
      <c r="A3340" s="1" t="s">
        <v>14007</v>
      </c>
      <c r="B3340" s="1" t="s">
        <v>14008</v>
      </c>
      <c r="C3340" s="1" t="s">
        <v>2992</v>
      </c>
      <c r="D3340" s="2" t="n">
        <v>39498</v>
      </c>
      <c r="E3340" s="1" t="s">
        <v>710</v>
      </c>
      <c r="F3340" s="1" t="s">
        <v>711</v>
      </c>
      <c r="G3340" s="1" t="s">
        <v>712</v>
      </c>
      <c r="H3340" s="1" t="s">
        <v>713</v>
      </c>
      <c r="I3340" s="1" t="s">
        <v>714</v>
      </c>
      <c r="J3340" s="1" t="s">
        <v>10504</v>
      </c>
      <c r="K3340" s="1" t="s">
        <v>14009</v>
      </c>
      <c r="L3340" s="1" t="s">
        <v>9535</v>
      </c>
      <c r="M3340" s="1" t="s">
        <v>718</v>
      </c>
    </row>
    <row r="3341" customFormat="false" ht="15" hidden="false" customHeight="false" outlineLevel="0" collapsed="false">
      <c r="A3341" s="1" t="s">
        <v>14010</v>
      </c>
      <c r="B3341" s="1" t="s">
        <v>14011</v>
      </c>
      <c r="C3341" s="1" t="s">
        <v>14012</v>
      </c>
      <c r="D3341" s="2" t="n">
        <v>39251</v>
      </c>
      <c r="E3341" s="1" t="s">
        <v>763</v>
      </c>
      <c r="F3341" s="1" t="s">
        <v>711</v>
      </c>
      <c r="G3341" s="1" t="s">
        <v>722</v>
      </c>
      <c r="H3341" s="1" t="s">
        <v>713</v>
      </c>
      <c r="I3341" s="1" t="s">
        <v>714</v>
      </c>
      <c r="J3341" s="1" t="s">
        <v>12526</v>
      </c>
      <c r="K3341" s="1" t="s">
        <v>14013</v>
      </c>
      <c r="L3341" s="1" t="s">
        <v>14014</v>
      </c>
      <c r="M3341" s="1" t="s">
        <v>718</v>
      </c>
    </row>
    <row r="3342" customFormat="false" ht="15" hidden="false" customHeight="false" outlineLevel="0" collapsed="false">
      <c r="A3342" s="1" t="s">
        <v>14015</v>
      </c>
      <c r="B3342" s="1" t="s">
        <v>14016</v>
      </c>
      <c r="C3342" s="1" t="s">
        <v>14017</v>
      </c>
      <c r="D3342" s="2" t="n">
        <v>38737</v>
      </c>
      <c r="E3342" s="1" t="s">
        <v>710</v>
      </c>
      <c r="F3342" s="1" t="s">
        <v>711</v>
      </c>
      <c r="G3342" s="1" t="s">
        <v>712</v>
      </c>
      <c r="H3342" s="1" t="s">
        <v>713</v>
      </c>
      <c r="I3342" s="1" t="s">
        <v>714</v>
      </c>
      <c r="J3342" s="1" t="s">
        <v>14018</v>
      </c>
      <c r="K3342" s="1" t="s">
        <v>14019</v>
      </c>
      <c r="L3342" s="1" t="s">
        <v>14020</v>
      </c>
      <c r="M3342" s="1" t="s">
        <v>718</v>
      </c>
    </row>
    <row r="3343" customFormat="false" ht="15" hidden="false" customHeight="false" outlineLevel="0" collapsed="false">
      <c r="A3343" s="1" t="s">
        <v>14021</v>
      </c>
      <c r="B3343" s="1" t="s">
        <v>14022</v>
      </c>
      <c r="C3343" s="1" t="s">
        <v>10527</v>
      </c>
      <c r="D3343" s="2" t="n">
        <v>39116</v>
      </c>
      <c r="E3343" s="1" t="s">
        <v>763</v>
      </c>
      <c r="F3343" s="1" t="s">
        <v>711</v>
      </c>
      <c r="G3343" s="1" t="s">
        <v>712</v>
      </c>
      <c r="H3343" s="1" t="s">
        <v>713</v>
      </c>
      <c r="I3343" s="1" t="s">
        <v>714</v>
      </c>
      <c r="J3343" s="1" t="s">
        <v>8416</v>
      </c>
      <c r="K3343" s="1" t="s">
        <v>14023</v>
      </c>
      <c r="L3343" s="1" t="s">
        <v>10529</v>
      </c>
      <c r="M3343" s="1" t="s">
        <v>718</v>
      </c>
    </row>
    <row r="3344" customFormat="false" ht="15" hidden="false" customHeight="false" outlineLevel="0" collapsed="false">
      <c r="A3344" s="1" t="s">
        <v>14024</v>
      </c>
      <c r="B3344" s="1" t="s">
        <v>957</v>
      </c>
      <c r="C3344" s="1" t="s">
        <v>14025</v>
      </c>
      <c r="D3344" s="2" t="n">
        <v>39382</v>
      </c>
      <c r="E3344" s="1" t="s">
        <v>710</v>
      </c>
      <c r="F3344" s="1" t="s">
        <v>711</v>
      </c>
      <c r="G3344" s="1" t="s">
        <v>712</v>
      </c>
      <c r="H3344" s="1" t="s">
        <v>713</v>
      </c>
      <c r="I3344" s="1" t="s">
        <v>714</v>
      </c>
      <c r="J3344" s="1" t="s">
        <v>12226</v>
      </c>
      <c r="K3344" s="1" t="s">
        <v>716</v>
      </c>
      <c r="L3344" s="1" t="s">
        <v>14026</v>
      </c>
      <c r="M3344" s="1" t="s">
        <v>718</v>
      </c>
    </row>
    <row r="3345" customFormat="false" ht="15" hidden="false" customHeight="false" outlineLevel="0" collapsed="false">
      <c r="A3345" s="1" t="s">
        <v>14027</v>
      </c>
      <c r="B3345" s="1" t="s">
        <v>14028</v>
      </c>
      <c r="C3345" s="1" t="s">
        <v>4370</v>
      </c>
      <c r="D3345" s="2" t="n">
        <v>38657</v>
      </c>
      <c r="E3345" s="1" t="s">
        <v>763</v>
      </c>
      <c r="F3345" s="1" t="s">
        <v>711</v>
      </c>
      <c r="G3345" s="1" t="s">
        <v>722</v>
      </c>
      <c r="H3345" s="1" t="s">
        <v>713</v>
      </c>
      <c r="I3345" s="1" t="s">
        <v>714</v>
      </c>
      <c r="J3345" s="1" t="s">
        <v>8893</v>
      </c>
      <c r="K3345" s="1" t="s">
        <v>716</v>
      </c>
      <c r="L3345" s="1" t="s">
        <v>14029</v>
      </c>
      <c r="M3345" s="1" t="s">
        <v>718</v>
      </c>
    </row>
    <row r="3346" customFormat="false" ht="15" hidden="false" customHeight="false" outlineLevel="0" collapsed="false">
      <c r="A3346" s="1" t="s">
        <v>14030</v>
      </c>
      <c r="B3346" s="1" t="s">
        <v>14031</v>
      </c>
      <c r="C3346" s="1" t="s">
        <v>14032</v>
      </c>
      <c r="D3346" s="2" t="n">
        <v>38854</v>
      </c>
      <c r="E3346" s="1" t="s">
        <v>763</v>
      </c>
      <c r="F3346" s="1" t="s">
        <v>711</v>
      </c>
      <c r="G3346" s="1" t="s">
        <v>712</v>
      </c>
      <c r="H3346" s="1" t="s">
        <v>713</v>
      </c>
      <c r="I3346" s="1" t="s">
        <v>714</v>
      </c>
      <c r="J3346" s="1" t="s">
        <v>12226</v>
      </c>
      <c r="K3346" s="1" t="s">
        <v>716</v>
      </c>
      <c r="L3346" s="1" t="s">
        <v>14033</v>
      </c>
      <c r="M3346" s="1" t="s">
        <v>718</v>
      </c>
    </row>
    <row r="3347" customFormat="false" ht="15" hidden="false" customHeight="false" outlineLevel="0" collapsed="false">
      <c r="A3347" s="1" t="s">
        <v>14034</v>
      </c>
      <c r="B3347" s="1" t="s">
        <v>6262</v>
      </c>
      <c r="C3347" s="1" t="s">
        <v>14035</v>
      </c>
      <c r="D3347" s="2" t="n">
        <v>39741</v>
      </c>
      <c r="E3347" s="1" t="s">
        <v>710</v>
      </c>
      <c r="F3347" s="1" t="s">
        <v>711</v>
      </c>
      <c r="G3347" s="1" t="s">
        <v>7695</v>
      </c>
      <c r="H3347" s="1" t="s">
        <v>713</v>
      </c>
      <c r="I3347" s="1" t="s">
        <v>714</v>
      </c>
      <c r="J3347" s="1" t="s">
        <v>8676</v>
      </c>
      <c r="K3347" s="1" t="s">
        <v>14036</v>
      </c>
      <c r="L3347" s="1" t="s">
        <v>14037</v>
      </c>
      <c r="M3347" s="1" t="s">
        <v>718</v>
      </c>
    </row>
    <row r="3348" customFormat="false" ht="15" hidden="false" customHeight="false" outlineLevel="0" collapsed="false">
      <c r="A3348" s="1" t="s">
        <v>14038</v>
      </c>
      <c r="B3348" s="1" t="s">
        <v>14039</v>
      </c>
      <c r="C3348" s="1" t="s">
        <v>14040</v>
      </c>
      <c r="D3348" s="2" t="n">
        <v>39166</v>
      </c>
      <c r="E3348" s="1" t="s">
        <v>710</v>
      </c>
      <c r="F3348" s="1" t="s">
        <v>711</v>
      </c>
      <c r="G3348" s="1" t="s">
        <v>712</v>
      </c>
      <c r="H3348" s="1" t="s">
        <v>713</v>
      </c>
      <c r="I3348" s="1" t="s">
        <v>714</v>
      </c>
      <c r="J3348" s="1" t="s">
        <v>716</v>
      </c>
      <c r="K3348" s="1" t="s">
        <v>716</v>
      </c>
      <c r="L3348" s="1" t="s">
        <v>14041</v>
      </c>
      <c r="M3348" s="1" t="s">
        <v>718</v>
      </c>
    </row>
    <row r="3349" customFormat="false" ht="15" hidden="false" customHeight="false" outlineLevel="0" collapsed="false">
      <c r="A3349" s="1" t="s">
        <v>14042</v>
      </c>
      <c r="B3349" s="1" t="s">
        <v>14043</v>
      </c>
      <c r="C3349" s="1" t="s">
        <v>14044</v>
      </c>
      <c r="D3349" s="2" t="n">
        <v>37862</v>
      </c>
      <c r="E3349" s="1" t="s">
        <v>763</v>
      </c>
      <c r="F3349" s="1" t="s">
        <v>711</v>
      </c>
      <c r="G3349" s="1" t="s">
        <v>712</v>
      </c>
      <c r="H3349" s="1" t="s">
        <v>713</v>
      </c>
      <c r="I3349" s="1" t="s">
        <v>714</v>
      </c>
      <c r="J3349" s="1" t="s">
        <v>716</v>
      </c>
      <c r="K3349" s="1" t="s">
        <v>14045</v>
      </c>
      <c r="L3349" s="1" t="s">
        <v>14046</v>
      </c>
      <c r="M3349" s="1" t="s">
        <v>718</v>
      </c>
    </row>
    <row r="3350" customFormat="false" ht="15" hidden="false" customHeight="false" outlineLevel="0" collapsed="false">
      <c r="A3350" s="1" t="s">
        <v>14047</v>
      </c>
      <c r="B3350" s="1" t="s">
        <v>12032</v>
      </c>
      <c r="C3350" s="1" t="s">
        <v>8561</v>
      </c>
      <c r="D3350" s="2" t="n">
        <v>39422</v>
      </c>
      <c r="E3350" s="1" t="s">
        <v>710</v>
      </c>
      <c r="F3350" s="1" t="s">
        <v>711</v>
      </c>
      <c r="G3350" s="1" t="s">
        <v>722</v>
      </c>
      <c r="H3350" s="1" t="s">
        <v>713</v>
      </c>
      <c r="I3350" s="1" t="s">
        <v>714</v>
      </c>
      <c r="J3350" s="1" t="s">
        <v>8676</v>
      </c>
      <c r="K3350" s="1" t="s">
        <v>716</v>
      </c>
      <c r="L3350" s="1" t="s">
        <v>8563</v>
      </c>
      <c r="M3350" s="1" t="s">
        <v>718</v>
      </c>
    </row>
    <row r="3351" customFormat="false" ht="15" hidden="false" customHeight="false" outlineLevel="0" collapsed="false">
      <c r="A3351" s="1" t="s">
        <v>14048</v>
      </c>
      <c r="B3351" s="1" t="s">
        <v>14049</v>
      </c>
      <c r="C3351" s="1" t="s">
        <v>14050</v>
      </c>
      <c r="D3351" s="2" t="n">
        <v>39305</v>
      </c>
      <c r="E3351" s="1" t="s">
        <v>710</v>
      </c>
      <c r="F3351" s="1" t="s">
        <v>711</v>
      </c>
      <c r="G3351" s="1" t="s">
        <v>712</v>
      </c>
      <c r="H3351" s="1" t="s">
        <v>713</v>
      </c>
      <c r="I3351" s="1" t="s">
        <v>714</v>
      </c>
      <c r="J3351" s="1" t="s">
        <v>14051</v>
      </c>
      <c r="K3351" s="1" t="s">
        <v>716</v>
      </c>
      <c r="L3351" s="1" t="s">
        <v>860</v>
      </c>
      <c r="M3351" s="1" t="s">
        <v>718</v>
      </c>
    </row>
    <row r="3352" customFormat="false" ht="15" hidden="false" customHeight="false" outlineLevel="0" collapsed="false">
      <c r="A3352" s="1" t="s">
        <v>14052</v>
      </c>
      <c r="B3352" s="1" t="s">
        <v>14053</v>
      </c>
      <c r="C3352" s="1" t="s">
        <v>12718</v>
      </c>
      <c r="D3352" s="2" t="n">
        <v>39093</v>
      </c>
      <c r="E3352" s="1" t="s">
        <v>710</v>
      </c>
      <c r="F3352" s="1" t="s">
        <v>711</v>
      </c>
      <c r="G3352" s="1" t="s">
        <v>722</v>
      </c>
      <c r="H3352" s="1" t="s">
        <v>713</v>
      </c>
      <c r="I3352" s="1" t="s">
        <v>714</v>
      </c>
      <c r="J3352" s="1" t="s">
        <v>13710</v>
      </c>
      <c r="K3352" s="1" t="s">
        <v>716</v>
      </c>
      <c r="L3352" s="1" t="s">
        <v>12185</v>
      </c>
      <c r="M3352" s="1" t="s">
        <v>718</v>
      </c>
    </row>
    <row r="3353" customFormat="false" ht="15" hidden="false" customHeight="false" outlineLevel="0" collapsed="false">
      <c r="A3353" s="1" t="s">
        <v>14054</v>
      </c>
      <c r="B3353" s="1" t="s">
        <v>14055</v>
      </c>
      <c r="C3353" s="1" t="s">
        <v>14056</v>
      </c>
      <c r="D3353" s="2" t="n">
        <v>37768</v>
      </c>
      <c r="E3353" s="1" t="s">
        <v>763</v>
      </c>
      <c r="F3353" s="1" t="s">
        <v>711</v>
      </c>
      <c r="G3353" s="1" t="s">
        <v>712</v>
      </c>
      <c r="H3353" s="1" t="s">
        <v>713</v>
      </c>
      <c r="I3353" s="1" t="s">
        <v>714</v>
      </c>
      <c r="J3353" s="1" t="s">
        <v>13710</v>
      </c>
      <c r="K3353" s="1" t="s">
        <v>14057</v>
      </c>
      <c r="L3353" s="1" t="s">
        <v>14058</v>
      </c>
      <c r="M3353" s="1" t="s">
        <v>718</v>
      </c>
    </row>
    <row r="3354" customFormat="false" ht="15" hidden="false" customHeight="false" outlineLevel="0" collapsed="false">
      <c r="A3354" s="1" t="s">
        <v>14059</v>
      </c>
      <c r="B3354" s="1" t="s">
        <v>14060</v>
      </c>
      <c r="C3354" s="1" t="s">
        <v>5030</v>
      </c>
      <c r="D3354" s="2" t="n">
        <v>39228</v>
      </c>
      <c r="E3354" s="1" t="s">
        <v>763</v>
      </c>
      <c r="F3354" s="1" t="s">
        <v>711</v>
      </c>
      <c r="G3354" s="1" t="s">
        <v>722</v>
      </c>
      <c r="H3354" s="1" t="s">
        <v>713</v>
      </c>
      <c r="I3354" s="1" t="s">
        <v>714</v>
      </c>
      <c r="J3354" s="1" t="s">
        <v>12242</v>
      </c>
      <c r="K3354" s="1" t="s">
        <v>14061</v>
      </c>
      <c r="L3354" s="1" t="s">
        <v>12192</v>
      </c>
      <c r="M3354" s="1" t="s">
        <v>718</v>
      </c>
    </row>
    <row r="3355" customFormat="false" ht="15" hidden="false" customHeight="false" outlineLevel="0" collapsed="false">
      <c r="A3355" s="1" t="s">
        <v>14062</v>
      </c>
      <c r="B3355" s="1" t="s">
        <v>14063</v>
      </c>
      <c r="C3355" s="1" t="s">
        <v>1994</v>
      </c>
      <c r="D3355" s="2" t="n">
        <v>39340</v>
      </c>
      <c r="E3355" s="1" t="s">
        <v>763</v>
      </c>
      <c r="F3355" s="1" t="s">
        <v>711</v>
      </c>
      <c r="G3355" s="1" t="s">
        <v>712</v>
      </c>
      <c r="H3355" s="1" t="s">
        <v>713</v>
      </c>
      <c r="I3355" s="1" t="s">
        <v>714</v>
      </c>
      <c r="J3355" s="1" t="s">
        <v>8504</v>
      </c>
      <c r="K3355" s="1" t="s">
        <v>14064</v>
      </c>
      <c r="L3355" s="1" t="s">
        <v>1996</v>
      </c>
      <c r="M3355" s="1" t="s">
        <v>718</v>
      </c>
    </row>
    <row r="3356" customFormat="false" ht="15" hidden="false" customHeight="false" outlineLevel="0" collapsed="false">
      <c r="A3356" s="1" t="s">
        <v>14065</v>
      </c>
      <c r="B3356" s="1" t="s">
        <v>14066</v>
      </c>
      <c r="C3356" s="1" t="s">
        <v>12681</v>
      </c>
      <c r="D3356" s="2" t="n">
        <v>37775</v>
      </c>
      <c r="E3356" s="1" t="s">
        <v>763</v>
      </c>
      <c r="F3356" s="1" t="s">
        <v>711</v>
      </c>
      <c r="G3356" s="1" t="s">
        <v>712</v>
      </c>
      <c r="H3356" s="1" t="s">
        <v>713</v>
      </c>
      <c r="I3356" s="1" t="s">
        <v>714</v>
      </c>
      <c r="J3356" s="1" t="s">
        <v>716</v>
      </c>
      <c r="K3356" s="1" t="s">
        <v>716</v>
      </c>
      <c r="L3356" s="1" t="s">
        <v>14067</v>
      </c>
      <c r="M3356" s="1" t="s">
        <v>718</v>
      </c>
    </row>
    <row r="3357" customFormat="false" ht="15" hidden="false" customHeight="false" outlineLevel="0" collapsed="false">
      <c r="A3357" s="1" t="s">
        <v>14068</v>
      </c>
      <c r="B3357" s="1" t="s">
        <v>14069</v>
      </c>
      <c r="C3357" s="1" t="s">
        <v>14070</v>
      </c>
      <c r="D3357" s="2" t="n">
        <v>34797</v>
      </c>
      <c r="E3357" s="1" t="s">
        <v>763</v>
      </c>
      <c r="F3357" s="1" t="s">
        <v>711</v>
      </c>
      <c r="G3357" s="1" t="s">
        <v>722</v>
      </c>
      <c r="H3357" s="1" t="s">
        <v>713</v>
      </c>
      <c r="I3357" s="1" t="s">
        <v>714</v>
      </c>
      <c r="J3357" s="1" t="s">
        <v>716</v>
      </c>
      <c r="K3357" s="1" t="s">
        <v>716</v>
      </c>
      <c r="L3357" s="1" t="s">
        <v>5126</v>
      </c>
      <c r="M3357" s="1" t="s">
        <v>718</v>
      </c>
    </row>
    <row r="3358" customFormat="false" ht="15" hidden="false" customHeight="false" outlineLevel="0" collapsed="false">
      <c r="A3358" s="1" t="s">
        <v>14071</v>
      </c>
      <c r="B3358" s="1" t="s">
        <v>11647</v>
      </c>
      <c r="C3358" s="1" t="s">
        <v>14072</v>
      </c>
      <c r="D3358" s="2" t="n">
        <v>33546</v>
      </c>
      <c r="E3358" s="1" t="s">
        <v>763</v>
      </c>
      <c r="F3358" s="1" t="s">
        <v>711</v>
      </c>
      <c r="G3358" s="1" t="s">
        <v>712</v>
      </c>
      <c r="H3358" s="1" t="s">
        <v>713</v>
      </c>
      <c r="I3358" s="1" t="s">
        <v>714</v>
      </c>
      <c r="J3358" s="1" t="s">
        <v>716</v>
      </c>
      <c r="K3358" s="1" t="s">
        <v>716</v>
      </c>
      <c r="L3358" s="1" t="s">
        <v>1418</v>
      </c>
      <c r="M3358" s="1" t="s">
        <v>718</v>
      </c>
    </row>
    <row r="3359" customFormat="false" ht="15" hidden="false" customHeight="false" outlineLevel="0" collapsed="false">
      <c r="A3359" s="1" t="s">
        <v>14073</v>
      </c>
      <c r="B3359" s="1" t="s">
        <v>1668</v>
      </c>
      <c r="C3359" s="1" t="s">
        <v>11711</v>
      </c>
      <c r="D3359" s="2" t="n">
        <v>39589</v>
      </c>
      <c r="E3359" s="1" t="s">
        <v>710</v>
      </c>
      <c r="F3359" s="1" t="s">
        <v>711</v>
      </c>
      <c r="G3359" s="1" t="s">
        <v>712</v>
      </c>
      <c r="H3359" s="1" t="s">
        <v>713</v>
      </c>
      <c r="I3359" s="1" t="s">
        <v>714</v>
      </c>
      <c r="J3359" s="1" t="s">
        <v>14074</v>
      </c>
      <c r="K3359" s="1" t="s">
        <v>716</v>
      </c>
      <c r="L3359" s="1" t="s">
        <v>14075</v>
      </c>
      <c r="M3359" s="1" t="s">
        <v>718</v>
      </c>
    </row>
    <row r="3360" customFormat="false" ht="15" hidden="false" customHeight="false" outlineLevel="0" collapsed="false">
      <c r="A3360" s="1" t="s">
        <v>14076</v>
      </c>
      <c r="B3360" s="1" t="s">
        <v>14077</v>
      </c>
      <c r="C3360" s="1" t="s">
        <v>750</v>
      </c>
      <c r="D3360" s="2" t="n">
        <v>39111</v>
      </c>
      <c r="E3360" s="1" t="s">
        <v>763</v>
      </c>
      <c r="F3360" s="1" t="s">
        <v>711</v>
      </c>
      <c r="G3360" s="1" t="s">
        <v>712</v>
      </c>
      <c r="H3360" s="1" t="s">
        <v>713</v>
      </c>
      <c r="I3360" s="1" t="s">
        <v>714</v>
      </c>
      <c r="J3360" s="1" t="s">
        <v>790</v>
      </c>
      <c r="K3360" s="1" t="s">
        <v>716</v>
      </c>
      <c r="L3360" s="1" t="s">
        <v>1240</v>
      </c>
      <c r="M3360" s="1" t="s">
        <v>718</v>
      </c>
    </row>
    <row r="3361" customFormat="false" ht="15" hidden="false" customHeight="false" outlineLevel="0" collapsed="false">
      <c r="A3361" s="1" t="s">
        <v>14078</v>
      </c>
      <c r="B3361" s="1" t="s">
        <v>14079</v>
      </c>
      <c r="C3361" s="1" t="s">
        <v>14080</v>
      </c>
      <c r="D3361" s="2" t="n">
        <v>39365</v>
      </c>
      <c r="E3361" s="1" t="s">
        <v>763</v>
      </c>
      <c r="F3361" s="1" t="s">
        <v>711</v>
      </c>
      <c r="G3361" s="1" t="s">
        <v>712</v>
      </c>
      <c r="H3361" s="1" t="s">
        <v>713</v>
      </c>
      <c r="I3361" s="1" t="s">
        <v>714</v>
      </c>
      <c r="J3361" s="1" t="s">
        <v>838</v>
      </c>
      <c r="K3361" s="1" t="s">
        <v>716</v>
      </c>
      <c r="L3361" s="1" t="s">
        <v>14081</v>
      </c>
      <c r="M3361" s="1" t="s">
        <v>718</v>
      </c>
    </row>
    <row r="3362" customFormat="false" ht="15" hidden="false" customHeight="false" outlineLevel="0" collapsed="false">
      <c r="A3362" s="1" t="s">
        <v>14082</v>
      </c>
      <c r="B3362" s="1" t="s">
        <v>14083</v>
      </c>
      <c r="C3362" s="1" t="s">
        <v>14084</v>
      </c>
      <c r="D3362" s="2" t="n">
        <v>39415</v>
      </c>
      <c r="E3362" s="1" t="s">
        <v>710</v>
      </c>
      <c r="F3362" s="1" t="s">
        <v>711</v>
      </c>
      <c r="G3362" s="1" t="s">
        <v>722</v>
      </c>
      <c r="H3362" s="1" t="s">
        <v>713</v>
      </c>
      <c r="I3362" s="1" t="s">
        <v>714</v>
      </c>
      <c r="J3362" s="1" t="s">
        <v>1398</v>
      </c>
      <c r="K3362" s="1" t="s">
        <v>716</v>
      </c>
      <c r="L3362" s="1" t="s">
        <v>14085</v>
      </c>
      <c r="M3362" s="1" t="s">
        <v>718</v>
      </c>
    </row>
    <row r="3363" customFormat="false" ht="15" hidden="false" customHeight="false" outlineLevel="0" collapsed="false">
      <c r="A3363" s="1" t="s">
        <v>14086</v>
      </c>
      <c r="B3363" s="1" t="s">
        <v>14087</v>
      </c>
      <c r="C3363" s="1" t="s">
        <v>14088</v>
      </c>
      <c r="D3363" s="2" t="n">
        <v>37971</v>
      </c>
      <c r="E3363" s="1" t="s">
        <v>763</v>
      </c>
      <c r="F3363" s="1" t="s">
        <v>711</v>
      </c>
      <c r="G3363" s="1" t="s">
        <v>712</v>
      </c>
      <c r="H3363" s="1" t="s">
        <v>713</v>
      </c>
      <c r="I3363" s="1" t="s">
        <v>714</v>
      </c>
      <c r="J3363" s="1" t="s">
        <v>14089</v>
      </c>
      <c r="K3363" s="1" t="s">
        <v>716</v>
      </c>
      <c r="L3363" s="1" t="s">
        <v>7416</v>
      </c>
      <c r="M3363" s="1" t="s">
        <v>718</v>
      </c>
    </row>
    <row r="3364" customFormat="false" ht="15" hidden="false" customHeight="false" outlineLevel="0" collapsed="false">
      <c r="A3364" s="1" t="s">
        <v>14090</v>
      </c>
      <c r="B3364" s="1" t="s">
        <v>14091</v>
      </c>
      <c r="C3364" s="1" t="s">
        <v>3200</v>
      </c>
      <c r="D3364" s="2" t="n">
        <v>31696</v>
      </c>
      <c r="E3364" s="1" t="s">
        <v>763</v>
      </c>
      <c r="F3364" s="1" t="s">
        <v>711</v>
      </c>
      <c r="G3364" s="1" t="s">
        <v>712</v>
      </c>
      <c r="H3364" s="1" t="s">
        <v>713</v>
      </c>
      <c r="I3364" s="1" t="s">
        <v>714</v>
      </c>
      <c r="J3364" s="1" t="s">
        <v>716</v>
      </c>
      <c r="K3364" s="1" t="s">
        <v>716</v>
      </c>
      <c r="L3364" s="1" t="s">
        <v>1418</v>
      </c>
      <c r="M3364" s="1" t="s">
        <v>718</v>
      </c>
    </row>
    <row r="3365" customFormat="false" ht="15" hidden="false" customHeight="false" outlineLevel="0" collapsed="false">
      <c r="A3365" s="1" t="s">
        <v>14092</v>
      </c>
      <c r="B3365" s="1" t="s">
        <v>14093</v>
      </c>
      <c r="C3365" s="1" t="s">
        <v>2504</v>
      </c>
      <c r="D3365" s="2" t="n">
        <v>32295</v>
      </c>
      <c r="E3365" s="1" t="s">
        <v>710</v>
      </c>
      <c r="F3365" s="1" t="s">
        <v>711</v>
      </c>
      <c r="G3365" s="1" t="s">
        <v>712</v>
      </c>
      <c r="H3365" s="1" t="s">
        <v>713</v>
      </c>
      <c r="I3365" s="1" t="s">
        <v>714</v>
      </c>
      <c r="J3365" s="1" t="s">
        <v>716</v>
      </c>
      <c r="K3365" s="1" t="s">
        <v>716</v>
      </c>
      <c r="L3365" s="1" t="s">
        <v>1418</v>
      </c>
      <c r="M3365" s="1" t="s">
        <v>718</v>
      </c>
    </row>
    <row r="3366" customFormat="false" ht="15" hidden="false" customHeight="false" outlineLevel="0" collapsed="false">
      <c r="A3366" s="1" t="s">
        <v>14094</v>
      </c>
      <c r="B3366" s="1" t="s">
        <v>1121</v>
      </c>
      <c r="C3366" s="1" t="s">
        <v>14095</v>
      </c>
      <c r="D3366" s="2" t="n">
        <v>39048</v>
      </c>
      <c r="E3366" s="1" t="s">
        <v>710</v>
      </c>
      <c r="F3366" s="1" t="s">
        <v>711</v>
      </c>
      <c r="G3366" s="1" t="s">
        <v>712</v>
      </c>
      <c r="H3366" s="1" t="s">
        <v>713</v>
      </c>
      <c r="I3366" s="1" t="s">
        <v>714</v>
      </c>
      <c r="J3366" s="1" t="s">
        <v>14096</v>
      </c>
      <c r="K3366" s="1" t="s">
        <v>716</v>
      </c>
      <c r="L3366" s="1" t="s">
        <v>8014</v>
      </c>
      <c r="M3366" s="1" t="s">
        <v>718</v>
      </c>
    </row>
    <row r="3367" customFormat="false" ht="15" hidden="false" customHeight="false" outlineLevel="0" collapsed="false">
      <c r="A3367" s="1" t="s">
        <v>14097</v>
      </c>
      <c r="B3367" s="1" t="s">
        <v>14098</v>
      </c>
      <c r="C3367" s="1" t="s">
        <v>739</v>
      </c>
      <c r="D3367" s="2" t="n">
        <v>35166</v>
      </c>
      <c r="E3367" s="1" t="s">
        <v>763</v>
      </c>
      <c r="F3367" s="1" t="s">
        <v>711</v>
      </c>
      <c r="G3367" s="1" t="s">
        <v>722</v>
      </c>
      <c r="H3367" s="1" t="s">
        <v>713</v>
      </c>
      <c r="I3367" s="1" t="s">
        <v>714</v>
      </c>
      <c r="J3367" s="1" t="s">
        <v>716</v>
      </c>
      <c r="K3367" s="1" t="s">
        <v>716</v>
      </c>
      <c r="L3367" s="1" t="s">
        <v>1418</v>
      </c>
      <c r="M3367" s="1" t="s">
        <v>718</v>
      </c>
    </row>
    <row r="3368" customFormat="false" ht="15" hidden="false" customHeight="false" outlineLevel="0" collapsed="false">
      <c r="A3368" s="1" t="s">
        <v>14099</v>
      </c>
      <c r="B3368" s="1" t="s">
        <v>14100</v>
      </c>
      <c r="C3368" s="1" t="s">
        <v>14101</v>
      </c>
      <c r="D3368" s="2" t="n">
        <v>39281</v>
      </c>
      <c r="E3368" s="1" t="s">
        <v>710</v>
      </c>
      <c r="F3368" s="1" t="s">
        <v>711</v>
      </c>
      <c r="G3368" s="1" t="s">
        <v>712</v>
      </c>
      <c r="H3368" s="1" t="s">
        <v>713</v>
      </c>
      <c r="I3368" s="1" t="s">
        <v>714</v>
      </c>
      <c r="J3368" s="1" t="s">
        <v>1445</v>
      </c>
      <c r="K3368" s="1" t="s">
        <v>716</v>
      </c>
      <c r="L3368" s="1" t="s">
        <v>1418</v>
      </c>
      <c r="M3368" s="1" t="s">
        <v>718</v>
      </c>
    </row>
    <row r="3369" customFormat="false" ht="15" hidden="false" customHeight="false" outlineLevel="0" collapsed="false">
      <c r="A3369" s="1" t="s">
        <v>14102</v>
      </c>
      <c r="B3369" s="1" t="s">
        <v>14103</v>
      </c>
      <c r="C3369" s="1" t="s">
        <v>4765</v>
      </c>
      <c r="D3369" s="2" t="n">
        <v>40200</v>
      </c>
      <c r="E3369" s="1" t="s">
        <v>710</v>
      </c>
      <c r="F3369" s="1" t="s">
        <v>711</v>
      </c>
      <c r="G3369" s="1" t="s">
        <v>722</v>
      </c>
      <c r="H3369" s="1" t="s">
        <v>713</v>
      </c>
      <c r="I3369" s="1" t="s">
        <v>714</v>
      </c>
      <c r="J3369" s="1" t="s">
        <v>5654</v>
      </c>
      <c r="K3369" s="1" t="s">
        <v>14104</v>
      </c>
      <c r="L3369" s="1" t="s">
        <v>14105</v>
      </c>
      <c r="M3369" s="1" t="s">
        <v>718</v>
      </c>
    </row>
    <row r="3370" customFormat="false" ht="15" hidden="false" customHeight="false" outlineLevel="0" collapsed="false">
      <c r="A3370" s="1" t="s">
        <v>14106</v>
      </c>
      <c r="B3370" s="1" t="s">
        <v>14107</v>
      </c>
      <c r="C3370" s="1" t="s">
        <v>14108</v>
      </c>
      <c r="D3370" s="2" t="n">
        <v>39697</v>
      </c>
      <c r="E3370" s="1" t="s">
        <v>710</v>
      </c>
      <c r="F3370" s="1" t="s">
        <v>711</v>
      </c>
      <c r="G3370" s="1" t="s">
        <v>712</v>
      </c>
      <c r="H3370" s="1" t="s">
        <v>713</v>
      </c>
      <c r="I3370" s="1" t="s">
        <v>714</v>
      </c>
      <c r="J3370" s="1" t="s">
        <v>716</v>
      </c>
      <c r="K3370" s="1" t="s">
        <v>716</v>
      </c>
      <c r="L3370" s="1" t="s">
        <v>14109</v>
      </c>
      <c r="M3370" s="1" t="s">
        <v>718</v>
      </c>
    </row>
    <row r="3371" customFormat="false" ht="15" hidden="false" customHeight="false" outlineLevel="0" collapsed="false">
      <c r="A3371" s="1" t="s">
        <v>14110</v>
      </c>
      <c r="B3371" s="1" t="s">
        <v>14111</v>
      </c>
      <c r="C3371" s="1" t="s">
        <v>14112</v>
      </c>
      <c r="D3371" s="2" t="n">
        <v>40166</v>
      </c>
      <c r="E3371" s="1" t="s">
        <v>763</v>
      </c>
      <c r="F3371" s="1" t="s">
        <v>711</v>
      </c>
      <c r="G3371" s="1" t="s">
        <v>712</v>
      </c>
      <c r="H3371" s="1" t="s">
        <v>713</v>
      </c>
      <c r="I3371" s="1" t="s">
        <v>714</v>
      </c>
      <c r="J3371" s="1" t="s">
        <v>716</v>
      </c>
      <c r="K3371" s="1" t="s">
        <v>14113</v>
      </c>
      <c r="L3371" s="1" t="s">
        <v>14114</v>
      </c>
      <c r="M3371" s="1" t="s">
        <v>718</v>
      </c>
    </row>
    <row r="3372" customFormat="false" ht="15" hidden="false" customHeight="false" outlineLevel="0" collapsed="false">
      <c r="A3372" s="1" t="s">
        <v>604</v>
      </c>
      <c r="B3372" s="1" t="s">
        <v>14115</v>
      </c>
      <c r="C3372" s="1" t="s">
        <v>2155</v>
      </c>
      <c r="D3372" s="2" t="n">
        <v>39605</v>
      </c>
      <c r="E3372" s="1" t="s">
        <v>763</v>
      </c>
      <c r="F3372" s="1" t="s">
        <v>711</v>
      </c>
      <c r="G3372" s="1" t="s">
        <v>712</v>
      </c>
      <c r="H3372" s="1" t="s">
        <v>713</v>
      </c>
      <c r="I3372" s="1" t="s">
        <v>714</v>
      </c>
      <c r="J3372" s="1" t="s">
        <v>716</v>
      </c>
      <c r="K3372" s="1" t="s">
        <v>14113</v>
      </c>
      <c r="L3372" s="1" t="s">
        <v>14116</v>
      </c>
      <c r="M3372" s="1" t="s">
        <v>718</v>
      </c>
    </row>
    <row r="3373" customFormat="false" ht="15" hidden="false" customHeight="false" outlineLevel="0" collapsed="false">
      <c r="A3373" s="1" t="s">
        <v>14117</v>
      </c>
      <c r="B3373" s="1" t="s">
        <v>2650</v>
      </c>
      <c r="C3373" s="1" t="s">
        <v>14118</v>
      </c>
      <c r="D3373" s="2" t="n">
        <v>39840</v>
      </c>
      <c r="E3373" s="1" t="s">
        <v>710</v>
      </c>
      <c r="F3373" s="1" t="s">
        <v>711</v>
      </c>
      <c r="G3373" s="1" t="s">
        <v>712</v>
      </c>
      <c r="H3373" s="1" t="s">
        <v>713</v>
      </c>
      <c r="I3373" s="1" t="s">
        <v>714</v>
      </c>
      <c r="J3373" s="1" t="s">
        <v>716</v>
      </c>
      <c r="K3373" s="1" t="s">
        <v>14119</v>
      </c>
      <c r="L3373" s="1" t="s">
        <v>14120</v>
      </c>
      <c r="M3373" s="1" t="s">
        <v>718</v>
      </c>
    </row>
    <row r="3374" customFormat="false" ht="15" hidden="false" customHeight="false" outlineLevel="0" collapsed="false">
      <c r="A3374" s="1" t="s">
        <v>14121</v>
      </c>
      <c r="B3374" s="1" t="s">
        <v>14122</v>
      </c>
      <c r="C3374" s="1" t="s">
        <v>14123</v>
      </c>
      <c r="D3374" s="2" t="n">
        <v>40045</v>
      </c>
      <c r="E3374" s="1" t="s">
        <v>763</v>
      </c>
      <c r="F3374" s="1" t="s">
        <v>711</v>
      </c>
      <c r="G3374" s="1" t="s">
        <v>722</v>
      </c>
      <c r="H3374" s="1" t="s">
        <v>713</v>
      </c>
      <c r="I3374" s="1" t="s">
        <v>714</v>
      </c>
      <c r="J3374" s="1" t="s">
        <v>716</v>
      </c>
      <c r="K3374" s="1" t="s">
        <v>716</v>
      </c>
      <c r="L3374" s="1" t="s">
        <v>11606</v>
      </c>
      <c r="M3374" s="1" t="s">
        <v>718</v>
      </c>
    </row>
    <row r="3375" customFormat="false" ht="15" hidden="false" customHeight="false" outlineLevel="0" collapsed="false">
      <c r="A3375" s="1" t="s">
        <v>14124</v>
      </c>
      <c r="B3375" s="1" t="s">
        <v>14125</v>
      </c>
      <c r="C3375" s="1" t="s">
        <v>14126</v>
      </c>
      <c r="D3375" s="2" t="n">
        <v>40121</v>
      </c>
      <c r="E3375" s="1" t="s">
        <v>710</v>
      </c>
      <c r="F3375" s="1" t="s">
        <v>711</v>
      </c>
      <c r="G3375" s="1" t="s">
        <v>1220</v>
      </c>
      <c r="H3375" s="1" t="s">
        <v>713</v>
      </c>
      <c r="I3375" s="1" t="s">
        <v>714</v>
      </c>
      <c r="J3375" s="1" t="s">
        <v>9976</v>
      </c>
      <c r="K3375" s="1" t="s">
        <v>14127</v>
      </c>
      <c r="L3375" s="1" t="s">
        <v>14128</v>
      </c>
      <c r="M3375" s="1" t="s">
        <v>718</v>
      </c>
    </row>
    <row r="3376" customFormat="false" ht="15" hidden="false" customHeight="false" outlineLevel="0" collapsed="false">
      <c r="A3376" s="1" t="s">
        <v>14129</v>
      </c>
      <c r="B3376" s="1" t="s">
        <v>14130</v>
      </c>
      <c r="C3376" s="1" t="s">
        <v>14131</v>
      </c>
      <c r="D3376" s="2" t="n">
        <v>39532</v>
      </c>
      <c r="E3376" s="1" t="s">
        <v>710</v>
      </c>
      <c r="F3376" s="1" t="s">
        <v>711</v>
      </c>
      <c r="G3376" s="1" t="s">
        <v>712</v>
      </c>
      <c r="H3376" s="1" t="s">
        <v>713</v>
      </c>
      <c r="I3376" s="1" t="s">
        <v>714</v>
      </c>
      <c r="J3376" s="1" t="s">
        <v>716</v>
      </c>
      <c r="K3376" s="1" t="s">
        <v>14132</v>
      </c>
      <c r="L3376" s="1" t="s">
        <v>14133</v>
      </c>
      <c r="M3376" s="1" t="s">
        <v>718</v>
      </c>
    </row>
    <row r="3377" customFormat="false" ht="15" hidden="false" customHeight="false" outlineLevel="0" collapsed="false">
      <c r="A3377" s="1" t="s">
        <v>14134</v>
      </c>
      <c r="B3377" s="1" t="s">
        <v>14135</v>
      </c>
      <c r="C3377" s="1" t="s">
        <v>14136</v>
      </c>
      <c r="D3377" s="2" t="n">
        <v>40121</v>
      </c>
      <c r="E3377" s="1" t="s">
        <v>710</v>
      </c>
      <c r="F3377" s="1" t="s">
        <v>711</v>
      </c>
      <c r="G3377" s="1" t="s">
        <v>722</v>
      </c>
      <c r="H3377" s="1" t="s">
        <v>713</v>
      </c>
      <c r="I3377" s="1" t="s">
        <v>714</v>
      </c>
      <c r="J3377" s="1" t="s">
        <v>716</v>
      </c>
      <c r="K3377" s="1" t="s">
        <v>14137</v>
      </c>
      <c r="L3377" s="1" t="s">
        <v>14138</v>
      </c>
      <c r="M3377" s="1" t="s">
        <v>718</v>
      </c>
    </row>
    <row r="3378" customFormat="false" ht="15" hidden="false" customHeight="false" outlineLevel="0" collapsed="false">
      <c r="A3378" s="1" t="s">
        <v>14139</v>
      </c>
      <c r="B3378" s="1" t="s">
        <v>14140</v>
      </c>
      <c r="C3378" s="1" t="s">
        <v>8179</v>
      </c>
      <c r="D3378" s="2" t="n">
        <v>40318</v>
      </c>
      <c r="E3378" s="1" t="s">
        <v>763</v>
      </c>
      <c r="F3378" s="1" t="s">
        <v>711</v>
      </c>
      <c r="G3378" s="1" t="s">
        <v>712</v>
      </c>
      <c r="H3378" s="1" t="s">
        <v>713</v>
      </c>
      <c r="I3378" s="1" t="s">
        <v>714</v>
      </c>
      <c r="J3378" s="1" t="s">
        <v>716</v>
      </c>
      <c r="K3378" s="1" t="s">
        <v>716</v>
      </c>
      <c r="L3378" s="1" t="s">
        <v>8182</v>
      </c>
      <c r="M3378" s="1" t="s">
        <v>718</v>
      </c>
    </row>
    <row r="3379" customFormat="false" ht="15" hidden="false" customHeight="false" outlineLevel="0" collapsed="false">
      <c r="A3379" s="1" t="s">
        <v>14141</v>
      </c>
      <c r="B3379" s="1" t="s">
        <v>14142</v>
      </c>
      <c r="C3379" s="1" t="s">
        <v>12543</v>
      </c>
      <c r="D3379" s="2" t="n">
        <v>39929</v>
      </c>
      <c r="E3379" s="1" t="s">
        <v>763</v>
      </c>
      <c r="F3379" s="1" t="s">
        <v>711</v>
      </c>
      <c r="G3379" s="1" t="s">
        <v>712</v>
      </c>
      <c r="H3379" s="1" t="s">
        <v>713</v>
      </c>
      <c r="I3379" s="1" t="s">
        <v>714</v>
      </c>
      <c r="J3379" s="1" t="s">
        <v>716</v>
      </c>
      <c r="K3379" s="1" t="s">
        <v>14143</v>
      </c>
      <c r="L3379" s="1" t="s">
        <v>14144</v>
      </c>
      <c r="M3379" s="1" t="s">
        <v>718</v>
      </c>
    </row>
    <row r="3380" customFormat="false" ht="15" hidden="false" customHeight="false" outlineLevel="0" collapsed="false">
      <c r="A3380" s="1" t="s">
        <v>14145</v>
      </c>
      <c r="B3380" s="1" t="s">
        <v>14146</v>
      </c>
      <c r="C3380" s="1" t="s">
        <v>14147</v>
      </c>
      <c r="D3380" s="2" t="n">
        <v>39671</v>
      </c>
      <c r="E3380" s="1" t="s">
        <v>710</v>
      </c>
      <c r="F3380" s="1" t="s">
        <v>711</v>
      </c>
      <c r="G3380" s="1" t="s">
        <v>712</v>
      </c>
      <c r="H3380" s="1" t="s">
        <v>713</v>
      </c>
      <c r="I3380" s="1" t="s">
        <v>714</v>
      </c>
      <c r="J3380" s="1" t="s">
        <v>716</v>
      </c>
      <c r="K3380" s="1" t="s">
        <v>14148</v>
      </c>
      <c r="L3380" s="1" t="s">
        <v>14149</v>
      </c>
      <c r="M3380" s="1" t="s">
        <v>718</v>
      </c>
    </row>
    <row r="3381" customFormat="false" ht="15" hidden="false" customHeight="false" outlineLevel="0" collapsed="false">
      <c r="A3381" s="1" t="s">
        <v>14150</v>
      </c>
      <c r="B3381" s="1" t="s">
        <v>14151</v>
      </c>
      <c r="C3381" s="1" t="s">
        <v>14152</v>
      </c>
      <c r="D3381" s="2" t="n">
        <v>39710</v>
      </c>
      <c r="E3381" s="1" t="s">
        <v>763</v>
      </c>
      <c r="F3381" s="1" t="s">
        <v>711</v>
      </c>
      <c r="G3381" s="1" t="s">
        <v>712</v>
      </c>
      <c r="H3381" s="1" t="s">
        <v>713</v>
      </c>
      <c r="I3381" s="1" t="s">
        <v>714</v>
      </c>
      <c r="J3381" s="1" t="s">
        <v>716</v>
      </c>
      <c r="K3381" s="1" t="s">
        <v>14153</v>
      </c>
      <c r="L3381" s="1" t="s">
        <v>14154</v>
      </c>
      <c r="M3381" s="1" t="s">
        <v>718</v>
      </c>
    </row>
    <row r="3382" customFormat="false" ht="15" hidden="false" customHeight="false" outlineLevel="0" collapsed="false">
      <c r="A3382" s="1" t="s">
        <v>14155</v>
      </c>
      <c r="B3382" s="1" t="s">
        <v>14156</v>
      </c>
      <c r="C3382" s="1" t="s">
        <v>7026</v>
      </c>
      <c r="D3382" s="2" t="n">
        <v>39503</v>
      </c>
      <c r="E3382" s="1" t="s">
        <v>710</v>
      </c>
      <c r="F3382" s="1" t="s">
        <v>711</v>
      </c>
      <c r="G3382" s="1" t="s">
        <v>722</v>
      </c>
      <c r="H3382" s="1" t="s">
        <v>713</v>
      </c>
      <c r="I3382" s="1" t="s">
        <v>714</v>
      </c>
      <c r="J3382" s="1" t="s">
        <v>716</v>
      </c>
      <c r="K3382" s="1" t="s">
        <v>14157</v>
      </c>
      <c r="L3382" s="1" t="s">
        <v>7028</v>
      </c>
      <c r="M3382" s="1" t="s">
        <v>718</v>
      </c>
    </row>
    <row r="3383" customFormat="false" ht="15" hidden="false" customHeight="false" outlineLevel="0" collapsed="false">
      <c r="A3383" s="1" t="s">
        <v>14158</v>
      </c>
      <c r="B3383" s="1" t="s">
        <v>14159</v>
      </c>
      <c r="C3383" s="1" t="s">
        <v>14160</v>
      </c>
      <c r="D3383" s="2" t="n">
        <v>39787</v>
      </c>
      <c r="E3383" s="1" t="s">
        <v>710</v>
      </c>
      <c r="F3383" s="1" t="s">
        <v>711</v>
      </c>
      <c r="G3383" s="1" t="s">
        <v>712</v>
      </c>
      <c r="H3383" s="1" t="s">
        <v>713</v>
      </c>
      <c r="I3383" s="1" t="s">
        <v>714</v>
      </c>
      <c r="J3383" s="1" t="s">
        <v>716</v>
      </c>
      <c r="K3383" s="1" t="s">
        <v>14161</v>
      </c>
      <c r="L3383" s="1" t="s">
        <v>14162</v>
      </c>
      <c r="M3383" s="1" t="s">
        <v>718</v>
      </c>
    </row>
    <row r="3384" customFormat="false" ht="15" hidden="false" customHeight="false" outlineLevel="0" collapsed="false">
      <c r="A3384" s="1" t="s">
        <v>14163</v>
      </c>
      <c r="B3384" s="1" t="s">
        <v>14164</v>
      </c>
      <c r="C3384" s="1" t="s">
        <v>14165</v>
      </c>
      <c r="D3384" s="2" t="n">
        <v>40283</v>
      </c>
      <c r="E3384" s="1" t="s">
        <v>763</v>
      </c>
      <c r="F3384" s="1" t="s">
        <v>711</v>
      </c>
      <c r="G3384" s="1" t="s">
        <v>722</v>
      </c>
      <c r="H3384" s="1" t="s">
        <v>713</v>
      </c>
      <c r="I3384" s="1" t="s">
        <v>714</v>
      </c>
      <c r="J3384" s="1" t="s">
        <v>716</v>
      </c>
      <c r="K3384" s="1" t="s">
        <v>12577</v>
      </c>
      <c r="L3384" s="1" t="s">
        <v>1136</v>
      </c>
      <c r="M3384" s="1" t="s">
        <v>718</v>
      </c>
    </row>
    <row r="3385" customFormat="false" ht="15" hidden="false" customHeight="false" outlineLevel="0" collapsed="false">
      <c r="A3385" s="1" t="s">
        <v>14166</v>
      </c>
      <c r="B3385" s="1" t="s">
        <v>14167</v>
      </c>
      <c r="C3385" s="1" t="s">
        <v>739</v>
      </c>
      <c r="D3385" s="2" t="n">
        <v>40099</v>
      </c>
      <c r="E3385" s="1" t="s">
        <v>763</v>
      </c>
      <c r="F3385" s="1" t="s">
        <v>711</v>
      </c>
      <c r="G3385" s="1" t="s">
        <v>712</v>
      </c>
      <c r="H3385" s="1" t="s">
        <v>713</v>
      </c>
      <c r="I3385" s="1" t="s">
        <v>714</v>
      </c>
      <c r="J3385" s="1" t="s">
        <v>716</v>
      </c>
      <c r="K3385" s="1" t="s">
        <v>14168</v>
      </c>
      <c r="L3385" s="1" t="s">
        <v>14169</v>
      </c>
      <c r="M3385" s="1" t="s">
        <v>718</v>
      </c>
    </row>
    <row r="3386" customFormat="false" ht="15" hidden="false" customHeight="false" outlineLevel="0" collapsed="false">
      <c r="A3386" s="1" t="s">
        <v>14170</v>
      </c>
      <c r="B3386" s="1" t="s">
        <v>14171</v>
      </c>
      <c r="C3386" s="1" t="s">
        <v>9712</v>
      </c>
      <c r="D3386" s="2" t="n">
        <v>39807</v>
      </c>
      <c r="E3386" s="1" t="s">
        <v>763</v>
      </c>
      <c r="F3386" s="1" t="s">
        <v>711</v>
      </c>
      <c r="G3386" s="1" t="s">
        <v>722</v>
      </c>
      <c r="H3386" s="1" t="s">
        <v>713</v>
      </c>
      <c r="I3386" s="1" t="s">
        <v>714</v>
      </c>
      <c r="J3386" s="1" t="s">
        <v>716</v>
      </c>
      <c r="K3386" s="1" t="s">
        <v>14172</v>
      </c>
      <c r="L3386" s="1" t="s">
        <v>3002</v>
      </c>
      <c r="M3386" s="1" t="s">
        <v>718</v>
      </c>
    </row>
    <row r="3387" customFormat="false" ht="15" hidden="false" customHeight="false" outlineLevel="0" collapsed="false">
      <c r="A3387" s="1" t="s">
        <v>14173</v>
      </c>
      <c r="B3387" s="1" t="s">
        <v>12501</v>
      </c>
      <c r="C3387" s="1" t="s">
        <v>14174</v>
      </c>
      <c r="D3387" s="2" t="n">
        <v>39813</v>
      </c>
      <c r="E3387" s="1" t="s">
        <v>763</v>
      </c>
      <c r="F3387" s="1" t="s">
        <v>711</v>
      </c>
      <c r="G3387" s="1" t="s">
        <v>712</v>
      </c>
      <c r="H3387" s="1" t="s">
        <v>713</v>
      </c>
      <c r="I3387" s="1" t="s">
        <v>714</v>
      </c>
      <c r="J3387" s="1" t="s">
        <v>2889</v>
      </c>
      <c r="K3387" s="1" t="s">
        <v>14175</v>
      </c>
      <c r="L3387" s="1" t="s">
        <v>1418</v>
      </c>
      <c r="M3387" s="1" t="s">
        <v>718</v>
      </c>
    </row>
    <row r="3388" customFormat="false" ht="15" hidden="false" customHeight="false" outlineLevel="0" collapsed="false">
      <c r="A3388" s="1" t="s">
        <v>14176</v>
      </c>
      <c r="B3388" s="1" t="s">
        <v>11299</v>
      </c>
      <c r="C3388" s="1" t="s">
        <v>14177</v>
      </c>
      <c r="D3388" s="2" t="n">
        <v>39715</v>
      </c>
      <c r="E3388" s="1" t="s">
        <v>763</v>
      </c>
      <c r="F3388" s="1" t="s">
        <v>711</v>
      </c>
      <c r="G3388" s="1" t="s">
        <v>712</v>
      </c>
      <c r="H3388" s="1" t="s">
        <v>713</v>
      </c>
      <c r="I3388" s="1" t="s">
        <v>714</v>
      </c>
      <c r="J3388" s="1" t="s">
        <v>716</v>
      </c>
      <c r="K3388" s="1" t="s">
        <v>14178</v>
      </c>
      <c r="L3388" s="1" t="s">
        <v>14179</v>
      </c>
      <c r="M3388" s="1" t="s">
        <v>718</v>
      </c>
    </row>
    <row r="3389" customFormat="false" ht="15" hidden="false" customHeight="false" outlineLevel="0" collapsed="false">
      <c r="A3389" s="1" t="s">
        <v>14180</v>
      </c>
      <c r="B3389" s="1" t="s">
        <v>14181</v>
      </c>
      <c r="C3389" s="1" t="s">
        <v>1139</v>
      </c>
      <c r="D3389" s="2" t="n">
        <v>39745</v>
      </c>
      <c r="E3389" s="1" t="s">
        <v>710</v>
      </c>
      <c r="F3389" s="1" t="s">
        <v>711</v>
      </c>
      <c r="G3389" s="1" t="s">
        <v>712</v>
      </c>
      <c r="H3389" s="1" t="s">
        <v>713</v>
      </c>
      <c r="I3389" s="1" t="s">
        <v>714</v>
      </c>
      <c r="J3389" s="1" t="s">
        <v>716</v>
      </c>
      <c r="K3389" s="1" t="s">
        <v>14182</v>
      </c>
      <c r="L3389" s="1" t="s">
        <v>14183</v>
      </c>
      <c r="M3389" s="1" t="s">
        <v>718</v>
      </c>
    </row>
    <row r="3390" customFormat="false" ht="15" hidden="false" customHeight="false" outlineLevel="0" collapsed="false">
      <c r="A3390" s="1" t="s">
        <v>14184</v>
      </c>
      <c r="B3390" s="1" t="s">
        <v>14185</v>
      </c>
      <c r="C3390" s="1" t="s">
        <v>11324</v>
      </c>
      <c r="D3390" s="2" t="n">
        <v>39380</v>
      </c>
      <c r="E3390" s="1" t="s">
        <v>763</v>
      </c>
      <c r="F3390" s="1" t="s">
        <v>711</v>
      </c>
      <c r="G3390" s="1" t="s">
        <v>712</v>
      </c>
      <c r="H3390" s="1" t="s">
        <v>713</v>
      </c>
      <c r="I3390" s="1" t="s">
        <v>714</v>
      </c>
      <c r="J3390" s="1" t="s">
        <v>716</v>
      </c>
      <c r="K3390" s="1" t="s">
        <v>716</v>
      </c>
      <c r="L3390" s="1" t="s">
        <v>13182</v>
      </c>
      <c r="M3390" s="1" t="s">
        <v>718</v>
      </c>
    </row>
    <row r="3391" customFormat="false" ht="15" hidden="false" customHeight="false" outlineLevel="0" collapsed="false">
      <c r="A3391" s="1" t="s">
        <v>14186</v>
      </c>
      <c r="B3391" s="1" t="s">
        <v>14187</v>
      </c>
      <c r="C3391" s="1" t="s">
        <v>11806</v>
      </c>
      <c r="D3391" s="2" t="n">
        <v>39604</v>
      </c>
      <c r="E3391" s="1" t="s">
        <v>763</v>
      </c>
      <c r="F3391" s="1" t="s">
        <v>711</v>
      </c>
      <c r="G3391" s="1" t="s">
        <v>712</v>
      </c>
      <c r="H3391" s="1" t="s">
        <v>713</v>
      </c>
      <c r="I3391" s="1" t="s">
        <v>714</v>
      </c>
      <c r="J3391" s="1" t="s">
        <v>716</v>
      </c>
      <c r="K3391" s="1" t="s">
        <v>14188</v>
      </c>
      <c r="L3391" s="1" t="s">
        <v>1418</v>
      </c>
      <c r="M3391" s="1" t="s">
        <v>718</v>
      </c>
    </row>
    <row r="3392" customFormat="false" ht="15" hidden="false" customHeight="false" outlineLevel="0" collapsed="false">
      <c r="A3392" s="1" t="s">
        <v>14189</v>
      </c>
      <c r="B3392" s="1" t="s">
        <v>14190</v>
      </c>
      <c r="C3392" s="1" t="s">
        <v>14191</v>
      </c>
      <c r="D3392" s="2" t="n">
        <v>39832</v>
      </c>
      <c r="E3392" s="1" t="s">
        <v>763</v>
      </c>
      <c r="F3392" s="1" t="s">
        <v>711</v>
      </c>
      <c r="G3392" s="1" t="s">
        <v>712</v>
      </c>
      <c r="H3392" s="1" t="s">
        <v>713</v>
      </c>
      <c r="I3392" s="1" t="s">
        <v>714</v>
      </c>
      <c r="J3392" s="1" t="s">
        <v>716</v>
      </c>
      <c r="K3392" s="1" t="s">
        <v>14192</v>
      </c>
      <c r="L3392" s="1" t="s">
        <v>1418</v>
      </c>
      <c r="M3392" s="1" t="s">
        <v>718</v>
      </c>
    </row>
    <row r="3393" customFormat="false" ht="15" hidden="false" customHeight="false" outlineLevel="0" collapsed="false">
      <c r="A3393" s="1" t="s">
        <v>14193</v>
      </c>
      <c r="B3393" s="1" t="s">
        <v>14194</v>
      </c>
      <c r="C3393" s="1" t="s">
        <v>14195</v>
      </c>
      <c r="D3393" s="2" t="n">
        <v>39734</v>
      </c>
      <c r="E3393" s="1" t="s">
        <v>710</v>
      </c>
      <c r="F3393" s="1" t="s">
        <v>711</v>
      </c>
      <c r="G3393" s="1" t="s">
        <v>712</v>
      </c>
      <c r="H3393" s="1" t="s">
        <v>713</v>
      </c>
      <c r="I3393" s="1" t="s">
        <v>714</v>
      </c>
      <c r="J3393" s="1" t="s">
        <v>716</v>
      </c>
      <c r="K3393" s="1" t="s">
        <v>14196</v>
      </c>
      <c r="L3393" s="1" t="s">
        <v>1418</v>
      </c>
      <c r="M3393" s="1" t="s">
        <v>718</v>
      </c>
    </row>
    <row r="3394" customFormat="false" ht="15" hidden="false" customHeight="false" outlineLevel="0" collapsed="false">
      <c r="A3394" s="1" t="s">
        <v>14197</v>
      </c>
      <c r="B3394" s="1" t="s">
        <v>14198</v>
      </c>
      <c r="C3394" s="1" t="s">
        <v>14199</v>
      </c>
      <c r="D3394" s="2" t="n">
        <v>39673</v>
      </c>
      <c r="E3394" s="1" t="s">
        <v>763</v>
      </c>
      <c r="F3394" s="1" t="s">
        <v>711</v>
      </c>
      <c r="G3394" s="1" t="s">
        <v>712</v>
      </c>
      <c r="H3394" s="1" t="s">
        <v>713</v>
      </c>
      <c r="I3394" s="1" t="s">
        <v>714</v>
      </c>
      <c r="J3394" s="1" t="s">
        <v>716</v>
      </c>
      <c r="K3394" s="1" t="s">
        <v>14200</v>
      </c>
      <c r="L3394" s="1" t="s">
        <v>14201</v>
      </c>
      <c r="M3394" s="1" t="s">
        <v>718</v>
      </c>
    </row>
    <row r="3395" customFormat="false" ht="15" hidden="false" customHeight="false" outlineLevel="0" collapsed="false">
      <c r="A3395" s="1" t="s">
        <v>14202</v>
      </c>
      <c r="B3395" s="1" t="s">
        <v>14203</v>
      </c>
      <c r="C3395" s="1" t="s">
        <v>1271</v>
      </c>
      <c r="D3395" s="2" t="n">
        <v>39514</v>
      </c>
      <c r="E3395" s="1" t="s">
        <v>763</v>
      </c>
      <c r="F3395" s="1" t="s">
        <v>711</v>
      </c>
      <c r="G3395" s="1" t="s">
        <v>712</v>
      </c>
      <c r="H3395" s="1" t="s">
        <v>713</v>
      </c>
      <c r="I3395" s="1" t="s">
        <v>714</v>
      </c>
      <c r="J3395" s="1" t="s">
        <v>716</v>
      </c>
      <c r="K3395" s="1" t="s">
        <v>14204</v>
      </c>
      <c r="L3395" s="1" t="s">
        <v>1274</v>
      </c>
      <c r="M3395" s="1" t="s">
        <v>718</v>
      </c>
    </row>
    <row r="3396" customFormat="false" ht="15" hidden="false" customHeight="false" outlineLevel="0" collapsed="false">
      <c r="A3396" s="1" t="s">
        <v>14205</v>
      </c>
      <c r="B3396" s="1" t="s">
        <v>14206</v>
      </c>
      <c r="C3396" s="1" t="s">
        <v>1049</v>
      </c>
      <c r="D3396" s="2" t="n">
        <v>39634</v>
      </c>
      <c r="E3396" s="1" t="s">
        <v>763</v>
      </c>
      <c r="F3396" s="1" t="s">
        <v>711</v>
      </c>
      <c r="G3396" s="1" t="s">
        <v>712</v>
      </c>
      <c r="H3396" s="1" t="s">
        <v>713</v>
      </c>
      <c r="I3396" s="1" t="s">
        <v>714</v>
      </c>
      <c r="J3396" s="1" t="s">
        <v>716</v>
      </c>
      <c r="K3396" s="1" t="s">
        <v>10656</v>
      </c>
      <c r="L3396" s="1" t="s">
        <v>2221</v>
      </c>
      <c r="M3396" s="1" t="s">
        <v>718</v>
      </c>
    </row>
    <row r="3397" customFormat="false" ht="15" hidden="false" customHeight="false" outlineLevel="0" collapsed="false">
      <c r="A3397" s="1" t="s">
        <v>14207</v>
      </c>
      <c r="B3397" s="1" t="s">
        <v>14208</v>
      </c>
      <c r="C3397" s="1" t="s">
        <v>2035</v>
      </c>
      <c r="D3397" s="2" t="n">
        <v>39564</v>
      </c>
      <c r="E3397" s="1" t="s">
        <v>710</v>
      </c>
      <c r="F3397" s="1" t="s">
        <v>711</v>
      </c>
      <c r="G3397" s="1" t="s">
        <v>712</v>
      </c>
      <c r="H3397" s="1" t="s">
        <v>713</v>
      </c>
      <c r="I3397" s="1" t="s">
        <v>714</v>
      </c>
      <c r="J3397" s="1" t="s">
        <v>716</v>
      </c>
      <c r="K3397" s="1" t="s">
        <v>14113</v>
      </c>
      <c r="L3397" s="1" t="s">
        <v>5424</v>
      </c>
      <c r="M3397" s="1" t="s">
        <v>718</v>
      </c>
    </row>
    <row r="3398" customFormat="false" ht="15" hidden="false" customHeight="false" outlineLevel="0" collapsed="false">
      <c r="A3398" s="1" t="s">
        <v>14209</v>
      </c>
      <c r="B3398" s="1" t="s">
        <v>14210</v>
      </c>
      <c r="C3398" s="1" t="s">
        <v>14211</v>
      </c>
      <c r="D3398" s="2" t="n">
        <v>40122</v>
      </c>
      <c r="E3398" s="1" t="s">
        <v>763</v>
      </c>
      <c r="F3398" s="1" t="s">
        <v>711</v>
      </c>
      <c r="G3398" s="1" t="s">
        <v>712</v>
      </c>
      <c r="H3398" s="1" t="s">
        <v>713</v>
      </c>
      <c r="I3398" s="1" t="s">
        <v>714</v>
      </c>
      <c r="J3398" s="1" t="s">
        <v>716</v>
      </c>
      <c r="K3398" s="1" t="s">
        <v>14212</v>
      </c>
      <c r="L3398" s="1" t="s">
        <v>14213</v>
      </c>
      <c r="M3398" s="1" t="s">
        <v>718</v>
      </c>
    </row>
    <row r="3399" customFormat="false" ht="15" hidden="false" customHeight="false" outlineLevel="0" collapsed="false">
      <c r="A3399" s="1" t="s">
        <v>14214</v>
      </c>
      <c r="B3399" s="1" t="s">
        <v>14215</v>
      </c>
      <c r="C3399" s="1" t="s">
        <v>11653</v>
      </c>
      <c r="D3399" s="2" t="n">
        <v>39728</v>
      </c>
      <c r="E3399" s="1" t="s">
        <v>763</v>
      </c>
      <c r="F3399" s="1" t="s">
        <v>711</v>
      </c>
      <c r="G3399" s="1" t="s">
        <v>712</v>
      </c>
      <c r="H3399" s="1" t="s">
        <v>713</v>
      </c>
      <c r="I3399" s="1" t="s">
        <v>714</v>
      </c>
      <c r="J3399" s="1" t="s">
        <v>716</v>
      </c>
      <c r="K3399" s="1" t="s">
        <v>14216</v>
      </c>
      <c r="L3399" s="1" t="s">
        <v>14217</v>
      </c>
      <c r="M3399" s="1" t="s">
        <v>718</v>
      </c>
    </row>
    <row r="3400" customFormat="false" ht="15" hidden="false" customHeight="false" outlineLevel="0" collapsed="false">
      <c r="A3400" s="1" t="s">
        <v>14218</v>
      </c>
      <c r="B3400" s="1" t="s">
        <v>14219</v>
      </c>
      <c r="C3400" s="1" t="s">
        <v>3354</v>
      </c>
      <c r="D3400" s="2" t="n">
        <v>39539</v>
      </c>
      <c r="E3400" s="1" t="s">
        <v>763</v>
      </c>
      <c r="F3400" s="1" t="s">
        <v>711</v>
      </c>
      <c r="G3400" s="1" t="s">
        <v>712</v>
      </c>
      <c r="H3400" s="1" t="s">
        <v>713</v>
      </c>
      <c r="I3400" s="1" t="s">
        <v>714</v>
      </c>
      <c r="J3400" s="1" t="s">
        <v>716</v>
      </c>
      <c r="K3400" s="1" t="s">
        <v>14220</v>
      </c>
      <c r="L3400" s="1" t="s">
        <v>14221</v>
      </c>
      <c r="M3400" s="1" t="s">
        <v>718</v>
      </c>
    </row>
    <row r="3401" customFormat="false" ht="15" hidden="false" customHeight="false" outlineLevel="0" collapsed="false">
      <c r="A3401" s="1" t="s">
        <v>608</v>
      </c>
      <c r="B3401" s="1" t="s">
        <v>14222</v>
      </c>
      <c r="C3401" s="1" t="s">
        <v>3163</v>
      </c>
      <c r="D3401" s="2" t="n">
        <v>39563</v>
      </c>
      <c r="E3401" s="1" t="s">
        <v>710</v>
      </c>
      <c r="F3401" s="1" t="s">
        <v>711</v>
      </c>
      <c r="G3401" s="1" t="s">
        <v>722</v>
      </c>
      <c r="H3401" s="1" t="s">
        <v>713</v>
      </c>
      <c r="I3401" s="1" t="s">
        <v>714</v>
      </c>
      <c r="J3401" s="1" t="s">
        <v>716</v>
      </c>
      <c r="K3401" s="1" t="s">
        <v>716</v>
      </c>
      <c r="L3401" s="1" t="s">
        <v>12963</v>
      </c>
      <c r="M3401" s="1" t="s">
        <v>718</v>
      </c>
    </row>
    <row r="3402" customFormat="false" ht="15" hidden="false" customHeight="false" outlineLevel="0" collapsed="false">
      <c r="A3402" s="1" t="s">
        <v>14223</v>
      </c>
      <c r="B3402" s="1" t="s">
        <v>14224</v>
      </c>
      <c r="C3402" s="1" t="s">
        <v>9720</v>
      </c>
      <c r="D3402" s="2" t="n">
        <v>39858</v>
      </c>
      <c r="E3402" s="1" t="s">
        <v>763</v>
      </c>
      <c r="F3402" s="1" t="s">
        <v>711</v>
      </c>
      <c r="G3402" s="1" t="s">
        <v>722</v>
      </c>
      <c r="H3402" s="1" t="s">
        <v>713</v>
      </c>
      <c r="I3402" s="1" t="s">
        <v>714</v>
      </c>
      <c r="J3402" s="1" t="s">
        <v>716</v>
      </c>
      <c r="K3402" s="1" t="s">
        <v>14225</v>
      </c>
      <c r="L3402" s="1" t="s">
        <v>1418</v>
      </c>
      <c r="M3402" s="1" t="s">
        <v>718</v>
      </c>
    </row>
    <row r="3403" customFormat="false" ht="15" hidden="false" customHeight="false" outlineLevel="0" collapsed="false">
      <c r="A3403" s="1" t="s">
        <v>14226</v>
      </c>
      <c r="B3403" s="1" t="s">
        <v>14227</v>
      </c>
      <c r="C3403" s="1" t="s">
        <v>3123</v>
      </c>
      <c r="D3403" s="2" t="n">
        <v>39692</v>
      </c>
      <c r="E3403" s="1" t="s">
        <v>763</v>
      </c>
      <c r="F3403" s="1" t="s">
        <v>711</v>
      </c>
      <c r="G3403" s="1" t="s">
        <v>712</v>
      </c>
      <c r="H3403" s="1" t="s">
        <v>713</v>
      </c>
      <c r="I3403" s="1" t="s">
        <v>714</v>
      </c>
      <c r="J3403" s="1" t="s">
        <v>716</v>
      </c>
      <c r="K3403" s="1" t="s">
        <v>14228</v>
      </c>
      <c r="L3403" s="1" t="s">
        <v>2337</v>
      </c>
      <c r="M3403" s="1" t="s">
        <v>718</v>
      </c>
    </row>
    <row r="3404" customFormat="false" ht="15" hidden="false" customHeight="false" outlineLevel="0" collapsed="false">
      <c r="A3404" s="1" t="s">
        <v>14229</v>
      </c>
      <c r="B3404" s="1" t="s">
        <v>14230</v>
      </c>
      <c r="C3404" s="1" t="s">
        <v>11584</v>
      </c>
      <c r="D3404" s="2" t="n">
        <v>38223</v>
      </c>
      <c r="E3404" s="1" t="s">
        <v>710</v>
      </c>
      <c r="F3404" s="1" t="s">
        <v>711</v>
      </c>
      <c r="G3404" s="1" t="s">
        <v>722</v>
      </c>
      <c r="H3404" s="1" t="s">
        <v>713</v>
      </c>
      <c r="I3404" s="1" t="s">
        <v>714</v>
      </c>
      <c r="J3404" s="1" t="s">
        <v>716</v>
      </c>
      <c r="K3404" s="1" t="s">
        <v>14228</v>
      </c>
      <c r="L3404" s="1" t="s">
        <v>2337</v>
      </c>
      <c r="M3404" s="1" t="s">
        <v>718</v>
      </c>
    </row>
    <row r="3405" customFormat="false" ht="15" hidden="false" customHeight="false" outlineLevel="0" collapsed="false">
      <c r="A3405" s="1" t="s">
        <v>14231</v>
      </c>
      <c r="B3405" s="1" t="s">
        <v>7553</v>
      </c>
      <c r="C3405" s="1" t="s">
        <v>9437</v>
      </c>
      <c r="D3405" s="2" t="n">
        <v>39435</v>
      </c>
      <c r="E3405" s="1" t="s">
        <v>763</v>
      </c>
      <c r="F3405" s="1" t="s">
        <v>711</v>
      </c>
      <c r="G3405" s="1" t="s">
        <v>1573</v>
      </c>
      <c r="H3405" s="1" t="s">
        <v>1574</v>
      </c>
      <c r="I3405" s="1" t="s">
        <v>1575</v>
      </c>
      <c r="J3405" s="1" t="s">
        <v>902</v>
      </c>
      <c r="K3405" s="1" t="s">
        <v>14232</v>
      </c>
      <c r="L3405" s="1" t="s">
        <v>14233</v>
      </c>
      <c r="M3405" s="1" t="s">
        <v>718</v>
      </c>
    </row>
    <row r="3406" customFormat="false" ht="15" hidden="false" customHeight="false" outlineLevel="0" collapsed="false">
      <c r="A3406" s="1" t="s">
        <v>14234</v>
      </c>
      <c r="B3406" s="1" t="s">
        <v>14235</v>
      </c>
      <c r="C3406" s="1" t="s">
        <v>1295</v>
      </c>
      <c r="D3406" s="2" t="n">
        <v>38533</v>
      </c>
      <c r="E3406" s="1" t="s">
        <v>710</v>
      </c>
      <c r="F3406" s="1" t="s">
        <v>711</v>
      </c>
      <c r="G3406" s="1" t="s">
        <v>722</v>
      </c>
      <c r="H3406" s="1" t="s">
        <v>713</v>
      </c>
      <c r="I3406" s="1" t="s">
        <v>714</v>
      </c>
      <c r="J3406" s="1" t="s">
        <v>716</v>
      </c>
      <c r="K3406" s="1" t="s">
        <v>14236</v>
      </c>
      <c r="L3406" s="1" t="s">
        <v>14237</v>
      </c>
      <c r="M3406" s="1" t="s">
        <v>718</v>
      </c>
    </row>
    <row r="3407" customFormat="false" ht="15" hidden="false" customHeight="false" outlineLevel="0" collapsed="false">
      <c r="A3407" s="1" t="s">
        <v>14238</v>
      </c>
      <c r="B3407" s="1" t="s">
        <v>14239</v>
      </c>
      <c r="C3407" s="1" t="s">
        <v>14240</v>
      </c>
      <c r="D3407" s="2" t="n">
        <v>37643</v>
      </c>
      <c r="E3407" s="1" t="s">
        <v>763</v>
      </c>
      <c r="F3407" s="1" t="s">
        <v>711</v>
      </c>
      <c r="G3407" s="1" t="s">
        <v>712</v>
      </c>
      <c r="H3407" s="1" t="s">
        <v>713</v>
      </c>
      <c r="I3407" s="1" t="s">
        <v>714</v>
      </c>
      <c r="J3407" s="1" t="s">
        <v>716</v>
      </c>
      <c r="K3407" s="1" t="s">
        <v>14241</v>
      </c>
      <c r="L3407" s="1" t="s">
        <v>1418</v>
      </c>
      <c r="M3407" s="1" t="s">
        <v>718</v>
      </c>
    </row>
    <row r="3408" customFormat="false" ht="15" hidden="false" customHeight="false" outlineLevel="0" collapsed="false">
      <c r="A3408" s="1" t="s">
        <v>14242</v>
      </c>
      <c r="B3408" s="1" t="s">
        <v>14243</v>
      </c>
      <c r="C3408" s="1" t="s">
        <v>3200</v>
      </c>
      <c r="D3408" s="2" t="n">
        <v>39835</v>
      </c>
      <c r="E3408" s="1" t="s">
        <v>710</v>
      </c>
      <c r="F3408" s="1" t="s">
        <v>711</v>
      </c>
      <c r="G3408" s="1" t="s">
        <v>712</v>
      </c>
      <c r="H3408" s="1" t="s">
        <v>713</v>
      </c>
      <c r="I3408" s="1" t="s">
        <v>714</v>
      </c>
      <c r="J3408" s="1" t="s">
        <v>928</v>
      </c>
      <c r="K3408" s="1" t="s">
        <v>14244</v>
      </c>
      <c r="L3408" s="1" t="s">
        <v>14245</v>
      </c>
      <c r="M3408" s="1" t="s">
        <v>718</v>
      </c>
    </row>
    <row r="3409" customFormat="false" ht="15" hidden="false" customHeight="false" outlineLevel="0" collapsed="false">
      <c r="A3409" s="1" t="s">
        <v>14246</v>
      </c>
      <c r="B3409" s="1" t="s">
        <v>14247</v>
      </c>
      <c r="C3409" s="1" t="s">
        <v>8571</v>
      </c>
      <c r="D3409" s="2" t="n">
        <v>39616</v>
      </c>
      <c r="E3409" s="1" t="s">
        <v>763</v>
      </c>
      <c r="F3409" s="1" t="s">
        <v>711</v>
      </c>
      <c r="G3409" s="1" t="s">
        <v>712</v>
      </c>
      <c r="H3409" s="1" t="s">
        <v>713</v>
      </c>
      <c r="I3409" s="1" t="s">
        <v>714</v>
      </c>
      <c r="J3409" s="1" t="s">
        <v>14248</v>
      </c>
      <c r="K3409" s="1" t="s">
        <v>14249</v>
      </c>
      <c r="L3409" s="1" t="s">
        <v>1268</v>
      </c>
      <c r="M3409" s="1" t="s">
        <v>718</v>
      </c>
    </row>
    <row r="3410" customFormat="false" ht="15" hidden="false" customHeight="false" outlineLevel="0" collapsed="false">
      <c r="A3410" s="1" t="s">
        <v>14250</v>
      </c>
      <c r="B3410" s="1" t="s">
        <v>14251</v>
      </c>
      <c r="C3410" s="1" t="s">
        <v>14252</v>
      </c>
      <c r="D3410" s="2" t="n">
        <v>39757</v>
      </c>
      <c r="E3410" s="1" t="s">
        <v>710</v>
      </c>
      <c r="F3410" s="1" t="s">
        <v>711</v>
      </c>
      <c r="G3410" s="1" t="s">
        <v>712</v>
      </c>
      <c r="H3410" s="1" t="s">
        <v>713</v>
      </c>
      <c r="I3410" s="1" t="s">
        <v>714</v>
      </c>
      <c r="J3410" s="1" t="s">
        <v>715</v>
      </c>
      <c r="K3410" s="1" t="s">
        <v>14253</v>
      </c>
      <c r="L3410" s="1" t="s">
        <v>14254</v>
      </c>
      <c r="M3410" s="1" t="s">
        <v>718</v>
      </c>
    </row>
    <row r="3411" customFormat="false" ht="15" hidden="false" customHeight="false" outlineLevel="0" collapsed="false">
      <c r="A3411" s="1" t="s">
        <v>14255</v>
      </c>
      <c r="B3411" s="1" t="s">
        <v>14256</v>
      </c>
      <c r="C3411" s="1" t="s">
        <v>11714</v>
      </c>
      <c r="D3411" s="2" t="n">
        <v>39685</v>
      </c>
      <c r="E3411" s="1" t="s">
        <v>763</v>
      </c>
      <c r="F3411" s="1" t="s">
        <v>711</v>
      </c>
      <c r="G3411" s="1" t="s">
        <v>722</v>
      </c>
      <c r="H3411" s="1" t="s">
        <v>713</v>
      </c>
      <c r="I3411" s="1" t="s">
        <v>714</v>
      </c>
      <c r="J3411" s="1" t="s">
        <v>716</v>
      </c>
      <c r="K3411" s="1" t="s">
        <v>14257</v>
      </c>
      <c r="L3411" s="1" t="s">
        <v>1418</v>
      </c>
      <c r="M3411" s="1" t="s">
        <v>718</v>
      </c>
    </row>
    <row r="3412" customFormat="false" ht="15" hidden="false" customHeight="false" outlineLevel="0" collapsed="false">
      <c r="A3412" s="1" t="s">
        <v>14258</v>
      </c>
      <c r="B3412" s="1" t="s">
        <v>7071</v>
      </c>
      <c r="C3412" s="1" t="s">
        <v>14259</v>
      </c>
      <c r="D3412" s="2" t="n">
        <v>39687</v>
      </c>
      <c r="E3412" s="1" t="s">
        <v>763</v>
      </c>
      <c r="F3412" s="1" t="s">
        <v>711</v>
      </c>
      <c r="G3412" s="1" t="s">
        <v>712</v>
      </c>
      <c r="H3412" s="1" t="s">
        <v>713</v>
      </c>
      <c r="I3412" s="1" t="s">
        <v>714</v>
      </c>
      <c r="J3412" s="1" t="s">
        <v>716</v>
      </c>
      <c r="K3412" s="1" t="s">
        <v>14260</v>
      </c>
      <c r="L3412" s="1" t="s">
        <v>14261</v>
      </c>
      <c r="M3412" s="1" t="s">
        <v>718</v>
      </c>
    </row>
    <row r="3413" customFormat="false" ht="15" hidden="false" customHeight="false" outlineLevel="0" collapsed="false">
      <c r="A3413" s="1" t="s">
        <v>14262</v>
      </c>
      <c r="B3413" s="1" t="s">
        <v>14263</v>
      </c>
      <c r="C3413" s="1" t="s">
        <v>14264</v>
      </c>
      <c r="D3413" s="2" t="n">
        <v>39395</v>
      </c>
      <c r="E3413" s="1" t="s">
        <v>710</v>
      </c>
      <c r="F3413" s="1" t="s">
        <v>711</v>
      </c>
      <c r="G3413" s="1" t="s">
        <v>712</v>
      </c>
      <c r="H3413" s="1" t="s">
        <v>713</v>
      </c>
      <c r="I3413" s="1" t="s">
        <v>714</v>
      </c>
      <c r="J3413" s="1" t="s">
        <v>5211</v>
      </c>
      <c r="K3413" s="1" t="s">
        <v>14265</v>
      </c>
      <c r="L3413" s="1" t="s">
        <v>14266</v>
      </c>
      <c r="M3413" s="1" t="s">
        <v>718</v>
      </c>
    </row>
    <row r="3414" customFormat="false" ht="15" hidden="false" customHeight="false" outlineLevel="0" collapsed="false">
      <c r="A3414" s="1" t="s">
        <v>14267</v>
      </c>
      <c r="B3414" s="1" t="s">
        <v>14268</v>
      </c>
      <c r="C3414" s="1" t="s">
        <v>14269</v>
      </c>
      <c r="D3414" s="2" t="n">
        <v>39463</v>
      </c>
      <c r="E3414" s="1" t="s">
        <v>763</v>
      </c>
      <c r="F3414" s="1" t="s">
        <v>711</v>
      </c>
      <c r="G3414" s="1" t="s">
        <v>712</v>
      </c>
      <c r="H3414" s="1" t="s">
        <v>713</v>
      </c>
      <c r="I3414" s="1" t="s">
        <v>714</v>
      </c>
      <c r="J3414" s="1" t="s">
        <v>716</v>
      </c>
      <c r="K3414" s="1" t="s">
        <v>14270</v>
      </c>
      <c r="L3414" s="1" t="s">
        <v>14271</v>
      </c>
      <c r="M3414" s="1" t="s">
        <v>718</v>
      </c>
    </row>
    <row r="3415" customFormat="false" ht="15" hidden="false" customHeight="false" outlineLevel="0" collapsed="false">
      <c r="A3415" s="1" t="s">
        <v>14272</v>
      </c>
      <c r="B3415" s="1" t="s">
        <v>13402</v>
      </c>
      <c r="C3415" s="1" t="s">
        <v>3511</v>
      </c>
      <c r="D3415" s="2" t="n">
        <v>39800</v>
      </c>
      <c r="E3415" s="1" t="s">
        <v>763</v>
      </c>
      <c r="F3415" s="1" t="s">
        <v>711</v>
      </c>
      <c r="G3415" s="1" t="s">
        <v>712</v>
      </c>
      <c r="H3415" s="1" t="s">
        <v>713</v>
      </c>
      <c r="I3415" s="1" t="s">
        <v>714</v>
      </c>
      <c r="J3415" s="1" t="s">
        <v>716</v>
      </c>
      <c r="K3415" s="1" t="s">
        <v>716</v>
      </c>
      <c r="L3415" s="1" t="s">
        <v>3514</v>
      </c>
      <c r="M3415" s="1" t="s">
        <v>718</v>
      </c>
    </row>
    <row r="3416" customFormat="false" ht="15" hidden="false" customHeight="false" outlineLevel="0" collapsed="false">
      <c r="A3416" s="1" t="s">
        <v>14273</v>
      </c>
      <c r="B3416" s="1" t="s">
        <v>2548</v>
      </c>
      <c r="C3416" s="1" t="s">
        <v>14050</v>
      </c>
      <c r="D3416" s="2" t="n">
        <v>39727</v>
      </c>
      <c r="E3416" s="1" t="s">
        <v>763</v>
      </c>
      <c r="F3416" s="1" t="s">
        <v>711</v>
      </c>
      <c r="G3416" s="1" t="s">
        <v>722</v>
      </c>
      <c r="H3416" s="1" t="s">
        <v>713</v>
      </c>
      <c r="I3416" s="1" t="s">
        <v>714</v>
      </c>
      <c r="J3416" s="1" t="s">
        <v>2564</v>
      </c>
      <c r="K3416" s="1" t="s">
        <v>14274</v>
      </c>
      <c r="L3416" s="1" t="s">
        <v>14275</v>
      </c>
      <c r="M3416" s="1" t="s">
        <v>718</v>
      </c>
    </row>
    <row r="3417" customFormat="false" ht="15" hidden="false" customHeight="false" outlineLevel="0" collapsed="false">
      <c r="A3417" s="1" t="s">
        <v>14276</v>
      </c>
      <c r="B3417" s="1" t="s">
        <v>803</v>
      </c>
      <c r="C3417" s="1" t="s">
        <v>7326</v>
      </c>
      <c r="D3417" s="2" t="n">
        <v>39517</v>
      </c>
      <c r="E3417" s="1" t="s">
        <v>710</v>
      </c>
      <c r="F3417" s="1" t="s">
        <v>711</v>
      </c>
      <c r="G3417" s="1" t="s">
        <v>14277</v>
      </c>
      <c r="H3417" s="1" t="s">
        <v>713</v>
      </c>
      <c r="I3417" s="1" t="s">
        <v>714</v>
      </c>
      <c r="J3417" s="1" t="s">
        <v>716</v>
      </c>
      <c r="K3417" s="1" t="s">
        <v>14278</v>
      </c>
      <c r="L3417" s="1" t="s">
        <v>14279</v>
      </c>
      <c r="M3417" s="1" t="s">
        <v>718</v>
      </c>
    </row>
    <row r="3418" customFormat="false" ht="15" hidden="false" customHeight="false" outlineLevel="0" collapsed="false">
      <c r="A3418" s="1" t="s">
        <v>14280</v>
      </c>
      <c r="B3418" s="1" t="s">
        <v>14281</v>
      </c>
      <c r="C3418" s="1" t="s">
        <v>2923</v>
      </c>
      <c r="D3418" s="2" t="n">
        <v>39649</v>
      </c>
      <c r="E3418" s="1" t="s">
        <v>710</v>
      </c>
      <c r="F3418" s="1" t="s">
        <v>711</v>
      </c>
      <c r="G3418" s="1" t="s">
        <v>722</v>
      </c>
      <c r="H3418" s="1" t="s">
        <v>713</v>
      </c>
      <c r="I3418" s="1" t="s">
        <v>714</v>
      </c>
      <c r="J3418" s="1" t="s">
        <v>716</v>
      </c>
      <c r="K3418" s="1" t="s">
        <v>14282</v>
      </c>
      <c r="L3418" s="1" t="s">
        <v>14283</v>
      </c>
      <c r="M3418" s="1" t="s">
        <v>718</v>
      </c>
    </row>
    <row r="3419" customFormat="false" ht="15" hidden="false" customHeight="false" outlineLevel="0" collapsed="false">
      <c r="A3419" s="1" t="s">
        <v>14284</v>
      </c>
      <c r="B3419" s="1" t="s">
        <v>14285</v>
      </c>
      <c r="C3419" s="1" t="s">
        <v>14286</v>
      </c>
      <c r="D3419" s="2" t="n">
        <v>39735</v>
      </c>
      <c r="E3419" s="1" t="s">
        <v>763</v>
      </c>
      <c r="F3419" s="1" t="s">
        <v>711</v>
      </c>
      <c r="G3419" s="1" t="s">
        <v>712</v>
      </c>
      <c r="H3419" s="1" t="s">
        <v>713</v>
      </c>
      <c r="I3419" s="1" t="s">
        <v>714</v>
      </c>
      <c r="J3419" s="1" t="s">
        <v>716</v>
      </c>
      <c r="K3419" s="1" t="s">
        <v>716</v>
      </c>
      <c r="L3419" s="1" t="s">
        <v>1418</v>
      </c>
      <c r="M3419" s="1" t="s">
        <v>718</v>
      </c>
    </row>
    <row r="3420" customFormat="false" ht="15" hidden="false" customHeight="false" outlineLevel="0" collapsed="false">
      <c r="A3420" s="1" t="s">
        <v>14287</v>
      </c>
      <c r="B3420" s="1" t="s">
        <v>14288</v>
      </c>
      <c r="C3420" s="1" t="s">
        <v>7611</v>
      </c>
      <c r="D3420" s="2" t="n">
        <v>31633</v>
      </c>
      <c r="E3420" s="1" t="s">
        <v>710</v>
      </c>
      <c r="F3420" s="1" t="s">
        <v>711</v>
      </c>
      <c r="G3420" s="1" t="s">
        <v>722</v>
      </c>
      <c r="H3420" s="1" t="s">
        <v>713</v>
      </c>
      <c r="I3420" s="1" t="s">
        <v>714</v>
      </c>
      <c r="J3420" s="1" t="s">
        <v>10321</v>
      </c>
      <c r="K3420" s="1" t="s">
        <v>10321</v>
      </c>
      <c r="L3420" s="1" t="s">
        <v>8387</v>
      </c>
      <c r="M3420" s="1" t="s">
        <v>718</v>
      </c>
    </row>
    <row r="3421" customFormat="false" ht="15" hidden="false" customHeight="false" outlineLevel="0" collapsed="false">
      <c r="A3421" s="1" t="s">
        <v>14289</v>
      </c>
      <c r="B3421" s="1" t="s">
        <v>14290</v>
      </c>
      <c r="C3421" s="1" t="s">
        <v>14291</v>
      </c>
      <c r="D3421" s="2" t="n">
        <v>39454</v>
      </c>
      <c r="E3421" s="1" t="s">
        <v>763</v>
      </c>
      <c r="F3421" s="1" t="s">
        <v>711</v>
      </c>
      <c r="G3421" s="1" t="s">
        <v>722</v>
      </c>
      <c r="H3421" s="1" t="s">
        <v>713</v>
      </c>
      <c r="I3421" s="1" t="s">
        <v>714</v>
      </c>
      <c r="J3421" s="1" t="s">
        <v>716</v>
      </c>
      <c r="K3421" s="1" t="s">
        <v>14292</v>
      </c>
      <c r="L3421" s="1" t="s">
        <v>14293</v>
      </c>
      <c r="M3421" s="1" t="s">
        <v>718</v>
      </c>
    </row>
    <row r="3422" customFormat="false" ht="15" hidden="false" customHeight="false" outlineLevel="0" collapsed="false">
      <c r="A3422" s="1" t="s">
        <v>14294</v>
      </c>
      <c r="B3422" s="1" t="s">
        <v>14295</v>
      </c>
      <c r="C3422" s="1" t="s">
        <v>14296</v>
      </c>
      <c r="D3422" s="2" t="n">
        <v>40112</v>
      </c>
      <c r="E3422" s="1" t="s">
        <v>763</v>
      </c>
      <c r="F3422" s="1" t="s">
        <v>711</v>
      </c>
      <c r="G3422" s="1" t="s">
        <v>722</v>
      </c>
      <c r="H3422" s="1" t="s">
        <v>713</v>
      </c>
      <c r="I3422" s="1" t="s">
        <v>714</v>
      </c>
      <c r="J3422" s="1" t="s">
        <v>716</v>
      </c>
      <c r="K3422" s="1" t="s">
        <v>14297</v>
      </c>
      <c r="L3422" s="1" t="s">
        <v>3460</v>
      </c>
      <c r="M3422" s="1" t="s">
        <v>718</v>
      </c>
    </row>
    <row r="3423" customFormat="false" ht="15" hidden="false" customHeight="false" outlineLevel="0" collapsed="false">
      <c r="A3423" s="1" t="s">
        <v>14298</v>
      </c>
      <c r="B3423" s="1" t="s">
        <v>14299</v>
      </c>
      <c r="C3423" s="1" t="s">
        <v>1080</v>
      </c>
      <c r="D3423" s="2" t="n">
        <v>39713</v>
      </c>
      <c r="E3423" s="1" t="s">
        <v>763</v>
      </c>
      <c r="F3423" s="1" t="s">
        <v>711</v>
      </c>
      <c r="G3423" s="1" t="s">
        <v>712</v>
      </c>
      <c r="H3423" s="1" t="s">
        <v>713</v>
      </c>
      <c r="I3423" s="1" t="s">
        <v>714</v>
      </c>
      <c r="J3423" s="1" t="s">
        <v>716</v>
      </c>
      <c r="K3423" s="1" t="s">
        <v>14300</v>
      </c>
      <c r="L3423" s="1" t="s">
        <v>1418</v>
      </c>
      <c r="M3423" s="1" t="s">
        <v>718</v>
      </c>
    </row>
    <row r="3424" customFormat="false" ht="15" hidden="false" customHeight="false" outlineLevel="0" collapsed="false">
      <c r="A3424" s="1" t="s">
        <v>14301</v>
      </c>
      <c r="B3424" s="1" t="s">
        <v>14302</v>
      </c>
      <c r="C3424" s="1" t="s">
        <v>14303</v>
      </c>
      <c r="D3424" s="2" t="n">
        <v>39577</v>
      </c>
      <c r="E3424" s="1" t="s">
        <v>763</v>
      </c>
      <c r="F3424" s="1" t="s">
        <v>711</v>
      </c>
      <c r="G3424" s="1" t="s">
        <v>712</v>
      </c>
      <c r="H3424" s="1" t="s">
        <v>713</v>
      </c>
      <c r="I3424" s="1" t="s">
        <v>714</v>
      </c>
      <c r="J3424" s="1" t="s">
        <v>716</v>
      </c>
      <c r="K3424" s="1" t="s">
        <v>14304</v>
      </c>
      <c r="L3424" s="1" t="s">
        <v>14305</v>
      </c>
      <c r="M3424" s="1" t="s">
        <v>718</v>
      </c>
    </row>
    <row r="3425" customFormat="false" ht="15" hidden="false" customHeight="false" outlineLevel="0" collapsed="false">
      <c r="A3425" s="1" t="s">
        <v>14306</v>
      </c>
      <c r="B3425" s="1" t="s">
        <v>14307</v>
      </c>
      <c r="C3425" s="1" t="s">
        <v>13395</v>
      </c>
      <c r="D3425" s="2" t="n">
        <v>40012</v>
      </c>
      <c r="E3425" s="1" t="s">
        <v>763</v>
      </c>
      <c r="F3425" s="1" t="s">
        <v>711</v>
      </c>
      <c r="G3425" s="1" t="s">
        <v>712</v>
      </c>
      <c r="H3425" s="1" t="s">
        <v>713</v>
      </c>
      <c r="I3425" s="1" t="s">
        <v>714</v>
      </c>
      <c r="J3425" s="1" t="s">
        <v>716</v>
      </c>
      <c r="K3425" s="1" t="s">
        <v>13396</v>
      </c>
      <c r="L3425" s="1" t="s">
        <v>1418</v>
      </c>
      <c r="M3425" s="1" t="s">
        <v>718</v>
      </c>
    </row>
    <row r="3426" customFormat="false" ht="15" hidden="false" customHeight="false" outlineLevel="0" collapsed="false">
      <c r="A3426" s="1" t="s">
        <v>14308</v>
      </c>
      <c r="B3426" s="1" t="s">
        <v>14309</v>
      </c>
      <c r="C3426" s="1" t="s">
        <v>14310</v>
      </c>
      <c r="D3426" s="2" t="n">
        <v>39548</v>
      </c>
      <c r="E3426" s="1" t="s">
        <v>763</v>
      </c>
      <c r="F3426" s="1" t="s">
        <v>711</v>
      </c>
      <c r="G3426" s="1" t="s">
        <v>712</v>
      </c>
      <c r="H3426" s="1" t="s">
        <v>713</v>
      </c>
      <c r="I3426" s="1" t="s">
        <v>714</v>
      </c>
      <c r="J3426" s="1" t="s">
        <v>716</v>
      </c>
      <c r="K3426" s="1" t="s">
        <v>14311</v>
      </c>
      <c r="L3426" s="1" t="s">
        <v>14312</v>
      </c>
      <c r="M3426" s="1" t="s">
        <v>718</v>
      </c>
    </row>
    <row r="3427" customFormat="false" ht="15" hidden="false" customHeight="false" outlineLevel="0" collapsed="false">
      <c r="A3427" s="1" t="s">
        <v>14313</v>
      </c>
      <c r="B3427" s="1" t="s">
        <v>4965</v>
      </c>
      <c r="C3427" s="1" t="s">
        <v>13234</v>
      </c>
      <c r="D3427" s="2" t="n">
        <v>39440</v>
      </c>
      <c r="E3427" s="1" t="s">
        <v>710</v>
      </c>
      <c r="F3427" s="1" t="s">
        <v>711</v>
      </c>
      <c r="G3427" s="1" t="s">
        <v>712</v>
      </c>
      <c r="H3427" s="1" t="s">
        <v>713</v>
      </c>
      <c r="I3427" s="1" t="s">
        <v>714</v>
      </c>
      <c r="J3427" s="1" t="s">
        <v>716</v>
      </c>
      <c r="K3427" s="1" t="s">
        <v>14314</v>
      </c>
      <c r="L3427" s="1" t="s">
        <v>14315</v>
      </c>
      <c r="M3427" s="1" t="s">
        <v>718</v>
      </c>
    </row>
    <row r="3428" customFormat="false" ht="15" hidden="false" customHeight="false" outlineLevel="0" collapsed="false">
      <c r="A3428" s="1" t="s">
        <v>14316</v>
      </c>
      <c r="B3428" s="1" t="s">
        <v>14317</v>
      </c>
      <c r="C3428" s="1" t="s">
        <v>14318</v>
      </c>
      <c r="D3428" s="2" t="n">
        <v>40223</v>
      </c>
      <c r="E3428" s="1" t="s">
        <v>763</v>
      </c>
      <c r="F3428" s="1" t="s">
        <v>711</v>
      </c>
      <c r="G3428" s="1" t="s">
        <v>712</v>
      </c>
      <c r="H3428" s="1" t="s">
        <v>713</v>
      </c>
      <c r="I3428" s="1" t="s">
        <v>714</v>
      </c>
      <c r="J3428" s="1" t="s">
        <v>716</v>
      </c>
      <c r="K3428" s="1" t="s">
        <v>14319</v>
      </c>
      <c r="L3428" s="1" t="s">
        <v>14320</v>
      </c>
      <c r="M3428" s="1" t="s">
        <v>718</v>
      </c>
    </row>
    <row r="3429" customFormat="false" ht="15" hidden="false" customHeight="false" outlineLevel="0" collapsed="false">
      <c r="A3429" s="1" t="s">
        <v>14321</v>
      </c>
      <c r="B3429" s="1" t="s">
        <v>14322</v>
      </c>
      <c r="C3429" s="1" t="s">
        <v>7072</v>
      </c>
      <c r="D3429" s="2" t="n">
        <v>39619</v>
      </c>
      <c r="E3429" s="1" t="s">
        <v>763</v>
      </c>
      <c r="F3429" s="1" t="s">
        <v>711</v>
      </c>
      <c r="G3429" s="1" t="s">
        <v>712</v>
      </c>
      <c r="H3429" s="1" t="s">
        <v>713</v>
      </c>
      <c r="I3429" s="1" t="s">
        <v>714</v>
      </c>
      <c r="J3429" s="1" t="s">
        <v>716</v>
      </c>
      <c r="K3429" s="1" t="s">
        <v>14323</v>
      </c>
      <c r="L3429" s="1" t="s">
        <v>7074</v>
      </c>
      <c r="M3429" s="1" t="s">
        <v>718</v>
      </c>
    </row>
    <row r="3430" customFormat="false" ht="15" hidden="false" customHeight="false" outlineLevel="0" collapsed="false">
      <c r="A3430" s="1" t="s">
        <v>14324</v>
      </c>
      <c r="B3430" s="1" t="s">
        <v>10089</v>
      </c>
      <c r="C3430" s="1" t="s">
        <v>14325</v>
      </c>
      <c r="D3430" s="2" t="n">
        <v>39603</v>
      </c>
      <c r="E3430" s="1" t="s">
        <v>710</v>
      </c>
      <c r="F3430" s="1" t="s">
        <v>711</v>
      </c>
      <c r="G3430" s="1" t="s">
        <v>712</v>
      </c>
      <c r="H3430" s="1" t="s">
        <v>713</v>
      </c>
      <c r="I3430" s="1" t="s">
        <v>714</v>
      </c>
      <c r="J3430" s="1" t="s">
        <v>716</v>
      </c>
      <c r="K3430" s="1" t="s">
        <v>14326</v>
      </c>
      <c r="L3430" s="1" t="s">
        <v>13831</v>
      </c>
      <c r="M3430" s="1" t="s">
        <v>718</v>
      </c>
    </row>
    <row r="3431" customFormat="false" ht="15" hidden="false" customHeight="false" outlineLevel="0" collapsed="false">
      <c r="A3431" s="1" t="s">
        <v>14327</v>
      </c>
      <c r="B3431" s="1" t="s">
        <v>14328</v>
      </c>
      <c r="C3431" s="1" t="s">
        <v>1795</v>
      </c>
      <c r="D3431" s="2" t="n">
        <v>39566</v>
      </c>
      <c r="E3431" s="1" t="s">
        <v>710</v>
      </c>
      <c r="F3431" s="1" t="s">
        <v>711</v>
      </c>
      <c r="G3431" s="1" t="s">
        <v>712</v>
      </c>
      <c r="H3431" s="1" t="s">
        <v>713</v>
      </c>
      <c r="I3431" s="1" t="s">
        <v>714</v>
      </c>
      <c r="J3431" s="1" t="s">
        <v>716</v>
      </c>
      <c r="K3431" s="1" t="s">
        <v>14329</v>
      </c>
      <c r="L3431" s="1" t="s">
        <v>1797</v>
      </c>
      <c r="M3431" s="1" t="s">
        <v>718</v>
      </c>
    </row>
    <row r="3432" customFormat="false" ht="15" hidden="false" customHeight="false" outlineLevel="0" collapsed="false">
      <c r="A3432" s="1" t="s">
        <v>14330</v>
      </c>
      <c r="B3432" s="1" t="s">
        <v>14331</v>
      </c>
      <c r="C3432" s="1" t="s">
        <v>11086</v>
      </c>
      <c r="D3432" s="2" t="n">
        <v>39689</v>
      </c>
      <c r="E3432" s="1" t="s">
        <v>763</v>
      </c>
      <c r="F3432" s="1" t="s">
        <v>711</v>
      </c>
      <c r="G3432" s="1" t="s">
        <v>712</v>
      </c>
      <c r="H3432" s="1" t="s">
        <v>713</v>
      </c>
      <c r="I3432" s="1" t="s">
        <v>714</v>
      </c>
      <c r="J3432" s="1" t="s">
        <v>716</v>
      </c>
      <c r="K3432" s="1" t="s">
        <v>11087</v>
      </c>
      <c r="L3432" s="1" t="s">
        <v>5007</v>
      </c>
      <c r="M3432" s="1" t="s">
        <v>718</v>
      </c>
    </row>
    <row r="3433" customFormat="false" ht="15" hidden="false" customHeight="false" outlineLevel="0" collapsed="false">
      <c r="A3433" s="1" t="s">
        <v>14332</v>
      </c>
      <c r="B3433" s="1" t="s">
        <v>14333</v>
      </c>
      <c r="C3433" s="1" t="s">
        <v>11718</v>
      </c>
      <c r="D3433" s="2" t="n">
        <v>39654</v>
      </c>
      <c r="E3433" s="1" t="s">
        <v>710</v>
      </c>
      <c r="F3433" s="1" t="s">
        <v>711</v>
      </c>
      <c r="G3433" s="1" t="s">
        <v>722</v>
      </c>
      <c r="H3433" s="1" t="s">
        <v>713</v>
      </c>
      <c r="I3433" s="1" t="s">
        <v>714</v>
      </c>
      <c r="J3433" s="1" t="s">
        <v>716</v>
      </c>
      <c r="K3433" s="1" t="s">
        <v>11087</v>
      </c>
      <c r="L3433" s="1" t="s">
        <v>11720</v>
      </c>
      <c r="M3433" s="1" t="s">
        <v>718</v>
      </c>
    </row>
    <row r="3434" customFormat="false" ht="15" hidden="false" customHeight="false" outlineLevel="0" collapsed="false">
      <c r="A3434" s="1" t="s">
        <v>14334</v>
      </c>
      <c r="B3434" s="1" t="s">
        <v>14335</v>
      </c>
      <c r="C3434" s="1" t="s">
        <v>12770</v>
      </c>
      <c r="D3434" s="2" t="n">
        <v>39617</v>
      </c>
      <c r="E3434" s="1" t="s">
        <v>763</v>
      </c>
      <c r="F3434" s="1" t="s">
        <v>711</v>
      </c>
      <c r="G3434" s="1" t="s">
        <v>712</v>
      </c>
      <c r="H3434" s="1" t="s">
        <v>713</v>
      </c>
      <c r="I3434" s="1" t="s">
        <v>714</v>
      </c>
      <c r="J3434" s="1" t="s">
        <v>716</v>
      </c>
      <c r="K3434" s="1" t="s">
        <v>14336</v>
      </c>
      <c r="L3434" s="1" t="s">
        <v>1418</v>
      </c>
      <c r="M3434" s="1" t="s">
        <v>718</v>
      </c>
    </row>
    <row r="3435" customFormat="false" ht="15" hidden="false" customHeight="false" outlineLevel="0" collapsed="false">
      <c r="A3435" s="1" t="s">
        <v>14337</v>
      </c>
      <c r="B3435" s="1" t="s">
        <v>14338</v>
      </c>
      <c r="C3435" s="1" t="s">
        <v>14339</v>
      </c>
      <c r="D3435" s="2" t="n">
        <v>40151</v>
      </c>
      <c r="E3435" s="1" t="s">
        <v>763</v>
      </c>
      <c r="F3435" s="1" t="s">
        <v>711</v>
      </c>
      <c r="G3435" s="1" t="s">
        <v>722</v>
      </c>
      <c r="H3435" s="1" t="s">
        <v>713</v>
      </c>
      <c r="I3435" s="1" t="s">
        <v>714</v>
      </c>
      <c r="J3435" s="1" t="s">
        <v>716</v>
      </c>
      <c r="K3435" s="1" t="s">
        <v>14340</v>
      </c>
      <c r="L3435" s="1" t="s">
        <v>1418</v>
      </c>
      <c r="M3435" s="1" t="s">
        <v>718</v>
      </c>
    </row>
    <row r="3436" customFormat="false" ht="15" hidden="false" customHeight="false" outlineLevel="0" collapsed="false">
      <c r="A3436" s="1" t="s">
        <v>14341</v>
      </c>
      <c r="B3436" s="1" t="s">
        <v>14342</v>
      </c>
      <c r="C3436" s="1" t="s">
        <v>804</v>
      </c>
      <c r="D3436" s="2" t="n">
        <v>39750</v>
      </c>
      <c r="E3436" s="1" t="s">
        <v>710</v>
      </c>
      <c r="F3436" s="1" t="s">
        <v>711</v>
      </c>
      <c r="G3436" s="1" t="s">
        <v>712</v>
      </c>
      <c r="H3436" s="1" t="s">
        <v>713</v>
      </c>
      <c r="I3436" s="1" t="s">
        <v>714</v>
      </c>
      <c r="J3436" s="1" t="s">
        <v>716</v>
      </c>
      <c r="K3436" s="1" t="s">
        <v>14343</v>
      </c>
      <c r="L3436" s="1" t="s">
        <v>1418</v>
      </c>
      <c r="M3436" s="1" t="s">
        <v>718</v>
      </c>
    </row>
    <row r="3437" customFormat="false" ht="15" hidden="false" customHeight="false" outlineLevel="0" collapsed="false">
      <c r="A3437" s="1" t="s">
        <v>14344</v>
      </c>
      <c r="B3437" s="1" t="s">
        <v>14345</v>
      </c>
      <c r="C3437" s="1" t="s">
        <v>804</v>
      </c>
      <c r="D3437" s="2" t="n">
        <v>39434</v>
      </c>
      <c r="E3437" s="1" t="s">
        <v>710</v>
      </c>
      <c r="F3437" s="1" t="s">
        <v>711</v>
      </c>
      <c r="G3437" s="1" t="s">
        <v>722</v>
      </c>
      <c r="H3437" s="1" t="s">
        <v>713</v>
      </c>
      <c r="I3437" s="1" t="s">
        <v>714</v>
      </c>
      <c r="J3437" s="1" t="s">
        <v>716</v>
      </c>
      <c r="K3437" s="1" t="s">
        <v>14346</v>
      </c>
      <c r="L3437" s="1" t="s">
        <v>1418</v>
      </c>
      <c r="M3437" s="1" t="s">
        <v>718</v>
      </c>
    </row>
    <row r="3438" customFormat="false" ht="15" hidden="false" customHeight="false" outlineLevel="0" collapsed="false">
      <c r="A3438" s="1" t="s">
        <v>14347</v>
      </c>
      <c r="B3438" s="1" t="s">
        <v>14348</v>
      </c>
      <c r="C3438" s="1" t="s">
        <v>14349</v>
      </c>
      <c r="D3438" s="2" t="n">
        <v>39898</v>
      </c>
      <c r="E3438" s="1" t="s">
        <v>763</v>
      </c>
      <c r="F3438" s="1" t="s">
        <v>711</v>
      </c>
      <c r="G3438" s="1" t="s">
        <v>722</v>
      </c>
      <c r="H3438" s="1" t="s">
        <v>713</v>
      </c>
      <c r="I3438" s="1" t="s">
        <v>714</v>
      </c>
      <c r="J3438" s="1" t="s">
        <v>716</v>
      </c>
      <c r="K3438" s="1" t="s">
        <v>14350</v>
      </c>
      <c r="L3438" s="1" t="s">
        <v>1418</v>
      </c>
      <c r="M3438" s="1" t="s">
        <v>718</v>
      </c>
    </row>
    <row r="3439" customFormat="false" ht="15" hidden="false" customHeight="false" outlineLevel="0" collapsed="false">
      <c r="A3439" s="1" t="s">
        <v>14351</v>
      </c>
      <c r="B3439" s="1" t="s">
        <v>14352</v>
      </c>
      <c r="C3439" s="1" t="s">
        <v>2965</v>
      </c>
      <c r="D3439" s="2" t="n">
        <v>39802</v>
      </c>
      <c r="E3439" s="1" t="s">
        <v>763</v>
      </c>
      <c r="F3439" s="1" t="s">
        <v>711</v>
      </c>
      <c r="G3439" s="1" t="s">
        <v>712</v>
      </c>
      <c r="H3439" s="1" t="s">
        <v>713</v>
      </c>
      <c r="I3439" s="1" t="s">
        <v>714</v>
      </c>
      <c r="J3439" s="1" t="s">
        <v>716</v>
      </c>
      <c r="K3439" s="1" t="s">
        <v>14353</v>
      </c>
      <c r="L3439" s="1" t="s">
        <v>1418</v>
      </c>
      <c r="M3439" s="1" t="s">
        <v>718</v>
      </c>
    </row>
    <row r="3440" customFormat="false" ht="15" hidden="false" customHeight="false" outlineLevel="0" collapsed="false">
      <c r="A3440" s="1" t="s">
        <v>14354</v>
      </c>
      <c r="B3440" s="1" t="s">
        <v>14355</v>
      </c>
      <c r="C3440" s="1" t="s">
        <v>1353</v>
      </c>
      <c r="D3440" s="2" t="n">
        <v>39474</v>
      </c>
      <c r="E3440" s="1" t="s">
        <v>763</v>
      </c>
      <c r="F3440" s="1" t="s">
        <v>711</v>
      </c>
      <c r="G3440" s="1" t="s">
        <v>712</v>
      </c>
      <c r="H3440" s="1" t="s">
        <v>713</v>
      </c>
      <c r="I3440" s="1" t="s">
        <v>714</v>
      </c>
      <c r="J3440" s="1" t="s">
        <v>716</v>
      </c>
      <c r="K3440" s="1" t="s">
        <v>14356</v>
      </c>
      <c r="L3440" s="1" t="s">
        <v>14357</v>
      </c>
      <c r="M3440" s="1" t="s">
        <v>718</v>
      </c>
    </row>
    <row r="3441" customFormat="false" ht="15" hidden="false" customHeight="false" outlineLevel="0" collapsed="false">
      <c r="A3441" s="1" t="s">
        <v>14358</v>
      </c>
      <c r="B3441" s="1" t="s">
        <v>2071</v>
      </c>
      <c r="C3441" s="1" t="s">
        <v>14359</v>
      </c>
      <c r="D3441" s="2" t="n">
        <v>39862</v>
      </c>
      <c r="E3441" s="1" t="s">
        <v>710</v>
      </c>
      <c r="F3441" s="1" t="s">
        <v>711</v>
      </c>
      <c r="G3441" s="1" t="s">
        <v>712</v>
      </c>
      <c r="H3441" s="1" t="s">
        <v>713</v>
      </c>
      <c r="I3441" s="1" t="s">
        <v>714</v>
      </c>
      <c r="J3441" s="1" t="s">
        <v>716</v>
      </c>
      <c r="K3441" s="1" t="s">
        <v>13447</v>
      </c>
      <c r="L3441" s="1" t="s">
        <v>14360</v>
      </c>
      <c r="M3441" s="1" t="s">
        <v>718</v>
      </c>
    </row>
    <row r="3442" s="13" customFormat="true" ht="15" hidden="false" customHeight="false" outlineLevel="0" collapsed="false">
      <c r="A3442" s="10" t="s">
        <v>647</v>
      </c>
      <c r="B3442" s="10" t="s">
        <v>6822</v>
      </c>
      <c r="C3442" s="10" t="s">
        <v>1239</v>
      </c>
      <c r="D3442" s="12" t="n">
        <v>39800</v>
      </c>
      <c r="E3442" s="10" t="s">
        <v>710</v>
      </c>
      <c r="F3442" s="10" t="s">
        <v>711</v>
      </c>
      <c r="G3442" s="10" t="s">
        <v>722</v>
      </c>
      <c r="H3442" s="10" t="s">
        <v>713</v>
      </c>
      <c r="I3442" s="10" t="s">
        <v>714</v>
      </c>
      <c r="J3442" s="10" t="s">
        <v>716</v>
      </c>
      <c r="K3442" s="10" t="s">
        <v>14361</v>
      </c>
      <c r="L3442" s="10" t="s">
        <v>11175</v>
      </c>
      <c r="M3442" s="10" t="s">
        <v>718</v>
      </c>
      <c r="XEE3442" s="0"/>
      <c r="XEF3442" s="0"/>
      <c r="XEG3442" s="0"/>
      <c r="XEH3442" s="0"/>
      <c r="XEI3442" s="0"/>
      <c r="XEJ3442" s="0"/>
      <c r="XEK3442" s="0"/>
      <c r="XEL3442" s="0"/>
      <c r="XEM3442" s="0"/>
      <c r="XEN3442" s="0"/>
      <c r="XEO3442" s="0"/>
      <c r="XEP3442" s="0"/>
      <c r="XEQ3442" s="0"/>
      <c r="XER3442" s="0"/>
      <c r="XES3442" s="0"/>
      <c r="XET3442" s="0"/>
      <c r="XEU3442" s="0"/>
      <c r="XEV3442" s="0"/>
      <c r="XEW3442" s="0"/>
      <c r="XEX3442" s="0"/>
      <c r="XEY3442" s="0"/>
      <c r="XEZ3442" s="0"/>
      <c r="XFA3442" s="0"/>
      <c r="XFB3442" s="0"/>
      <c r="XFC3442" s="0"/>
      <c r="XFD3442" s="0"/>
    </row>
    <row r="3443" customFormat="false" ht="15" hidden="false" customHeight="false" outlineLevel="0" collapsed="false">
      <c r="A3443" s="1" t="s">
        <v>14362</v>
      </c>
      <c r="B3443" s="1" t="s">
        <v>14363</v>
      </c>
      <c r="C3443" s="1" t="s">
        <v>13084</v>
      </c>
      <c r="D3443" s="2" t="n">
        <v>40438</v>
      </c>
      <c r="E3443" s="1" t="s">
        <v>763</v>
      </c>
      <c r="F3443" s="1" t="s">
        <v>711</v>
      </c>
      <c r="G3443" s="1" t="s">
        <v>14364</v>
      </c>
      <c r="H3443" s="1" t="s">
        <v>713</v>
      </c>
      <c r="I3443" s="1" t="s">
        <v>714</v>
      </c>
      <c r="J3443" s="1" t="s">
        <v>716</v>
      </c>
      <c r="K3443" s="1" t="s">
        <v>14365</v>
      </c>
      <c r="L3443" s="1" t="s">
        <v>13085</v>
      </c>
      <c r="M3443" s="1" t="s">
        <v>718</v>
      </c>
    </row>
    <row r="3444" customFormat="false" ht="15" hidden="false" customHeight="false" outlineLevel="0" collapsed="false">
      <c r="A3444" s="1" t="s">
        <v>14366</v>
      </c>
      <c r="B3444" s="1" t="s">
        <v>14367</v>
      </c>
      <c r="C3444" s="1" t="s">
        <v>14368</v>
      </c>
      <c r="D3444" s="2" t="n">
        <v>39644</v>
      </c>
      <c r="E3444" s="1" t="s">
        <v>763</v>
      </c>
      <c r="F3444" s="1" t="s">
        <v>711</v>
      </c>
      <c r="G3444" s="1" t="s">
        <v>712</v>
      </c>
      <c r="H3444" s="1" t="s">
        <v>713</v>
      </c>
      <c r="I3444" s="1" t="s">
        <v>714</v>
      </c>
      <c r="J3444" s="1" t="s">
        <v>716</v>
      </c>
      <c r="K3444" s="1" t="s">
        <v>14369</v>
      </c>
      <c r="L3444" s="1" t="s">
        <v>14370</v>
      </c>
      <c r="M3444" s="1" t="s">
        <v>718</v>
      </c>
    </row>
    <row r="3445" s="13" customFormat="true" ht="15" hidden="false" customHeight="false" outlineLevel="0" collapsed="false">
      <c r="A3445" s="10" t="s">
        <v>539</v>
      </c>
      <c r="B3445" s="10" t="s">
        <v>14371</v>
      </c>
      <c r="C3445" s="10" t="s">
        <v>1094</v>
      </c>
      <c r="D3445" s="12" t="n">
        <v>39816</v>
      </c>
      <c r="E3445" s="10" t="s">
        <v>763</v>
      </c>
      <c r="F3445" s="10" t="s">
        <v>711</v>
      </c>
      <c r="G3445" s="10" t="s">
        <v>722</v>
      </c>
      <c r="H3445" s="10" t="s">
        <v>713</v>
      </c>
      <c r="I3445" s="10" t="s">
        <v>714</v>
      </c>
      <c r="J3445" s="10" t="s">
        <v>716</v>
      </c>
      <c r="K3445" s="10" t="s">
        <v>14372</v>
      </c>
      <c r="L3445" s="10" t="s">
        <v>1097</v>
      </c>
      <c r="M3445" s="10" t="s">
        <v>718</v>
      </c>
      <c r="XEE3445" s="0"/>
      <c r="XEF3445" s="0"/>
      <c r="XEG3445" s="0"/>
      <c r="XEH3445" s="0"/>
      <c r="XEI3445" s="0"/>
      <c r="XEJ3445" s="0"/>
      <c r="XEK3445" s="0"/>
      <c r="XEL3445" s="0"/>
      <c r="XEM3445" s="0"/>
      <c r="XEN3445" s="0"/>
      <c r="XEO3445" s="0"/>
      <c r="XEP3445" s="0"/>
      <c r="XEQ3445" s="0"/>
      <c r="XER3445" s="0"/>
      <c r="XES3445" s="0"/>
      <c r="XET3445" s="0"/>
      <c r="XEU3445" s="0"/>
      <c r="XEV3445" s="0"/>
      <c r="XEW3445" s="0"/>
      <c r="XEX3445" s="0"/>
      <c r="XEY3445" s="0"/>
      <c r="XEZ3445" s="0"/>
      <c r="XFA3445" s="0"/>
      <c r="XFB3445" s="0"/>
      <c r="XFC3445" s="0"/>
      <c r="XFD3445" s="0"/>
    </row>
    <row r="3446" customFormat="false" ht="15" hidden="false" customHeight="false" outlineLevel="0" collapsed="false">
      <c r="A3446" s="1" t="s">
        <v>14373</v>
      </c>
      <c r="B3446" s="1" t="s">
        <v>1416</v>
      </c>
      <c r="C3446" s="1" t="s">
        <v>14374</v>
      </c>
      <c r="D3446" s="2" t="n">
        <v>39265</v>
      </c>
      <c r="E3446" s="1" t="s">
        <v>710</v>
      </c>
      <c r="F3446" s="1" t="s">
        <v>711</v>
      </c>
      <c r="G3446" s="1" t="s">
        <v>1450</v>
      </c>
      <c r="H3446" s="1" t="s">
        <v>713</v>
      </c>
      <c r="I3446" s="1" t="s">
        <v>714</v>
      </c>
      <c r="J3446" s="1" t="s">
        <v>5211</v>
      </c>
      <c r="K3446" s="1" t="s">
        <v>14375</v>
      </c>
      <c r="L3446" s="1" t="s">
        <v>5877</v>
      </c>
      <c r="M3446" s="1" t="s">
        <v>718</v>
      </c>
    </row>
    <row r="3447" customFormat="false" ht="15" hidden="false" customHeight="false" outlineLevel="0" collapsed="false">
      <c r="A3447" s="1" t="s">
        <v>14376</v>
      </c>
      <c r="B3447" s="1" t="s">
        <v>14377</v>
      </c>
      <c r="C3447" s="1" t="s">
        <v>1717</v>
      </c>
      <c r="D3447" s="2" t="n">
        <v>39654</v>
      </c>
      <c r="E3447" s="1" t="s">
        <v>710</v>
      </c>
      <c r="F3447" s="1" t="s">
        <v>711</v>
      </c>
      <c r="G3447" s="1" t="s">
        <v>712</v>
      </c>
      <c r="H3447" s="1" t="s">
        <v>713</v>
      </c>
      <c r="I3447" s="1" t="s">
        <v>714</v>
      </c>
      <c r="J3447" s="1" t="s">
        <v>2621</v>
      </c>
      <c r="K3447" s="1" t="s">
        <v>14378</v>
      </c>
      <c r="L3447" s="1" t="s">
        <v>14379</v>
      </c>
      <c r="M3447" s="1" t="s">
        <v>718</v>
      </c>
    </row>
    <row r="3448" customFormat="false" ht="15" hidden="false" customHeight="false" outlineLevel="0" collapsed="false">
      <c r="A3448" s="1" t="s">
        <v>14380</v>
      </c>
      <c r="B3448" s="1" t="s">
        <v>14381</v>
      </c>
      <c r="C3448" s="1" t="s">
        <v>2470</v>
      </c>
      <c r="D3448" s="2" t="n">
        <v>39566</v>
      </c>
      <c r="E3448" s="1" t="s">
        <v>763</v>
      </c>
      <c r="F3448" s="1" t="s">
        <v>711</v>
      </c>
      <c r="G3448" s="1" t="s">
        <v>712</v>
      </c>
      <c r="H3448" s="1" t="s">
        <v>713</v>
      </c>
      <c r="I3448" s="1" t="s">
        <v>714</v>
      </c>
      <c r="J3448" s="1" t="s">
        <v>838</v>
      </c>
      <c r="K3448" s="1" t="s">
        <v>14382</v>
      </c>
      <c r="L3448" s="1" t="s">
        <v>14383</v>
      </c>
      <c r="M3448" s="1" t="s">
        <v>718</v>
      </c>
    </row>
    <row r="3449" customFormat="false" ht="15" hidden="false" customHeight="false" outlineLevel="0" collapsed="false">
      <c r="A3449" s="1" t="s">
        <v>14384</v>
      </c>
      <c r="B3449" s="1" t="s">
        <v>14385</v>
      </c>
      <c r="C3449" s="1" t="s">
        <v>14386</v>
      </c>
      <c r="D3449" s="2" t="n">
        <v>39786</v>
      </c>
      <c r="E3449" s="1" t="s">
        <v>763</v>
      </c>
      <c r="F3449" s="1" t="s">
        <v>711</v>
      </c>
      <c r="G3449" s="1" t="s">
        <v>712</v>
      </c>
      <c r="H3449" s="1" t="s">
        <v>713</v>
      </c>
      <c r="I3449" s="1" t="s">
        <v>714</v>
      </c>
      <c r="J3449" s="1" t="s">
        <v>1723</v>
      </c>
      <c r="K3449" s="1" t="s">
        <v>14387</v>
      </c>
      <c r="L3449" s="1" t="s">
        <v>14388</v>
      </c>
      <c r="M3449" s="1" t="s">
        <v>718</v>
      </c>
    </row>
    <row r="3450" customFormat="false" ht="15" hidden="false" customHeight="false" outlineLevel="0" collapsed="false">
      <c r="A3450" s="1" t="s">
        <v>14389</v>
      </c>
      <c r="B3450" s="1" t="s">
        <v>14390</v>
      </c>
      <c r="C3450" s="1" t="s">
        <v>4648</v>
      </c>
      <c r="D3450" s="2" t="n">
        <v>40102</v>
      </c>
      <c r="E3450" s="1" t="s">
        <v>763</v>
      </c>
      <c r="F3450" s="1" t="s">
        <v>711</v>
      </c>
      <c r="G3450" s="1" t="s">
        <v>712</v>
      </c>
      <c r="H3450" s="1" t="s">
        <v>713</v>
      </c>
      <c r="I3450" s="1" t="s">
        <v>714</v>
      </c>
      <c r="J3450" s="1" t="s">
        <v>1898</v>
      </c>
      <c r="K3450" s="1" t="s">
        <v>14391</v>
      </c>
      <c r="L3450" s="1" t="s">
        <v>7360</v>
      </c>
      <c r="M3450" s="1" t="s">
        <v>718</v>
      </c>
    </row>
    <row r="3451" customFormat="false" ht="15" hidden="false" customHeight="false" outlineLevel="0" collapsed="false">
      <c r="A3451" s="1" t="s">
        <v>14392</v>
      </c>
      <c r="B3451" s="1" t="s">
        <v>14393</v>
      </c>
      <c r="C3451" s="1" t="s">
        <v>4626</v>
      </c>
      <c r="D3451" s="2" t="n">
        <v>39665</v>
      </c>
      <c r="E3451" s="1" t="s">
        <v>763</v>
      </c>
      <c r="F3451" s="1" t="s">
        <v>711</v>
      </c>
      <c r="G3451" s="1" t="s">
        <v>712</v>
      </c>
      <c r="H3451" s="1" t="s">
        <v>713</v>
      </c>
      <c r="I3451" s="1" t="s">
        <v>714</v>
      </c>
      <c r="J3451" s="1" t="s">
        <v>751</v>
      </c>
      <c r="K3451" s="1" t="s">
        <v>14394</v>
      </c>
      <c r="L3451" s="1" t="s">
        <v>7448</v>
      </c>
      <c r="M3451" s="1" t="s">
        <v>718</v>
      </c>
    </row>
    <row r="3452" customFormat="false" ht="15" hidden="false" customHeight="false" outlineLevel="0" collapsed="false">
      <c r="A3452" s="1" t="s">
        <v>14395</v>
      </c>
      <c r="B3452" s="1" t="s">
        <v>14396</v>
      </c>
      <c r="C3452" s="1" t="s">
        <v>8730</v>
      </c>
      <c r="D3452" s="2" t="n">
        <v>39769</v>
      </c>
      <c r="E3452" s="1" t="s">
        <v>710</v>
      </c>
      <c r="F3452" s="1" t="s">
        <v>711</v>
      </c>
      <c r="G3452" s="1" t="s">
        <v>712</v>
      </c>
      <c r="H3452" s="1" t="s">
        <v>713</v>
      </c>
      <c r="I3452" s="1" t="s">
        <v>714</v>
      </c>
      <c r="J3452" s="1" t="s">
        <v>2664</v>
      </c>
      <c r="K3452" s="1" t="s">
        <v>716</v>
      </c>
      <c r="L3452" s="1" t="s">
        <v>8733</v>
      </c>
      <c r="M3452" s="1" t="s">
        <v>718</v>
      </c>
    </row>
    <row r="3453" customFormat="false" ht="15" hidden="false" customHeight="false" outlineLevel="0" collapsed="false">
      <c r="A3453" s="1" t="s">
        <v>14397</v>
      </c>
      <c r="B3453" s="1" t="s">
        <v>2688</v>
      </c>
      <c r="C3453" s="1" t="s">
        <v>6672</v>
      </c>
      <c r="D3453" s="2" t="n">
        <v>39794</v>
      </c>
      <c r="E3453" s="1" t="s">
        <v>710</v>
      </c>
      <c r="F3453" s="1" t="s">
        <v>711</v>
      </c>
      <c r="G3453" s="1" t="s">
        <v>712</v>
      </c>
      <c r="H3453" s="1" t="s">
        <v>713</v>
      </c>
      <c r="I3453" s="1" t="s">
        <v>714</v>
      </c>
      <c r="J3453" s="1" t="s">
        <v>14398</v>
      </c>
      <c r="K3453" s="1" t="s">
        <v>14399</v>
      </c>
      <c r="L3453" s="1" t="s">
        <v>14400</v>
      </c>
      <c r="M3453" s="1" t="s">
        <v>718</v>
      </c>
    </row>
    <row r="3454" customFormat="false" ht="15" hidden="false" customHeight="false" outlineLevel="0" collapsed="false">
      <c r="A3454" s="1" t="s">
        <v>14401</v>
      </c>
      <c r="B3454" s="1" t="s">
        <v>14402</v>
      </c>
      <c r="C3454" s="1" t="s">
        <v>14403</v>
      </c>
      <c r="D3454" s="2" t="n">
        <v>39701</v>
      </c>
      <c r="E3454" s="1" t="s">
        <v>763</v>
      </c>
      <c r="F3454" s="1" t="s">
        <v>711</v>
      </c>
      <c r="G3454" s="1" t="s">
        <v>712</v>
      </c>
      <c r="H3454" s="1" t="s">
        <v>713</v>
      </c>
      <c r="I3454" s="1" t="s">
        <v>714</v>
      </c>
      <c r="J3454" s="1" t="s">
        <v>14404</v>
      </c>
      <c r="K3454" s="1" t="s">
        <v>14405</v>
      </c>
      <c r="L3454" s="1" t="s">
        <v>14406</v>
      </c>
      <c r="M3454" s="1" t="s">
        <v>718</v>
      </c>
    </row>
    <row r="3455" customFormat="false" ht="15" hidden="false" customHeight="false" outlineLevel="0" collapsed="false">
      <c r="A3455" s="1" t="s">
        <v>14407</v>
      </c>
      <c r="B3455" s="1" t="s">
        <v>14408</v>
      </c>
      <c r="C3455" s="1" t="s">
        <v>11653</v>
      </c>
      <c r="D3455" s="2" t="n">
        <v>39292</v>
      </c>
      <c r="E3455" s="1" t="s">
        <v>763</v>
      </c>
      <c r="F3455" s="1" t="s">
        <v>711</v>
      </c>
      <c r="G3455" s="1" t="s">
        <v>712</v>
      </c>
      <c r="H3455" s="1" t="s">
        <v>713</v>
      </c>
      <c r="I3455" s="1" t="s">
        <v>714</v>
      </c>
      <c r="J3455" s="1" t="s">
        <v>1055</v>
      </c>
      <c r="K3455" s="1" t="s">
        <v>14409</v>
      </c>
      <c r="L3455" s="1" t="s">
        <v>14410</v>
      </c>
      <c r="M3455" s="1" t="s">
        <v>718</v>
      </c>
    </row>
    <row r="3456" customFormat="false" ht="15" hidden="false" customHeight="false" outlineLevel="0" collapsed="false">
      <c r="A3456" s="1" t="s">
        <v>14411</v>
      </c>
      <c r="B3456" s="1" t="s">
        <v>14412</v>
      </c>
      <c r="C3456" s="1" t="s">
        <v>1940</v>
      </c>
      <c r="D3456" s="2" t="n">
        <v>39477</v>
      </c>
      <c r="E3456" s="1" t="s">
        <v>710</v>
      </c>
      <c r="F3456" s="1" t="s">
        <v>711</v>
      </c>
      <c r="G3456" s="1" t="s">
        <v>1220</v>
      </c>
      <c r="H3456" s="1" t="s">
        <v>713</v>
      </c>
      <c r="I3456" s="1" t="s">
        <v>714</v>
      </c>
      <c r="J3456" s="1" t="s">
        <v>715</v>
      </c>
      <c r="K3456" s="1" t="s">
        <v>716</v>
      </c>
      <c r="L3456" s="1" t="s">
        <v>14413</v>
      </c>
      <c r="M3456" s="1" t="s">
        <v>718</v>
      </c>
    </row>
    <row r="3457" customFormat="false" ht="15" hidden="false" customHeight="false" outlineLevel="0" collapsed="false">
      <c r="A3457" s="1" t="s">
        <v>14414</v>
      </c>
      <c r="B3457" s="1" t="s">
        <v>14415</v>
      </c>
      <c r="C3457" s="1" t="s">
        <v>7774</v>
      </c>
      <c r="D3457" s="2" t="n">
        <v>39976</v>
      </c>
      <c r="E3457" s="1" t="s">
        <v>710</v>
      </c>
      <c r="F3457" s="1" t="s">
        <v>711</v>
      </c>
      <c r="G3457" s="1" t="s">
        <v>712</v>
      </c>
      <c r="H3457" s="1" t="s">
        <v>713</v>
      </c>
      <c r="I3457" s="1" t="s">
        <v>714</v>
      </c>
      <c r="J3457" s="1" t="s">
        <v>2621</v>
      </c>
      <c r="K3457" s="1" t="s">
        <v>14416</v>
      </c>
      <c r="L3457" s="1" t="s">
        <v>2623</v>
      </c>
      <c r="M3457" s="1" t="s">
        <v>718</v>
      </c>
    </row>
    <row r="3458" customFormat="false" ht="15" hidden="false" customHeight="false" outlineLevel="0" collapsed="false">
      <c r="A3458" s="1" t="s">
        <v>14417</v>
      </c>
      <c r="B3458" s="1" t="s">
        <v>14418</v>
      </c>
      <c r="C3458" s="1" t="s">
        <v>6270</v>
      </c>
      <c r="D3458" s="2" t="n">
        <v>38357</v>
      </c>
      <c r="E3458" s="1" t="s">
        <v>710</v>
      </c>
      <c r="F3458" s="1" t="s">
        <v>711</v>
      </c>
      <c r="G3458" s="1" t="s">
        <v>712</v>
      </c>
      <c r="H3458" s="1" t="s">
        <v>713</v>
      </c>
      <c r="I3458" s="1" t="s">
        <v>714</v>
      </c>
      <c r="J3458" s="1" t="s">
        <v>13508</v>
      </c>
      <c r="K3458" s="1" t="s">
        <v>716</v>
      </c>
      <c r="L3458" s="1" t="s">
        <v>14237</v>
      </c>
      <c r="M3458" s="1" t="s">
        <v>718</v>
      </c>
    </row>
    <row r="3459" customFormat="false" ht="15" hidden="false" customHeight="false" outlineLevel="0" collapsed="false">
      <c r="A3459" s="1" t="s">
        <v>14419</v>
      </c>
      <c r="B3459" s="1" t="s">
        <v>8872</v>
      </c>
      <c r="C3459" s="1" t="s">
        <v>2411</v>
      </c>
      <c r="D3459" s="2" t="n">
        <v>39439</v>
      </c>
      <c r="E3459" s="1" t="s">
        <v>710</v>
      </c>
      <c r="F3459" s="1" t="s">
        <v>711</v>
      </c>
      <c r="G3459" s="1" t="s">
        <v>722</v>
      </c>
      <c r="H3459" s="1" t="s">
        <v>713</v>
      </c>
      <c r="I3459" s="1" t="s">
        <v>714</v>
      </c>
      <c r="J3459" s="1" t="s">
        <v>14420</v>
      </c>
      <c r="K3459" s="1" t="s">
        <v>14399</v>
      </c>
      <c r="L3459" s="1" t="s">
        <v>5285</v>
      </c>
      <c r="M3459" s="1" t="s">
        <v>718</v>
      </c>
    </row>
    <row r="3460" customFormat="false" ht="15" hidden="false" customHeight="false" outlineLevel="0" collapsed="false">
      <c r="A3460" s="1" t="s">
        <v>14421</v>
      </c>
      <c r="B3460" s="1" t="s">
        <v>9638</v>
      </c>
      <c r="C3460" s="1" t="s">
        <v>1234</v>
      </c>
      <c r="D3460" s="2" t="n">
        <v>39902</v>
      </c>
      <c r="E3460" s="1" t="s">
        <v>710</v>
      </c>
      <c r="F3460" s="1" t="s">
        <v>711</v>
      </c>
      <c r="G3460" s="1" t="s">
        <v>712</v>
      </c>
      <c r="H3460" s="1" t="s">
        <v>713</v>
      </c>
      <c r="I3460" s="1" t="s">
        <v>714</v>
      </c>
      <c r="J3460" s="1" t="s">
        <v>8366</v>
      </c>
      <c r="K3460" s="1" t="s">
        <v>14422</v>
      </c>
      <c r="L3460" s="1" t="s">
        <v>14423</v>
      </c>
      <c r="M3460" s="1" t="s">
        <v>718</v>
      </c>
    </row>
    <row r="3461" customFormat="false" ht="15" hidden="false" customHeight="false" outlineLevel="0" collapsed="false">
      <c r="A3461" s="1" t="s">
        <v>14424</v>
      </c>
      <c r="B3461" s="1" t="s">
        <v>900</v>
      </c>
      <c r="C3461" s="1" t="s">
        <v>14425</v>
      </c>
      <c r="D3461" s="2" t="n">
        <v>39364</v>
      </c>
      <c r="E3461" s="1" t="s">
        <v>710</v>
      </c>
      <c r="F3461" s="1" t="s">
        <v>711</v>
      </c>
      <c r="G3461" s="1" t="s">
        <v>712</v>
      </c>
      <c r="H3461" s="1" t="s">
        <v>713</v>
      </c>
      <c r="I3461" s="1" t="s">
        <v>714</v>
      </c>
      <c r="J3461" s="1" t="s">
        <v>14018</v>
      </c>
      <c r="K3461" s="1" t="s">
        <v>13569</v>
      </c>
      <c r="L3461" s="1" t="s">
        <v>10053</v>
      </c>
      <c r="M3461" s="1" t="s">
        <v>718</v>
      </c>
    </row>
    <row r="3462" customFormat="false" ht="15" hidden="false" customHeight="false" outlineLevel="0" collapsed="false">
      <c r="A3462" s="1" t="s">
        <v>14426</v>
      </c>
      <c r="B3462" s="1" t="s">
        <v>14427</v>
      </c>
      <c r="C3462" s="1" t="s">
        <v>8017</v>
      </c>
      <c r="D3462" s="2" t="n">
        <v>39756</v>
      </c>
      <c r="E3462" s="1" t="s">
        <v>710</v>
      </c>
      <c r="F3462" s="1" t="s">
        <v>711</v>
      </c>
      <c r="G3462" s="1" t="s">
        <v>712</v>
      </c>
      <c r="H3462" s="1" t="s">
        <v>713</v>
      </c>
      <c r="I3462" s="1" t="s">
        <v>714</v>
      </c>
      <c r="J3462" s="1" t="s">
        <v>13757</v>
      </c>
      <c r="K3462" s="1" t="s">
        <v>14428</v>
      </c>
      <c r="L3462" s="1" t="s">
        <v>8020</v>
      </c>
      <c r="M3462" s="1" t="s">
        <v>718</v>
      </c>
    </row>
    <row r="3463" customFormat="false" ht="15" hidden="false" customHeight="false" outlineLevel="0" collapsed="false">
      <c r="A3463" s="1" t="s">
        <v>14429</v>
      </c>
      <c r="B3463" s="1" t="s">
        <v>14430</v>
      </c>
      <c r="C3463" s="1" t="s">
        <v>14431</v>
      </c>
      <c r="D3463" s="2" t="n">
        <v>39327</v>
      </c>
      <c r="E3463" s="1" t="s">
        <v>710</v>
      </c>
      <c r="F3463" s="1" t="s">
        <v>711</v>
      </c>
      <c r="G3463" s="1" t="s">
        <v>712</v>
      </c>
      <c r="H3463" s="1" t="s">
        <v>713</v>
      </c>
      <c r="I3463" s="1" t="s">
        <v>714</v>
      </c>
      <c r="J3463" s="1" t="s">
        <v>14432</v>
      </c>
      <c r="K3463" s="1" t="s">
        <v>14433</v>
      </c>
      <c r="L3463" s="1" t="s">
        <v>14434</v>
      </c>
      <c r="M3463" s="1" t="s">
        <v>718</v>
      </c>
    </row>
    <row r="3464" customFormat="false" ht="15" hidden="false" customHeight="false" outlineLevel="0" collapsed="false">
      <c r="A3464" s="1" t="s">
        <v>14435</v>
      </c>
      <c r="B3464" s="1" t="s">
        <v>14436</v>
      </c>
      <c r="C3464" s="1" t="s">
        <v>9285</v>
      </c>
      <c r="D3464" s="2" t="n">
        <v>39567</v>
      </c>
      <c r="E3464" s="1" t="s">
        <v>710</v>
      </c>
      <c r="F3464" s="1" t="s">
        <v>711</v>
      </c>
      <c r="G3464" s="1" t="s">
        <v>712</v>
      </c>
      <c r="H3464" s="1" t="s">
        <v>713</v>
      </c>
      <c r="I3464" s="1" t="s">
        <v>714</v>
      </c>
      <c r="J3464" s="1" t="s">
        <v>13822</v>
      </c>
      <c r="K3464" s="1" t="s">
        <v>14437</v>
      </c>
      <c r="L3464" s="1" t="s">
        <v>14438</v>
      </c>
      <c r="M3464" s="1" t="s">
        <v>718</v>
      </c>
    </row>
    <row r="3465" customFormat="false" ht="15" hidden="false" customHeight="false" outlineLevel="0" collapsed="false">
      <c r="A3465" s="1" t="s">
        <v>14439</v>
      </c>
      <c r="B3465" s="1" t="s">
        <v>4289</v>
      </c>
      <c r="C3465" s="1" t="s">
        <v>10203</v>
      </c>
      <c r="D3465" s="2" t="n">
        <v>39811</v>
      </c>
      <c r="E3465" s="1" t="s">
        <v>710</v>
      </c>
      <c r="F3465" s="1" t="s">
        <v>711</v>
      </c>
      <c r="G3465" s="1" t="s">
        <v>722</v>
      </c>
      <c r="H3465" s="1" t="s">
        <v>713</v>
      </c>
      <c r="I3465" s="1" t="s">
        <v>714</v>
      </c>
      <c r="J3465" s="1" t="s">
        <v>13628</v>
      </c>
      <c r="K3465" s="1" t="s">
        <v>13891</v>
      </c>
      <c r="L3465" s="1" t="s">
        <v>13892</v>
      </c>
      <c r="M3465" s="1" t="s">
        <v>718</v>
      </c>
    </row>
    <row r="3466" customFormat="false" ht="15" hidden="false" customHeight="false" outlineLevel="0" collapsed="false">
      <c r="A3466" s="1" t="s">
        <v>14440</v>
      </c>
      <c r="B3466" s="1" t="s">
        <v>14441</v>
      </c>
      <c r="C3466" s="1" t="s">
        <v>12644</v>
      </c>
      <c r="D3466" s="2" t="n">
        <v>39581</v>
      </c>
      <c r="E3466" s="1" t="s">
        <v>763</v>
      </c>
      <c r="F3466" s="1" t="s">
        <v>711</v>
      </c>
      <c r="G3466" s="1" t="s">
        <v>722</v>
      </c>
      <c r="H3466" s="1" t="s">
        <v>713</v>
      </c>
      <c r="I3466" s="1" t="s">
        <v>714</v>
      </c>
      <c r="J3466" s="1" t="s">
        <v>716</v>
      </c>
      <c r="K3466" s="1" t="s">
        <v>716</v>
      </c>
      <c r="L3466" s="1" t="s">
        <v>1474</v>
      </c>
      <c r="M3466" s="1" t="s">
        <v>718</v>
      </c>
    </row>
    <row r="3467" customFormat="false" ht="15" hidden="false" customHeight="false" outlineLevel="0" collapsed="false">
      <c r="A3467" s="1" t="s">
        <v>14442</v>
      </c>
      <c r="B3467" s="1" t="s">
        <v>14443</v>
      </c>
      <c r="C3467" s="1" t="s">
        <v>14444</v>
      </c>
      <c r="D3467" s="2" t="n">
        <v>39652</v>
      </c>
      <c r="E3467" s="1" t="s">
        <v>763</v>
      </c>
      <c r="F3467" s="1" t="s">
        <v>711</v>
      </c>
      <c r="G3467" s="1" t="s">
        <v>722</v>
      </c>
      <c r="H3467" s="1" t="s">
        <v>713</v>
      </c>
      <c r="I3467" s="1" t="s">
        <v>714</v>
      </c>
      <c r="J3467" s="1" t="s">
        <v>8879</v>
      </c>
      <c r="K3467" s="1" t="s">
        <v>14445</v>
      </c>
      <c r="L3467" s="1" t="s">
        <v>1409</v>
      </c>
      <c r="M3467" s="1" t="s">
        <v>718</v>
      </c>
    </row>
    <row r="3468" customFormat="false" ht="15" hidden="false" customHeight="false" outlineLevel="0" collapsed="false">
      <c r="A3468" s="1" t="s">
        <v>14446</v>
      </c>
      <c r="B3468" s="1" t="s">
        <v>14447</v>
      </c>
      <c r="C3468" s="1" t="s">
        <v>14448</v>
      </c>
      <c r="D3468" s="2" t="n">
        <v>40113</v>
      </c>
      <c r="E3468" s="1" t="s">
        <v>763</v>
      </c>
      <c r="F3468" s="1" t="s">
        <v>711</v>
      </c>
      <c r="G3468" s="1" t="s">
        <v>712</v>
      </c>
      <c r="H3468" s="1" t="s">
        <v>713</v>
      </c>
      <c r="I3468" s="1" t="s">
        <v>714</v>
      </c>
      <c r="J3468" s="1" t="s">
        <v>10504</v>
      </c>
      <c r="K3468" s="1" t="s">
        <v>14449</v>
      </c>
      <c r="L3468" s="1" t="s">
        <v>14450</v>
      </c>
      <c r="M3468" s="1" t="s">
        <v>718</v>
      </c>
    </row>
    <row r="3469" customFormat="false" ht="15" hidden="false" customHeight="false" outlineLevel="0" collapsed="false">
      <c r="A3469" s="1" t="s">
        <v>14451</v>
      </c>
      <c r="B3469" s="1" t="s">
        <v>14452</v>
      </c>
      <c r="C3469" s="1" t="s">
        <v>2006</v>
      </c>
      <c r="D3469" s="2" t="n">
        <v>40034</v>
      </c>
      <c r="E3469" s="1" t="s">
        <v>763</v>
      </c>
      <c r="F3469" s="1" t="s">
        <v>711</v>
      </c>
      <c r="G3469" s="1" t="s">
        <v>712</v>
      </c>
      <c r="H3469" s="1" t="s">
        <v>713</v>
      </c>
      <c r="I3469" s="1" t="s">
        <v>714</v>
      </c>
      <c r="J3469" s="1" t="s">
        <v>14453</v>
      </c>
      <c r="K3469" s="1" t="s">
        <v>14454</v>
      </c>
      <c r="L3469" s="1" t="s">
        <v>5135</v>
      </c>
      <c r="M3469" s="1" t="s">
        <v>718</v>
      </c>
    </row>
    <row r="3470" customFormat="false" ht="15" hidden="false" customHeight="false" outlineLevel="0" collapsed="false">
      <c r="A3470" s="1" t="s">
        <v>14455</v>
      </c>
      <c r="B3470" s="1" t="s">
        <v>14456</v>
      </c>
      <c r="C3470" s="1" t="s">
        <v>14457</v>
      </c>
      <c r="D3470" s="2" t="n">
        <v>39483</v>
      </c>
      <c r="E3470" s="1" t="s">
        <v>710</v>
      </c>
      <c r="F3470" s="1" t="s">
        <v>711</v>
      </c>
      <c r="G3470" s="1" t="s">
        <v>722</v>
      </c>
      <c r="H3470" s="1" t="s">
        <v>713</v>
      </c>
      <c r="I3470" s="1" t="s">
        <v>714</v>
      </c>
      <c r="J3470" s="1" t="s">
        <v>716</v>
      </c>
      <c r="K3470" s="1" t="s">
        <v>14458</v>
      </c>
      <c r="L3470" s="1" t="s">
        <v>4597</v>
      </c>
      <c r="M3470" s="1" t="s">
        <v>718</v>
      </c>
    </row>
    <row r="3471" customFormat="false" ht="15" hidden="false" customHeight="false" outlineLevel="0" collapsed="false">
      <c r="A3471" s="1" t="s">
        <v>14459</v>
      </c>
      <c r="B3471" s="1" t="s">
        <v>14460</v>
      </c>
      <c r="C3471" s="1" t="s">
        <v>1606</v>
      </c>
      <c r="D3471" s="2" t="n">
        <v>38856</v>
      </c>
      <c r="E3471" s="1" t="s">
        <v>710</v>
      </c>
      <c r="F3471" s="1" t="s">
        <v>711</v>
      </c>
      <c r="G3471" s="1" t="s">
        <v>722</v>
      </c>
      <c r="H3471" s="1" t="s">
        <v>713</v>
      </c>
      <c r="I3471" s="1" t="s">
        <v>714</v>
      </c>
      <c r="J3471" s="1" t="s">
        <v>2117</v>
      </c>
      <c r="K3471" s="1" t="s">
        <v>14461</v>
      </c>
      <c r="L3471" s="1" t="s">
        <v>1607</v>
      </c>
      <c r="M3471" s="1" t="s">
        <v>718</v>
      </c>
    </row>
    <row r="3472" customFormat="false" ht="15" hidden="false" customHeight="false" outlineLevel="0" collapsed="false">
      <c r="A3472" s="1" t="s">
        <v>14462</v>
      </c>
      <c r="B3472" s="1" t="s">
        <v>14463</v>
      </c>
      <c r="C3472" s="1" t="s">
        <v>14464</v>
      </c>
      <c r="D3472" s="2" t="n">
        <v>39426</v>
      </c>
      <c r="E3472" s="1" t="s">
        <v>710</v>
      </c>
      <c r="F3472" s="1" t="s">
        <v>711</v>
      </c>
      <c r="G3472" s="1" t="s">
        <v>722</v>
      </c>
      <c r="H3472" s="1" t="s">
        <v>713</v>
      </c>
      <c r="I3472" s="1" t="s">
        <v>714</v>
      </c>
      <c r="J3472" s="1" t="s">
        <v>14465</v>
      </c>
      <c r="K3472" s="1" t="s">
        <v>14466</v>
      </c>
      <c r="L3472" s="1" t="s">
        <v>14467</v>
      </c>
      <c r="M3472" s="1" t="s">
        <v>718</v>
      </c>
    </row>
    <row r="3473" customFormat="false" ht="15" hidden="false" customHeight="false" outlineLevel="0" collapsed="false">
      <c r="A3473" s="1" t="s">
        <v>14468</v>
      </c>
      <c r="B3473" s="1" t="s">
        <v>12038</v>
      </c>
      <c r="C3473" s="1" t="s">
        <v>6338</v>
      </c>
      <c r="D3473" s="2" t="n">
        <v>39027</v>
      </c>
      <c r="E3473" s="1" t="s">
        <v>710</v>
      </c>
      <c r="F3473" s="1" t="s">
        <v>711</v>
      </c>
      <c r="G3473" s="1" t="s">
        <v>712</v>
      </c>
      <c r="H3473" s="1" t="s">
        <v>713</v>
      </c>
      <c r="I3473" s="1" t="s">
        <v>714</v>
      </c>
      <c r="J3473" s="1" t="s">
        <v>716</v>
      </c>
      <c r="K3473" s="1" t="s">
        <v>14469</v>
      </c>
      <c r="L3473" s="1" t="s">
        <v>14470</v>
      </c>
      <c r="M3473" s="1" t="s">
        <v>718</v>
      </c>
    </row>
    <row r="3474" customFormat="false" ht="15" hidden="false" customHeight="false" outlineLevel="0" collapsed="false">
      <c r="A3474" s="1" t="s">
        <v>14471</v>
      </c>
      <c r="B3474" s="1" t="s">
        <v>14472</v>
      </c>
      <c r="C3474" s="1" t="s">
        <v>14473</v>
      </c>
      <c r="D3474" s="2" t="n">
        <v>39073</v>
      </c>
      <c r="E3474" s="1" t="s">
        <v>710</v>
      </c>
      <c r="F3474" s="1" t="s">
        <v>711</v>
      </c>
      <c r="G3474" s="1" t="s">
        <v>712</v>
      </c>
      <c r="H3474" s="1" t="s">
        <v>713</v>
      </c>
      <c r="I3474" s="1" t="s">
        <v>714</v>
      </c>
      <c r="J3474" s="1" t="s">
        <v>1131</v>
      </c>
      <c r="K3474" s="1" t="s">
        <v>14474</v>
      </c>
      <c r="L3474" s="1" t="s">
        <v>14475</v>
      </c>
      <c r="M3474" s="1" t="s">
        <v>718</v>
      </c>
    </row>
    <row r="3475" customFormat="false" ht="15" hidden="false" customHeight="false" outlineLevel="0" collapsed="false">
      <c r="A3475" s="1" t="s">
        <v>14476</v>
      </c>
      <c r="B3475" s="1" t="s">
        <v>14477</v>
      </c>
      <c r="C3475" s="1" t="s">
        <v>14478</v>
      </c>
      <c r="D3475" s="2" t="n">
        <v>39443</v>
      </c>
      <c r="E3475" s="1" t="s">
        <v>763</v>
      </c>
      <c r="F3475" s="1" t="s">
        <v>711</v>
      </c>
      <c r="G3475" s="1" t="s">
        <v>712</v>
      </c>
      <c r="H3475" s="1" t="s">
        <v>713</v>
      </c>
      <c r="I3475" s="1" t="s">
        <v>714</v>
      </c>
      <c r="J3475" s="1" t="s">
        <v>716</v>
      </c>
      <c r="K3475" s="1" t="s">
        <v>14479</v>
      </c>
      <c r="L3475" s="1" t="s">
        <v>14480</v>
      </c>
      <c r="M3475" s="1" t="s">
        <v>718</v>
      </c>
    </row>
    <row r="3476" customFormat="false" ht="15" hidden="false" customHeight="false" outlineLevel="0" collapsed="false">
      <c r="A3476" s="1" t="s">
        <v>14481</v>
      </c>
      <c r="B3476" s="1" t="s">
        <v>14482</v>
      </c>
      <c r="C3476" s="1" t="s">
        <v>14483</v>
      </c>
      <c r="D3476" s="2" t="n">
        <v>39793</v>
      </c>
      <c r="E3476" s="1" t="s">
        <v>763</v>
      </c>
      <c r="F3476" s="1" t="s">
        <v>711</v>
      </c>
      <c r="G3476" s="1" t="s">
        <v>712</v>
      </c>
      <c r="H3476" s="1" t="s">
        <v>713</v>
      </c>
      <c r="I3476" s="1" t="s">
        <v>714</v>
      </c>
      <c r="J3476" s="1" t="s">
        <v>716</v>
      </c>
      <c r="K3476" s="1" t="s">
        <v>14484</v>
      </c>
      <c r="L3476" s="1" t="s">
        <v>2716</v>
      </c>
      <c r="M3476" s="1" t="s">
        <v>718</v>
      </c>
    </row>
    <row r="3477" customFormat="false" ht="15" hidden="false" customHeight="false" outlineLevel="0" collapsed="false">
      <c r="A3477" s="1" t="s">
        <v>14485</v>
      </c>
      <c r="B3477" s="1" t="s">
        <v>14486</v>
      </c>
      <c r="C3477" s="1" t="s">
        <v>2643</v>
      </c>
      <c r="D3477" s="2" t="n">
        <v>40180</v>
      </c>
      <c r="E3477" s="1" t="s">
        <v>763</v>
      </c>
      <c r="F3477" s="1" t="s">
        <v>711</v>
      </c>
      <c r="G3477" s="1" t="s">
        <v>712</v>
      </c>
      <c r="H3477" s="1" t="s">
        <v>713</v>
      </c>
      <c r="I3477" s="1" t="s">
        <v>714</v>
      </c>
      <c r="J3477" s="1" t="s">
        <v>716</v>
      </c>
      <c r="K3477" s="1" t="s">
        <v>14487</v>
      </c>
      <c r="L3477" s="1" t="s">
        <v>2648</v>
      </c>
      <c r="M3477" s="1" t="s">
        <v>718</v>
      </c>
    </row>
    <row r="3478" customFormat="false" ht="15" hidden="false" customHeight="false" outlineLevel="0" collapsed="false">
      <c r="A3478" s="1" t="s">
        <v>14488</v>
      </c>
      <c r="B3478" s="1" t="s">
        <v>14489</v>
      </c>
      <c r="C3478" s="1" t="s">
        <v>1143</v>
      </c>
      <c r="D3478" s="2" t="n">
        <v>39834</v>
      </c>
      <c r="E3478" s="1" t="s">
        <v>763</v>
      </c>
      <c r="F3478" s="1" t="s">
        <v>711</v>
      </c>
      <c r="G3478" s="1" t="s">
        <v>712</v>
      </c>
      <c r="H3478" s="1" t="s">
        <v>713</v>
      </c>
      <c r="I3478" s="1" t="s">
        <v>714</v>
      </c>
      <c r="J3478" s="1" t="s">
        <v>716</v>
      </c>
      <c r="K3478" s="1" t="s">
        <v>716</v>
      </c>
      <c r="L3478" s="1" t="s">
        <v>1145</v>
      </c>
      <c r="M3478" s="1" t="s">
        <v>718</v>
      </c>
    </row>
    <row r="3479" customFormat="false" ht="15" hidden="false" customHeight="false" outlineLevel="0" collapsed="false">
      <c r="A3479" s="1" t="s">
        <v>14490</v>
      </c>
      <c r="B3479" s="1" t="s">
        <v>14491</v>
      </c>
      <c r="C3479" s="1" t="s">
        <v>13130</v>
      </c>
      <c r="D3479" s="2" t="n">
        <v>38895</v>
      </c>
      <c r="E3479" s="1" t="s">
        <v>763</v>
      </c>
      <c r="F3479" s="1" t="s">
        <v>711</v>
      </c>
      <c r="G3479" s="1" t="s">
        <v>712</v>
      </c>
      <c r="H3479" s="1" t="s">
        <v>713</v>
      </c>
      <c r="I3479" s="1" t="s">
        <v>714</v>
      </c>
      <c r="J3479" s="1" t="s">
        <v>716</v>
      </c>
      <c r="K3479" s="1" t="s">
        <v>14492</v>
      </c>
      <c r="L3479" s="1" t="s">
        <v>1418</v>
      </c>
      <c r="M3479" s="1" t="s">
        <v>718</v>
      </c>
    </row>
    <row r="3480" customFormat="false" ht="15" hidden="false" customHeight="false" outlineLevel="0" collapsed="false">
      <c r="A3480" s="1" t="s">
        <v>14493</v>
      </c>
      <c r="B3480" s="1" t="s">
        <v>14494</v>
      </c>
      <c r="C3480" s="1" t="s">
        <v>13130</v>
      </c>
      <c r="D3480" s="2" t="n">
        <v>38240</v>
      </c>
      <c r="E3480" s="1" t="s">
        <v>710</v>
      </c>
      <c r="F3480" s="1" t="s">
        <v>711</v>
      </c>
      <c r="G3480" s="1" t="s">
        <v>712</v>
      </c>
      <c r="H3480" s="1" t="s">
        <v>713</v>
      </c>
      <c r="I3480" s="1" t="s">
        <v>714</v>
      </c>
      <c r="J3480" s="1" t="s">
        <v>716</v>
      </c>
      <c r="K3480" s="1" t="s">
        <v>14492</v>
      </c>
      <c r="L3480" s="1" t="s">
        <v>10920</v>
      </c>
      <c r="M3480" s="1" t="s">
        <v>718</v>
      </c>
    </row>
    <row r="3481" customFormat="false" ht="15" hidden="false" customHeight="false" outlineLevel="0" collapsed="false">
      <c r="A3481" s="1" t="s">
        <v>14495</v>
      </c>
      <c r="B3481" s="1" t="s">
        <v>14496</v>
      </c>
      <c r="C3481" s="1" t="s">
        <v>14497</v>
      </c>
      <c r="D3481" s="2" t="n">
        <v>39560</v>
      </c>
      <c r="E3481" s="1" t="s">
        <v>763</v>
      </c>
      <c r="F3481" s="1" t="s">
        <v>711</v>
      </c>
      <c r="G3481" s="1" t="s">
        <v>712</v>
      </c>
      <c r="H3481" s="1" t="s">
        <v>713</v>
      </c>
      <c r="I3481" s="1" t="s">
        <v>714</v>
      </c>
      <c r="J3481" s="1" t="s">
        <v>716</v>
      </c>
      <c r="K3481" s="1" t="s">
        <v>14498</v>
      </c>
      <c r="L3481" s="1" t="s">
        <v>14499</v>
      </c>
      <c r="M3481" s="1" t="s">
        <v>718</v>
      </c>
    </row>
    <row r="3482" customFormat="false" ht="15" hidden="false" customHeight="false" outlineLevel="0" collapsed="false">
      <c r="A3482" s="1" t="s">
        <v>14500</v>
      </c>
      <c r="B3482" s="1" t="s">
        <v>14501</v>
      </c>
      <c r="C3482" s="1" t="s">
        <v>14502</v>
      </c>
      <c r="D3482" s="2" t="n">
        <v>39925</v>
      </c>
      <c r="E3482" s="1" t="s">
        <v>763</v>
      </c>
      <c r="F3482" s="1" t="s">
        <v>711</v>
      </c>
      <c r="G3482" s="1" t="s">
        <v>712</v>
      </c>
      <c r="H3482" s="1" t="s">
        <v>713</v>
      </c>
      <c r="I3482" s="1" t="s">
        <v>714</v>
      </c>
      <c r="J3482" s="1" t="s">
        <v>716</v>
      </c>
      <c r="K3482" s="1" t="s">
        <v>14503</v>
      </c>
      <c r="L3482" s="1" t="s">
        <v>14504</v>
      </c>
      <c r="M3482" s="1" t="s">
        <v>718</v>
      </c>
    </row>
    <row r="3483" customFormat="false" ht="15" hidden="false" customHeight="false" outlineLevel="0" collapsed="false">
      <c r="A3483" s="1" t="s">
        <v>14505</v>
      </c>
      <c r="B3483" s="1" t="s">
        <v>14506</v>
      </c>
      <c r="C3483" s="1" t="s">
        <v>2859</v>
      </c>
      <c r="D3483" s="2" t="n">
        <v>39532</v>
      </c>
      <c r="E3483" s="1" t="s">
        <v>763</v>
      </c>
      <c r="F3483" s="1" t="s">
        <v>711</v>
      </c>
      <c r="G3483" s="1" t="s">
        <v>712</v>
      </c>
      <c r="H3483" s="1" t="s">
        <v>713</v>
      </c>
      <c r="I3483" s="1" t="s">
        <v>714</v>
      </c>
      <c r="J3483" s="1" t="s">
        <v>716</v>
      </c>
      <c r="K3483" s="1" t="s">
        <v>14507</v>
      </c>
      <c r="L3483" s="1" t="s">
        <v>4614</v>
      </c>
      <c r="M3483" s="1" t="s">
        <v>718</v>
      </c>
    </row>
    <row r="3484" customFormat="false" ht="15" hidden="false" customHeight="false" outlineLevel="0" collapsed="false">
      <c r="A3484" s="1" t="s">
        <v>14508</v>
      </c>
      <c r="B3484" s="1" t="s">
        <v>14509</v>
      </c>
      <c r="C3484" s="1" t="s">
        <v>6672</v>
      </c>
      <c r="D3484" s="2" t="n">
        <v>39799</v>
      </c>
      <c r="E3484" s="1" t="s">
        <v>763</v>
      </c>
      <c r="F3484" s="1" t="s">
        <v>711</v>
      </c>
      <c r="G3484" s="1" t="s">
        <v>722</v>
      </c>
      <c r="H3484" s="1" t="s">
        <v>713</v>
      </c>
      <c r="I3484" s="1" t="s">
        <v>714</v>
      </c>
      <c r="J3484" s="1" t="s">
        <v>716</v>
      </c>
      <c r="K3484" s="1" t="s">
        <v>14510</v>
      </c>
      <c r="L3484" s="1" t="s">
        <v>801</v>
      </c>
      <c r="M3484" s="1" t="s">
        <v>718</v>
      </c>
    </row>
    <row r="3485" customFormat="false" ht="15" hidden="false" customHeight="false" outlineLevel="0" collapsed="false">
      <c r="A3485" s="1" t="s">
        <v>14511</v>
      </c>
      <c r="B3485" s="1" t="s">
        <v>14512</v>
      </c>
      <c r="C3485" s="1" t="s">
        <v>1086</v>
      </c>
      <c r="D3485" s="2" t="n">
        <v>40012</v>
      </c>
      <c r="E3485" s="1" t="s">
        <v>763</v>
      </c>
      <c r="F3485" s="1" t="s">
        <v>711</v>
      </c>
      <c r="G3485" s="1" t="s">
        <v>712</v>
      </c>
      <c r="H3485" s="1" t="s">
        <v>713</v>
      </c>
      <c r="I3485" s="1" t="s">
        <v>714</v>
      </c>
      <c r="J3485" s="1" t="s">
        <v>10504</v>
      </c>
      <c r="K3485" s="1" t="s">
        <v>14513</v>
      </c>
      <c r="L3485" s="1" t="s">
        <v>14514</v>
      </c>
      <c r="M3485" s="1" t="s">
        <v>718</v>
      </c>
    </row>
    <row r="3486" customFormat="false" ht="15" hidden="false" customHeight="false" outlineLevel="0" collapsed="false">
      <c r="A3486" s="1" t="s">
        <v>14515</v>
      </c>
      <c r="B3486" s="1" t="s">
        <v>14516</v>
      </c>
      <c r="C3486" s="1" t="s">
        <v>14517</v>
      </c>
      <c r="D3486" s="2" t="n">
        <v>39934</v>
      </c>
      <c r="E3486" s="1" t="s">
        <v>763</v>
      </c>
      <c r="F3486" s="1" t="s">
        <v>711</v>
      </c>
      <c r="G3486" s="1" t="s">
        <v>722</v>
      </c>
      <c r="H3486" s="1" t="s">
        <v>713</v>
      </c>
      <c r="I3486" s="1" t="s">
        <v>714</v>
      </c>
      <c r="J3486" s="1" t="s">
        <v>12284</v>
      </c>
      <c r="K3486" s="1" t="s">
        <v>14518</v>
      </c>
      <c r="L3486" s="1" t="s">
        <v>4340</v>
      </c>
      <c r="M3486" s="1" t="s">
        <v>718</v>
      </c>
    </row>
    <row r="3487" customFormat="false" ht="15" hidden="false" customHeight="false" outlineLevel="0" collapsed="false">
      <c r="A3487" s="1" t="s">
        <v>14519</v>
      </c>
      <c r="B3487" s="1" t="s">
        <v>14520</v>
      </c>
      <c r="C3487" s="1" t="s">
        <v>1820</v>
      </c>
      <c r="D3487" s="2" t="n">
        <v>39464</v>
      </c>
      <c r="E3487" s="1" t="s">
        <v>763</v>
      </c>
      <c r="F3487" s="1" t="s">
        <v>711</v>
      </c>
      <c r="G3487" s="1" t="s">
        <v>722</v>
      </c>
      <c r="H3487" s="1" t="s">
        <v>713</v>
      </c>
      <c r="I3487" s="1" t="s">
        <v>714</v>
      </c>
      <c r="J3487" s="1" t="s">
        <v>10504</v>
      </c>
      <c r="K3487" s="1" t="s">
        <v>716</v>
      </c>
      <c r="L3487" s="1" t="s">
        <v>11793</v>
      </c>
      <c r="M3487" s="1" t="s">
        <v>718</v>
      </c>
    </row>
    <row r="3488" customFormat="false" ht="15" hidden="false" customHeight="false" outlineLevel="0" collapsed="false">
      <c r="A3488" s="1" t="s">
        <v>14521</v>
      </c>
      <c r="B3488" s="1" t="s">
        <v>14522</v>
      </c>
      <c r="C3488" s="1" t="s">
        <v>14523</v>
      </c>
      <c r="D3488" s="2" t="n">
        <v>39632</v>
      </c>
      <c r="E3488" s="1" t="s">
        <v>763</v>
      </c>
      <c r="F3488" s="1" t="s">
        <v>711</v>
      </c>
      <c r="G3488" s="1" t="s">
        <v>722</v>
      </c>
      <c r="H3488" s="1" t="s">
        <v>713</v>
      </c>
      <c r="I3488" s="1" t="s">
        <v>714</v>
      </c>
      <c r="J3488" s="1" t="s">
        <v>8879</v>
      </c>
      <c r="K3488" s="1" t="s">
        <v>716</v>
      </c>
      <c r="L3488" s="1" t="s">
        <v>14524</v>
      </c>
      <c r="M3488" s="1" t="s">
        <v>718</v>
      </c>
    </row>
    <row r="3489" customFormat="false" ht="15" hidden="false" customHeight="false" outlineLevel="0" collapsed="false">
      <c r="A3489" s="1" t="s">
        <v>14525</v>
      </c>
      <c r="B3489" s="1" t="s">
        <v>14526</v>
      </c>
      <c r="C3489" s="1" t="s">
        <v>14527</v>
      </c>
      <c r="D3489" s="2" t="n">
        <v>39835</v>
      </c>
      <c r="E3489" s="1" t="s">
        <v>710</v>
      </c>
      <c r="F3489" s="1" t="s">
        <v>711</v>
      </c>
      <c r="G3489" s="1" t="s">
        <v>722</v>
      </c>
      <c r="H3489" s="1" t="s">
        <v>713</v>
      </c>
      <c r="I3489" s="1" t="s">
        <v>714</v>
      </c>
      <c r="J3489" s="1" t="s">
        <v>14528</v>
      </c>
      <c r="K3489" s="1" t="s">
        <v>14529</v>
      </c>
      <c r="L3489" s="1" t="s">
        <v>14530</v>
      </c>
      <c r="M3489" s="1" t="s">
        <v>718</v>
      </c>
    </row>
    <row r="3490" customFormat="false" ht="15" hidden="false" customHeight="false" outlineLevel="0" collapsed="false">
      <c r="A3490" s="1" t="s">
        <v>14531</v>
      </c>
      <c r="B3490" s="1" t="s">
        <v>10702</v>
      </c>
      <c r="C3490" s="1" t="s">
        <v>14532</v>
      </c>
      <c r="D3490" s="2" t="n">
        <v>39490</v>
      </c>
      <c r="E3490" s="1" t="s">
        <v>763</v>
      </c>
      <c r="F3490" s="1" t="s">
        <v>711</v>
      </c>
      <c r="G3490" s="1" t="s">
        <v>722</v>
      </c>
      <c r="H3490" s="1" t="s">
        <v>713</v>
      </c>
      <c r="I3490" s="1" t="s">
        <v>714</v>
      </c>
      <c r="J3490" s="1" t="s">
        <v>8879</v>
      </c>
      <c r="K3490" s="1" t="s">
        <v>14529</v>
      </c>
      <c r="L3490" s="1" t="s">
        <v>14533</v>
      </c>
      <c r="M3490" s="1" t="s">
        <v>718</v>
      </c>
    </row>
    <row r="3491" customFormat="false" ht="15" hidden="false" customHeight="false" outlineLevel="0" collapsed="false">
      <c r="A3491" s="1" t="s">
        <v>14534</v>
      </c>
      <c r="B3491" s="1" t="s">
        <v>14535</v>
      </c>
      <c r="C3491" s="1" t="s">
        <v>14536</v>
      </c>
      <c r="D3491" s="2" t="n">
        <v>40015</v>
      </c>
      <c r="E3491" s="1" t="s">
        <v>763</v>
      </c>
      <c r="F3491" s="1" t="s">
        <v>711</v>
      </c>
      <c r="G3491" s="1" t="s">
        <v>775</v>
      </c>
      <c r="H3491" s="1" t="s">
        <v>713</v>
      </c>
      <c r="I3491" s="1" t="s">
        <v>714</v>
      </c>
      <c r="J3491" s="1" t="s">
        <v>8366</v>
      </c>
      <c r="K3491" s="1" t="s">
        <v>716</v>
      </c>
      <c r="L3491" s="1" t="s">
        <v>14537</v>
      </c>
      <c r="M3491" s="1" t="s">
        <v>718</v>
      </c>
    </row>
    <row r="3492" customFormat="false" ht="15" hidden="false" customHeight="false" outlineLevel="0" collapsed="false">
      <c r="A3492" s="1" t="s">
        <v>14538</v>
      </c>
      <c r="B3492" s="1" t="s">
        <v>14539</v>
      </c>
      <c r="C3492" s="1" t="s">
        <v>1465</v>
      </c>
      <c r="D3492" s="2" t="n">
        <v>39598</v>
      </c>
      <c r="E3492" s="1" t="s">
        <v>763</v>
      </c>
      <c r="F3492" s="1" t="s">
        <v>711</v>
      </c>
      <c r="G3492" s="1" t="s">
        <v>712</v>
      </c>
      <c r="H3492" s="1" t="s">
        <v>713</v>
      </c>
      <c r="I3492" s="1" t="s">
        <v>714</v>
      </c>
      <c r="J3492" s="1" t="s">
        <v>12226</v>
      </c>
      <c r="K3492" s="1" t="s">
        <v>716</v>
      </c>
      <c r="L3492" s="1" t="s">
        <v>1466</v>
      </c>
      <c r="M3492" s="1" t="s">
        <v>718</v>
      </c>
    </row>
    <row r="3493" customFormat="false" ht="15" hidden="false" customHeight="false" outlineLevel="0" collapsed="false">
      <c r="A3493" s="1" t="s">
        <v>14540</v>
      </c>
      <c r="B3493" s="1" t="s">
        <v>14541</v>
      </c>
      <c r="C3493" s="1" t="s">
        <v>14542</v>
      </c>
      <c r="D3493" s="2" t="n">
        <v>39577</v>
      </c>
      <c r="E3493" s="1" t="s">
        <v>763</v>
      </c>
      <c r="F3493" s="1" t="s">
        <v>711</v>
      </c>
      <c r="G3493" s="1" t="s">
        <v>722</v>
      </c>
      <c r="H3493" s="1" t="s">
        <v>713</v>
      </c>
      <c r="I3493" s="1" t="s">
        <v>714</v>
      </c>
      <c r="J3493" s="1" t="s">
        <v>14543</v>
      </c>
      <c r="K3493" s="1" t="s">
        <v>14544</v>
      </c>
      <c r="L3493" s="1" t="s">
        <v>14545</v>
      </c>
      <c r="M3493" s="1" t="s">
        <v>718</v>
      </c>
    </row>
    <row r="3494" customFormat="false" ht="15" hidden="false" customHeight="false" outlineLevel="0" collapsed="false">
      <c r="A3494" s="1" t="s">
        <v>579</v>
      </c>
      <c r="B3494" s="1" t="s">
        <v>14546</v>
      </c>
      <c r="C3494" s="1" t="s">
        <v>9962</v>
      </c>
      <c r="D3494" s="2" t="n">
        <v>39584</v>
      </c>
      <c r="E3494" s="1" t="s">
        <v>763</v>
      </c>
      <c r="F3494" s="1" t="s">
        <v>711</v>
      </c>
      <c r="G3494" s="1" t="s">
        <v>712</v>
      </c>
      <c r="H3494" s="1" t="s">
        <v>713</v>
      </c>
      <c r="I3494" s="1" t="s">
        <v>714</v>
      </c>
      <c r="J3494" s="1" t="s">
        <v>14547</v>
      </c>
      <c r="K3494" s="1" t="s">
        <v>14548</v>
      </c>
      <c r="L3494" s="1" t="s">
        <v>9964</v>
      </c>
      <c r="M3494" s="1" t="s">
        <v>718</v>
      </c>
    </row>
    <row r="3495" customFormat="false" ht="15" hidden="false" customHeight="false" outlineLevel="0" collapsed="false">
      <c r="A3495" s="1" t="s">
        <v>14549</v>
      </c>
      <c r="B3495" s="1" t="s">
        <v>14550</v>
      </c>
      <c r="C3495" s="1" t="s">
        <v>14551</v>
      </c>
      <c r="D3495" s="2" t="n">
        <v>39985</v>
      </c>
      <c r="E3495" s="1" t="s">
        <v>763</v>
      </c>
      <c r="F3495" s="1" t="s">
        <v>711</v>
      </c>
      <c r="G3495" s="1" t="s">
        <v>712</v>
      </c>
      <c r="H3495" s="1" t="s">
        <v>713</v>
      </c>
      <c r="I3495" s="1" t="s">
        <v>714</v>
      </c>
      <c r="J3495" s="1" t="s">
        <v>8879</v>
      </c>
      <c r="K3495" s="1" t="s">
        <v>14552</v>
      </c>
      <c r="L3495" s="1" t="s">
        <v>14553</v>
      </c>
      <c r="M3495" s="1" t="s">
        <v>718</v>
      </c>
    </row>
    <row r="3496" customFormat="false" ht="15" hidden="false" customHeight="false" outlineLevel="0" collapsed="false">
      <c r="A3496" s="1" t="s">
        <v>541</v>
      </c>
      <c r="B3496" s="1" t="s">
        <v>1397</v>
      </c>
      <c r="C3496" s="1" t="s">
        <v>14554</v>
      </c>
      <c r="D3496" s="2" t="n">
        <v>39640</v>
      </c>
      <c r="E3496" s="1" t="s">
        <v>710</v>
      </c>
      <c r="F3496" s="1" t="s">
        <v>711</v>
      </c>
      <c r="G3496" s="1" t="s">
        <v>712</v>
      </c>
      <c r="H3496" s="1" t="s">
        <v>713</v>
      </c>
      <c r="I3496" s="1" t="s">
        <v>714</v>
      </c>
      <c r="J3496" s="1" t="s">
        <v>14555</v>
      </c>
      <c r="K3496" s="1" t="s">
        <v>14556</v>
      </c>
      <c r="L3496" s="1" t="s">
        <v>14557</v>
      </c>
      <c r="M3496" s="1" t="s">
        <v>718</v>
      </c>
    </row>
    <row r="3497" customFormat="false" ht="15" hidden="false" customHeight="false" outlineLevel="0" collapsed="false">
      <c r="A3497" s="1" t="s">
        <v>14558</v>
      </c>
      <c r="B3497" s="1" t="s">
        <v>14559</v>
      </c>
      <c r="C3497" s="1" t="s">
        <v>1870</v>
      </c>
      <c r="D3497" s="2" t="n">
        <v>40136</v>
      </c>
      <c r="E3497" s="1" t="s">
        <v>710</v>
      </c>
      <c r="F3497" s="1" t="s">
        <v>711</v>
      </c>
      <c r="G3497" s="1" t="s">
        <v>712</v>
      </c>
      <c r="H3497" s="1" t="s">
        <v>713</v>
      </c>
      <c r="I3497" s="1" t="s">
        <v>714</v>
      </c>
      <c r="J3497" s="1" t="s">
        <v>14555</v>
      </c>
      <c r="K3497" s="1" t="s">
        <v>14560</v>
      </c>
      <c r="L3497" s="1" t="s">
        <v>1871</v>
      </c>
      <c r="M3497" s="1" t="s">
        <v>718</v>
      </c>
    </row>
    <row r="3498" customFormat="false" ht="15" hidden="false" customHeight="false" outlineLevel="0" collapsed="false">
      <c r="A3498" s="1" t="s">
        <v>14561</v>
      </c>
      <c r="B3498" s="1" t="s">
        <v>14562</v>
      </c>
      <c r="C3498" s="1" t="s">
        <v>5271</v>
      </c>
      <c r="D3498" s="2" t="n">
        <v>39770</v>
      </c>
      <c r="E3498" s="1" t="s">
        <v>710</v>
      </c>
      <c r="F3498" s="1" t="s">
        <v>711</v>
      </c>
      <c r="G3498" s="1" t="s">
        <v>712</v>
      </c>
      <c r="H3498" s="1" t="s">
        <v>713</v>
      </c>
      <c r="I3498" s="1" t="s">
        <v>714</v>
      </c>
      <c r="J3498" s="1" t="s">
        <v>14563</v>
      </c>
      <c r="K3498" s="1" t="s">
        <v>14564</v>
      </c>
      <c r="L3498" s="1" t="s">
        <v>8465</v>
      </c>
      <c r="M3498" s="1" t="s">
        <v>718</v>
      </c>
    </row>
    <row r="3499" customFormat="false" ht="15" hidden="false" customHeight="false" outlineLevel="0" collapsed="false">
      <c r="A3499" s="1" t="s">
        <v>14565</v>
      </c>
      <c r="B3499" s="1" t="s">
        <v>14566</v>
      </c>
      <c r="C3499" s="1" t="s">
        <v>14567</v>
      </c>
      <c r="D3499" s="2" t="n">
        <v>39669</v>
      </c>
      <c r="E3499" s="1" t="s">
        <v>710</v>
      </c>
      <c r="F3499" s="1" t="s">
        <v>711</v>
      </c>
      <c r="G3499" s="1" t="s">
        <v>712</v>
      </c>
      <c r="H3499" s="1" t="s">
        <v>713</v>
      </c>
      <c r="I3499" s="1" t="s">
        <v>714</v>
      </c>
      <c r="J3499" s="1" t="s">
        <v>716</v>
      </c>
      <c r="K3499" s="1" t="s">
        <v>14568</v>
      </c>
      <c r="L3499" s="1" t="s">
        <v>6810</v>
      </c>
      <c r="M3499" s="1" t="s">
        <v>718</v>
      </c>
    </row>
    <row r="3500" customFormat="false" ht="15" hidden="false" customHeight="false" outlineLevel="0" collapsed="false">
      <c r="A3500" s="1" t="s">
        <v>14569</v>
      </c>
      <c r="B3500" s="1" t="s">
        <v>14570</v>
      </c>
      <c r="C3500" s="1" t="s">
        <v>14571</v>
      </c>
      <c r="D3500" s="2" t="n">
        <v>39630</v>
      </c>
      <c r="E3500" s="1" t="s">
        <v>710</v>
      </c>
      <c r="F3500" s="1" t="s">
        <v>711</v>
      </c>
      <c r="G3500" s="1" t="s">
        <v>722</v>
      </c>
      <c r="H3500" s="1" t="s">
        <v>713</v>
      </c>
      <c r="I3500" s="1" t="s">
        <v>714</v>
      </c>
      <c r="J3500" s="1" t="s">
        <v>8879</v>
      </c>
      <c r="K3500" s="1" t="s">
        <v>14572</v>
      </c>
      <c r="L3500" s="1" t="s">
        <v>14573</v>
      </c>
      <c r="M3500" s="1" t="s">
        <v>718</v>
      </c>
    </row>
    <row r="3501" customFormat="false" ht="15" hidden="false" customHeight="false" outlineLevel="0" collapsed="false">
      <c r="A3501" s="1" t="s">
        <v>14574</v>
      </c>
      <c r="B3501" s="1" t="s">
        <v>14575</v>
      </c>
      <c r="C3501" s="1" t="s">
        <v>7026</v>
      </c>
      <c r="D3501" s="2" t="n">
        <v>39367</v>
      </c>
      <c r="E3501" s="1" t="s">
        <v>710</v>
      </c>
      <c r="F3501" s="1" t="s">
        <v>711</v>
      </c>
      <c r="G3501" s="1" t="s">
        <v>722</v>
      </c>
      <c r="H3501" s="1" t="s">
        <v>713</v>
      </c>
      <c r="I3501" s="1" t="s">
        <v>714</v>
      </c>
      <c r="J3501" s="1" t="s">
        <v>8879</v>
      </c>
      <c r="K3501" s="1" t="s">
        <v>14572</v>
      </c>
      <c r="L3501" s="1" t="s">
        <v>14576</v>
      </c>
      <c r="M3501" s="1" t="s">
        <v>718</v>
      </c>
    </row>
    <row r="3502" customFormat="false" ht="15" hidden="false" customHeight="false" outlineLevel="0" collapsed="false">
      <c r="A3502" s="1" t="s">
        <v>14577</v>
      </c>
      <c r="B3502" s="1" t="s">
        <v>14578</v>
      </c>
      <c r="C3502" s="1" t="s">
        <v>6672</v>
      </c>
      <c r="D3502" s="2" t="n">
        <v>39570</v>
      </c>
      <c r="E3502" s="1" t="s">
        <v>710</v>
      </c>
      <c r="F3502" s="1" t="s">
        <v>711</v>
      </c>
      <c r="G3502" s="1" t="s">
        <v>712</v>
      </c>
      <c r="H3502" s="1" t="s">
        <v>713</v>
      </c>
      <c r="I3502" s="1" t="s">
        <v>714</v>
      </c>
      <c r="J3502" s="1" t="s">
        <v>8879</v>
      </c>
      <c r="K3502" s="1" t="s">
        <v>14579</v>
      </c>
      <c r="L3502" s="1" t="s">
        <v>14580</v>
      </c>
      <c r="M3502" s="1" t="s">
        <v>718</v>
      </c>
    </row>
    <row r="3503" customFormat="false" ht="15" hidden="false" customHeight="false" outlineLevel="0" collapsed="false">
      <c r="A3503" s="1" t="s">
        <v>14581</v>
      </c>
      <c r="B3503" s="1" t="s">
        <v>14582</v>
      </c>
      <c r="C3503" s="1" t="s">
        <v>8640</v>
      </c>
      <c r="D3503" s="2" t="n">
        <v>39511</v>
      </c>
      <c r="E3503" s="1" t="s">
        <v>710</v>
      </c>
      <c r="F3503" s="1" t="s">
        <v>711</v>
      </c>
      <c r="G3503" s="1" t="s">
        <v>712</v>
      </c>
      <c r="H3503" s="1" t="s">
        <v>713</v>
      </c>
      <c r="I3503" s="1" t="s">
        <v>714</v>
      </c>
      <c r="J3503" s="1" t="s">
        <v>928</v>
      </c>
      <c r="K3503" s="1" t="s">
        <v>14583</v>
      </c>
      <c r="L3503" s="1" t="s">
        <v>12147</v>
      </c>
      <c r="M3503" s="1" t="s">
        <v>718</v>
      </c>
    </row>
    <row r="3504" customFormat="false" ht="15" hidden="false" customHeight="false" outlineLevel="0" collapsed="false">
      <c r="A3504" s="1" t="s">
        <v>14584</v>
      </c>
      <c r="B3504" s="1" t="s">
        <v>13913</v>
      </c>
      <c r="C3504" s="1" t="s">
        <v>12778</v>
      </c>
      <c r="D3504" s="2" t="n">
        <v>39889</v>
      </c>
      <c r="E3504" s="1" t="s">
        <v>710</v>
      </c>
      <c r="F3504" s="1" t="s">
        <v>711</v>
      </c>
      <c r="G3504" s="1" t="s">
        <v>722</v>
      </c>
      <c r="H3504" s="1" t="s">
        <v>713</v>
      </c>
      <c r="I3504" s="1" t="s">
        <v>714</v>
      </c>
      <c r="J3504" s="1" t="s">
        <v>716</v>
      </c>
      <c r="K3504" s="1" t="s">
        <v>14585</v>
      </c>
      <c r="L3504" s="1" t="s">
        <v>11458</v>
      </c>
      <c r="M3504" s="1" t="s">
        <v>718</v>
      </c>
    </row>
    <row r="3505" customFormat="false" ht="15" hidden="false" customHeight="false" outlineLevel="0" collapsed="false">
      <c r="A3505" s="1" t="s">
        <v>14586</v>
      </c>
      <c r="B3505" s="1" t="s">
        <v>14587</v>
      </c>
      <c r="C3505" s="1" t="s">
        <v>14588</v>
      </c>
      <c r="D3505" s="2" t="n">
        <v>39777</v>
      </c>
      <c r="E3505" s="1" t="s">
        <v>710</v>
      </c>
      <c r="F3505" s="1" t="s">
        <v>711</v>
      </c>
      <c r="G3505" s="1" t="s">
        <v>712</v>
      </c>
      <c r="H3505" s="1" t="s">
        <v>713</v>
      </c>
      <c r="I3505" s="1" t="s">
        <v>714</v>
      </c>
      <c r="J3505" s="1" t="s">
        <v>9976</v>
      </c>
      <c r="K3505" s="1" t="s">
        <v>14589</v>
      </c>
      <c r="L3505" s="1" t="s">
        <v>14590</v>
      </c>
      <c r="M3505" s="1" t="s">
        <v>718</v>
      </c>
    </row>
    <row r="3506" customFormat="false" ht="15" hidden="false" customHeight="false" outlineLevel="0" collapsed="false">
      <c r="A3506" s="1" t="s">
        <v>14591</v>
      </c>
      <c r="B3506" s="1" t="s">
        <v>5868</v>
      </c>
      <c r="C3506" s="1" t="s">
        <v>14592</v>
      </c>
      <c r="D3506" s="2" t="n">
        <v>39461</v>
      </c>
      <c r="E3506" s="1" t="s">
        <v>710</v>
      </c>
      <c r="F3506" s="1" t="s">
        <v>711</v>
      </c>
      <c r="G3506" s="1" t="s">
        <v>712</v>
      </c>
      <c r="H3506" s="1" t="s">
        <v>713</v>
      </c>
      <c r="I3506" s="1" t="s">
        <v>714</v>
      </c>
      <c r="J3506" s="1" t="s">
        <v>716</v>
      </c>
      <c r="K3506" s="1" t="s">
        <v>14593</v>
      </c>
      <c r="L3506" s="1" t="s">
        <v>14594</v>
      </c>
      <c r="M3506" s="1" t="s">
        <v>718</v>
      </c>
    </row>
    <row r="3507" customFormat="false" ht="15" hidden="false" customHeight="false" outlineLevel="0" collapsed="false">
      <c r="A3507" s="1" t="s">
        <v>14595</v>
      </c>
      <c r="B3507" s="1" t="s">
        <v>14596</v>
      </c>
      <c r="C3507" s="1" t="s">
        <v>14597</v>
      </c>
      <c r="D3507" s="2" t="n">
        <v>39111</v>
      </c>
      <c r="E3507" s="1" t="s">
        <v>710</v>
      </c>
      <c r="F3507" s="1" t="s">
        <v>711</v>
      </c>
      <c r="G3507" s="1" t="s">
        <v>712</v>
      </c>
      <c r="H3507" s="1" t="s">
        <v>713</v>
      </c>
      <c r="I3507" s="1" t="s">
        <v>714</v>
      </c>
      <c r="J3507" s="1" t="s">
        <v>716</v>
      </c>
      <c r="K3507" s="1" t="s">
        <v>14598</v>
      </c>
      <c r="L3507" s="1" t="s">
        <v>14599</v>
      </c>
      <c r="M3507" s="1" t="s">
        <v>718</v>
      </c>
    </row>
    <row r="3508" customFormat="false" ht="15" hidden="false" customHeight="false" outlineLevel="0" collapsed="false">
      <c r="A3508" s="1" t="s">
        <v>14600</v>
      </c>
      <c r="B3508" s="1" t="s">
        <v>14601</v>
      </c>
      <c r="C3508" s="1" t="s">
        <v>739</v>
      </c>
      <c r="D3508" s="2" t="n">
        <v>40217</v>
      </c>
      <c r="E3508" s="1" t="s">
        <v>710</v>
      </c>
      <c r="F3508" s="1" t="s">
        <v>711</v>
      </c>
      <c r="G3508" s="1" t="s">
        <v>712</v>
      </c>
      <c r="H3508" s="1" t="s">
        <v>713</v>
      </c>
      <c r="I3508" s="1" t="s">
        <v>714</v>
      </c>
      <c r="J3508" s="1" t="s">
        <v>716</v>
      </c>
      <c r="K3508" s="1" t="s">
        <v>14602</v>
      </c>
      <c r="L3508" s="1" t="s">
        <v>14603</v>
      </c>
      <c r="M3508" s="1" t="s">
        <v>718</v>
      </c>
    </row>
    <row r="3509" s="13" customFormat="true" ht="15" hidden="false" customHeight="false" outlineLevel="0" collapsed="false">
      <c r="A3509" s="10" t="s">
        <v>621</v>
      </c>
      <c r="B3509" s="10" t="s">
        <v>900</v>
      </c>
      <c r="C3509" s="10" t="s">
        <v>4755</v>
      </c>
      <c r="D3509" s="12" t="n">
        <v>39715</v>
      </c>
      <c r="E3509" s="10" t="s">
        <v>710</v>
      </c>
      <c r="F3509" s="10" t="s">
        <v>711</v>
      </c>
      <c r="G3509" s="10" t="s">
        <v>712</v>
      </c>
      <c r="H3509" s="10" t="s">
        <v>713</v>
      </c>
      <c r="I3509" s="10" t="s">
        <v>714</v>
      </c>
      <c r="J3509" s="10" t="s">
        <v>716</v>
      </c>
      <c r="K3509" s="10" t="s">
        <v>716</v>
      </c>
      <c r="L3509" s="10" t="s">
        <v>9266</v>
      </c>
      <c r="M3509" s="10" t="s">
        <v>718</v>
      </c>
      <c r="XEE3509" s="0"/>
      <c r="XEF3509" s="0"/>
      <c r="XEG3509" s="0"/>
      <c r="XEH3509" s="0"/>
      <c r="XEI3509" s="0"/>
      <c r="XEJ3509" s="0"/>
      <c r="XEK3509" s="0"/>
      <c r="XEL3509" s="0"/>
      <c r="XEM3509" s="0"/>
      <c r="XEN3509" s="0"/>
      <c r="XEO3509" s="0"/>
      <c r="XEP3509" s="0"/>
      <c r="XEQ3509" s="0"/>
      <c r="XER3509" s="0"/>
      <c r="XES3509" s="0"/>
      <c r="XET3509" s="0"/>
      <c r="XEU3509" s="0"/>
      <c r="XEV3509" s="0"/>
      <c r="XEW3509" s="0"/>
      <c r="XEX3509" s="0"/>
      <c r="XEY3509" s="0"/>
      <c r="XEZ3509" s="0"/>
      <c r="XFA3509" s="0"/>
      <c r="XFB3509" s="0"/>
      <c r="XFC3509" s="0"/>
      <c r="XFD3509" s="0"/>
    </row>
    <row r="3510" customFormat="false" ht="15" hidden="false" customHeight="false" outlineLevel="0" collapsed="false">
      <c r="A3510" s="1" t="s">
        <v>14604</v>
      </c>
      <c r="B3510" s="1" t="s">
        <v>14605</v>
      </c>
      <c r="C3510" s="1" t="s">
        <v>14606</v>
      </c>
      <c r="D3510" s="2" t="n">
        <v>39623</v>
      </c>
      <c r="E3510" s="1" t="s">
        <v>710</v>
      </c>
      <c r="F3510" s="1" t="s">
        <v>711</v>
      </c>
      <c r="G3510" s="1" t="s">
        <v>712</v>
      </c>
      <c r="H3510" s="1" t="s">
        <v>713</v>
      </c>
      <c r="I3510" s="1" t="s">
        <v>714</v>
      </c>
      <c r="J3510" s="1" t="s">
        <v>716</v>
      </c>
      <c r="K3510" s="1" t="s">
        <v>14607</v>
      </c>
      <c r="L3510" s="1" t="s">
        <v>12813</v>
      </c>
      <c r="M3510" s="1" t="s">
        <v>718</v>
      </c>
    </row>
    <row r="3511" customFormat="false" ht="15" hidden="false" customHeight="false" outlineLevel="0" collapsed="false">
      <c r="A3511" s="1" t="s">
        <v>693</v>
      </c>
      <c r="B3511" s="1" t="s">
        <v>14608</v>
      </c>
      <c r="C3511" s="1" t="s">
        <v>14609</v>
      </c>
      <c r="D3511" s="2" t="n">
        <v>39654</v>
      </c>
      <c r="E3511" s="1" t="s">
        <v>710</v>
      </c>
      <c r="F3511" s="1" t="s">
        <v>711</v>
      </c>
      <c r="G3511" s="1" t="s">
        <v>712</v>
      </c>
      <c r="H3511" s="1" t="s">
        <v>713</v>
      </c>
      <c r="I3511" s="1" t="s">
        <v>714</v>
      </c>
      <c r="J3511" s="1" t="s">
        <v>716</v>
      </c>
      <c r="K3511" s="1" t="s">
        <v>14498</v>
      </c>
      <c r="L3511" s="1" t="s">
        <v>14610</v>
      </c>
      <c r="M3511" s="1" t="s">
        <v>718</v>
      </c>
    </row>
    <row r="3512" customFormat="false" ht="15" hidden="false" customHeight="false" outlineLevel="0" collapsed="false">
      <c r="A3512" s="1" t="s">
        <v>14611</v>
      </c>
      <c r="B3512" s="1" t="s">
        <v>11504</v>
      </c>
      <c r="C3512" s="1" t="s">
        <v>14612</v>
      </c>
      <c r="D3512" s="2" t="n">
        <v>39380</v>
      </c>
      <c r="E3512" s="1" t="s">
        <v>710</v>
      </c>
      <c r="F3512" s="1" t="s">
        <v>711</v>
      </c>
      <c r="G3512" s="1" t="s">
        <v>712</v>
      </c>
      <c r="H3512" s="1" t="s">
        <v>713</v>
      </c>
      <c r="I3512" s="1" t="s">
        <v>714</v>
      </c>
      <c r="J3512" s="1" t="s">
        <v>716</v>
      </c>
      <c r="K3512" s="1" t="s">
        <v>14613</v>
      </c>
      <c r="L3512" s="1" t="s">
        <v>1418</v>
      </c>
      <c r="M3512" s="1" t="s">
        <v>718</v>
      </c>
    </row>
    <row r="3513" customFormat="false" ht="15" hidden="false" customHeight="false" outlineLevel="0" collapsed="false">
      <c r="A3513" s="1" t="s">
        <v>14614</v>
      </c>
      <c r="B3513" s="1" t="s">
        <v>14615</v>
      </c>
      <c r="C3513" s="1" t="s">
        <v>1903</v>
      </c>
      <c r="D3513" s="2" t="n">
        <v>39580</v>
      </c>
      <c r="E3513" s="1" t="s">
        <v>710</v>
      </c>
      <c r="F3513" s="1" t="s">
        <v>711</v>
      </c>
      <c r="G3513" s="1" t="s">
        <v>712</v>
      </c>
      <c r="H3513" s="1" t="s">
        <v>713</v>
      </c>
      <c r="I3513" s="1" t="s">
        <v>714</v>
      </c>
      <c r="J3513" s="1" t="s">
        <v>716</v>
      </c>
      <c r="K3513" s="1" t="s">
        <v>14616</v>
      </c>
      <c r="L3513" s="1" t="s">
        <v>1418</v>
      </c>
      <c r="M3513" s="1" t="s">
        <v>718</v>
      </c>
    </row>
    <row r="3514" customFormat="false" ht="15" hidden="false" customHeight="false" outlineLevel="0" collapsed="false">
      <c r="A3514" s="1" t="s">
        <v>14617</v>
      </c>
      <c r="B3514" s="1" t="s">
        <v>14618</v>
      </c>
      <c r="C3514" s="1" t="s">
        <v>1919</v>
      </c>
      <c r="D3514" s="2" t="n">
        <v>39785</v>
      </c>
      <c r="E3514" s="1" t="s">
        <v>710</v>
      </c>
      <c r="F3514" s="1" t="s">
        <v>711</v>
      </c>
      <c r="G3514" s="1" t="s">
        <v>712</v>
      </c>
      <c r="H3514" s="1" t="s">
        <v>713</v>
      </c>
      <c r="I3514" s="1" t="s">
        <v>714</v>
      </c>
      <c r="J3514" s="1" t="s">
        <v>716</v>
      </c>
      <c r="K3514" s="1" t="s">
        <v>14619</v>
      </c>
      <c r="L3514" s="1" t="s">
        <v>1920</v>
      </c>
      <c r="M3514" s="1" t="s">
        <v>718</v>
      </c>
    </row>
    <row r="3515" customFormat="false" ht="15" hidden="false" customHeight="false" outlineLevel="0" collapsed="false">
      <c r="A3515" s="1" t="s">
        <v>14620</v>
      </c>
      <c r="B3515" s="1" t="s">
        <v>14621</v>
      </c>
      <c r="C3515" s="1" t="s">
        <v>9807</v>
      </c>
      <c r="D3515" s="2" t="n">
        <v>39799</v>
      </c>
      <c r="E3515" s="1" t="s">
        <v>710</v>
      </c>
      <c r="F3515" s="1" t="s">
        <v>711</v>
      </c>
      <c r="G3515" s="1" t="s">
        <v>712</v>
      </c>
      <c r="H3515" s="1" t="s">
        <v>713</v>
      </c>
      <c r="I3515" s="1" t="s">
        <v>714</v>
      </c>
      <c r="J3515" s="1" t="s">
        <v>716</v>
      </c>
      <c r="K3515" s="1" t="s">
        <v>14257</v>
      </c>
      <c r="L3515" s="1" t="s">
        <v>14622</v>
      </c>
      <c r="M3515" s="1" t="s">
        <v>718</v>
      </c>
    </row>
    <row r="3516" customFormat="false" ht="15" hidden="false" customHeight="false" outlineLevel="0" collapsed="false">
      <c r="A3516" s="1" t="s">
        <v>14623</v>
      </c>
      <c r="B3516" s="1" t="s">
        <v>13022</v>
      </c>
      <c r="C3516" s="1" t="s">
        <v>2006</v>
      </c>
      <c r="D3516" s="2" t="n">
        <v>39607</v>
      </c>
      <c r="E3516" s="1" t="s">
        <v>763</v>
      </c>
      <c r="F3516" s="1" t="s">
        <v>711</v>
      </c>
      <c r="G3516" s="1" t="s">
        <v>722</v>
      </c>
      <c r="H3516" s="1" t="s">
        <v>713</v>
      </c>
      <c r="I3516" s="1" t="s">
        <v>714</v>
      </c>
      <c r="J3516" s="1" t="s">
        <v>716</v>
      </c>
      <c r="K3516" s="1" t="s">
        <v>14624</v>
      </c>
      <c r="L3516" s="1" t="s">
        <v>1418</v>
      </c>
      <c r="M3516" s="1" t="s">
        <v>718</v>
      </c>
    </row>
    <row r="3517" customFormat="false" ht="15" hidden="false" customHeight="false" outlineLevel="0" collapsed="false">
      <c r="A3517" s="1" t="s">
        <v>14625</v>
      </c>
      <c r="B3517" s="1" t="s">
        <v>14626</v>
      </c>
      <c r="C3517" s="1" t="s">
        <v>14627</v>
      </c>
      <c r="D3517" s="2" t="n">
        <v>39499</v>
      </c>
      <c r="E3517" s="1" t="s">
        <v>763</v>
      </c>
      <c r="F3517" s="1" t="s">
        <v>711</v>
      </c>
      <c r="G3517" s="1" t="s">
        <v>722</v>
      </c>
      <c r="H3517" s="1" t="s">
        <v>713</v>
      </c>
      <c r="I3517" s="1" t="s">
        <v>714</v>
      </c>
      <c r="J3517" s="1" t="s">
        <v>716</v>
      </c>
      <c r="K3517" s="1" t="s">
        <v>14458</v>
      </c>
      <c r="L3517" s="1" t="s">
        <v>7585</v>
      </c>
      <c r="M3517" s="1" t="s">
        <v>718</v>
      </c>
    </row>
    <row r="3518" customFormat="false" ht="15" hidden="false" customHeight="false" outlineLevel="0" collapsed="false">
      <c r="A3518" s="1" t="s">
        <v>14628</v>
      </c>
      <c r="B3518" s="1" t="s">
        <v>14629</v>
      </c>
      <c r="C3518" s="1" t="s">
        <v>14630</v>
      </c>
      <c r="D3518" s="2" t="n">
        <v>39634</v>
      </c>
      <c r="E3518" s="1" t="s">
        <v>763</v>
      </c>
      <c r="F3518" s="1" t="s">
        <v>711</v>
      </c>
      <c r="G3518" s="1" t="s">
        <v>712</v>
      </c>
      <c r="H3518" s="1" t="s">
        <v>713</v>
      </c>
      <c r="I3518" s="1" t="s">
        <v>714</v>
      </c>
      <c r="J3518" s="1" t="s">
        <v>14631</v>
      </c>
      <c r="K3518" s="1" t="s">
        <v>14632</v>
      </c>
      <c r="L3518" s="1" t="s">
        <v>14633</v>
      </c>
      <c r="M3518" s="1" t="s">
        <v>718</v>
      </c>
    </row>
    <row r="3519" customFormat="false" ht="15" hidden="false" customHeight="false" outlineLevel="0" collapsed="false">
      <c r="A3519" s="1" t="s">
        <v>14634</v>
      </c>
      <c r="B3519" s="1" t="s">
        <v>14635</v>
      </c>
      <c r="C3519" s="1" t="s">
        <v>14636</v>
      </c>
      <c r="D3519" s="2" t="n">
        <v>39818</v>
      </c>
      <c r="E3519" s="1" t="s">
        <v>763</v>
      </c>
      <c r="F3519" s="1" t="s">
        <v>711</v>
      </c>
      <c r="G3519" s="1" t="s">
        <v>712</v>
      </c>
      <c r="H3519" s="1" t="s">
        <v>713</v>
      </c>
      <c r="I3519" s="1" t="s">
        <v>714</v>
      </c>
      <c r="J3519" s="1" t="s">
        <v>928</v>
      </c>
      <c r="K3519" s="1" t="s">
        <v>14637</v>
      </c>
      <c r="L3519" s="1" t="s">
        <v>14638</v>
      </c>
      <c r="M3519" s="1" t="s">
        <v>718</v>
      </c>
    </row>
    <row r="3520" customFormat="false" ht="15" hidden="false" customHeight="false" outlineLevel="0" collapsed="false">
      <c r="A3520" s="1" t="s">
        <v>670</v>
      </c>
      <c r="B3520" s="1" t="s">
        <v>14639</v>
      </c>
      <c r="C3520" s="1" t="s">
        <v>1637</v>
      </c>
      <c r="D3520" s="2" t="n">
        <v>39609</v>
      </c>
      <c r="E3520" s="1" t="s">
        <v>763</v>
      </c>
      <c r="F3520" s="1" t="s">
        <v>711</v>
      </c>
      <c r="G3520" s="1" t="s">
        <v>712</v>
      </c>
      <c r="H3520" s="1" t="s">
        <v>713</v>
      </c>
      <c r="I3520" s="1" t="s">
        <v>714</v>
      </c>
      <c r="J3520" s="1" t="s">
        <v>716</v>
      </c>
      <c r="K3520" s="1" t="s">
        <v>14640</v>
      </c>
      <c r="L3520" s="1" t="s">
        <v>14641</v>
      </c>
      <c r="M3520" s="1" t="s">
        <v>718</v>
      </c>
    </row>
    <row r="3521" customFormat="false" ht="15" hidden="false" customHeight="false" outlineLevel="0" collapsed="false">
      <c r="A3521" s="1" t="s">
        <v>14642</v>
      </c>
      <c r="B3521" s="1" t="s">
        <v>3106</v>
      </c>
      <c r="C3521" s="1" t="s">
        <v>8134</v>
      </c>
      <c r="D3521" s="2" t="n">
        <v>39637</v>
      </c>
      <c r="E3521" s="1" t="s">
        <v>763</v>
      </c>
      <c r="F3521" s="1" t="s">
        <v>711</v>
      </c>
      <c r="G3521" s="1" t="s">
        <v>712</v>
      </c>
      <c r="H3521" s="1" t="s">
        <v>713</v>
      </c>
      <c r="I3521" s="1" t="s">
        <v>714</v>
      </c>
      <c r="J3521" s="1" t="s">
        <v>716</v>
      </c>
      <c r="K3521" s="1" t="s">
        <v>14643</v>
      </c>
      <c r="L3521" s="1" t="s">
        <v>8135</v>
      </c>
      <c r="M3521" s="1" t="s">
        <v>718</v>
      </c>
    </row>
    <row r="3522" customFormat="false" ht="15" hidden="false" customHeight="false" outlineLevel="0" collapsed="false">
      <c r="A3522" s="1" t="s">
        <v>14644</v>
      </c>
      <c r="B3522" s="1" t="s">
        <v>14645</v>
      </c>
      <c r="C3522" s="1" t="s">
        <v>9086</v>
      </c>
      <c r="D3522" s="2" t="n">
        <v>38976</v>
      </c>
      <c r="E3522" s="1" t="s">
        <v>710</v>
      </c>
      <c r="F3522" s="1" t="s">
        <v>711</v>
      </c>
      <c r="G3522" s="1" t="s">
        <v>712</v>
      </c>
      <c r="H3522" s="1" t="s">
        <v>713</v>
      </c>
      <c r="I3522" s="1" t="s">
        <v>714</v>
      </c>
      <c r="J3522" s="1" t="s">
        <v>716</v>
      </c>
      <c r="K3522" s="1" t="s">
        <v>14646</v>
      </c>
      <c r="L3522" s="1" t="s">
        <v>7360</v>
      </c>
      <c r="M3522" s="1" t="s">
        <v>718</v>
      </c>
    </row>
    <row r="3523" customFormat="false" ht="15" hidden="false" customHeight="false" outlineLevel="0" collapsed="false">
      <c r="A3523" s="1" t="s">
        <v>14647</v>
      </c>
      <c r="B3523" s="1" t="s">
        <v>14648</v>
      </c>
      <c r="C3523" s="1" t="s">
        <v>14649</v>
      </c>
      <c r="D3523" s="2" t="n">
        <v>39185</v>
      </c>
      <c r="E3523" s="1" t="s">
        <v>710</v>
      </c>
      <c r="F3523" s="1" t="s">
        <v>711</v>
      </c>
      <c r="G3523" s="1" t="s">
        <v>712</v>
      </c>
      <c r="H3523" s="1" t="s">
        <v>713</v>
      </c>
      <c r="I3523" s="1" t="s">
        <v>714</v>
      </c>
      <c r="J3523" s="1" t="s">
        <v>1244</v>
      </c>
      <c r="K3523" s="1" t="s">
        <v>14650</v>
      </c>
      <c r="L3523" s="1" t="s">
        <v>14651</v>
      </c>
      <c r="M3523" s="1" t="s">
        <v>718</v>
      </c>
    </row>
    <row r="3524" customFormat="false" ht="15" hidden="false" customHeight="false" outlineLevel="0" collapsed="false">
      <c r="A3524" s="1" t="s">
        <v>14652</v>
      </c>
      <c r="B3524" s="1" t="s">
        <v>14653</v>
      </c>
      <c r="C3524" s="1" t="s">
        <v>14654</v>
      </c>
      <c r="D3524" s="2" t="n">
        <v>39328</v>
      </c>
      <c r="E3524" s="1" t="s">
        <v>763</v>
      </c>
      <c r="F3524" s="1" t="s">
        <v>711</v>
      </c>
      <c r="G3524" s="1" t="s">
        <v>722</v>
      </c>
      <c r="H3524" s="1" t="s">
        <v>713</v>
      </c>
      <c r="I3524" s="1" t="s">
        <v>714</v>
      </c>
      <c r="J3524" s="1" t="s">
        <v>14655</v>
      </c>
      <c r="K3524" s="1" t="s">
        <v>14656</v>
      </c>
      <c r="L3524" s="1" t="s">
        <v>14657</v>
      </c>
      <c r="M3524" s="1" t="s">
        <v>718</v>
      </c>
    </row>
    <row r="3525" customFormat="false" ht="15" hidden="false" customHeight="false" outlineLevel="0" collapsed="false">
      <c r="A3525" s="1" t="s">
        <v>14658</v>
      </c>
      <c r="B3525" s="1" t="s">
        <v>14659</v>
      </c>
      <c r="C3525" s="1" t="s">
        <v>8838</v>
      </c>
      <c r="D3525" s="2" t="n">
        <v>40039</v>
      </c>
      <c r="E3525" s="1" t="s">
        <v>763</v>
      </c>
      <c r="F3525" s="1" t="s">
        <v>711</v>
      </c>
      <c r="G3525" s="1" t="s">
        <v>712</v>
      </c>
      <c r="H3525" s="1" t="s">
        <v>713</v>
      </c>
      <c r="I3525" s="1" t="s">
        <v>714</v>
      </c>
      <c r="J3525" s="1" t="s">
        <v>716</v>
      </c>
      <c r="K3525" s="1" t="s">
        <v>14660</v>
      </c>
      <c r="L3525" s="1" t="s">
        <v>14661</v>
      </c>
      <c r="M3525" s="1" t="s">
        <v>718</v>
      </c>
    </row>
    <row r="3526" customFormat="false" ht="15" hidden="false" customHeight="false" outlineLevel="0" collapsed="false">
      <c r="A3526" s="1" t="s">
        <v>14662</v>
      </c>
      <c r="B3526" s="1" t="s">
        <v>14663</v>
      </c>
      <c r="C3526" s="1" t="s">
        <v>1167</v>
      </c>
      <c r="D3526" s="2" t="n">
        <v>38695</v>
      </c>
      <c r="E3526" s="1" t="s">
        <v>710</v>
      </c>
      <c r="F3526" s="1" t="s">
        <v>711</v>
      </c>
      <c r="G3526" s="1" t="s">
        <v>712</v>
      </c>
      <c r="H3526" s="1" t="s">
        <v>713</v>
      </c>
      <c r="I3526" s="1" t="s">
        <v>714</v>
      </c>
      <c r="J3526" s="1" t="s">
        <v>902</v>
      </c>
      <c r="K3526" s="1" t="s">
        <v>14664</v>
      </c>
      <c r="L3526" s="1" t="s">
        <v>14665</v>
      </c>
      <c r="M3526" s="1" t="s">
        <v>718</v>
      </c>
    </row>
    <row r="3527" customFormat="false" ht="15" hidden="false" customHeight="false" outlineLevel="0" collapsed="false">
      <c r="A3527" s="1" t="s">
        <v>14666</v>
      </c>
      <c r="B3527" s="1" t="s">
        <v>14667</v>
      </c>
      <c r="C3527" s="1" t="s">
        <v>2307</v>
      </c>
      <c r="D3527" s="2" t="n">
        <v>39381</v>
      </c>
      <c r="E3527" s="1" t="s">
        <v>763</v>
      </c>
      <c r="F3527" s="1" t="s">
        <v>711</v>
      </c>
      <c r="G3527" s="1" t="s">
        <v>712</v>
      </c>
      <c r="H3527" s="1" t="s">
        <v>713</v>
      </c>
      <c r="I3527" s="1" t="s">
        <v>714</v>
      </c>
      <c r="J3527" s="1" t="s">
        <v>716</v>
      </c>
      <c r="K3527" s="1" t="s">
        <v>14664</v>
      </c>
      <c r="L3527" s="1" t="s">
        <v>14665</v>
      </c>
      <c r="M3527" s="1" t="s">
        <v>718</v>
      </c>
    </row>
    <row r="3528" customFormat="false" ht="15" hidden="false" customHeight="false" outlineLevel="0" collapsed="false">
      <c r="A3528" s="1" t="s">
        <v>14668</v>
      </c>
      <c r="B3528" s="1" t="s">
        <v>14669</v>
      </c>
      <c r="C3528" s="1" t="s">
        <v>2307</v>
      </c>
      <c r="D3528" s="2" t="n">
        <v>39381</v>
      </c>
      <c r="E3528" s="1" t="s">
        <v>710</v>
      </c>
      <c r="F3528" s="1" t="s">
        <v>711</v>
      </c>
      <c r="G3528" s="1" t="s">
        <v>712</v>
      </c>
      <c r="H3528" s="1" t="s">
        <v>713</v>
      </c>
      <c r="I3528" s="1" t="s">
        <v>714</v>
      </c>
      <c r="J3528" s="1" t="s">
        <v>902</v>
      </c>
      <c r="K3528" s="1" t="s">
        <v>14664</v>
      </c>
      <c r="L3528" s="1" t="s">
        <v>14665</v>
      </c>
      <c r="M3528" s="1" t="s">
        <v>718</v>
      </c>
    </row>
    <row r="3529" customFormat="false" ht="15" hidden="false" customHeight="false" outlineLevel="0" collapsed="false">
      <c r="A3529" s="1" t="s">
        <v>14670</v>
      </c>
      <c r="B3529" s="1" t="s">
        <v>14671</v>
      </c>
      <c r="C3529" s="1" t="s">
        <v>14672</v>
      </c>
      <c r="D3529" s="2" t="n">
        <v>39268</v>
      </c>
      <c r="E3529" s="1" t="s">
        <v>710</v>
      </c>
      <c r="F3529" s="1" t="s">
        <v>711</v>
      </c>
      <c r="G3529" s="1" t="s">
        <v>712</v>
      </c>
      <c r="H3529" s="1" t="s">
        <v>713</v>
      </c>
      <c r="I3529" s="1" t="s">
        <v>714</v>
      </c>
      <c r="J3529" s="1" t="s">
        <v>14673</v>
      </c>
      <c r="K3529" s="1" t="s">
        <v>14674</v>
      </c>
      <c r="L3529" s="1" t="s">
        <v>14675</v>
      </c>
      <c r="M3529" s="1" t="s">
        <v>718</v>
      </c>
    </row>
    <row r="3530" customFormat="false" ht="15" hidden="false" customHeight="false" outlineLevel="0" collapsed="false">
      <c r="A3530" s="1" t="s">
        <v>14676</v>
      </c>
      <c r="B3530" s="1" t="s">
        <v>727</v>
      </c>
      <c r="C3530" s="1" t="s">
        <v>14677</v>
      </c>
      <c r="D3530" s="2" t="n">
        <v>39552</v>
      </c>
      <c r="E3530" s="1" t="s">
        <v>710</v>
      </c>
      <c r="F3530" s="1" t="s">
        <v>711</v>
      </c>
      <c r="G3530" s="1" t="s">
        <v>712</v>
      </c>
      <c r="H3530" s="1" t="s">
        <v>713</v>
      </c>
      <c r="I3530" s="1" t="s">
        <v>714</v>
      </c>
      <c r="J3530" s="1" t="s">
        <v>2530</v>
      </c>
      <c r="K3530" s="1" t="s">
        <v>14678</v>
      </c>
      <c r="L3530" s="1" t="s">
        <v>14679</v>
      </c>
      <c r="M3530" s="1" t="s">
        <v>718</v>
      </c>
    </row>
    <row r="3531" customFormat="false" ht="15" hidden="false" customHeight="false" outlineLevel="0" collapsed="false">
      <c r="A3531" s="1" t="s">
        <v>14680</v>
      </c>
      <c r="B3531" s="1" t="s">
        <v>14681</v>
      </c>
      <c r="C3531" s="1" t="s">
        <v>14682</v>
      </c>
      <c r="D3531" s="2" t="n">
        <v>39315</v>
      </c>
      <c r="E3531" s="1" t="s">
        <v>710</v>
      </c>
      <c r="F3531" s="1" t="s">
        <v>711</v>
      </c>
      <c r="G3531" s="1" t="s">
        <v>712</v>
      </c>
      <c r="H3531" s="1" t="s">
        <v>713</v>
      </c>
      <c r="I3531" s="1" t="s">
        <v>714</v>
      </c>
      <c r="J3531" s="1" t="s">
        <v>4239</v>
      </c>
      <c r="K3531" s="1" t="s">
        <v>14683</v>
      </c>
      <c r="L3531" s="1" t="s">
        <v>9383</v>
      </c>
      <c r="M3531" s="1" t="s">
        <v>718</v>
      </c>
    </row>
    <row r="3532" customFormat="false" ht="15" hidden="false" customHeight="false" outlineLevel="0" collapsed="false">
      <c r="A3532" s="1" t="s">
        <v>14684</v>
      </c>
      <c r="B3532" s="1" t="s">
        <v>14685</v>
      </c>
      <c r="C3532" s="1" t="s">
        <v>14686</v>
      </c>
      <c r="D3532" s="2" t="n">
        <v>38250</v>
      </c>
      <c r="E3532" s="1" t="s">
        <v>710</v>
      </c>
      <c r="F3532" s="1" t="s">
        <v>711</v>
      </c>
      <c r="G3532" s="1" t="s">
        <v>722</v>
      </c>
      <c r="H3532" s="1" t="s">
        <v>713</v>
      </c>
      <c r="I3532" s="1" t="s">
        <v>714</v>
      </c>
      <c r="J3532" s="1" t="s">
        <v>880</v>
      </c>
      <c r="K3532" s="1" t="s">
        <v>14178</v>
      </c>
      <c r="L3532" s="1" t="s">
        <v>14179</v>
      </c>
      <c r="M3532" s="1" t="s">
        <v>718</v>
      </c>
    </row>
    <row r="3533" customFormat="false" ht="15" hidden="false" customHeight="false" outlineLevel="0" collapsed="false">
      <c r="A3533" s="1" t="s">
        <v>629</v>
      </c>
      <c r="B3533" s="1" t="s">
        <v>14687</v>
      </c>
      <c r="C3533" s="1" t="s">
        <v>14688</v>
      </c>
      <c r="D3533" s="2" t="n">
        <v>40070</v>
      </c>
      <c r="E3533" s="1" t="s">
        <v>763</v>
      </c>
      <c r="F3533" s="1" t="s">
        <v>711</v>
      </c>
      <c r="G3533" s="1" t="s">
        <v>712</v>
      </c>
      <c r="H3533" s="1" t="s">
        <v>713</v>
      </c>
      <c r="I3533" s="1" t="s">
        <v>714</v>
      </c>
      <c r="J3533" s="1" t="s">
        <v>1114</v>
      </c>
      <c r="K3533" s="1" t="s">
        <v>14689</v>
      </c>
      <c r="L3533" s="1" t="s">
        <v>14690</v>
      </c>
      <c r="M3533" s="1" t="s">
        <v>718</v>
      </c>
    </row>
    <row r="3534" customFormat="false" ht="15" hidden="false" customHeight="false" outlineLevel="0" collapsed="false">
      <c r="A3534" s="1" t="s">
        <v>657</v>
      </c>
      <c r="B3534" s="1" t="s">
        <v>14691</v>
      </c>
      <c r="C3534" s="1" t="s">
        <v>13425</v>
      </c>
      <c r="D3534" s="2" t="n">
        <v>39690</v>
      </c>
      <c r="E3534" s="1" t="s">
        <v>763</v>
      </c>
      <c r="F3534" s="1" t="s">
        <v>711</v>
      </c>
      <c r="G3534" s="1" t="s">
        <v>722</v>
      </c>
      <c r="H3534" s="1" t="s">
        <v>713</v>
      </c>
      <c r="I3534" s="1" t="s">
        <v>714</v>
      </c>
      <c r="J3534" s="1" t="s">
        <v>13653</v>
      </c>
      <c r="K3534" s="1" t="s">
        <v>14689</v>
      </c>
      <c r="L3534" s="1" t="s">
        <v>7049</v>
      </c>
      <c r="M3534" s="1" t="s">
        <v>718</v>
      </c>
    </row>
    <row r="3535" customFormat="false" ht="15" hidden="false" customHeight="false" outlineLevel="0" collapsed="false">
      <c r="A3535" s="1" t="s">
        <v>14692</v>
      </c>
      <c r="B3535" s="1" t="s">
        <v>14693</v>
      </c>
      <c r="C3535" s="1" t="s">
        <v>2260</v>
      </c>
      <c r="D3535" s="2" t="n">
        <v>38767</v>
      </c>
      <c r="E3535" s="1" t="s">
        <v>710</v>
      </c>
      <c r="F3535" s="1" t="s">
        <v>711</v>
      </c>
      <c r="G3535" s="1" t="s">
        <v>722</v>
      </c>
      <c r="H3535" s="1" t="s">
        <v>713</v>
      </c>
      <c r="I3535" s="1" t="s">
        <v>714</v>
      </c>
      <c r="J3535" s="1" t="s">
        <v>751</v>
      </c>
      <c r="K3535" s="1" t="s">
        <v>14694</v>
      </c>
      <c r="L3535" s="1" t="s">
        <v>14261</v>
      </c>
      <c r="M3535" s="1" t="s">
        <v>718</v>
      </c>
    </row>
    <row r="3536" customFormat="false" ht="15" hidden="false" customHeight="false" outlineLevel="0" collapsed="false">
      <c r="A3536" s="1" t="s">
        <v>14695</v>
      </c>
      <c r="B3536" s="1" t="s">
        <v>14696</v>
      </c>
      <c r="C3536" s="1" t="s">
        <v>14697</v>
      </c>
      <c r="D3536" s="2" t="n">
        <v>38146</v>
      </c>
      <c r="E3536" s="1" t="s">
        <v>710</v>
      </c>
      <c r="F3536" s="1" t="s">
        <v>711</v>
      </c>
      <c r="G3536" s="1" t="s">
        <v>712</v>
      </c>
      <c r="H3536" s="1" t="s">
        <v>713</v>
      </c>
      <c r="I3536" s="1" t="s">
        <v>714</v>
      </c>
      <c r="J3536" s="1" t="s">
        <v>4239</v>
      </c>
      <c r="K3536" s="1" t="s">
        <v>14698</v>
      </c>
      <c r="L3536" s="1" t="s">
        <v>14699</v>
      </c>
      <c r="M3536" s="1" t="s">
        <v>718</v>
      </c>
    </row>
    <row r="3537" customFormat="false" ht="15" hidden="false" customHeight="false" outlineLevel="0" collapsed="false">
      <c r="A3537" s="1" t="s">
        <v>14700</v>
      </c>
      <c r="B3537" s="1" t="s">
        <v>14701</v>
      </c>
      <c r="C3537" s="1" t="s">
        <v>14259</v>
      </c>
      <c r="D3537" s="2" t="n">
        <v>38066</v>
      </c>
      <c r="E3537" s="1" t="s">
        <v>710</v>
      </c>
      <c r="F3537" s="1" t="s">
        <v>711</v>
      </c>
      <c r="G3537" s="1" t="s">
        <v>712</v>
      </c>
      <c r="H3537" s="1" t="s">
        <v>713</v>
      </c>
      <c r="I3537" s="1" t="s">
        <v>714</v>
      </c>
      <c r="J3537" s="1" t="s">
        <v>4239</v>
      </c>
      <c r="K3537" s="1" t="s">
        <v>14694</v>
      </c>
      <c r="L3537" s="1" t="s">
        <v>14261</v>
      </c>
      <c r="M3537" s="1" t="s">
        <v>718</v>
      </c>
    </row>
    <row r="3538" customFormat="false" ht="15" hidden="false" customHeight="false" outlineLevel="0" collapsed="false">
      <c r="A3538" s="1" t="s">
        <v>14702</v>
      </c>
      <c r="B3538" s="1" t="s">
        <v>14703</v>
      </c>
      <c r="C3538" s="1" t="s">
        <v>901</v>
      </c>
      <c r="D3538" s="2" t="n">
        <v>39002</v>
      </c>
      <c r="E3538" s="1" t="s">
        <v>710</v>
      </c>
      <c r="F3538" s="1" t="s">
        <v>711</v>
      </c>
      <c r="G3538" s="1" t="s">
        <v>712</v>
      </c>
      <c r="H3538" s="1" t="s">
        <v>713</v>
      </c>
      <c r="I3538" s="1" t="s">
        <v>714</v>
      </c>
      <c r="J3538" s="1" t="s">
        <v>821</v>
      </c>
      <c r="K3538" s="1" t="s">
        <v>14704</v>
      </c>
      <c r="L3538" s="1" t="s">
        <v>14705</v>
      </c>
      <c r="M3538" s="1" t="s">
        <v>718</v>
      </c>
    </row>
    <row r="3539" customFormat="false" ht="15" hidden="false" customHeight="false" outlineLevel="0" collapsed="false">
      <c r="A3539" s="1" t="s">
        <v>14706</v>
      </c>
      <c r="B3539" s="1" t="s">
        <v>14707</v>
      </c>
      <c r="C3539" s="1" t="s">
        <v>4996</v>
      </c>
      <c r="D3539" s="2" t="n">
        <v>39735</v>
      </c>
      <c r="E3539" s="1" t="s">
        <v>763</v>
      </c>
      <c r="F3539" s="1" t="s">
        <v>711</v>
      </c>
      <c r="G3539" s="1" t="s">
        <v>722</v>
      </c>
      <c r="H3539" s="1" t="s">
        <v>713</v>
      </c>
      <c r="I3539" s="1" t="s">
        <v>714</v>
      </c>
      <c r="J3539" s="1" t="s">
        <v>821</v>
      </c>
      <c r="K3539" s="1" t="s">
        <v>14708</v>
      </c>
      <c r="L3539" s="1" t="s">
        <v>13264</v>
      </c>
      <c r="M3539" s="1" t="s">
        <v>718</v>
      </c>
    </row>
    <row r="3540" customFormat="false" ht="15" hidden="false" customHeight="false" outlineLevel="0" collapsed="false">
      <c r="A3540" s="1" t="s">
        <v>14709</v>
      </c>
      <c r="B3540" s="1" t="s">
        <v>6682</v>
      </c>
      <c r="C3540" s="1" t="s">
        <v>14710</v>
      </c>
      <c r="D3540" s="2" t="n">
        <v>39517</v>
      </c>
      <c r="E3540" s="1" t="s">
        <v>763</v>
      </c>
      <c r="F3540" s="1" t="s">
        <v>711</v>
      </c>
      <c r="G3540" s="1" t="s">
        <v>1664</v>
      </c>
      <c r="H3540" s="1" t="s">
        <v>1438</v>
      </c>
      <c r="I3540" s="1" t="s">
        <v>1665</v>
      </c>
      <c r="J3540" s="1" t="s">
        <v>1530</v>
      </c>
      <c r="K3540" s="1" t="s">
        <v>14711</v>
      </c>
      <c r="L3540" s="1" t="s">
        <v>1496</v>
      </c>
      <c r="M3540" s="1" t="s">
        <v>718</v>
      </c>
    </row>
    <row r="3541" customFormat="false" ht="15" hidden="false" customHeight="false" outlineLevel="0" collapsed="false">
      <c r="A3541" s="1" t="s">
        <v>14712</v>
      </c>
      <c r="B3541" s="1" t="s">
        <v>14713</v>
      </c>
      <c r="C3541" s="1" t="s">
        <v>9990</v>
      </c>
      <c r="D3541" s="2" t="n">
        <v>39819</v>
      </c>
      <c r="E3541" s="1" t="s">
        <v>763</v>
      </c>
      <c r="F3541" s="1" t="s">
        <v>711</v>
      </c>
      <c r="G3541" s="1" t="s">
        <v>712</v>
      </c>
      <c r="H3541" s="1" t="s">
        <v>713</v>
      </c>
      <c r="I3541" s="1" t="s">
        <v>714</v>
      </c>
      <c r="J3541" s="1" t="s">
        <v>928</v>
      </c>
      <c r="K3541" s="1" t="s">
        <v>14714</v>
      </c>
      <c r="L3541" s="1" t="s">
        <v>6663</v>
      </c>
      <c r="M3541" s="1" t="s">
        <v>718</v>
      </c>
    </row>
    <row r="3542" customFormat="false" ht="15" hidden="false" customHeight="false" outlineLevel="0" collapsed="false">
      <c r="A3542" s="1" t="s">
        <v>14715</v>
      </c>
      <c r="B3542" s="1" t="s">
        <v>14716</v>
      </c>
      <c r="C3542" s="1" t="s">
        <v>2549</v>
      </c>
      <c r="D3542" s="2" t="n">
        <v>39620</v>
      </c>
      <c r="E3542" s="1" t="s">
        <v>763</v>
      </c>
      <c r="F3542" s="1" t="s">
        <v>711</v>
      </c>
      <c r="G3542" s="1" t="s">
        <v>712</v>
      </c>
      <c r="H3542" s="1" t="s">
        <v>713</v>
      </c>
      <c r="I3542" s="1" t="s">
        <v>714</v>
      </c>
      <c r="J3542" s="1" t="s">
        <v>14717</v>
      </c>
      <c r="K3542" s="1" t="s">
        <v>14718</v>
      </c>
      <c r="L3542" s="1" t="s">
        <v>14719</v>
      </c>
      <c r="M3542" s="1" t="s">
        <v>718</v>
      </c>
    </row>
    <row r="3543" customFormat="false" ht="15" hidden="false" customHeight="false" outlineLevel="0" collapsed="false">
      <c r="A3543" s="1" t="s">
        <v>14720</v>
      </c>
      <c r="B3543" s="1" t="s">
        <v>14721</v>
      </c>
      <c r="C3543" s="1" t="s">
        <v>14722</v>
      </c>
      <c r="D3543" s="2" t="n">
        <v>39550</v>
      </c>
      <c r="E3543" s="1" t="s">
        <v>763</v>
      </c>
      <c r="F3543" s="1" t="s">
        <v>711</v>
      </c>
      <c r="G3543" s="1" t="s">
        <v>712</v>
      </c>
      <c r="H3543" s="1" t="s">
        <v>713</v>
      </c>
      <c r="I3543" s="1" t="s">
        <v>714</v>
      </c>
      <c r="J3543" s="1" t="s">
        <v>1723</v>
      </c>
      <c r="K3543" s="1" t="s">
        <v>14723</v>
      </c>
      <c r="L3543" s="1" t="s">
        <v>14724</v>
      </c>
      <c r="M3543" s="1" t="s">
        <v>718</v>
      </c>
    </row>
    <row r="3544" customFormat="false" ht="15" hidden="false" customHeight="false" outlineLevel="0" collapsed="false">
      <c r="A3544" s="1" t="s">
        <v>14725</v>
      </c>
      <c r="B3544" s="1" t="s">
        <v>14726</v>
      </c>
      <c r="C3544" s="1" t="s">
        <v>1180</v>
      </c>
      <c r="D3544" s="2" t="n">
        <v>40437</v>
      </c>
      <c r="E3544" s="1" t="s">
        <v>763</v>
      </c>
      <c r="F3544" s="1" t="s">
        <v>711</v>
      </c>
      <c r="G3544" s="1" t="s">
        <v>712</v>
      </c>
      <c r="H3544" s="1" t="s">
        <v>713</v>
      </c>
      <c r="I3544" s="1" t="s">
        <v>714</v>
      </c>
      <c r="J3544" s="1" t="s">
        <v>715</v>
      </c>
      <c r="K3544" s="1" t="s">
        <v>14727</v>
      </c>
      <c r="L3544" s="1" t="s">
        <v>14728</v>
      </c>
      <c r="M3544" s="1" t="s">
        <v>718</v>
      </c>
    </row>
    <row r="3545" customFormat="false" ht="15" hidden="false" customHeight="false" outlineLevel="0" collapsed="false">
      <c r="A3545" s="1" t="s">
        <v>14729</v>
      </c>
      <c r="B3545" s="1" t="s">
        <v>14730</v>
      </c>
      <c r="C3545" s="1" t="s">
        <v>14731</v>
      </c>
      <c r="D3545" s="2" t="n">
        <v>39195</v>
      </c>
      <c r="E3545" s="1" t="s">
        <v>710</v>
      </c>
      <c r="F3545" s="1" t="s">
        <v>711</v>
      </c>
      <c r="G3545" s="1" t="s">
        <v>775</v>
      </c>
      <c r="H3545" s="1" t="s">
        <v>713</v>
      </c>
      <c r="I3545" s="1" t="s">
        <v>714</v>
      </c>
      <c r="J3545" s="1" t="s">
        <v>928</v>
      </c>
      <c r="K3545" s="1" t="s">
        <v>14723</v>
      </c>
      <c r="L3545" s="1" t="s">
        <v>14537</v>
      </c>
      <c r="M3545" s="1" t="s">
        <v>718</v>
      </c>
    </row>
    <row r="3546" customFormat="false" ht="15" hidden="false" customHeight="false" outlineLevel="0" collapsed="false">
      <c r="A3546" s="1" t="s">
        <v>14732</v>
      </c>
      <c r="B3546" s="1" t="s">
        <v>14733</v>
      </c>
      <c r="C3546" s="1" t="s">
        <v>14734</v>
      </c>
      <c r="D3546" s="2" t="n">
        <v>39614</v>
      </c>
      <c r="E3546" s="1" t="s">
        <v>763</v>
      </c>
      <c r="F3546" s="1" t="s">
        <v>711</v>
      </c>
      <c r="G3546" s="1" t="s">
        <v>712</v>
      </c>
      <c r="H3546" s="1" t="s">
        <v>713</v>
      </c>
      <c r="I3546" s="1" t="s">
        <v>714</v>
      </c>
      <c r="J3546" s="1" t="s">
        <v>14735</v>
      </c>
      <c r="K3546" s="1" t="s">
        <v>14736</v>
      </c>
      <c r="L3546" s="1" t="s">
        <v>5940</v>
      </c>
      <c r="M3546" s="1" t="s">
        <v>718</v>
      </c>
    </row>
    <row r="3547" customFormat="false" ht="15" hidden="false" customHeight="false" outlineLevel="0" collapsed="false">
      <c r="A3547" s="1" t="s">
        <v>14737</v>
      </c>
      <c r="B3547" s="1" t="s">
        <v>14738</v>
      </c>
      <c r="C3547" s="1" t="s">
        <v>14739</v>
      </c>
      <c r="D3547" s="2" t="n">
        <v>38927</v>
      </c>
      <c r="E3547" s="1" t="s">
        <v>710</v>
      </c>
      <c r="F3547" s="1" t="s">
        <v>711</v>
      </c>
      <c r="G3547" s="1" t="s">
        <v>712</v>
      </c>
      <c r="H3547" s="1" t="s">
        <v>713</v>
      </c>
      <c r="I3547" s="1" t="s">
        <v>714</v>
      </c>
      <c r="J3547" s="1" t="s">
        <v>1530</v>
      </c>
      <c r="K3547" s="1" t="s">
        <v>14740</v>
      </c>
      <c r="L3547" s="1" t="s">
        <v>2342</v>
      </c>
      <c r="M3547" s="1" t="s">
        <v>718</v>
      </c>
    </row>
    <row r="3548" customFormat="false" ht="15" hidden="false" customHeight="false" outlineLevel="0" collapsed="false">
      <c r="A3548" s="1" t="s">
        <v>14741</v>
      </c>
      <c r="B3548" s="1" t="s">
        <v>14742</v>
      </c>
      <c r="C3548" s="1" t="s">
        <v>14743</v>
      </c>
      <c r="D3548" s="2" t="n">
        <v>39768</v>
      </c>
      <c r="E3548" s="1" t="s">
        <v>710</v>
      </c>
      <c r="F3548" s="1" t="s">
        <v>711</v>
      </c>
      <c r="G3548" s="1" t="s">
        <v>712</v>
      </c>
      <c r="H3548" s="1" t="s">
        <v>713</v>
      </c>
      <c r="I3548" s="1" t="s">
        <v>714</v>
      </c>
      <c r="J3548" s="1" t="s">
        <v>14744</v>
      </c>
      <c r="K3548" s="1" t="s">
        <v>14745</v>
      </c>
      <c r="L3548" s="1" t="s">
        <v>1745</v>
      </c>
      <c r="M3548" s="1" t="s">
        <v>718</v>
      </c>
    </row>
    <row r="3549" customFormat="false" ht="15" hidden="false" customHeight="false" outlineLevel="0" collapsed="false">
      <c r="A3549" s="1" t="s">
        <v>14746</v>
      </c>
      <c r="B3549" s="1" t="s">
        <v>14747</v>
      </c>
      <c r="C3549" s="1" t="s">
        <v>14748</v>
      </c>
      <c r="D3549" s="2" t="n">
        <v>39673</v>
      </c>
      <c r="E3549" s="1" t="s">
        <v>763</v>
      </c>
      <c r="F3549" s="1" t="s">
        <v>711</v>
      </c>
      <c r="G3549" s="1" t="s">
        <v>712</v>
      </c>
      <c r="H3549" s="1" t="s">
        <v>713</v>
      </c>
      <c r="I3549" s="1" t="s">
        <v>714</v>
      </c>
      <c r="J3549" s="1" t="s">
        <v>821</v>
      </c>
      <c r="K3549" s="1" t="s">
        <v>14749</v>
      </c>
      <c r="L3549" s="1" t="s">
        <v>14750</v>
      </c>
      <c r="M3549" s="1" t="s">
        <v>718</v>
      </c>
    </row>
    <row r="3550" customFormat="false" ht="15" hidden="false" customHeight="false" outlineLevel="0" collapsed="false">
      <c r="A3550" s="1" t="s">
        <v>14751</v>
      </c>
      <c r="B3550" s="1" t="s">
        <v>14752</v>
      </c>
      <c r="C3550" s="1" t="s">
        <v>4834</v>
      </c>
      <c r="D3550" s="2" t="n">
        <v>38861</v>
      </c>
      <c r="E3550" s="1" t="s">
        <v>763</v>
      </c>
      <c r="F3550" s="1" t="s">
        <v>711</v>
      </c>
      <c r="G3550" s="1" t="s">
        <v>712</v>
      </c>
      <c r="H3550" s="1" t="s">
        <v>713</v>
      </c>
      <c r="I3550" s="1" t="s">
        <v>714</v>
      </c>
      <c r="J3550" s="1" t="s">
        <v>821</v>
      </c>
      <c r="K3550" s="1" t="s">
        <v>14753</v>
      </c>
      <c r="L3550" s="1" t="s">
        <v>14754</v>
      </c>
      <c r="M3550" s="1" t="s">
        <v>718</v>
      </c>
    </row>
    <row r="3551" customFormat="false" ht="15" hidden="false" customHeight="false" outlineLevel="0" collapsed="false">
      <c r="A3551" s="1" t="s">
        <v>14755</v>
      </c>
      <c r="B3551" s="1" t="s">
        <v>14756</v>
      </c>
      <c r="C3551" s="1" t="s">
        <v>14757</v>
      </c>
      <c r="D3551" s="2" t="n">
        <v>39316</v>
      </c>
      <c r="E3551" s="1" t="s">
        <v>763</v>
      </c>
      <c r="F3551" s="1" t="s">
        <v>711</v>
      </c>
      <c r="G3551" s="1" t="s">
        <v>722</v>
      </c>
      <c r="H3551" s="1" t="s">
        <v>713</v>
      </c>
      <c r="I3551" s="1" t="s">
        <v>714</v>
      </c>
      <c r="J3551" s="1" t="s">
        <v>1445</v>
      </c>
      <c r="K3551" s="1" t="s">
        <v>716</v>
      </c>
      <c r="L3551" s="1" t="s">
        <v>14758</v>
      </c>
      <c r="M3551" s="1" t="s">
        <v>718</v>
      </c>
    </row>
    <row r="3552" customFormat="false" ht="15" hidden="false" customHeight="false" outlineLevel="0" collapsed="false">
      <c r="A3552" s="1" t="s">
        <v>14759</v>
      </c>
      <c r="B3552" s="1" t="s">
        <v>12647</v>
      </c>
      <c r="C3552" s="1" t="s">
        <v>14757</v>
      </c>
      <c r="D3552" s="2" t="n">
        <v>38507</v>
      </c>
      <c r="E3552" s="1" t="s">
        <v>763</v>
      </c>
      <c r="F3552" s="1" t="s">
        <v>711</v>
      </c>
      <c r="G3552" s="1" t="s">
        <v>712</v>
      </c>
      <c r="H3552" s="1" t="s">
        <v>713</v>
      </c>
      <c r="I3552" s="1" t="s">
        <v>714</v>
      </c>
      <c r="J3552" s="1" t="s">
        <v>1445</v>
      </c>
      <c r="K3552" s="1" t="s">
        <v>14760</v>
      </c>
      <c r="L3552" s="1" t="s">
        <v>14758</v>
      </c>
      <c r="M3552" s="1" t="s">
        <v>718</v>
      </c>
    </row>
    <row r="3553" customFormat="false" ht="15" hidden="false" customHeight="false" outlineLevel="0" collapsed="false">
      <c r="A3553" s="1" t="s">
        <v>14761</v>
      </c>
      <c r="B3553" s="1" t="s">
        <v>14762</v>
      </c>
      <c r="C3553" s="1" t="s">
        <v>2509</v>
      </c>
      <c r="D3553" s="2" t="n">
        <v>39756</v>
      </c>
      <c r="E3553" s="1" t="s">
        <v>710</v>
      </c>
      <c r="F3553" s="1" t="s">
        <v>711</v>
      </c>
      <c r="G3553" s="1" t="s">
        <v>712</v>
      </c>
      <c r="H3553" s="1" t="s">
        <v>713</v>
      </c>
      <c r="I3553" s="1" t="s">
        <v>714</v>
      </c>
      <c r="J3553" s="1" t="s">
        <v>2807</v>
      </c>
      <c r="K3553" s="1" t="s">
        <v>13766</v>
      </c>
      <c r="L3553" s="1" t="s">
        <v>2511</v>
      </c>
      <c r="M3553" s="1" t="s">
        <v>718</v>
      </c>
    </row>
    <row r="3554" customFormat="false" ht="15" hidden="false" customHeight="false" outlineLevel="0" collapsed="false">
      <c r="A3554" s="1" t="s">
        <v>649</v>
      </c>
      <c r="B3554" s="1" t="s">
        <v>2688</v>
      </c>
      <c r="C3554" s="1" t="s">
        <v>1380</v>
      </c>
      <c r="D3554" s="2" t="n">
        <v>39966</v>
      </c>
      <c r="E3554" s="1" t="s">
        <v>710</v>
      </c>
      <c r="F3554" s="1" t="s">
        <v>711</v>
      </c>
      <c r="G3554" s="1" t="s">
        <v>722</v>
      </c>
      <c r="H3554" s="1" t="s">
        <v>713</v>
      </c>
      <c r="I3554" s="1" t="s">
        <v>714</v>
      </c>
      <c r="J3554" s="1" t="s">
        <v>716</v>
      </c>
      <c r="K3554" s="1" t="s">
        <v>14763</v>
      </c>
      <c r="L3554" s="1" t="s">
        <v>14764</v>
      </c>
      <c r="M3554" s="1" t="s">
        <v>718</v>
      </c>
    </row>
    <row r="3555" customFormat="false" ht="15" hidden="false" customHeight="false" outlineLevel="0" collapsed="false">
      <c r="A3555" s="1" t="s">
        <v>512</v>
      </c>
      <c r="B3555" s="1" t="s">
        <v>10822</v>
      </c>
      <c r="C3555" s="1" t="s">
        <v>14765</v>
      </c>
      <c r="D3555" s="2" t="n">
        <v>40128</v>
      </c>
      <c r="E3555" s="1" t="s">
        <v>710</v>
      </c>
      <c r="F3555" s="1" t="s">
        <v>711</v>
      </c>
      <c r="G3555" s="1" t="s">
        <v>712</v>
      </c>
      <c r="H3555" s="1" t="s">
        <v>713</v>
      </c>
      <c r="I3555" s="1" t="s">
        <v>714</v>
      </c>
      <c r="J3555" s="1" t="s">
        <v>716</v>
      </c>
      <c r="K3555" s="1" t="s">
        <v>14766</v>
      </c>
      <c r="L3555" s="1" t="s">
        <v>14767</v>
      </c>
      <c r="M3555" s="1" t="s">
        <v>718</v>
      </c>
    </row>
    <row r="3556" customFormat="false" ht="15" hidden="false" customHeight="false" outlineLevel="0" collapsed="false">
      <c r="A3556" s="1" t="s">
        <v>653</v>
      </c>
      <c r="B3556" s="1" t="s">
        <v>14768</v>
      </c>
      <c r="C3556" s="1" t="s">
        <v>10741</v>
      </c>
      <c r="D3556" s="2" t="n">
        <v>40123</v>
      </c>
      <c r="E3556" s="1" t="s">
        <v>763</v>
      </c>
      <c r="F3556" s="1" t="s">
        <v>711</v>
      </c>
      <c r="G3556" s="1" t="s">
        <v>712</v>
      </c>
      <c r="H3556" s="1" t="s">
        <v>713</v>
      </c>
      <c r="I3556" s="1" t="s">
        <v>714</v>
      </c>
      <c r="J3556" s="1" t="s">
        <v>716</v>
      </c>
      <c r="K3556" s="1" t="s">
        <v>14769</v>
      </c>
      <c r="L3556" s="1" t="s">
        <v>10743</v>
      </c>
      <c r="M3556" s="1" t="s">
        <v>718</v>
      </c>
    </row>
    <row r="3557" customFormat="false" ht="15" hidden="false" customHeight="false" outlineLevel="0" collapsed="false">
      <c r="A3557" s="1" t="s">
        <v>665</v>
      </c>
      <c r="B3557" s="1" t="s">
        <v>14770</v>
      </c>
      <c r="C3557" s="1" t="s">
        <v>14771</v>
      </c>
      <c r="D3557" s="2" t="n">
        <v>40418</v>
      </c>
      <c r="E3557" s="1" t="s">
        <v>763</v>
      </c>
      <c r="F3557" s="1" t="s">
        <v>711</v>
      </c>
      <c r="G3557" s="1" t="s">
        <v>712</v>
      </c>
      <c r="H3557" s="1" t="s">
        <v>713</v>
      </c>
      <c r="I3557" s="1" t="s">
        <v>714</v>
      </c>
      <c r="J3557" s="1" t="s">
        <v>716</v>
      </c>
      <c r="K3557" s="1" t="s">
        <v>14772</v>
      </c>
      <c r="L3557" s="1" t="s">
        <v>14773</v>
      </c>
      <c r="M3557" s="1" t="s">
        <v>718</v>
      </c>
    </row>
    <row r="3558" customFormat="false" ht="15" hidden="false" customHeight="false" outlineLevel="0" collapsed="false">
      <c r="A3558" s="1" t="s">
        <v>659</v>
      </c>
      <c r="B3558" s="1" t="s">
        <v>14774</v>
      </c>
      <c r="C3558" s="1" t="s">
        <v>994</v>
      </c>
      <c r="D3558" s="2" t="n">
        <v>40087</v>
      </c>
      <c r="E3558" s="1" t="s">
        <v>710</v>
      </c>
      <c r="F3558" s="1" t="s">
        <v>711</v>
      </c>
      <c r="G3558" s="1" t="s">
        <v>712</v>
      </c>
      <c r="H3558" s="1" t="s">
        <v>713</v>
      </c>
      <c r="I3558" s="1" t="s">
        <v>714</v>
      </c>
      <c r="J3558" s="1" t="s">
        <v>716</v>
      </c>
      <c r="K3558" s="1" t="s">
        <v>716</v>
      </c>
      <c r="L3558" s="1" t="s">
        <v>12389</v>
      </c>
      <c r="M3558" s="1" t="s">
        <v>718</v>
      </c>
    </row>
    <row r="3559" customFormat="false" ht="15" hidden="false" customHeight="false" outlineLevel="0" collapsed="false">
      <c r="A3559" s="1" t="s">
        <v>14775</v>
      </c>
      <c r="B3559" s="1" t="s">
        <v>14776</v>
      </c>
      <c r="C3559" s="1" t="s">
        <v>5996</v>
      </c>
      <c r="D3559" s="2" t="n">
        <v>40137</v>
      </c>
      <c r="E3559" s="1" t="s">
        <v>710</v>
      </c>
      <c r="F3559" s="1" t="s">
        <v>711</v>
      </c>
      <c r="G3559" s="1" t="s">
        <v>712</v>
      </c>
      <c r="H3559" s="1" t="s">
        <v>713</v>
      </c>
      <c r="I3559" s="1" t="s">
        <v>714</v>
      </c>
      <c r="J3559" s="1" t="s">
        <v>716</v>
      </c>
      <c r="K3559" s="1" t="s">
        <v>14225</v>
      </c>
      <c r="L3559" s="1" t="s">
        <v>14777</v>
      </c>
      <c r="M3559" s="1" t="s">
        <v>718</v>
      </c>
    </row>
    <row r="3560" customFormat="false" ht="15" hidden="false" customHeight="false" outlineLevel="0" collapsed="false">
      <c r="A3560" s="1" t="s">
        <v>626</v>
      </c>
      <c r="B3560" s="1" t="s">
        <v>2400</v>
      </c>
      <c r="C3560" s="1" t="s">
        <v>14778</v>
      </c>
      <c r="D3560" s="2" t="n">
        <v>39751</v>
      </c>
      <c r="E3560" s="1" t="s">
        <v>763</v>
      </c>
      <c r="F3560" s="1" t="s">
        <v>711</v>
      </c>
      <c r="G3560" s="1" t="s">
        <v>712</v>
      </c>
      <c r="H3560" s="1" t="s">
        <v>713</v>
      </c>
      <c r="I3560" s="1" t="s">
        <v>714</v>
      </c>
      <c r="J3560" s="1" t="s">
        <v>716</v>
      </c>
      <c r="K3560" s="1" t="s">
        <v>14779</v>
      </c>
      <c r="L3560" s="1" t="s">
        <v>14780</v>
      </c>
      <c r="M3560" s="1" t="s">
        <v>718</v>
      </c>
    </row>
    <row r="3561" customFormat="false" ht="15" hidden="false" customHeight="false" outlineLevel="0" collapsed="false">
      <c r="A3561" s="1" t="s">
        <v>660</v>
      </c>
      <c r="B3561" s="1" t="s">
        <v>14781</v>
      </c>
      <c r="C3561" s="1" t="s">
        <v>14782</v>
      </c>
      <c r="D3561" s="2" t="n">
        <v>40189</v>
      </c>
      <c r="E3561" s="1" t="s">
        <v>710</v>
      </c>
      <c r="F3561" s="1" t="s">
        <v>711</v>
      </c>
      <c r="G3561" s="1" t="s">
        <v>712</v>
      </c>
      <c r="H3561" s="1" t="s">
        <v>713</v>
      </c>
      <c r="I3561" s="1" t="s">
        <v>714</v>
      </c>
      <c r="J3561" s="1" t="s">
        <v>716</v>
      </c>
      <c r="K3561" s="1" t="s">
        <v>14783</v>
      </c>
      <c r="L3561" s="1" t="s">
        <v>14784</v>
      </c>
      <c r="M3561" s="1" t="s">
        <v>718</v>
      </c>
    </row>
    <row r="3562" s="13" customFormat="true" ht="15" hidden="false" customHeight="false" outlineLevel="0" collapsed="false">
      <c r="A3562" s="10" t="s">
        <v>646</v>
      </c>
      <c r="B3562" s="10" t="s">
        <v>14785</v>
      </c>
      <c r="C3562" s="10" t="s">
        <v>14786</v>
      </c>
      <c r="D3562" s="12" t="n">
        <v>39822</v>
      </c>
      <c r="E3562" s="10" t="s">
        <v>763</v>
      </c>
      <c r="F3562" s="10" t="s">
        <v>711</v>
      </c>
      <c r="G3562" s="10" t="s">
        <v>722</v>
      </c>
      <c r="H3562" s="10" t="s">
        <v>713</v>
      </c>
      <c r="I3562" s="10" t="s">
        <v>714</v>
      </c>
      <c r="J3562" s="10" t="s">
        <v>716</v>
      </c>
      <c r="K3562" s="10" t="s">
        <v>14787</v>
      </c>
      <c r="L3562" s="10" t="s">
        <v>13813</v>
      </c>
      <c r="M3562" s="10" t="s">
        <v>718</v>
      </c>
      <c r="XEE3562" s="0"/>
      <c r="XEF3562" s="0"/>
      <c r="XEG3562" s="0"/>
      <c r="XEH3562" s="0"/>
      <c r="XEI3562" s="0"/>
      <c r="XEJ3562" s="0"/>
      <c r="XEK3562" s="0"/>
      <c r="XEL3562" s="0"/>
      <c r="XEM3562" s="0"/>
      <c r="XEN3562" s="0"/>
      <c r="XEO3562" s="0"/>
      <c r="XEP3562" s="0"/>
      <c r="XEQ3562" s="0"/>
      <c r="XER3562" s="0"/>
      <c r="XES3562" s="0"/>
      <c r="XET3562" s="0"/>
      <c r="XEU3562" s="0"/>
      <c r="XEV3562" s="0"/>
      <c r="XEW3562" s="0"/>
      <c r="XEX3562" s="0"/>
      <c r="XEY3562" s="0"/>
      <c r="XEZ3562" s="0"/>
      <c r="XFA3562" s="0"/>
      <c r="XFB3562" s="0"/>
      <c r="XFC3562" s="0"/>
      <c r="XFD3562" s="0"/>
    </row>
    <row r="3563" customFormat="false" ht="15" hidden="false" customHeight="false" outlineLevel="0" collapsed="false">
      <c r="A3563" s="1" t="s">
        <v>680</v>
      </c>
      <c r="B3563" s="1" t="s">
        <v>14788</v>
      </c>
      <c r="C3563" s="1" t="s">
        <v>11886</v>
      </c>
      <c r="D3563" s="2" t="n">
        <v>40086</v>
      </c>
      <c r="E3563" s="1" t="s">
        <v>710</v>
      </c>
      <c r="F3563" s="1" t="s">
        <v>711</v>
      </c>
      <c r="G3563" s="1" t="s">
        <v>712</v>
      </c>
      <c r="H3563" s="1" t="s">
        <v>713</v>
      </c>
      <c r="I3563" s="1" t="s">
        <v>714</v>
      </c>
      <c r="J3563" s="1" t="s">
        <v>14789</v>
      </c>
      <c r="K3563" s="1" t="s">
        <v>14790</v>
      </c>
      <c r="L3563" s="1" t="s">
        <v>14791</v>
      </c>
      <c r="M3563" s="1" t="s">
        <v>718</v>
      </c>
    </row>
    <row r="3564" customFormat="false" ht="15" hidden="false" customHeight="false" outlineLevel="0" collapsed="false">
      <c r="A3564" s="1" t="s">
        <v>676</v>
      </c>
      <c r="B3564" s="1" t="s">
        <v>11841</v>
      </c>
      <c r="C3564" s="1" t="s">
        <v>14792</v>
      </c>
      <c r="D3564" s="2" t="n">
        <v>40114</v>
      </c>
      <c r="E3564" s="1" t="s">
        <v>763</v>
      </c>
      <c r="F3564" s="1" t="s">
        <v>711</v>
      </c>
      <c r="G3564" s="1" t="s">
        <v>712</v>
      </c>
      <c r="H3564" s="1" t="s">
        <v>713</v>
      </c>
      <c r="I3564" s="1" t="s">
        <v>714</v>
      </c>
      <c r="J3564" s="1" t="s">
        <v>8879</v>
      </c>
      <c r="K3564" s="1" t="s">
        <v>12590</v>
      </c>
      <c r="L3564" s="1" t="s">
        <v>9841</v>
      </c>
      <c r="M3564" s="1" t="s">
        <v>718</v>
      </c>
    </row>
    <row r="3565" customFormat="false" ht="15" hidden="false" customHeight="false" outlineLevel="0" collapsed="false">
      <c r="A3565" s="1" t="s">
        <v>696</v>
      </c>
      <c r="B3565" s="1" t="s">
        <v>14793</v>
      </c>
      <c r="C3565" s="1" t="s">
        <v>11071</v>
      </c>
      <c r="D3565" s="2" t="n">
        <v>40110</v>
      </c>
      <c r="E3565" s="1" t="s">
        <v>710</v>
      </c>
      <c r="F3565" s="1" t="s">
        <v>711</v>
      </c>
      <c r="G3565" s="1" t="s">
        <v>712</v>
      </c>
      <c r="H3565" s="1" t="s">
        <v>713</v>
      </c>
      <c r="I3565" s="1" t="s">
        <v>714</v>
      </c>
      <c r="J3565" s="1" t="s">
        <v>12590</v>
      </c>
      <c r="K3565" s="1" t="s">
        <v>11344</v>
      </c>
      <c r="L3565" s="1" t="s">
        <v>11073</v>
      </c>
      <c r="M3565" s="1" t="s">
        <v>718</v>
      </c>
    </row>
    <row r="3566" customFormat="false" ht="15" hidden="false" customHeight="false" outlineLevel="0" collapsed="false">
      <c r="A3566" s="1" t="s">
        <v>671</v>
      </c>
      <c r="B3566" s="1" t="s">
        <v>14794</v>
      </c>
      <c r="C3566" s="1" t="s">
        <v>14795</v>
      </c>
      <c r="D3566" s="2" t="n">
        <v>40115</v>
      </c>
      <c r="E3566" s="1" t="s">
        <v>763</v>
      </c>
      <c r="F3566" s="1" t="s">
        <v>711</v>
      </c>
      <c r="G3566" s="1" t="s">
        <v>712</v>
      </c>
      <c r="H3566" s="1" t="s">
        <v>713</v>
      </c>
      <c r="I3566" s="1" t="s">
        <v>714</v>
      </c>
      <c r="J3566" s="1" t="s">
        <v>10504</v>
      </c>
      <c r="K3566" s="1" t="s">
        <v>14796</v>
      </c>
      <c r="L3566" s="1" t="s">
        <v>14797</v>
      </c>
      <c r="M3566" s="1" t="s">
        <v>718</v>
      </c>
    </row>
    <row r="3567" customFormat="false" ht="15" hidden="false" customHeight="false" outlineLevel="0" collapsed="false">
      <c r="A3567" s="1" t="s">
        <v>14798</v>
      </c>
      <c r="B3567" s="1" t="s">
        <v>14799</v>
      </c>
      <c r="C3567" s="1" t="s">
        <v>14050</v>
      </c>
      <c r="D3567" s="2" t="n">
        <v>40096</v>
      </c>
      <c r="E3567" s="1" t="s">
        <v>763</v>
      </c>
      <c r="F3567" s="1" t="s">
        <v>711</v>
      </c>
      <c r="G3567" s="1" t="s">
        <v>712</v>
      </c>
      <c r="H3567" s="1" t="s">
        <v>713</v>
      </c>
      <c r="I3567" s="1" t="s">
        <v>714</v>
      </c>
      <c r="J3567" s="1" t="s">
        <v>14051</v>
      </c>
      <c r="K3567" s="1" t="s">
        <v>11344</v>
      </c>
      <c r="L3567" s="1" t="s">
        <v>14275</v>
      </c>
      <c r="M3567" s="1" t="s">
        <v>718</v>
      </c>
    </row>
    <row r="3568" customFormat="false" ht="15" hidden="false" customHeight="false" outlineLevel="0" collapsed="false">
      <c r="A3568" s="1" t="s">
        <v>14800</v>
      </c>
      <c r="B3568" s="1" t="s">
        <v>1814</v>
      </c>
      <c r="C3568" s="1" t="s">
        <v>4605</v>
      </c>
      <c r="D3568" s="2" t="n">
        <v>39250</v>
      </c>
      <c r="E3568" s="1" t="s">
        <v>710</v>
      </c>
      <c r="F3568" s="1" t="s">
        <v>711</v>
      </c>
      <c r="G3568" s="1" t="s">
        <v>712</v>
      </c>
      <c r="H3568" s="1" t="s">
        <v>713</v>
      </c>
      <c r="I3568" s="1" t="s">
        <v>714</v>
      </c>
      <c r="J3568" s="1" t="s">
        <v>13817</v>
      </c>
      <c r="K3568" s="1" t="s">
        <v>14801</v>
      </c>
      <c r="L3568" s="1" t="s">
        <v>12300</v>
      </c>
      <c r="M3568" s="1" t="s">
        <v>718</v>
      </c>
    </row>
    <row r="3569" customFormat="false" ht="15" hidden="false" customHeight="false" outlineLevel="0" collapsed="false">
      <c r="A3569" s="1" t="s">
        <v>572</v>
      </c>
      <c r="B3569" s="1" t="s">
        <v>14802</v>
      </c>
      <c r="C3569" s="1" t="s">
        <v>14803</v>
      </c>
      <c r="D3569" s="2" t="n">
        <v>39832</v>
      </c>
      <c r="E3569" s="1" t="s">
        <v>763</v>
      </c>
      <c r="F3569" s="1" t="s">
        <v>711</v>
      </c>
      <c r="G3569" s="1" t="s">
        <v>712</v>
      </c>
      <c r="H3569" s="1" t="s">
        <v>713</v>
      </c>
      <c r="I3569" s="1" t="s">
        <v>714</v>
      </c>
      <c r="J3569" s="1" t="s">
        <v>8879</v>
      </c>
      <c r="K3569" s="1" t="s">
        <v>11344</v>
      </c>
      <c r="L3569" s="1" t="s">
        <v>14804</v>
      </c>
      <c r="M3569" s="1" t="s">
        <v>718</v>
      </c>
    </row>
    <row r="3570" customFormat="false" ht="15" hidden="false" customHeight="false" outlineLevel="0" collapsed="false">
      <c r="A3570" s="1" t="s">
        <v>694</v>
      </c>
      <c r="B3570" s="1" t="s">
        <v>14805</v>
      </c>
      <c r="C3570" s="1" t="s">
        <v>12468</v>
      </c>
      <c r="D3570" s="2" t="n">
        <v>40059</v>
      </c>
      <c r="E3570" s="1" t="s">
        <v>763</v>
      </c>
      <c r="F3570" s="1" t="s">
        <v>711</v>
      </c>
      <c r="G3570" s="1" t="s">
        <v>712</v>
      </c>
      <c r="H3570" s="1" t="s">
        <v>713</v>
      </c>
      <c r="I3570" s="1" t="s">
        <v>714</v>
      </c>
      <c r="J3570" s="1" t="s">
        <v>13421</v>
      </c>
      <c r="K3570" s="1" t="s">
        <v>14801</v>
      </c>
      <c r="L3570" s="1" t="s">
        <v>13227</v>
      </c>
      <c r="M3570" s="1" t="s">
        <v>718</v>
      </c>
    </row>
    <row r="3571" customFormat="false" ht="15" hidden="false" customHeight="false" outlineLevel="0" collapsed="false">
      <c r="A3571" s="1" t="s">
        <v>695</v>
      </c>
      <c r="B3571" s="1" t="s">
        <v>14806</v>
      </c>
      <c r="C3571" s="1" t="s">
        <v>12468</v>
      </c>
      <c r="D3571" s="2" t="n">
        <v>39321</v>
      </c>
      <c r="E3571" s="1" t="s">
        <v>710</v>
      </c>
      <c r="F3571" s="1" t="s">
        <v>711</v>
      </c>
      <c r="G3571" s="1" t="s">
        <v>712</v>
      </c>
      <c r="H3571" s="1" t="s">
        <v>713</v>
      </c>
      <c r="I3571" s="1" t="s">
        <v>714</v>
      </c>
      <c r="J3571" s="1" t="s">
        <v>8293</v>
      </c>
      <c r="K3571" s="1" t="s">
        <v>11383</v>
      </c>
      <c r="L3571" s="1" t="s">
        <v>13227</v>
      </c>
      <c r="M3571" s="1" t="s">
        <v>718</v>
      </c>
    </row>
    <row r="3572" customFormat="false" ht="15" hidden="false" customHeight="false" outlineLevel="0" collapsed="false">
      <c r="A3572" s="1" t="s">
        <v>678</v>
      </c>
      <c r="B3572" s="1" t="s">
        <v>14807</v>
      </c>
      <c r="C3572" s="1" t="s">
        <v>14808</v>
      </c>
      <c r="D3572" s="2" t="n">
        <v>40100</v>
      </c>
      <c r="E3572" s="1" t="s">
        <v>710</v>
      </c>
      <c r="F3572" s="1" t="s">
        <v>711</v>
      </c>
      <c r="G3572" s="1" t="s">
        <v>712</v>
      </c>
      <c r="H3572" s="1" t="s">
        <v>713</v>
      </c>
      <c r="I3572" s="1" t="s">
        <v>714</v>
      </c>
      <c r="J3572" s="1" t="s">
        <v>13757</v>
      </c>
      <c r="K3572" s="1" t="s">
        <v>11383</v>
      </c>
      <c r="L3572" s="1" t="s">
        <v>14809</v>
      </c>
      <c r="M3572" s="1" t="s">
        <v>718</v>
      </c>
    </row>
    <row r="3573" customFormat="false" ht="15" hidden="false" customHeight="false" outlineLevel="0" collapsed="false">
      <c r="A3573" s="1" t="s">
        <v>668</v>
      </c>
      <c r="B3573" s="1" t="s">
        <v>14810</v>
      </c>
      <c r="C3573" s="1" t="s">
        <v>14811</v>
      </c>
      <c r="D3573" s="2" t="n">
        <v>40000</v>
      </c>
      <c r="E3573" s="1" t="s">
        <v>763</v>
      </c>
      <c r="F3573" s="1" t="s">
        <v>711</v>
      </c>
      <c r="G3573" s="1" t="s">
        <v>712</v>
      </c>
      <c r="H3573" s="1" t="s">
        <v>713</v>
      </c>
      <c r="I3573" s="1" t="s">
        <v>714</v>
      </c>
      <c r="J3573" s="1" t="s">
        <v>8504</v>
      </c>
      <c r="K3573" s="1" t="s">
        <v>14801</v>
      </c>
      <c r="L3573" s="1" t="s">
        <v>14812</v>
      </c>
      <c r="M3573" s="1" t="s">
        <v>718</v>
      </c>
    </row>
    <row r="3574" customFormat="false" ht="15" hidden="false" customHeight="false" outlineLevel="0" collapsed="false">
      <c r="A3574" s="1" t="s">
        <v>651</v>
      </c>
      <c r="B3574" s="1" t="s">
        <v>14813</v>
      </c>
      <c r="C3574" s="1" t="s">
        <v>9386</v>
      </c>
      <c r="D3574" s="2" t="n">
        <v>40001</v>
      </c>
      <c r="E3574" s="1" t="s">
        <v>763</v>
      </c>
      <c r="F3574" s="1" t="s">
        <v>711</v>
      </c>
      <c r="G3574" s="1" t="s">
        <v>712</v>
      </c>
      <c r="H3574" s="1" t="s">
        <v>713</v>
      </c>
      <c r="I3574" s="1" t="s">
        <v>714</v>
      </c>
      <c r="J3574" s="1" t="s">
        <v>8879</v>
      </c>
      <c r="K3574" s="1" t="s">
        <v>14801</v>
      </c>
      <c r="L3574" s="1" t="s">
        <v>5413</v>
      </c>
      <c r="M3574" s="1" t="s">
        <v>718</v>
      </c>
    </row>
    <row r="3575" customFormat="false" ht="15" hidden="false" customHeight="false" outlineLevel="0" collapsed="false">
      <c r="A3575" s="1" t="s">
        <v>594</v>
      </c>
      <c r="B3575" s="1" t="s">
        <v>14814</v>
      </c>
      <c r="C3575" s="1" t="s">
        <v>14815</v>
      </c>
      <c r="D3575" s="2" t="n">
        <v>39907</v>
      </c>
      <c r="E3575" s="1" t="s">
        <v>710</v>
      </c>
      <c r="F3575" s="1" t="s">
        <v>711</v>
      </c>
      <c r="G3575" s="1" t="s">
        <v>712</v>
      </c>
      <c r="H3575" s="1" t="s">
        <v>713</v>
      </c>
      <c r="I3575" s="1" t="s">
        <v>714</v>
      </c>
      <c r="J3575" s="1" t="s">
        <v>14816</v>
      </c>
      <c r="K3575" s="1" t="s">
        <v>14801</v>
      </c>
      <c r="L3575" s="1" t="s">
        <v>14817</v>
      </c>
      <c r="M3575" s="1" t="s">
        <v>718</v>
      </c>
    </row>
    <row r="3576" customFormat="false" ht="15" hidden="false" customHeight="false" outlineLevel="0" collapsed="false">
      <c r="A3576" s="1" t="s">
        <v>687</v>
      </c>
      <c r="B3576" s="1" t="s">
        <v>14818</v>
      </c>
      <c r="C3576" s="1" t="s">
        <v>4018</v>
      </c>
      <c r="D3576" s="2" t="n">
        <v>40116</v>
      </c>
      <c r="E3576" s="1" t="s">
        <v>710</v>
      </c>
      <c r="F3576" s="1" t="s">
        <v>711</v>
      </c>
      <c r="G3576" s="1" t="s">
        <v>712</v>
      </c>
      <c r="H3576" s="1" t="s">
        <v>713</v>
      </c>
      <c r="I3576" s="1" t="s">
        <v>714</v>
      </c>
      <c r="J3576" s="1" t="s">
        <v>10504</v>
      </c>
      <c r="K3576" s="1" t="s">
        <v>11344</v>
      </c>
      <c r="L3576" s="1" t="s">
        <v>14819</v>
      </c>
      <c r="M3576" s="1" t="s">
        <v>718</v>
      </c>
    </row>
    <row r="3577" customFormat="false" ht="15" hidden="false" customHeight="false" outlineLevel="0" collapsed="false">
      <c r="A3577" s="1" t="s">
        <v>698</v>
      </c>
      <c r="B3577" s="1" t="s">
        <v>14820</v>
      </c>
      <c r="C3577" s="1" t="s">
        <v>1795</v>
      </c>
      <c r="D3577" s="2" t="n">
        <v>39863</v>
      </c>
      <c r="E3577" s="1" t="s">
        <v>710</v>
      </c>
      <c r="F3577" s="1" t="s">
        <v>711</v>
      </c>
      <c r="G3577" s="1" t="s">
        <v>712</v>
      </c>
      <c r="H3577" s="1" t="s">
        <v>713</v>
      </c>
      <c r="I3577" s="1" t="s">
        <v>714</v>
      </c>
      <c r="J3577" s="1" t="s">
        <v>14821</v>
      </c>
      <c r="K3577" s="1" t="s">
        <v>11383</v>
      </c>
      <c r="L3577" s="1" t="s">
        <v>8249</v>
      </c>
      <c r="M3577" s="1" t="s">
        <v>718</v>
      </c>
    </row>
    <row r="3578" customFormat="false" ht="15" hidden="false" customHeight="false" outlineLevel="0" collapsed="false">
      <c r="A3578" s="1" t="s">
        <v>677</v>
      </c>
      <c r="B3578" s="1" t="s">
        <v>1121</v>
      </c>
      <c r="C3578" s="1" t="s">
        <v>14822</v>
      </c>
      <c r="D3578" s="2" t="n">
        <v>39845</v>
      </c>
      <c r="E3578" s="1" t="s">
        <v>710</v>
      </c>
      <c r="F3578" s="1" t="s">
        <v>711</v>
      </c>
      <c r="G3578" s="1" t="s">
        <v>712</v>
      </c>
      <c r="H3578" s="1" t="s">
        <v>713</v>
      </c>
      <c r="I3578" s="1" t="s">
        <v>714</v>
      </c>
      <c r="J3578" s="1" t="s">
        <v>10504</v>
      </c>
      <c r="K3578" s="1" t="s">
        <v>11344</v>
      </c>
      <c r="L3578" s="1" t="s">
        <v>5441</v>
      </c>
      <c r="M3578" s="1" t="s">
        <v>718</v>
      </c>
    </row>
    <row r="3579" customFormat="false" ht="15" hidden="false" customHeight="false" outlineLevel="0" collapsed="false">
      <c r="A3579" s="1" t="s">
        <v>689</v>
      </c>
      <c r="B3579" s="1" t="s">
        <v>935</v>
      </c>
      <c r="C3579" s="1" t="s">
        <v>14823</v>
      </c>
      <c r="D3579" s="2" t="n">
        <v>40683</v>
      </c>
      <c r="E3579" s="1" t="s">
        <v>710</v>
      </c>
      <c r="F3579" s="1" t="s">
        <v>711</v>
      </c>
      <c r="G3579" s="1" t="s">
        <v>712</v>
      </c>
      <c r="H3579" s="1" t="s">
        <v>713</v>
      </c>
      <c r="I3579" s="1" t="s">
        <v>714</v>
      </c>
      <c r="J3579" s="1" t="s">
        <v>8314</v>
      </c>
      <c r="K3579" s="1" t="s">
        <v>12590</v>
      </c>
      <c r="L3579" s="1" t="s">
        <v>14824</v>
      </c>
      <c r="M3579" s="1" t="s">
        <v>718</v>
      </c>
    </row>
    <row r="3580" s="13" customFormat="true" ht="15" hidden="false" customHeight="false" outlineLevel="0" collapsed="false">
      <c r="A3580" s="10" t="s">
        <v>674</v>
      </c>
      <c r="B3580" s="10" t="s">
        <v>14825</v>
      </c>
      <c r="C3580" s="10" t="s">
        <v>1524</v>
      </c>
      <c r="D3580" s="12" t="n">
        <v>39851</v>
      </c>
      <c r="E3580" s="10" t="s">
        <v>710</v>
      </c>
      <c r="F3580" s="10" t="s">
        <v>711</v>
      </c>
      <c r="G3580" s="10" t="s">
        <v>712</v>
      </c>
      <c r="H3580" s="10" t="s">
        <v>713</v>
      </c>
      <c r="I3580" s="10" t="s">
        <v>714</v>
      </c>
      <c r="J3580" s="10" t="s">
        <v>11636</v>
      </c>
      <c r="K3580" s="10" t="s">
        <v>14801</v>
      </c>
      <c r="L3580" s="10" t="s">
        <v>14826</v>
      </c>
      <c r="M3580" s="10" t="s">
        <v>718</v>
      </c>
      <c r="XEE3580" s="0"/>
      <c r="XEF3580" s="0"/>
      <c r="XEG3580" s="0"/>
      <c r="XEH3580" s="0"/>
      <c r="XEI3580" s="0"/>
      <c r="XEJ3580" s="0"/>
      <c r="XEK3580" s="0"/>
      <c r="XEL3580" s="0"/>
      <c r="XEM3580" s="0"/>
      <c r="XEN3580" s="0"/>
      <c r="XEO3580" s="0"/>
      <c r="XEP3580" s="0"/>
      <c r="XEQ3580" s="0"/>
      <c r="XER3580" s="0"/>
      <c r="XES3580" s="0"/>
      <c r="XET3580" s="0"/>
      <c r="XEU3580" s="0"/>
      <c r="XEV3580" s="0"/>
      <c r="XEW3580" s="0"/>
      <c r="XEX3580" s="0"/>
      <c r="XEY3580" s="0"/>
      <c r="XEZ3580" s="0"/>
      <c r="XFA3580" s="0"/>
      <c r="XFB3580" s="0"/>
      <c r="XFC3580" s="0"/>
      <c r="XFD3580" s="0"/>
    </row>
    <row r="3581" customFormat="false" ht="15" hidden="false" customHeight="false" outlineLevel="0" collapsed="false">
      <c r="A3581" s="1" t="s">
        <v>14827</v>
      </c>
      <c r="B3581" s="1" t="s">
        <v>14828</v>
      </c>
      <c r="C3581" s="1" t="s">
        <v>14829</v>
      </c>
      <c r="D3581" s="2" t="n">
        <v>40094</v>
      </c>
      <c r="E3581" s="1" t="s">
        <v>763</v>
      </c>
      <c r="F3581" s="1" t="s">
        <v>711</v>
      </c>
      <c r="G3581" s="1" t="s">
        <v>4727</v>
      </c>
      <c r="H3581" s="1" t="s">
        <v>2645</v>
      </c>
      <c r="I3581" s="1" t="s">
        <v>2646</v>
      </c>
      <c r="J3581" s="1" t="s">
        <v>13628</v>
      </c>
      <c r="K3581" s="1" t="s">
        <v>14801</v>
      </c>
      <c r="L3581" s="1" t="s">
        <v>14830</v>
      </c>
      <c r="M3581" s="1" t="s">
        <v>718</v>
      </c>
    </row>
    <row r="3582" customFormat="false" ht="15" hidden="false" customHeight="false" outlineLevel="0" collapsed="false">
      <c r="A3582" s="1" t="s">
        <v>690</v>
      </c>
      <c r="B3582" s="1" t="s">
        <v>10327</v>
      </c>
      <c r="C3582" s="1" t="s">
        <v>14831</v>
      </c>
      <c r="D3582" s="2" t="n">
        <v>39979</v>
      </c>
      <c r="E3582" s="1" t="s">
        <v>710</v>
      </c>
      <c r="F3582" s="1" t="s">
        <v>711</v>
      </c>
      <c r="G3582" s="1" t="s">
        <v>722</v>
      </c>
      <c r="H3582" s="1" t="s">
        <v>713</v>
      </c>
      <c r="I3582" s="1" t="s">
        <v>714</v>
      </c>
      <c r="J3582" s="1" t="s">
        <v>8879</v>
      </c>
      <c r="K3582" s="1" t="s">
        <v>14801</v>
      </c>
      <c r="L3582" s="1" t="s">
        <v>11432</v>
      </c>
      <c r="M3582" s="1" t="s">
        <v>718</v>
      </c>
    </row>
    <row r="3583" customFormat="false" ht="15" hidden="false" customHeight="false" outlineLevel="0" collapsed="false">
      <c r="A3583" s="1" t="s">
        <v>683</v>
      </c>
      <c r="B3583" s="1" t="s">
        <v>14832</v>
      </c>
      <c r="C3583" s="1" t="s">
        <v>14310</v>
      </c>
      <c r="D3583" s="2" t="n">
        <v>39390</v>
      </c>
      <c r="E3583" s="1" t="s">
        <v>763</v>
      </c>
      <c r="F3583" s="1" t="s">
        <v>711</v>
      </c>
      <c r="G3583" s="1" t="s">
        <v>712</v>
      </c>
      <c r="H3583" s="1" t="s">
        <v>713</v>
      </c>
      <c r="I3583" s="1" t="s">
        <v>714</v>
      </c>
      <c r="J3583" s="1" t="s">
        <v>14018</v>
      </c>
      <c r="K3583" s="1" t="s">
        <v>14801</v>
      </c>
      <c r="L3583" s="1" t="s">
        <v>3272</v>
      </c>
      <c r="M3583" s="1" t="s">
        <v>718</v>
      </c>
    </row>
    <row r="3584" customFormat="false" ht="15" hidden="false" customHeight="false" outlineLevel="0" collapsed="false">
      <c r="A3584" s="1" t="s">
        <v>682</v>
      </c>
      <c r="B3584" s="1" t="s">
        <v>14833</v>
      </c>
      <c r="C3584" s="1" t="s">
        <v>11733</v>
      </c>
      <c r="D3584" s="2" t="n">
        <v>40035</v>
      </c>
      <c r="E3584" s="1" t="s">
        <v>710</v>
      </c>
      <c r="F3584" s="1" t="s">
        <v>711</v>
      </c>
      <c r="G3584" s="1" t="s">
        <v>712</v>
      </c>
      <c r="H3584" s="1" t="s">
        <v>713</v>
      </c>
      <c r="I3584" s="1" t="s">
        <v>714</v>
      </c>
      <c r="J3584" s="1" t="s">
        <v>13822</v>
      </c>
      <c r="K3584" s="1" t="s">
        <v>11344</v>
      </c>
      <c r="L3584" s="1" t="s">
        <v>14834</v>
      </c>
      <c r="M3584" s="1" t="s">
        <v>718</v>
      </c>
    </row>
    <row r="3585" customFormat="false" ht="15" hidden="false" customHeight="false" outlineLevel="0" collapsed="false">
      <c r="A3585" s="1" t="s">
        <v>667</v>
      </c>
      <c r="B3585" s="1" t="s">
        <v>14835</v>
      </c>
      <c r="C3585" s="1" t="s">
        <v>7496</v>
      </c>
      <c r="D3585" s="2" t="n">
        <v>40109</v>
      </c>
      <c r="E3585" s="1" t="s">
        <v>763</v>
      </c>
      <c r="F3585" s="1" t="s">
        <v>711</v>
      </c>
      <c r="G3585" s="1" t="s">
        <v>712</v>
      </c>
      <c r="H3585" s="1" t="s">
        <v>713</v>
      </c>
      <c r="I3585" s="1" t="s">
        <v>714</v>
      </c>
      <c r="J3585" s="1" t="s">
        <v>8879</v>
      </c>
      <c r="K3585" s="1" t="s">
        <v>11383</v>
      </c>
      <c r="L3585" s="1" t="s">
        <v>14836</v>
      </c>
      <c r="M3585" s="1" t="s">
        <v>718</v>
      </c>
    </row>
    <row r="3586" customFormat="false" ht="15" hidden="false" customHeight="false" outlineLevel="0" collapsed="false">
      <c r="A3586" s="1" t="s">
        <v>14837</v>
      </c>
      <c r="B3586" s="1" t="s">
        <v>14838</v>
      </c>
      <c r="C3586" s="1" t="s">
        <v>14839</v>
      </c>
      <c r="D3586" s="2" t="n">
        <v>40021</v>
      </c>
      <c r="E3586" s="1" t="s">
        <v>763</v>
      </c>
      <c r="F3586" s="1" t="s">
        <v>711</v>
      </c>
      <c r="G3586" s="1" t="s">
        <v>712</v>
      </c>
      <c r="H3586" s="1" t="s">
        <v>713</v>
      </c>
      <c r="I3586" s="1" t="s">
        <v>714</v>
      </c>
      <c r="J3586" s="1" t="s">
        <v>14840</v>
      </c>
      <c r="K3586" s="1" t="s">
        <v>11344</v>
      </c>
      <c r="L3586" s="1" t="s">
        <v>14841</v>
      </c>
      <c r="M3586" s="1" t="s">
        <v>718</v>
      </c>
    </row>
    <row r="3587" customFormat="false" ht="15" hidden="false" customHeight="false" outlineLevel="0" collapsed="false">
      <c r="A3587" s="1" t="s">
        <v>14842</v>
      </c>
      <c r="B3587" s="1" t="s">
        <v>14843</v>
      </c>
      <c r="C3587" s="1" t="s">
        <v>2992</v>
      </c>
      <c r="D3587" s="2" t="n">
        <v>38824</v>
      </c>
      <c r="E3587" s="1" t="s">
        <v>710</v>
      </c>
      <c r="F3587" s="1" t="s">
        <v>711</v>
      </c>
      <c r="G3587" s="1" t="s">
        <v>712</v>
      </c>
      <c r="H3587" s="1" t="s">
        <v>713</v>
      </c>
      <c r="I3587" s="1" t="s">
        <v>714</v>
      </c>
      <c r="J3587" s="1" t="s">
        <v>8879</v>
      </c>
      <c r="K3587" s="1" t="s">
        <v>14801</v>
      </c>
      <c r="L3587" s="1" t="s">
        <v>1832</v>
      </c>
      <c r="M3587" s="1" t="s">
        <v>718</v>
      </c>
    </row>
    <row r="3588" customFormat="false" ht="15" hidden="false" customHeight="false" outlineLevel="0" collapsed="false">
      <c r="A3588" s="1" t="s">
        <v>655</v>
      </c>
      <c r="B3588" s="1" t="s">
        <v>11135</v>
      </c>
      <c r="C3588" s="1" t="s">
        <v>1049</v>
      </c>
      <c r="D3588" s="2" t="n">
        <v>40152</v>
      </c>
      <c r="E3588" s="1" t="s">
        <v>710</v>
      </c>
      <c r="F3588" s="1" t="s">
        <v>711</v>
      </c>
      <c r="G3588" s="1" t="s">
        <v>712</v>
      </c>
      <c r="H3588" s="1" t="s">
        <v>713</v>
      </c>
      <c r="I3588" s="1" t="s">
        <v>714</v>
      </c>
      <c r="J3588" s="1" t="s">
        <v>14844</v>
      </c>
      <c r="K3588" s="1" t="s">
        <v>11344</v>
      </c>
      <c r="L3588" s="1" t="s">
        <v>7060</v>
      </c>
      <c r="M3588" s="1" t="s">
        <v>718</v>
      </c>
    </row>
    <row r="3589" customFormat="false" ht="15" hidden="false" customHeight="false" outlineLevel="0" collapsed="false">
      <c r="A3589" s="1" t="s">
        <v>664</v>
      </c>
      <c r="B3589" s="1" t="s">
        <v>14845</v>
      </c>
      <c r="C3589" s="1" t="s">
        <v>3377</v>
      </c>
      <c r="D3589" s="2" t="n">
        <v>40148</v>
      </c>
      <c r="E3589" s="1" t="s">
        <v>763</v>
      </c>
      <c r="F3589" s="1" t="s">
        <v>711</v>
      </c>
      <c r="G3589" s="1" t="s">
        <v>712</v>
      </c>
      <c r="H3589" s="1" t="s">
        <v>713</v>
      </c>
      <c r="I3589" s="1" t="s">
        <v>714</v>
      </c>
      <c r="J3589" s="1" t="s">
        <v>12284</v>
      </c>
      <c r="K3589" s="1" t="s">
        <v>11344</v>
      </c>
      <c r="L3589" s="1" t="s">
        <v>14846</v>
      </c>
      <c r="M3589" s="1" t="s">
        <v>718</v>
      </c>
    </row>
    <row r="3590" customFormat="false" ht="15" hidden="false" customHeight="false" outlineLevel="0" collapsed="false">
      <c r="A3590" s="1" t="s">
        <v>571</v>
      </c>
      <c r="B3590" s="1" t="s">
        <v>2169</v>
      </c>
      <c r="C3590" s="1" t="s">
        <v>14847</v>
      </c>
      <c r="D3590" s="2" t="n">
        <v>39973</v>
      </c>
      <c r="E3590" s="1" t="s">
        <v>710</v>
      </c>
      <c r="F3590" s="1" t="s">
        <v>711</v>
      </c>
      <c r="G3590" s="1" t="s">
        <v>712</v>
      </c>
      <c r="H3590" s="1" t="s">
        <v>713</v>
      </c>
      <c r="I3590" s="1" t="s">
        <v>714</v>
      </c>
      <c r="J3590" s="1" t="s">
        <v>14848</v>
      </c>
      <c r="K3590" s="1" t="s">
        <v>11344</v>
      </c>
      <c r="L3590" s="1" t="s">
        <v>5886</v>
      </c>
      <c r="M3590" s="1" t="s">
        <v>718</v>
      </c>
    </row>
    <row r="3591" customFormat="false" ht="15" hidden="false" customHeight="false" outlineLevel="0" collapsed="false">
      <c r="A3591" s="1" t="s">
        <v>650</v>
      </c>
      <c r="B3591" s="1" t="s">
        <v>14849</v>
      </c>
      <c r="C3591" s="1" t="s">
        <v>986</v>
      </c>
      <c r="D3591" s="2" t="n">
        <v>39918</v>
      </c>
      <c r="E3591" s="1" t="s">
        <v>763</v>
      </c>
      <c r="F3591" s="1" t="s">
        <v>711</v>
      </c>
      <c r="G3591" s="1" t="s">
        <v>712</v>
      </c>
      <c r="H3591" s="1" t="s">
        <v>713</v>
      </c>
      <c r="I3591" s="1" t="s">
        <v>714</v>
      </c>
      <c r="J3591" s="1" t="s">
        <v>8314</v>
      </c>
      <c r="K3591" s="1" t="s">
        <v>12590</v>
      </c>
      <c r="L3591" s="1" t="s">
        <v>9482</v>
      </c>
      <c r="M3591" s="1" t="s">
        <v>718</v>
      </c>
    </row>
    <row r="3592" customFormat="false" ht="15" hidden="false" customHeight="false" outlineLevel="0" collapsed="false">
      <c r="A3592" s="1" t="s">
        <v>599</v>
      </c>
      <c r="B3592" s="1" t="s">
        <v>14850</v>
      </c>
      <c r="C3592" s="1" t="s">
        <v>8260</v>
      </c>
      <c r="D3592" s="2" t="n">
        <v>40192</v>
      </c>
      <c r="E3592" s="1" t="s">
        <v>763</v>
      </c>
      <c r="F3592" s="1" t="s">
        <v>711</v>
      </c>
      <c r="G3592" s="1" t="s">
        <v>712</v>
      </c>
      <c r="H3592" s="1" t="s">
        <v>713</v>
      </c>
      <c r="I3592" s="1" t="s">
        <v>714</v>
      </c>
      <c r="J3592" s="1" t="s">
        <v>14051</v>
      </c>
      <c r="K3592" s="1" t="s">
        <v>14801</v>
      </c>
      <c r="L3592" s="1" t="s">
        <v>8263</v>
      </c>
      <c r="M3592" s="1" t="s">
        <v>718</v>
      </c>
    </row>
    <row r="3593" customFormat="false" ht="15" hidden="false" customHeight="false" outlineLevel="0" collapsed="false">
      <c r="A3593" s="1" t="s">
        <v>598</v>
      </c>
      <c r="B3593" s="1" t="s">
        <v>14851</v>
      </c>
      <c r="C3593" s="1" t="s">
        <v>1610</v>
      </c>
      <c r="D3593" s="2" t="n">
        <v>40156</v>
      </c>
      <c r="E3593" s="1" t="s">
        <v>763</v>
      </c>
      <c r="F3593" s="1" t="s">
        <v>711</v>
      </c>
      <c r="G3593" s="1" t="s">
        <v>712</v>
      </c>
      <c r="H3593" s="1" t="s">
        <v>713</v>
      </c>
      <c r="I3593" s="1" t="s">
        <v>714</v>
      </c>
      <c r="J3593" s="1" t="s">
        <v>8293</v>
      </c>
      <c r="K3593" s="1" t="s">
        <v>14801</v>
      </c>
      <c r="L3593" s="1" t="s">
        <v>14852</v>
      </c>
      <c r="M3593" s="1" t="s">
        <v>718</v>
      </c>
    </row>
    <row r="3594" customFormat="false" ht="15" hidden="false" customHeight="false" outlineLevel="0" collapsed="false">
      <c r="A3594" s="1" t="s">
        <v>606</v>
      </c>
      <c r="B3594" s="1" t="s">
        <v>14853</v>
      </c>
      <c r="C3594" s="1" t="s">
        <v>4446</v>
      </c>
      <c r="D3594" s="2" t="n">
        <v>40152</v>
      </c>
      <c r="E3594" s="1" t="s">
        <v>710</v>
      </c>
      <c r="F3594" s="1" t="s">
        <v>711</v>
      </c>
      <c r="G3594" s="1" t="s">
        <v>712</v>
      </c>
      <c r="H3594" s="1" t="s">
        <v>713</v>
      </c>
      <c r="I3594" s="1" t="s">
        <v>714</v>
      </c>
      <c r="J3594" s="1" t="s">
        <v>8314</v>
      </c>
      <c r="K3594" s="1" t="s">
        <v>11344</v>
      </c>
      <c r="L3594" s="1" t="s">
        <v>4448</v>
      </c>
      <c r="M3594" s="1" t="s">
        <v>718</v>
      </c>
    </row>
    <row r="3595" customFormat="false" ht="15" hidden="false" customHeight="false" outlineLevel="0" collapsed="false">
      <c r="A3595" s="1" t="s">
        <v>617</v>
      </c>
      <c r="B3595" s="1" t="s">
        <v>14854</v>
      </c>
      <c r="C3595" s="1" t="s">
        <v>14855</v>
      </c>
      <c r="D3595" s="2" t="n">
        <v>39983</v>
      </c>
      <c r="E3595" s="1" t="s">
        <v>763</v>
      </c>
      <c r="F3595" s="1" t="s">
        <v>711</v>
      </c>
      <c r="G3595" s="1" t="s">
        <v>712</v>
      </c>
      <c r="H3595" s="1" t="s">
        <v>713</v>
      </c>
      <c r="I3595" s="1" t="s">
        <v>714</v>
      </c>
      <c r="J3595" s="1" t="s">
        <v>8879</v>
      </c>
      <c r="K3595" s="1" t="s">
        <v>11344</v>
      </c>
      <c r="L3595" s="1" t="s">
        <v>14856</v>
      </c>
      <c r="M3595" s="1" t="s">
        <v>718</v>
      </c>
    </row>
    <row r="3596" customFormat="false" ht="15" hidden="false" customHeight="false" outlineLevel="0" collapsed="false">
      <c r="A3596" s="1" t="s">
        <v>679</v>
      </c>
      <c r="B3596" s="1" t="s">
        <v>14857</v>
      </c>
      <c r="C3596" s="1" t="s">
        <v>14808</v>
      </c>
      <c r="D3596" s="2" t="n">
        <v>40100</v>
      </c>
      <c r="E3596" s="1" t="s">
        <v>710</v>
      </c>
      <c r="F3596" s="1" t="s">
        <v>711</v>
      </c>
      <c r="G3596" s="1" t="s">
        <v>712</v>
      </c>
      <c r="H3596" s="1" t="s">
        <v>713</v>
      </c>
      <c r="I3596" s="1" t="s">
        <v>714</v>
      </c>
      <c r="J3596" s="1" t="s">
        <v>8879</v>
      </c>
      <c r="K3596" s="1" t="s">
        <v>12590</v>
      </c>
      <c r="L3596" s="1" t="s">
        <v>14809</v>
      </c>
      <c r="M3596" s="1" t="s">
        <v>718</v>
      </c>
    </row>
    <row r="3597" customFormat="false" ht="15" hidden="false" customHeight="false" outlineLevel="0" collapsed="false">
      <c r="A3597" s="1" t="s">
        <v>614</v>
      </c>
      <c r="B3597" s="1" t="s">
        <v>14858</v>
      </c>
      <c r="C3597" s="1" t="s">
        <v>14859</v>
      </c>
      <c r="D3597" s="2" t="n">
        <v>40108</v>
      </c>
      <c r="E3597" s="1" t="s">
        <v>763</v>
      </c>
      <c r="F3597" s="1" t="s">
        <v>711</v>
      </c>
      <c r="G3597" s="1" t="s">
        <v>712</v>
      </c>
      <c r="H3597" s="1" t="s">
        <v>713</v>
      </c>
      <c r="I3597" s="1" t="s">
        <v>714</v>
      </c>
      <c r="J3597" s="1" t="s">
        <v>14860</v>
      </c>
      <c r="K3597" s="1" t="s">
        <v>11344</v>
      </c>
      <c r="L3597" s="1" t="s">
        <v>13577</v>
      </c>
      <c r="M3597" s="1" t="s">
        <v>718</v>
      </c>
    </row>
    <row r="3598" customFormat="false" ht="15" hidden="false" customHeight="false" outlineLevel="0" collapsed="false">
      <c r="A3598" s="1" t="s">
        <v>603</v>
      </c>
      <c r="B3598" s="1" t="s">
        <v>14861</v>
      </c>
      <c r="C3598" s="1" t="s">
        <v>4197</v>
      </c>
      <c r="D3598" s="2" t="n">
        <v>39979</v>
      </c>
      <c r="E3598" s="1" t="s">
        <v>710</v>
      </c>
      <c r="F3598" s="1" t="s">
        <v>711</v>
      </c>
      <c r="G3598" s="1" t="s">
        <v>712</v>
      </c>
      <c r="H3598" s="1" t="s">
        <v>713</v>
      </c>
      <c r="I3598" s="1" t="s">
        <v>714</v>
      </c>
      <c r="J3598" s="1" t="s">
        <v>8879</v>
      </c>
      <c r="K3598" s="1" t="s">
        <v>12590</v>
      </c>
      <c r="L3598" s="1" t="s">
        <v>14862</v>
      </c>
      <c r="M3598" s="1" t="s">
        <v>718</v>
      </c>
    </row>
    <row r="3599" customFormat="false" ht="15" hidden="false" customHeight="false" outlineLevel="0" collapsed="false">
      <c r="A3599" s="1" t="s">
        <v>611</v>
      </c>
      <c r="B3599" s="1" t="s">
        <v>14863</v>
      </c>
      <c r="C3599" s="1" t="s">
        <v>14864</v>
      </c>
      <c r="D3599" s="2" t="n">
        <v>39976</v>
      </c>
      <c r="E3599" s="1" t="s">
        <v>763</v>
      </c>
      <c r="F3599" s="1" t="s">
        <v>711</v>
      </c>
      <c r="G3599" s="1" t="s">
        <v>712</v>
      </c>
      <c r="H3599" s="1" t="s">
        <v>713</v>
      </c>
      <c r="I3599" s="1" t="s">
        <v>714</v>
      </c>
      <c r="J3599" s="1" t="s">
        <v>8879</v>
      </c>
      <c r="K3599" s="1" t="s">
        <v>11344</v>
      </c>
      <c r="L3599" s="1" t="s">
        <v>14865</v>
      </c>
      <c r="M3599" s="1" t="s">
        <v>718</v>
      </c>
    </row>
    <row r="3600" customFormat="false" ht="15" hidden="false" customHeight="false" outlineLevel="0" collapsed="false">
      <c r="A3600" s="1" t="s">
        <v>14866</v>
      </c>
      <c r="B3600" s="1" t="s">
        <v>14867</v>
      </c>
      <c r="C3600" s="1" t="s">
        <v>1009</v>
      </c>
      <c r="D3600" s="2" t="n">
        <v>39538</v>
      </c>
      <c r="E3600" s="1" t="s">
        <v>710</v>
      </c>
      <c r="F3600" s="1" t="s">
        <v>711</v>
      </c>
      <c r="G3600" s="1" t="s">
        <v>712</v>
      </c>
      <c r="H3600" s="1" t="s">
        <v>713</v>
      </c>
      <c r="I3600" s="1" t="s">
        <v>714</v>
      </c>
      <c r="J3600" s="1" t="s">
        <v>805</v>
      </c>
      <c r="K3600" s="1" t="s">
        <v>11042</v>
      </c>
      <c r="L3600" s="1" t="s">
        <v>14868</v>
      </c>
      <c r="M3600" s="1" t="s">
        <v>718</v>
      </c>
    </row>
    <row r="3601" customFormat="false" ht="15" hidden="false" customHeight="false" outlineLevel="0" collapsed="false">
      <c r="A3601" s="1" t="s">
        <v>612</v>
      </c>
      <c r="B3601" s="1" t="s">
        <v>14869</v>
      </c>
      <c r="C3601" s="1" t="s">
        <v>14870</v>
      </c>
      <c r="D3601" s="2" t="n">
        <v>40136</v>
      </c>
      <c r="E3601" s="1" t="s">
        <v>763</v>
      </c>
      <c r="F3601" s="1" t="s">
        <v>711</v>
      </c>
      <c r="G3601" s="1" t="s">
        <v>712</v>
      </c>
      <c r="H3601" s="1" t="s">
        <v>713</v>
      </c>
      <c r="I3601" s="1" t="s">
        <v>714</v>
      </c>
      <c r="J3601" s="1" t="s">
        <v>8879</v>
      </c>
      <c r="K3601" s="1" t="s">
        <v>11344</v>
      </c>
      <c r="L3601" s="1" t="s">
        <v>14871</v>
      </c>
      <c r="M3601" s="1" t="s">
        <v>718</v>
      </c>
    </row>
    <row r="3602" customFormat="false" ht="15" hidden="false" customHeight="false" outlineLevel="0" collapsed="false">
      <c r="A3602" s="1" t="s">
        <v>613</v>
      </c>
      <c r="B3602" s="1" t="s">
        <v>14872</v>
      </c>
      <c r="C3602" s="1" t="s">
        <v>14870</v>
      </c>
      <c r="D3602" s="2" t="n">
        <v>39655</v>
      </c>
      <c r="E3602" s="1" t="s">
        <v>763</v>
      </c>
      <c r="F3602" s="1" t="s">
        <v>711</v>
      </c>
      <c r="G3602" s="1" t="s">
        <v>712</v>
      </c>
      <c r="H3602" s="1" t="s">
        <v>713</v>
      </c>
      <c r="I3602" s="1" t="s">
        <v>714</v>
      </c>
      <c r="J3602" s="1" t="s">
        <v>14873</v>
      </c>
      <c r="K3602" s="1" t="s">
        <v>11344</v>
      </c>
      <c r="L3602" s="1" t="s">
        <v>14871</v>
      </c>
      <c r="M3602" s="1" t="s">
        <v>718</v>
      </c>
    </row>
    <row r="3603" customFormat="false" ht="15" hidden="false" customHeight="false" outlineLevel="0" collapsed="false">
      <c r="A3603" s="1" t="s">
        <v>618</v>
      </c>
      <c r="B3603" s="1" t="s">
        <v>3676</v>
      </c>
      <c r="C3603" s="1" t="s">
        <v>13473</v>
      </c>
      <c r="D3603" s="2" t="n">
        <v>39919</v>
      </c>
      <c r="E3603" s="1" t="s">
        <v>763</v>
      </c>
      <c r="F3603" s="1" t="s">
        <v>711</v>
      </c>
      <c r="G3603" s="1" t="s">
        <v>712</v>
      </c>
      <c r="H3603" s="1" t="s">
        <v>713</v>
      </c>
      <c r="I3603" s="1" t="s">
        <v>714</v>
      </c>
      <c r="J3603" s="1" t="s">
        <v>14873</v>
      </c>
      <c r="K3603" s="1" t="s">
        <v>11344</v>
      </c>
      <c r="L3603" s="1" t="s">
        <v>13474</v>
      </c>
      <c r="M3603" s="1" t="s">
        <v>718</v>
      </c>
    </row>
    <row r="3604" customFormat="false" ht="15" hidden="false" customHeight="false" outlineLevel="0" collapsed="false">
      <c r="A3604" s="1" t="s">
        <v>688</v>
      </c>
      <c r="B3604" s="1" t="s">
        <v>14874</v>
      </c>
      <c r="C3604" s="1" t="s">
        <v>14875</v>
      </c>
      <c r="D3604" s="2" t="n">
        <v>40080</v>
      </c>
      <c r="E3604" s="1" t="s">
        <v>710</v>
      </c>
      <c r="F3604" s="1" t="s">
        <v>711</v>
      </c>
      <c r="G3604" s="1" t="s">
        <v>712</v>
      </c>
      <c r="H3604" s="1" t="s">
        <v>713</v>
      </c>
      <c r="I3604" s="1" t="s">
        <v>714</v>
      </c>
      <c r="J3604" s="1" t="s">
        <v>4239</v>
      </c>
      <c r="K3604" s="1" t="s">
        <v>14876</v>
      </c>
      <c r="L3604" s="1" t="s">
        <v>14877</v>
      </c>
      <c r="M3604" s="1" t="s">
        <v>718</v>
      </c>
    </row>
    <row r="3605" customFormat="false" ht="15" hidden="false" customHeight="false" outlineLevel="0" collapsed="false">
      <c r="A3605" s="1" t="s">
        <v>14878</v>
      </c>
      <c r="B3605" s="1" t="s">
        <v>14879</v>
      </c>
      <c r="C3605" s="1" t="s">
        <v>12402</v>
      </c>
      <c r="D3605" s="2" t="n">
        <v>40168</v>
      </c>
      <c r="E3605" s="1" t="s">
        <v>763</v>
      </c>
      <c r="F3605" s="1" t="s">
        <v>711</v>
      </c>
      <c r="G3605" s="1" t="s">
        <v>712</v>
      </c>
      <c r="H3605" s="1" t="s">
        <v>713</v>
      </c>
      <c r="I3605" s="1" t="s">
        <v>714</v>
      </c>
      <c r="J3605" s="1" t="s">
        <v>1530</v>
      </c>
      <c r="K3605" s="1" t="s">
        <v>14880</v>
      </c>
      <c r="L3605" s="1" t="s">
        <v>12404</v>
      </c>
      <c r="M3605" s="1" t="s">
        <v>718</v>
      </c>
    </row>
    <row r="3606" customFormat="false" ht="15" hidden="false" customHeight="false" outlineLevel="0" collapsed="false">
      <c r="A3606" s="1" t="s">
        <v>595</v>
      </c>
      <c r="B3606" s="1" t="s">
        <v>14881</v>
      </c>
      <c r="C3606" s="1" t="s">
        <v>14882</v>
      </c>
      <c r="D3606" s="2" t="n">
        <v>40137</v>
      </c>
      <c r="E3606" s="1" t="s">
        <v>710</v>
      </c>
      <c r="F3606" s="1" t="s">
        <v>711</v>
      </c>
      <c r="G3606" s="1" t="s">
        <v>712</v>
      </c>
      <c r="H3606" s="1" t="s">
        <v>713</v>
      </c>
      <c r="I3606" s="1" t="s">
        <v>714</v>
      </c>
      <c r="J3606" s="1" t="s">
        <v>3260</v>
      </c>
      <c r="K3606" s="1" t="s">
        <v>14883</v>
      </c>
      <c r="L3606" s="1" t="s">
        <v>10106</v>
      </c>
      <c r="M3606" s="1" t="s">
        <v>718</v>
      </c>
    </row>
    <row r="3607" customFormat="false" ht="15" hidden="false" customHeight="false" outlineLevel="0" collapsed="false">
      <c r="A3607" s="1" t="s">
        <v>14884</v>
      </c>
      <c r="B3607" s="1" t="s">
        <v>14885</v>
      </c>
      <c r="C3607" s="1" t="s">
        <v>1849</v>
      </c>
      <c r="D3607" s="2" t="n">
        <v>40130</v>
      </c>
      <c r="E3607" s="1" t="s">
        <v>763</v>
      </c>
      <c r="F3607" s="1" t="s">
        <v>711</v>
      </c>
      <c r="G3607" s="1" t="s">
        <v>712</v>
      </c>
      <c r="H3607" s="1" t="s">
        <v>713</v>
      </c>
      <c r="I3607" s="1" t="s">
        <v>714</v>
      </c>
      <c r="J3607" s="1" t="s">
        <v>4239</v>
      </c>
      <c r="K3607" s="1" t="s">
        <v>14886</v>
      </c>
      <c r="L3607" s="1" t="s">
        <v>13640</v>
      </c>
      <c r="M3607" s="1" t="s">
        <v>718</v>
      </c>
    </row>
    <row r="3608" customFormat="false" ht="15" hidden="false" customHeight="false" outlineLevel="0" collapsed="false">
      <c r="A3608" s="1" t="s">
        <v>609</v>
      </c>
      <c r="B3608" s="1" t="s">
        <v>14887</v>
      </c>
      <c r="C3608" s="1" t="s">
        <v>3556</v>
      </c>
      <c r="D3608" s="2" t="n">
        <v>40162</v>
      </c>
      <c r="E3608" s="1" t="s">
        <v>710</v>
      </c>
      <c r="F3608" s="1" t="s">
        <v>711</v>
      </c>
      <c r="G3608" s="1" t="s">
        <v>712</v>
      </c>
      <c r="H3608" s="1" t="s">
        <v>713</v>
      </c>
      <c r="I3608" s="1" t="s">
        <v>714</v>
      </c>
      <c r="J3608" s="1" t="s">
        <v>4239</v>
      </c>
      <c r="K3608" s="1" t="s">
        <v>11383</v>
      </c>
      <c r="L3608" s="1" t="s">
        <v>8071</v>
      </c>
      <c r="M3608" s="1" t="s">
        <v>718</v>
      </c>
    </row>
    <row r="3609" customFormat="false" ht="15" hidden="false" customHeight="false" outlineLevel="0" collapsed="false">
      <c r="A3609" s="1" t="s">
        <v>14888</v>
      </c>
      <c r="B3609" s="1" t="s">
        <v>14889</v>
      </c>
      <c r="C3609" s="1" t="s">
        <v>14890</v>
      </c>
      <c r="D3609" s="2" t="n">
        <v>40071</v>
      </c>
      <c r="E3609" s="1" t="s">
        <v>710</v>
      </c>
      <c r="F3609" s="1" t="s">
        <v>711</v>
      </c>
      <c r="G3609" s="1" t="s">
        <v>712</v>
      </c>
      <c r="H3609" s="1" t="s">
        <v>713</v>
      </c>
      <c r="I3609" s="1" t="s">
        <v>714</v>
      </c>
      <c r="J3609" s="1" t="s">
        <v>821</v>
      </c>
      <c r="K3609" s="1" t="s">
        <v>14891</v>
      </c>
      <c r="L3609" s="1" t="s">
        <v>14892</v>
      </c>
      <c r="M3609" s="1" t="s">
        <v>718</v>
      </c>
    </row>
    <row r="3610" customFormat="false" ht="15" hidden="false" customHeight="false" outlineLevel="0" collapsed="false">
      <c r="A3610" s="1" t="s">
        <v>14893</v>
      </c>
      <c r="B3610" s="1" t="s">
        <v>14894</v>
      </c>
      <c r="C3610" s="1" t="s">
        <v>7861</v>
      </c>
      <c r="D3610" s="2" t="n">
        <v>39594</v>
      </c>
      <c r="E3610" s="1" t="s">
        <v>710</v>
      </c>
      <c r="F3610" s="1" t="s">
        <v>711</v>
      </c>
      <c r="G3610" s="1" t="s">
        <v>712</v>
      </c>
      <c r="H3610" s="1" t="s">
        <v>713</v>
      </c>
      <c r="I3610" s="1" t="s">
        <v>714</v>
      </c>
      <c r="J3610" s="1" t="s">
        <v>712</v>
      </c>
      <c r="K3610" s="1" t="s">
        <v>11345</v>
      </c>
      <c r="L3610" s="1" t="s">
        <v>10679</v>
      </c>
      <c r="M3610" s="1" t="s">
        <v>718</v>
      </c>
    </row>
    <row r="3611" customFormat="false" ht="15" hidden="false" customHeight="false" outlineLevel="0" collapsed="false">
      <c r="A3611" s="1" t="s">
        <v>656</v>
      </c>
      <c r="B3611" s="1" t="s">
        <v>14895</v>
      </c>
      <c r="C3611" s="1" t="s">
        <v>7454</v>
      </c>
      <c r="D3611" s="2" t="n">
        <v>40074</v>
      </c>
      <c r="E3611" s="1" t="s">
        <v>763</v>
      </c>
      <c r="F3611" s="1" t="s">
        <v>711</v>
      </c>
      <c r="G3611" s="1" t="s">
        <v>722</v>
      </c>
      <c r="H3611" s="1" t="s">
        <v>713</v>
      </c>
      <c r="I3611" s="1" t="s">
        <v>714</v>
      </c>
      <c r="J3611" s="1" t="s">
        <v>715</v>
      </c>
      <c r="K3611" s="1" t="s">
        <v>11344</v>
      </c>
      <c r="L3611" s="1" t="s">
        <v>7456</v>
      </c>
      <c r="M3611" s="1" t="s">
        <v>718</v>
      </c>
    </row>
    <row r="3612" customFormat="false" ht="15" hidden="false" customHeight="false" outlineLevel="0" collapsed="false">
      <c r="A3612" s="1" t="s">
        <v>600</v>
      </c>
      <c r="B3612" s="1" t="s">
        <v>14896</v>
      </c>
      <c r="C3612" s="1" t="s">
        <v>2563</v>
      </c>
      <c r="D3612" s="2" t="n">
        <v>40134</v>
      </c>
      <c r="E3612" s="1" t="s">
        <v>763</v>
      </c>
      <c r="F3612" s="1" t="s">
        <v>711</v>
      </c>
      <c r="G3612" s="1" t="s">
        <v>712</v>
      </c>
      <c r="H3612" s="1" t="s">
        <v>713</v>
      </c>
      <c r="I3612" s="1" t="s">
        <v>714</v>
      </c>
      <c r="J3612" s="1" t="s">
        <v>1398</v>
      </c>
      <c r="K3612" s="1" t="s">
        <v>14897</v>
      </c>
      <c r="L3612" s="1" t="s">
        <v>13062</v>
      </c>
      <c r="M3612" s="1" t="s">
        <v>718</v>
      </c>
    </row>
    <row r="3613" customFormat="false" ht="15" hidden="false" customHeight="false" outlineLevel="0" collapsed="false">
      <c r="A3613" s="1" t="s">
        <v>597</v>
      </c>
      <c r="B3613" s="1" t="s">
        <v>14898</v>
      </c>
      <c r="C3613" s="1" t="s">
        <v>14899</v>
      </c>
      <c r="D3613" s="2" t="n">
        <v>40057</v>
      </c>
      <c r="E3613" s="1" t="s">
        <v>710</v>
      </c>
      <c r="F3613" s="1" t="s">
        <v>711</v>
      </c>
      <c r="G3613" s="1" t="s">
        <v>712</v>
      </c>
      <c r="H3613" s="1" t="s">
        <v>713</v>
      </c>
      <c r="I3613" s="1" t="s">
        <v>714</v>
      </c>
      <c r="J3613" s="1" t="s">
        <v>715</v>
      </c>
      <c r="K3613" s="1" t="s">
        <v>14900</v>
      </c>
      <c r="L3613" s="1" t="s">
        <v>14901</v>
      </c>
      <c r="M3613" s="1" t="s">
        <v>718</v>
      </c>
    </row>
    <row r="3614" customFormat="false" ht="15" hidden="false" customHeight="false" outlineLevel="0" collapsed="false">
      <c r="A3614" s="1" t="s">
        <v>14902</v>
      </c>
      <c r="B3614" s="1" t="s">
        <v>1668</v>
      </c>
      <c r="C3614" s="1" t="s">
        <v>14903</v>
      </c>
      <c r="D3614" s="2" t="n">
        <v>40107</v>
      </c>
      <c r="E3614" s="1" t="s">
        <v>710</v>
      </c>
      <c r="F3614" s="1" t="s">
        <v>711</v>
      </c>
      <c r="G3614" s="1" t="s">
        <v>712</v>
      </c>
      <c r="H3614" s="1" t="s">
        <v>713</v>
      </c>
      <c r="I3614" s="1" t="s">
        <v>714</v>
      </c>
      <c r="J3614" s="1" t="s">
        <v>1244</v>
      </c>
      <c r="K3614" s="1" t="s">
        <v>14479</v>
      </c>
      <c r="L3614" s="1" t="s">
        <v>14904</v>
      </c>
      <c r="M3614" s="1" t="s">
        <v>718</v>
      </c>
    </row>
    <row r="3615" customFormat="false" ht="15" hidden="false" customHeight="false" outlineLevel="0" collapsed="false">
      <c r="A3615" s="1" t="s">
        <v>644</v>
      </c>
      <c r="B3615" s="1" t="s">
        <v>14905</v>
      </c>
      <c r="C3615" s="1" t="s">
        <v>14906</v>
      </c>
      <c r="D3615" s="2" t="n">
        <v>40115</v>
      </c>
      <c r="E3615" s="1" t="s">
        <v>763</v>
      </c>
      <c r="F3615" s="1" t="s">
        <v>711</v>
      </c>
      <c r="G3615" s="1" t="s">
        <v>712</v>
      </c>
      <c r="H3615" s="1" t="s">
        <v>713</v>
      </c>
      <c r="I3615" s="1" t="s">
        <v>714</v>
      </c>
      <c r="J3615" s="1" t="s">
        <v>4239</v>
      </c>
      <c r="K3615" s="1" t="s">
        <v>14907</v>
      </c>
      <c r="L3615" s="1" t="s">
        <v>14908</v>
      </c>
      <c r="M3615" s="1" t="s">
        <v>718</v>
      </c>
    </row>
    <row r="3616" customFormat="false" ht="15" hidden="false" customHeight="false" outlineLevel="0" collapsed="false">
      <c r="A3616" s="1" t="s">
        <v>610</v>
      </c>
      <c r="B3616" s="1" t="s">
        <v>14909</v>
      </c>
      <c r="C3616" s="1" t="s">
        <v>7941</v>
      </c>
      <c r="D3616" s="2" t="n">
        <v>40045</v>
      </c>
      <c r="E3616" s="1" t="s">
        <v>710</v>
      </c>
      <c r="F3616" s="1" t="s">
        <v>711</v>
      </c>
      <c r="G3616" s="1" t="s">
        <v>712</v>
      </c>
      <c r="H3616" s="1" t="s">
        <v>713</v>
      </c>
      <c r="I3616" s="1" t="s">
        <v>714</v>
      </c>
      <c r="J3616" s="1" t="s">
        <v>4239</v>
      </c>
      <c r="K3616" s="1" t="s">
        <v>14910</v>
      </c>
      <c r="L3616" s="1" t="s">
        <v>7944</v>
      </c>
      <c r="M3616" s="1" t="s">
        <v>718</v>
      </c>
    </row>
    <row r="3617" customFormat="false" ht="15" hidden="false" customHeight="false" outlineLevel="0" collapsed="false">
      <c r="A3617" s="1" t="s">
        <v>640</v>
      </c>
      <c r="B3617" s="1" t="s">
        <v>14911</v>
      </c>
      <c r="C3617" s="1" t="s">
        <v>7638</v>
      </c>
      <c r="D3617" s="2" t="n">
        <v>39903</v>
      </c>
      <c r="E3617" s="1" t="s">
        <v>763</v>
      </c>
      <c r="F3617" s="1" t="s">
        <v>711</v>
      </c>
      <c r="G3617" s="1" t="s">
        <v>712</v>
      </c>
      <c r="H3617" s="1" t="s">
        <v>713</v>
      </c>
      <c r="I3617" s="1" t="s">
        <v>714</v>
      </c>
      <c r="J3617" s="1" t="s">
        <v>4239</v>
      </c>
      <c r="K3617" s="1" t="s">
        <v>716</v>
      </c>
      <c r="L3617" s="1" t="s">
        <v>14912</v>
      </c>
      <c r="M3617" s="1" t="s">
        <v>718</v>
      </c>
    </row>
    <row r="3618" customFormat="false" ht="15" hidden="false" customHeight="false" outlineLevel="0" collapsed="false">
      <c r="A3618" s="1" t="s">
        <v>637</v>
      </c>
      <c r="B3618" s="1" t="s">
        <v>14913</v>
      </c>
      <c r="C3618" s="1" t="s">
        <v>3656</v>
      </c>
      <c r="D3618" s="2" t="n">
        <v>40326</v>
      </c>
      <c r="E3618" s="1" t="s">
        <v>710</v>
      </c>
      <c r="F3618" s="1" t="s">
        <v>711</v>
      </c>
      <c r="G3618" s="1" t="s">
        <v>712</v>
      </c>
      <c r="H3618" s="1" t="s">
        <v>713</v>
      </c>
      <c r="I3618" s="1" t="s">
        <v>714</v>
      </c>
      <c r="J3618" s="1" t="s">
        <v>4239</v>
      </c>
      <c r="K3618" s="1" t="s">
        <v>14479</v>
      </c>
      <c r="L3618" s="1" t="s">
        <v>14480</v>
      </c>
      <c r="M3618" s="1" t="s">
        <v>718</v>
      </c>
    </row>
    <row r="3619" customFormat="false" ht="15" hidden="false" customHeight="false" outlineLevel="0" collapsed="false">
      <c r="A3619" s="1" t="s">
        <v>639</v>
      </c>
      <c r="B3619" s="1" t="s">
        <v>14914</v>
      </c>
      <c r="C3619" s="1" t="s">
        <v>14915</v>
      </c>
      <c r="D3619" s="2" t="n">
        <v>40407</v>
      </c>
      <c r="E3619" s="1" t="s">
        <v>763</v>
      </c>
      <c r="F3619" s="1" t="s">
        <v>711</v>
      </c>
      <c r="G3619" s="1" t="s">
        <v>712</v>
      </c>
      <c r="H3619" s="1" t="s">
        <v>713</v>
      </c>
      <c r="I3619" s="1" t="s">
        <v>714</v>
      </c>
      <c r="J3619" s="1" t="s">
        <v>4239</v>
      </c>
      <c r="K3619" s="1" t="s">
        <v>14916</v>
      </c>
      <c r="L3619" s="1" t="s">
        <v>9936</v>
      </c>
      <c r="M3619" s="1" t="s">
        <v>718</v>
      </c>
    </row>
    <row r="3620" customFormat="false" ht="15" hidden="false" customHeight="false" outlineLevel="0" collapsed="false">
      <c r="A3620" s="1" t="s">
        <v>643</v>
      </c>
      <c r="B3620" s="1" t="s">
        <v>14917</v>
      </c>
      <c r="C3620" s="1" t="s">
        <v>8384</v>
      </c>
      <c r="D3620" s="2" t="n">
        <v>40467</v>
      </c>
      <c r="E3620" s="1" t="s">
        <v>710</v>
      </c>
      <c r="F3620" s="1" t="s">
        <v>711</v>
      </c>
      <c r="G3620" s="1" t="s">
        <v>712</v>
      </c>
      <c r="H3620" s="1" t="s">
        <v>713</v>
      </c>
      <c r="I3620" s="1" t="s">
        <v>714</v>
      </c>
      <c r="J3620" s="1" t="s">
        <v>4239</v>
      </c>
      <c r="K3620" s="1" t="s">
        <v>716</v>
      </c>
      <c r="L3620" s="1" t="s">
        <v>8387</v>
      </c>
      <c r="M3620" s="1" t="s">
        <v>718</v>
      </c>
    </row>
    <row r="3621" s="13" customFormat="true" ht="15" hidden="false" customHeight="false" outlineLevel="0" collapsed="false">
      <c r="A3621" s="10" t="s">
        <v>620</v>
      </c>
      <c r="B3621" s="10" t="s">
        <v>14918</v>
      </c>
      <c r="C3621" s="10" t="s">
        <v>1117</v>
      </c>
      <c r="D3621" s="12" t="n">
        <v>39894</v>
      </c>
      <c r="E3621" s="10" t="s">
        <v>763</v>
      </c>
      <c r="F3621" s="10" t="s">
        <v>711</v>
      </c>
      <c r="G3621" s="10" t="s">
        <v>712</v>
      </c>
      <c r="H3621" s="10" t="s">
        <v>713</v>
      </c>
      <c r="I3621" s="10" t="s">
        <v>714</v>
      </c>
      <c r="J3621" s="10" t="s">
        <v>4239</v>
      </c>
      <c r="K3621" s="10" t="s">
        <v>14919</v>
      </c>
      <c r="L3621" s="10" t="s">
        <v>3663</v>
      </c>
      <c r="M3621" s="10" t="s">
        <v>718</v>
      </c>
      <c r="XEE3621" s="0"/>
      <c r="XEF3621" s="0"/>
      <c r="XEG3621" s="0"/>
      <c r="XEH3621" s="0"/>
      <c r="XEI3621" s="0"/>
      <c r="XEJ3621" s="0"/>
      <c r="XEK3621" s="0"/>
      <c r="XEL3621" s="0"/>
      <c r="XEM3621" s="0"/>
      <c r="XEN3621" s="0"/>
      <c r="XEO3621" s="0"/>
      <c r="XEP3621" s="0"/>
      <c r="XEQ3621" s="0"/>
      <c r="XER3621" s="0"/>
      <c r="XES3621" s="0"/>
      <c r="XET3621" s="0"/>
      <c r="XEU3621" s="0"/>
      <c r="XEV3621" s="0"/>
      <c r="XEW3621" s="0"/>
      <c r="XEX3621" s="0"/>
      <c r="XEY3621" s="0"/>
      <c r="XEZ3621" s="0"/>
      <c r="XFA3621" s="0"/>
      <c r="XFB3621" s="0"/>
      <c r="XFC3621" s="0"/>
      <c r="XFD3621" s="0"/>
    </row>
    <row r="3622" customFormat="false" ht="15" hidden="false" customHeight="false" outlineLevel="0" collapsed="false">
      <c r="A3622" s="1" t="s">
        <v>636</v>
      </c>
      <c r="B3622" s="1" t="s">
        <v>14920</v>
      </c>
      <c r="C3622" s="1" t="s">
        <v>9980</v>
      </c>
      <c r="D3622" s="2" t="n">
        <v>40531</v>
      </c>
      <c r="E3622" s="1" t="s">
        <v>763</v>
      </c>
      <c r="F3622" s="1" t="s">
        <v>711</v>
      </c>
      <c r="G3622" s="1" t="s">
        <v>712</v>
      </c>
      <c r="H3622" s="1" t="s">
        <v>713</v>
      </c>
      <c r="I3622" s="1" t="s">
        <v>714</v>
      </c>
      <c r="J3622" s="1" t="s">
        <v>4239</v>
      </c>
      <c r="K3622" s="1" t="s">
        <v>716</v>
      </c>
      <c r="L3622" s="1" t="s">
        <v>9982</v>
      </c>
      <c r="M3622" s="1" t="s">
        <v>718</v>
      </c>
    </row>
    <row r="3623" customFormat="false" ht="15" hidden="false" customHeight="false" outlineLevel="0" collapsed="false">
      <c r="A3623" s="1" t="s">
        <v>602</v>
      </c>
      <c r="B3623" s="1" t="s">
        <v>1147</v>
      </c>
      <c r="C3623" s="1" t="s">
        <v>14921</v>
      </c>
      <c r="D3623" s="2" t="n">
        <v>39832</v>
      </c>
      <c r="E3623" s="1" t="s">
        <v>710</v>
      </c>
      <c r="F3623" s="1" t="s">
        <v>711</v>
      </c>
      <c r="G3623" s="1" t="s">
        <v>722</v>
      </c>
      <c r="H3623" s="1" t="s">
        <v>713</v>
      </c>
      <c r="I3623" s="1" t="s">
        <v>714</v>
      </c>
      <c r="J3623" s="1" t="s">
        <v>4239</v>
      </c>
      <c r="K3623" s="1" t="s">
        <v>14922</v>
      </c>
      <c r="L3623" s="1" t="s">
        <v>14923</v>
      </c>
      <c r="M3623" s="1" t="s">
        <v>718</v>
      </c>
    </row>
    <row r="3624" customFormat="false" ht="15" hidden="false" customHeight="false" outlineLevel="0" collapsed="false">
      <c r="A3624" s="1" t="s">
        <v>638</v>
      </c>
      <c r="B3624" s="1" t="s">
        <v>1147</v>
      </c>
      <c r="C3624" s="1" t="s">
        <v>2753</v>
      </c>
      <c r="D3624" s="2" t="n">
        <v>39951</v>
      </c>
      <c r="E3624" s="1" t="s">
        <v>710</v>
      </c>
      <c r="F3624" s="1" t="s">
        <v>711</v>
      </c>
      <c r="G3624" s="1" t="s">
        <v>712</v>
      </c>
      <c r="H3624" s="1" t="s">
        <v>713</v>
      </c>
      <c r="I3624" s="1" t="s">
        <v>714</v>
      </c>
      <c r="J3624" s="1" t="s">
        <v>4239</v>
      </c>
      <c r="K3624" s="1" t="s">
        <v>14640</v>
      </c>
      <c r="L3624" s="1" t="s">
        <v>14924</v>
      </c>
      <c r="M3624" s="1" t="s">
        <v>718</v>
      </c>
    </row>
    <row r="3625" customFormat="false" ht="15" hidden="false" customHeight="false" outlineLevel="0" collapsed="false">
      <c r="A3625" s="1" t="s">
        <v>625</v>
      </c>
      <c r="B3625" s="1" t="s">
        <v>830</v>
      </c>
      <c r="C3625" s="1" t="s">
        <v>14925</v>
      </c>
      <c r="D3625" s="2" t="n">
        <v>40126</v>
      </c>
      <c r="E3625" s="1" t="s">
        <v>710</v>
      </c>
      <c r="F3625" s="1" t="s">
        <v>711</v>
      </c>
      <c r="G3625" s="1" t="s">
        <v>712</v>
      </c>
      <c r="H3625" s="1" t="s">
        <v>713</v>
      </c>
      <c r="I3625" s="1" t="s">
        <v>714</v>
      </c>
      <c r="J3625" s="1" t="s">
        <v>4239</v>
      </c>
      <c r="K3625" s="1" t="s">
        <v>14926</v>
      </c>
      <c r="L3625" s="1" t="s">
        <v>14927</v>
      </c>
      <c r="M3625" s="1" t="s">
        <v>718</v>
      </c>
    </row>
    <row r="3626" customFormat="false" ht="15" hidden="false" customHeight="false" outlineLevel="0" collapsed="false">
      <c r="A3626" s="1" t="s">
        <v>14928</v>
      </c>
      <c r="B3626" s="1" t="s">
        <v>14929</v>
      </c>
      <c r="C3626" s="1" t="s">
        <v>14930</v>
      </c>
      <c r="D3626" s="2" t="n">
        <v>40142</v>
      </c>
      <c r="E3626" s="1" t="s">
        <v>763</v>
      </c>
      <c r="F3626" s="1" t="s">
        <v>711</v>
      </c>
      <c r="G3626" s="1" t="s">
        <v>712</v>
      </c>
      <c r="H3626" s="1" t="s">
        <v>713</v>
      </c>
      <c r="I3626" s="1" t="s">
        <v>714</v>
      </c>
      <c r="J3626" s="1" t="s">
        <v>6876</v>
      </c>
      <c r="K3626" s="1" t="s">
        <v>716</v>
      </c>
      <c r="L3626" s="1" t="s">
        <v>14931</v>
      </c>
      <c r="M3626" s="1" t="s">
        <v>718</v>
      </c>
    </row>
    <row r="3627" customFormat="false" ht="15" hidden="false" customHeight="false" outlineLevel="0" collapsed="false">
      <c r="A3627" s="1" t="s">
        <v>14932</v>
      </c>
      <c r="B3627" s="1" t="s">
        <v>9715</v>
      </c>
      <c r="C3627" s="1" t="s">
        <v>14933</v>
      </c>
      <c r="D3627" s="2" t="n">
        <v>40091</v>
      </c>
      <c r="E3627" s="1" t="s">
        <v>710</v>
      </c>
      <c r="F3627" s="1" t="s">
        <v>711</v>
      </c>
      <c r="G3627" s="1" t="s">
        <v>712</v>
      </c>
      <c r="H3627" s="1" t="s">
        <v>713</v>
      </c>
      <c r="I3627" s="1" t="s">
        <v>714</v>
      </c>
      <c r="J3627" s="1" t="s">
        <v>4239</v>
      </c>
      <c r="K3627" s="1" t="s">
        <v>14934</v>
      </c>
      <c r="L3627" s="1" t="s">
        <v>14935</v>
      </c>
      <c r="M3627" s="1" t="s">
        <v>718</v>
      </c>
    </row>
    <row r="3628" customFormat="false" ht="15" hidden="false" customHeight="false" outlineLevel="0" collapsed="false">
      <c r="A3628" s="1" t="s">
        <v>623</v>
      </c>
      <c r="B3628" s="1" t="s">
        <v>14936</v>
      </c>
      <c r="C3628" s="1" t="s">
        <v>14937</v>
      </c>
      <c r="D3628" s="2" t="n">
        <v>40059</v>
      </c>
      <c r="E3628" s="1" t="s">
        <v>710</v>
      </c>
      <c r="F3628" s="1" t="s">
        <v>711</v>
      </c>
      <c r="G3628" s="1" t="s">
        <v>712</v>
      </c>
      <c r="H3628" s="1" t="s">
        <v>713</v>
      </c>
      <c r="I3628" s="1" t="s">
        <v>714</v>
      </c>
      <c r="J3628" s="1" t="s">
        <v>4239</v>
      </c>
      <c r="K3628" s="1" t="s">
        <v>14938</v>
      </c>
      <c r="L3628" s="1" t="s">
        <v>13258</v>
      </c>
      <c r="M3628" s="1" t="s">
        <v>718</v>
      </c>
    </row>
    <row r="3629" customFormat="false" ht="15" hidden="false" customHeight="false" outlineLevel="0" collapsed="false">
      <c r="A3629" s="1" t="s">
        <v>601</v>
      </c>
      <c r="B3629" s="1" t="s">
        <v>14939</v>
      </c>
      <c r="C3629" s="1" t="s">
        <v>14940</v>
      </c>
      <c r="D3629" s="2" t="n">
        <v>40182</v>
      </c>
      <c r="E3629" s="1" t="s">
        <v>763</v>
      </c>
      <c r="F3629" s="1" t="s">
        <v>711</v>
      </c>
      <c r="G3629" s="1" t="s">
        <v>712</v>
      </c>
      <c r="H3629" s="1" t="s">
        <v>713</v>
      </c>
      <c r="I3629" s="1" t="s">
        <v>714</v>
      </c>
      <c r="J3629" s="1" t="s">
        <v>4239</v>
      </c>
      <c r="K3629" s="1" t="s">
        <v>14941</v>
      </c>
      <c r="L3629" s="1" t="s">
        <v>14942</v>
      </c>
      <c r="M3629" s="1" t="s">
        <v>718</v>
      </c>
    </row>
    <row r="3630" customFormat="false" ht="15" hidden="false" customHeight="false" outlineLevel="0" collapsed="false">
      <c r="A3630" s="1" t="s">
        <v>14943</v>
      </c>
      <c r="B3630" s="1" t="s">
        <v>11491</v>
      </c>
      <c r="C3630" s="1" t="s">
        <v>14944</v>
      </c>
      <c r="D3630" s="2" t="n">
        <v>39717</v>
      </c>
      <c r="E3630" s="1" t="s">
        <v>763</v>
      </c>
      <c r="F3630" s="1" t="s">
        <v>711</v>
      </c>
      <c r="G3630" s="1" t="s">
        <v>712</v>
      </c>
      <c r="H3630" s="1" t="s">
        <v>713</v>
      </c>
      <c r="I3630" s="1" t="s">
        <v>714</v>
      </c>
      <c r="J3630" s="1" t="s">
        <v>13710</v>
      </c>
      <c r="K3630" s="1" t="s">
        <v>14945</v>
      </c>
      <c r="L3630" s="1" t="s">
        <v>1418</v>
      </c>
      <c r="M3630" s="1" t="s">
        <v>718</v>
      </c>
    </row>
    <row r="3631" customFormat="false" ht="15" hidden="false" customHeight="false" outlineLevel="0" collapsed="false">
      <c r="A3631" s="1" t="s">
        <v>615</v>
      </c>
      <c r="B3631" s="1" t="s">
        <v>3344</v>
      </c>
      <c r="C3631" s="1" t="s">
        <v>14946</v>
      </c>
      <c r="D3631" s="2" t="n">
        <v>40153</v>
      </c>
      <c r="E3631" s="1" t="s">
        <v>710</v>
      </c>
      <c r="F3631" s="1" t="s">
        <v>711</v>
      </c>
      <c r="G3631" s="1" t="s">
        <v>712</v>
      </c>
      <c r="H3631" s="1" t="s">
        <v>713</v>
      </c>
      <c r="I3631" s="1" t="s">
        <v>714</v>
      </c>
      <c r="J3631" s="1" t="s">
        <v>716</v>
      </c>
      <c r="K3631" s="1" t="s">
        <v>14947</v>
      </c>
      <c r="L3631" s="1" t="s">
        <v>14948</v>
      </c>
      <c r="M3631" s="1" t="s">
        <v>718</v>
      </c>
    </row>
    <row r="3632" customFormat="false" ht="15" hidden="false" customHeight="false" outlineLevel="0" collapsed="false">
      <c r="A3632" s="1" t="s">
        <v>619</v>
      </c>
      <c r="B3632" s="1" t="s">
        <v>14949</v>
      </c>
      <c r="C3632" s="1" t="s">
        <v>1756</v>
      </c>
      <c r="D3632" s="2" t="n">
        <v>40212</v>
      </c>
      <c r="E3632" s="1" t="s">
        <v>763</v>
      </c>
      <c r="F3632" s="1" t="s">
        <v>711</v>
      </c>
      <c r="G3632" s="1" t="s">
        <v>712</v>
      </c>
      <c r="H3632" s="1" t="s">
        <v>713</v>
      </c>
      <c r="I3632" s="1" t="s">
        <v>714</v>
      </c>
      <c r="J3632" s="1" t="s">
        <v>1398</v>
      </c>
      <c r="K3632" s="1" t="s">
        <v>11383</v>
      </c>
      <c r="L3632" s="1" t="s">
        <v>14950</v>
      </c>
      <c r="M3632" s="1" t="s">
        <v>718</v>
      </c>
    </row>
    <row r="3633" customFormat="false" ht="15" hidden="false" customHeight="false" outlineLevel="0" collapsed="false">
      <c r="A3633" s="1" t="s">
        <v>14951</v>
      </c>
      <c r="B3633" s="1" t="s">
        <v>14952</v>
      </c>
      <c r="C3633" s="1" t="s">
        <v>1139</v>
      </c>
      <c r="D3633" s="2" t="n">
        <v>40366</v>
      </c>
      <c r="E3633" s="1" t="s">
        <v>763</v>
      </c>
      <c r="F3633" s="1" t="s">
        <v>711</v>
      </c>
      <c r="G3633" s="1" t="s">
        <v>712</v>
      </c>
      <c r="H3633" s="1" t="s">
        <v>713</v>
      </c>
      <c r="I3633" s="1" t="s">
        <v>714</v>
      </c>
      <c r="J3633" s="1" t="s">
        <v>716</v>
      </c>
      <c r="K3633" s="1" t="s">
        <v>14953</v>
      </c>
      <c r="L3633" s="1" t="s">
        <v>14954</v>
      </c>
      <c r="M3633" s="1" t="s">
        <v>718</v>
      </c>
    </row>
    <row r="3634" customFormat="false" ht="15" hidden="false" customHeight="false" outlineLevel="0" collapsed="false">
      <c r="A3634" s="1" t="s">
        <v>411</v>
      </c>
      <c r="B3634" s="1" t="s">
        <v>14955</v>
      </c>
      <c r="C3634" s="1" t="s">
        <v>14956</v>
      </c>
      <c r="D3634" s="2" t="n">
        <v>41180</v>
      </c>
      <c r="E3634" s="1" t="s">
        <v>763</v>
      </c>
      <c r="F3634" s="1" t="s">
        <v>711</v>
      </c>
      <c r="G3634" s="1" t="s">
        <v>1220</v>
      </c>
      <c r="H3634" s="1" t="s">
        <v>713</v>
      </c>
      <c r="I3634" s="1" t="s">
        <v>714</v>
      </c>
      <c r="J3634" s="1" t="s">
        <v>10504</v>
      </c>
      <c r="K3634" s="1" t="s">
        <v>14957</v>
      </c>
      <c r="L3634" s="1" t="s">
        <v>14958</v>
      </c>
      <c r="M3634" s="1" t="s">
        <v>718</v>
      </c>
    </row>
    <row r="3635" customFormat="false" ht="15" hidden="false" customHeight="false" outlineLevel="0" collapsed="false">
      <c r="A3635" s="1" t="s">
        <v>14959</v>
      </c>
      <c r="B3635" s="1" t="s">
        <v>14960</v>
      </c>
      <c r="C3635" s="1" t="s">
        <v>1139</v>
      </c>
      <c r="D3635" s="2" t="n">
        <v>40472</v>
      </c>
      <c r="E3635" s="1" t="s">
        <v>763</v>
      </c>
      <c r="F3635" s="1" t="s">
        <v>711</v>
      </c>
      <c r="G3635" s="1" t="s">
        <v>712</v>
      </c>
      <c r="H3635" s="1" t="s">
        <v>713</v>
      </c>
      <c r="I3635" s="1" t="s">
        <v>714</v>
      </c>
      <c r="J3635" s="1" t="s">
        <v>4239</v>
      </c>
      <c r="K3635" s="1" t="s">
        <v>14961</v>
      </c>
      <c r="L3635" s="1" t="s">
        <v>14962</v>
      </c>
      <c r="M3635" s="1" t="s">
        <v>718</v>
      </c>
    </row>
    <row r="3636" customFormat="false" ht="15" hidden="false" customHeight="false" outlineLevel="0" collapsed="false">
      <c r="A3636" s="1" t="s">
        <v>627</v>
      </c>
      <c r="B3636" s="1" t="s">
        <v>14963</v>
      </c>
      <c r="C3636" s="1" t="s">
        <v>13359</v>
      </c>
      <c r="D3636" s="2" t="n">
        <v>40238</v>
      </c>
      <c r="E3636" s="1" t="s">
        <v>763</v>
      </c>
      <c r="F3636" s="1" t="s">
        <v>711</v>
      </c>
      <c r="G3636" s="1" t="s">
        <v>712</v>
      </c>
      <c r="H3636" s="1" t="s">
        <v>713</v>
      </c>
      <c r="I3636" s="1" t="s">
        <v>714</v>
      </c>
      <c r="J3636" s="1" t="s">
        <v>4239</v>
      </c>
      <c r="K3636" s="1" t="s">
        <v>13355</v>
      </c>
      <c r="L3636" s="1" t="s">
        <v>13356</v>
      </c>
      <c r="M3636" s="1" t="s">
        <v>718</v>
      </c>
    </row>
    <row r="3637" customFormat="false" ht="15" hidden="false" customHeight="false" outlineLevel="0" collapsed="false">
      <c r="A3637" s="1" t="s">
        <v>697</v>
      </c>
      <c r="B3637" s="1" t="s">
        <v>14964</v>
      </c>
      <c r="C3637" s="1" t="s">
        <v>9595</v>
      </c>
      <c r="D3637" s="2" t="n">
        <v>40166</v>
      </c>
      <c r="E3637" s="1" t="s">
        <v>763</v>
      </c>
      <c r="F3637" s="1" t="s">
        <v>711</v>
      </c>
      <c r="G3637" s="1" t="s">
        <v>722</v>
      </c>
      <c r="H3637" s="1" t="s">
        <v>713</v>
      </c>
      <c r="I3637" s="1" t="s">
        <v>714</v>
      </c>
      <c r="J3637" s="1" t="s">
        <v>1723</v>
      </c>
      <c r="K3637" s="1" t="s">
        <v>14965</v>
      </c>
      <c r="L3637" s="1" t="s">
        <v>14966</v>
      </c>
      <c r="M3637" s="1" t="s">
        <v>718</v>
      </c>
    </row>
    <row r="3638" customFormat="false" ht="15" hidden="false" customHeight="false" outlineLevel="0" collapsed="false">
      <c r="A3638" s="1" t="s">
        <v>14967</v>
      </c>
      <c r="B3638" s="1" t="s">
        <v>14968</v>
      </c>
      <c r="C3638" s="1" t="s">
        <v>14815</v>
      </c>
      <c r="D3638" s="2" t="n">
        <v>38707</v>
      </c>
      <c r="E3638" s="1" t="s">
        <v>763</v>
      </c>
      <c r="F3638" s="1" t="s">
        <v>711</v>
      </c>
      <c r="G3638" s="1" t="s">
        <v>722</v>
      </c>
      <c r="H3638" s="1" t="s">
        <v>713</v>
      </c>
      <c r="I3638" s="1" t="s">
        <v>714</v>
      </c>
      <c r="J3638" s="1" t="s">
        <v>8879</v>
      </c>
      <c r="K3638" s="1" t="s">
        <v>14969</v>
      </c>
      <c r="L3638" s="1" t="s">
        <v>14817</v>
      </c>
      <c r="M3638" s="1" t="s">
        <v>718</v>
      </c>
    </row>
    <row r="3639" customFormat="false" ht="15" hidden="false" customHeight="false" outlineLevel="0" collapsed="false">
      <c r="A3639" s="1" t="s">
        <v>14970</v>
      </c>
      <c r="B3639" s="1" t="s">
        <v>14971</v>
      </c>
      <c r="C3639" s="1" t="s">
        <v>14972</v>
      </c>
      <c r="D3639" s="2" t="n">
        <v>38887</v>
      </c>
      <c r="E3639" s="1" t="s">
        <v>710</v>
      </c>
      <c r="F3639" s="1" t="s">
        <v>711</v>
      </c>
      <c r="G3639" s="1" t="s">
        <v>722</v>
      </c>
      <c r="H3639" s="1" t="s">
        <v>713</v>
      </c>
      <c r="I3639" s="1" t="s">
        <v>714</v>
      </c>
      <c r="J3639" s="1" t="s">
        <v>1172</v>
      </c>
      <c r="K3639" s="1" t="s">
        <v>10943</v>
      </c>
      <c r="L3639" s="1" t="s">
        <v>1106</v>
      </c>
      <c r="M3639" s="1" t="s">
        <v>718</v>
      </c>
    </row>
    <row r="3640" customFormat="false" ht="15" hidden="false" customHeight="false" outlineLevel="0" collapsed="false">
      <c r="A3640" s="1" t="s">
        <v>573</v>
      </c>
      <c r="B3640" s="1" t="s">
        <v>3219</v>
      </c>
      <c r="C3640" s="1" t="s">
        <v>14973</v>
      </c>
      <c r="D3640" s="2" t="n">
        <v>39797</v>
      </c>
      <c r="E3640" s="1" t="s">
        <v>710</v>
      </c>
      <c r="F3640" s="1" t="s">
        <v>711</v>
      </c>
      <c r="G3640" s="1" t="s">
        <v>712</v>
      </c>
      <c r="H3640" s="1" t="s">
        <v>713</v>
      </c>
      <c r="I3640" s="1" t="s">
        <v>714</v>
      </c>
      <c r="J3640" s="1" t="s">
        <v>1530</v>
      </c>
      <c r="K3640" s="1" t="s">
        <v>14974</v>
      </c>
      <c r="L3640" s="1" t="s">
        <v>14975</v>
      </c>
      <c r="M3640" s="1" t="s">
        <v>718</v>
      </c>
    </row>
    <row r="3641" customFormat="false" ht="15" hidden="false" customHeight="false" outlineLevel="0" collapsed="false">
      <c r="A3641" s="1" t="s">
        <v>692</v>
      </c>
      <c r="B3641" s="1" t="s">
        <v>14976</v>
      </c>
      <c r="C3641" s="1" t="s">
        <v>12718</v>
      </c>
      <c r="D3641" s="2" t="n">
        <v>39935</v>
      </c>
      <c r="E3641" s="1" t="s">
        <v>763</v>
      </c>
      <c r="F3641" s="1" t="s">
        <v>711</v>
      </c>
      <c r="G3641" s="1" t="s">
        <v>722</v>
      </c>
      <c r="H3641" s="1" t="s">
        <v>713</v>
      </c>
      <c r="I3641" s="1" t="s">
        <v>714</v>
      </c>
      <c r="J3641" s="1" t="s">
        <v>2438</v>
      </c>
      <c r="K3641" s="1" t="s">
        <v>11345</v>
      </c>
      <c r="L3641" s="1" t="s">
        <v>1758</v>
      </c>
      <c r="M3641" s="1" t="s">
        <v>718</v>
      </c>
    </row>
    <row r="3642" customFormat="false" ht="15" hidden="false" customHeight="false" outlineLevel="0" collapsed="false">
      <c r="A3642" s="1" t="s">
        <v>14977</v>
      </c>
      <c r="B3642" s="1" t="s">
        <v>14978</v>
      </c>
      <c r="C3642" s="1" t="s">
        <v>6075</v>
      </c>
      <c r="D3642" s="2" t="n">
        <v>40060</v>
      </c>
      <c r="E3642" s="1" t="s">
        <v>710</v>
      </c>
      <c r="F3642" s="1" t="s">
        <v>711</v>
      </c>
      <c r="G3642" s="1" t="s">
        <v>712</v>
      </c>
      <c r="H3642" s="1" t="s">
        <v>713</v>
      </c>
      <c r="I3642" s="1" t="s">
        <v>714</v>
      </c>
      <c r="J3642" s="1" t="s">
        <v>1131</v>
      </c>
      <c r="K3642" s="1" t="s">
        <v>14979</v>
      </c>
      <c r="L3642" s="1" t="s">
        <v>6078</v>
      </c>
      <c r="M3642" s="1" t="s">
        <v>718</v>
      </c>
    </row>
    <row r="3643" customFormat="false" ht="15" hidden="false" customHeight="false" outlineLevel="0" collapsed="false">
      <c r="A3643" s="1" t="s">
        <v>14980</v>
      </c>
      <c r="B3643" s="1" t="s">
        <v>14981</v>
      </c>
      <c r="C3643" s="1" t="s">
        <v>14982</v>
      </c>
      <c r="D3643" s="2" t="n">
        <v>40182</v>
      </c>
      <c r="E3643" s="1" t="s">
        <v>763</v>
      </c>
      <c r="F3643" s="1" t="s">
        <v>711</v>
      </c>
      <c r="G3643" s="1" t="s">
        <v>712</v>
      </c>
      <c r="H3643" s="1" t="s">
        <v>713</v>
      </c>
      <c r="I3643" s="1" t="s">
        <v>714</v>
      </c>
      <c r="J3643" s="1" t="s">
        <v>1131</v>
      </c>
      <c r="K3643" s="1" t="s">
        <v>14979</v>
      </c>
      <c r="L3643" s="1" t="s">
        <v>14983</v>
      </c>
      <c r="M3643" s="1" t="s">
        <v>718</v>
      </c>
    </row>
    <row r="3644" customFormat="false" ht="15" hidden="false" customHeight="false" outlineLevel="0" collapsed="false">
      <c r="A3644" s="1" t="s">
        <v>14984</v>
      </c>
      <c r="B3644" s="1" t="s">
        <v>14985</v>
      </c>
      <c r="C3644" s="1" t="s">
        <v>14986</v>
      </c>
      <c r="D3644" s="2" t="n">
        <v>44485</v>
      </c>
      <c r="E3644" s="1" t="s">
        <v>763</v>
      </c>
      <c r="F3644" s="1" t="s">
        <v>711</v>
      </c>
      <c r="G3644" s="1" t="s">
        <v>14987</v>
      </c>
      <c r="H3644" s="1" t="s">
        <v>713</v>
      </c>
      <c r="I3644" s="1" t="s">
        <v>714</v>
      </c>
      <c r="J3644" s="1" t="s">
        <v>14988</v>
      </c>
      <c r="K3644" s="1" t="s">
        <v>14801</v>
      </c>
      <c r="L3644" s="1" t="s">
        <v>14989</v>
      </c>
      <c r="M3644" s="1" t="s">
        <v>718</v>
      </c>
    </row>
    <row r="3645" customFormat="false" ht="15" hidden="false" customHeight="false" outlineLevel="0" collapsed="false">
      <c r="A3645" s="1" t="s">
        <v>685</v>
      </c>
      <c r="B3645" s="1" t="s">
        <v>14990</v>
      </c>
      <c r="C3645" s="1" t="s">
        <v>14003</v>
      </c>
      <c r="D3645" s="2" t="n">
        <v>40029</v>
      </c>
      <c r="E3645" s="1" t="s">
        <v>710</v>
      </c>
      <c r="F3645" s="1" t="s">
        <v>711</v>
      </c>
      <c r="G3645" s="1" t="s">
        <v>712</v>
      </c>
      <c r="H3645" s="1" t="s">
        <v>713</v>
      </c>
      <c r="I3645" s="1" t="s">
        <v>714</v>
      </c>
      <c r="J3645" s="1" t="s">
        <v>2438</v>
      </c>
      <c r="K3645" s="1" t="s">
        <v>14991</v>
      </c>
      <c r="L3645" s="1" t="s">
        <v>14006</v>
      </c>
      <c r="M3645" s="1" t="s">
        <v>718</v>
      </c>
    </row>
    <row r="3646" customFormat="false" ht="15" hidden="false" customHeight="false" outlineLevel="0" collapsed="false">
      <c r="A3646" s="1" t="s">
        <v>686</v>
      </c>
      <c r="B3646" s="1" t="s">
        <v>14992</v>
      </c>
      <c r="C3646" s="1" t="s">
        <v>1825</v>
      </c>
      <c r="D3646" s="2" t="n">
        <v>39814</v>
      </c>
      <c r="E3646" s="1" t="s">
        <v>763</v>
      </c>
      <c r="F3646" s="1" t="s">
        <v>711</v>
      </c>
      <c r="G3646" s="1" t="s">
        <v>712</v>
      </c>
      <c r="H3646" s="1" t="s">
        <v>713</v>
      </c>
      <c r="I3646" s="1" t="s">
        <v>714</v>
      </c>
      <c r="J3646" s="1" t="s">
        <v>8879</v>
      </c>
      <c r="K3646" s="1" t="s">
        <v>14993</v>
      </c>
      <c r="L3646" s="1" t="s">
        <v>1827</v>
      </c>
      <c r="M3646" s="1" t="s">
        <v>718</v>
      </c>
    </row>
    <row r="3647" customFormat="false" ht="15" hidden="false" customHeight="false" outlineLevel="0" collapsed="false">
      <c r="A3647" s="1" t="s">
        <v>14994</v>
      </c>
      <c r="B3647" s="1" t="s">
        <v>14995</v>
      </c>
      <c r="C3647" s="1" t="s">
        <v>9330</v>
      </c>
      <c r="D3647" s="2" t="n">
        <v>39121</v>
      </c>
      <c r="E3647" s="1" t="s">
        <v>763</v>
      </c>
      <c r="F3647" s="1" t="s">
        <v>711</v>
      </c>
      <c r="G3647" s="1" t="s">
        <v>14996</v>
      </c>
      <c r="H3647" s="1" t="s">
        <v>713</v>
      </c>
      <c r="I3647" s="1" t="s">
        <v>714</v>
      </c>
      <c r="J3647" s="1" t="s">
        <v>14997</v>
      </c>
      <c r="K3647" s="1" t="s">
        <v>716</v>
      </c>
      <c r="L3647" s="1" t="s">
        <v>9332</v>
      </c>
      <c r="M3647" s="1" t="s">
        <v>718</v>
      </c>
    </row>
    <row r="3648" customFormat="false" ht="15" hidden="false" customHeight="false" outlineLevel="0" collapsed="false">
      <c r="A3648" s="1" t="s">
        <v>699</v>
      </c>
      <c r="B3648" s="1" t="s">
        <v>14998</v>
      </c>
      <c r="C3648" s="1" t="s">
        <v>14425</v>
      </c>
      <c r="D3648" s="2" t="n">
        <v>40496</v>
      </c>
      <c r="E3648" s="1" t="s">
        <v>763</v>
      </c>
      <c r="F3648" s="1" t="s">
        <v>711</v>
      </c>
      <c r="G3648" s="1" t="s">
        <v>722</v>
      </c>
      <c r="H3648" s="1" t="s">
        <v>713</v>
      </c>
      <c r="I3648" s="1" t="s">
        <v>714</v>
      </c>
      <c r="J3648" s="1" t="s">
        <v>6007</v>
      </c>
      <c r="K3648" s="1" t="s">
        <v>716</v>
      </c>
      <c r="L3648" s="1" t="s">
        <v>11230</v>
      </c>
      <c r="M3648" s="1" t="s">
        <v>718</v>
      </c>
    </row>
    <row r="3649" customFormat="false" ht="15" hidden="false" customHeight="false" outlineLevel="0" collapsed="false">
      <c r="A3649" s="1" t="s">
        <v>596</v>
      </c>
      <c r="B3649" s="1" t="s">
        <v>1985</v>
      </c>
      <c r="C3649" s="1" t="s">
        <v>14999</v>
      </c>
      <c r="D3649" s="2" t="n">
        <v>39997</v>
      </c>
      <c r="E3649" s="1" t="s">
        <v>710</v>
      </c>
      <c r="F3649" s="1" t="s">
        <v>711</v>
      </c>
      <c r="G3649" s="1" t="s">
        <v>712</v>
      </c>
      <c r="H3649" s="1" t="s">
        <v>713</v>
      </c>
      <c r="I3649" s="1" t="s">
        <v>714</v>
      </c>
      <c r="J3649" s="1" t="s">
        <v>2041</v>
      </c>
      <c r="K3649" s="1" t="s">
        <v>14945</v>
      </c>
      <c r="L3649" s="1" t="s">
        <v>15000</v>
      </c>
      <c r="M3649" s="1" t="s">
        <v>718</v>
      </c>
    </row>
    <row r="3650" customFormat="false" ht="15" hidden="false" customHeight="false" outlineLevel="0" collapsed="false">
      <c r="A3650" s="1" t="s">
        <v>513</v>
      </c>
      <c r="B3650" s="1" t="s">
        <v>15001</v>
      </c>
      <c r="C3650" s="1" t="s">
        <v>15002</v>
      </c>
      <c r="D3650" s="2" t="n">
        <v>40035</v>
      </c>
      <c r="E3650" s="1" t="s">
        <v>710</v>
      </c>
      <c r="F3650" s="1" t="s">
        <v>711</v>
      </c>
      <c r="G3650" s="1" t="s">
        <v>712</v>
      </c>
      <c r="H3650" s="1" t="s">
        <v>713</v>
      </c>
      <c r="I3650" s="1" t="s">
        <v>714</v>
      </c>
      <c r="J3650" s="1" t="s">
        <v>6876</v>
      </c>
      <c r="K3650" s="1" t="s">
        <v>15003</v>
      </c>
      <c r="L3650" s="1" t="s">
        <v>15004</v>
      </c>
      <c r="M3650" s="1" t="s">
        <v>718</v>
      </c>
    </row>
    <row r="3651" customFormat="false" ht="15" hidden="false" customHeight="false" outlineLevel="0" collapsed="false">
      <c r="A3651" s="1" t="s">
        <v>15005</v>
      </c>
      <c r="B3651" s="1" t="s">
        <v>15006</v>
      </c>
      <c r="C3651" s="1" t="s">
        <v>9613</v>
      </c>
      <c r="D3651" s="2" t="n">
        <v>40031</v>
      </c>
      <c r="E3651" s="1" t="s">
        <v>763</v>
      </c>
      <c r="F3651" s="1" t="s">
        <v>711</v>
      </c>
      <c r="G3651" s="1" t="s">
        <v>712</v>
      </c>
      <c r="H3651" s="1" t="s">
        <v>713</v>
      </c>
      <c r="I3651" s="1" t="s">
        <v>714</v>
      </c>
      <c r="J3651" s="1" t="s">
        <v>3517</v>
      </c>
      <c r="K3651" s="1" t="s">
        <v>15007</v>
      </c>
      <c r="L3651" s="1" t="s">
        <v>9616</v>
      </c>
      <c r="M3651" s="1" t="s">
        <v>718</v>
      </c>
    </row>
    <row r="3652" customFormat="false" ht="15" hidden="false" customHeight="false" outlineLevel="0" collapsed="false">
      <c r="A3652" s="1" t="s">
        <v>15008</v>
      </c>
      <c r="B3652" s="1" t="s">
        <v>15009</v>
      </c>
      <c r="C3652" s="1" t="s">
        <v>15010</v>
      </c>
      <c r="D3652" s="2" t="n">
        <v>40131</v>
      </c>
      <c r="E3652" s="1" t="s">
        <v>763</v>
      </c>
      <c r="F3652" s="1" t="s">
        <v>711</v>
      </c>
      <c r="G3652" s="1" t="s">
        <v>712</v>
      </c>
      <c r="H3652" s="1" t="s">
        <v>713</v>
      </c>
      <c r="I3652" s="1" t="s">
        <v>714</v>
      </c>
      <c r="J3652" s="1" t="s">
        <v>838</v>
      </c>
      <c r="K3652" s="1" t="s">
        <v>15011</v>
      </c>
      <c r="L3652" s="1" t="s">
        <v>15012</v>
      </c>
      <c r="M3652" s="1" t="s">
        <v>718</v>
      </c>
    </row>
    <row r="3653" customFormat="false" ht="15" hidden="false" customHeight="false" outlineLevel="0" collapsed="false">
      <c r="A3653" s="1" t="s">
        <v>15013</v>
      </c>
      <c r="B3653" s="1" t="s">
        <v>15014</v>
      </c>
      <c r="C3653" s="1" t="s">
        <v>7348</v>
      </c>
      <c r="D3653" s="2" t="n">
        <v>40176</v>
      </c>
      <c r="E3653" s="1" t="s">
        <v>763</v>
      </c>
      <c r="F3653" s="1" t="s">
        <v>711</v>
      </c>
      <c r="G3653" s="1" t="s">
        <v>712</v>
      </c>
      <c r="H3653" s="1" t="s">
        <v>713</v>
      </c>
      <c r="I3653" s="1" t="s">
        <v>714</v>
      </c>
      <c r="J3653" s="1" t="s">
        <v>3517</v>
      </c>
      <c r="K3653" s="1" t="s">
        <v>15015</v>
      </c>
      <c r="L3653" s="1" t="s">
        <v>10688</v>
      </c>
      <c r="M3653" s="1" t="s">
        <v>718</v>
      </c>
    </row>
    <row r="3654" customFormat="false" ht="15" hidden="false" customHeight="false" outlineLevel="0" collapsed="false">
      <c r="A3654" s="1" t="s">
        <v>15016</v>
      </c>
      <c r="B3654" s="1" t="s">
        <v>15017</v>
      </c>
      <c r="C3654" s="1" t="s">
        <v>14795</v>
      </c>
      <c r="D3654" s="2" t="n">
        <v>38931</v>
      </c>
      <c r="E3654" s="1" t="s">
        <v>763</v>
      </c>
      <c r="F3654" s="1" t="s">
        <v>711</v>
      </c>
      <c r="G3654" s="1" t="s">
        <v>712</v>
      </c>
      <c r="H3654" s="1" t="s">
        <v>713</v>
      </c>
      <c r="I3654" s="1" t="s">
        <v>714</v>
      </c>
      <c r="J3654" s="1" t="s">
        <v>6007</v>
      </c>
      <c r="K3654" s="1" t="s">
        <v>716</v>
      </c>
      <c r="L3654" s="1" t="s">
        <v>14797</v>
      </c>
      <c r="M3654" s="1" t="s">
        <v>718</v>
      </c>
    </row>
    <row r="3655" customFormat="false" ht="15" hidden="false" customHeight="false" outlineLevel="0" collapsed="false">
      <c r="A3655" s="1" t="s">
        <v>15018</v>
      </c>
      <c r="B3655" s="1" t="s">
        <v>11491</v>
      </c>
      <c r="C3655" s="1" t="s">
        <v>15019</v>
      </c>
      <c r="D3655" s="2" t="n">
        <v>39381</v>
      </c>
      <c r="E3655" s="1" t="s">
        <v>763</v>
      </c>
      <c r="F3655" s="1" t="s">
        <v>711</v>
      </c>
      <c r="G3655" s="1" t="s">
        <v>722</v>
      </c>
      <c r="H3655" s="1" t="s">
        <v>713</v>
      </c>
      <c r="I3655" s="1" t="s">
        <v>714</v>
      </c>
      <c r="J3655" s="1" t="s">
        <v>716</v>
      </c>
      <c r="K3655" s="1" t="s">
        <v>716</v>
      </c>
      <c r="L3655" s="1" t="s">
        <v>15020</v>
      </c>
      <c r="M3655" s="1" t="s">
        <v>718</v>
      </c>
    </row>
    <row r="3656" customFormat="false" ht="15" hidden="false" customHeight="false" outlineLevel="0" collapsed="false">
      <c r="A3656" s="1" t="s">
        <v>607</v>
      </c>
      <c r="B3656" s="1" t="s">
        <v>15021</v>
      </c>
      <c r="C3656" s="1" t="s">
        <v>15022</v>
      </c>
      <c r="D3656" s="2" t="n">
        <v>40406</v>
      </c>
      <c r="E3656" s="1" t="s">
        <v>763</v>
      </c>
      <c r="F3656" s="1" t="s">
        <v>711</v>
      </c>
      <c r="G3656" s="1" t="s">
        <v>712</v>
      </c>
      <c r="H3656" s="1" t="s">
        <v>713</v>
      </c>
      <c r="I3656" s="1" t="s">
        <v>714</v>
      </c>
      <c r="J3656" s="1" t="s">
        <v>4239</v>
      </c>
      <c r="K3656" s="1" t="s">
        <v>15023</v>
      </c>
      <c r="L3656" s="1" t="s">
        <v>15024</v>
      </c>
      <c r="M3656" s="1" t="s">
        <v>718</v>
      </c>
    </row>
    <row r="3657" customFormat="false" ht="15" hidden="false" customHeight="false" outlineLevel="0" collapsed="false">
      <c r="A3657" s="1" t="s">
        <v>15025</v>
      </c>
      <c r="B3657" s="1" t="s">
        <v>15026</v>
      </c>
      <c r="C3657" s="1" t="s">
        <v>15027</v>
      </c>
      <c r="D3657" s="2" t="n">
        <v>40049</v>
      </c>
      <c r="E3657" s="1" t="s">
        <v>763</v>
      </c>
      <c r="F3657" s="1" t="s">
        <v>711</v>
      </c>
      <c r="G3657" s="1" t="s">
        <v>712</v>
      </c>
      <c r="H3657" s="1" t="s">
        <v>713</v>
      </c>
      <c r="I3657" s="1" t="s">
        <v>714</v>
      </c>
      <c r="J3657" s="1" t="s">
        <v>4239</v>
      </c>
      <c r="K3657" s="1" t="s">
        <v>716</v>
      </c>
      <c r="L3657" s="1" t="s">
        <v>15028</v>
      </c>
      <c r="M3657" s="1" t="s">
        <v>718</v>
      </c>
    </row>
    <row r="3658" customFormat="false" ht="15" hidden="false" customHeight="false" outlineLevel="0" collapsed="false">
      <c r="A3658" s="1" t="s">
        <v>691</v>
      </c>
      <c r="B3658" s="1" t="s">
        <v>15029</v>
      </c>
      <c r="C3658" s="1" t="s">
        <v>15030</v>
      </c>
      <c r="D3658" s="2" t="n">
        <v>40400</v>
      </c>
      <c r="E3658" s="1" t="s">
        <v>763</v>
      </c>
      <c r="F3658" s="1" t="s">
        <v>711</v>
      </c>
      <c r="G3658" s="1" t="s">
        <v>712</v>
      </c>
      <c r="H3658" s="1" t="s">
        <v>713</v>
      </c>
      <c r="I3658" s="1" t="s">
        <v>714</v>
      </c>
      <c r="J3658" s="1" t="s">
        <v>821</v>
      </c>
      <c r="K3658" s="1" t="s">
        <v>14736</v>
      </c>
      <c r="L3658" s="1" t="s">
        <v>5940</v>
      </c>
      <c r="M3658" s="1" t="s">
        <v>718</v>
      </c>
    </row>
    <row r="3659" customFormat="false" ht="15" hidden="false" customHeight="false" outlineLevel="0" collapsed="false">
      <c r="A3659" s="1" t="s">
        <v>15031</v>
      </c>
      <c r="B3659" s="1" t="s">
        <v>15032</v>
      </c>
      <c r="C3659" s="1" t="s">
        <v>12957</v>
      </c>
      <c r="D3659" s="2" t="n">
        <v>39856</v>
      </c>
      <c r="E3659" s="1" t="s">
        <v>710</v>
      </c>
      <c r="F3659" s="1" t="s">
        <v>711</v>
      </c>
      <c r="G3659" s="1" t="s">
        <v>712</v>
      </c>
      <c r="H3659" s="1" t="s">
        <v>713</v>
      </c>
      <c r="I3659" s="1" t="s">
        <v>714</v>
      </c>
      <c r="J3659" s="1" t="s">
        <v>838</v>
      </c>
      <c r="K3659" s="1" t="s">
        <v>15033</v>
      </c>
      <c r="L3659" s="1" t="s">
        <v>12959</v>
      </c>
      <c r="M3659" s="1" t="s">
        <v>718</v>
      </c>
    </row>
    <row r="3660" customFormat="false" ht="15" hidden="false" customHeight="false" outlineLevel="0" collapsed="false">
      <c r="A3660" s="1" t="s">
        <v>588</v>
      </c>
      <c r="B3660" s="1" t="s">
        <v>15034</v>
      </c>
      <c r="C3660" s="1" t="s">
        <v>13899</v>
      </c>
      <c r="D3660" s="2" t="n">
        <v>40048</v>
      </c>
      <c r="E3660" s="1" t="s">
        <v>763</v>
      </c>
      <c r="F3660" s="1" t="s">
        <v>711</v>
      </c>
      <c r="G3660" s="1" t="s">
        <v>712</v>
      </c>
      <c r="H3660" s="1" t="s">
        <v>713</v>
      </c>
      <c r="I3660" s="1" t="s">
        <v>714</v>
      </c>
      <c r="J3660" s="1" t="s">
        <v>1149</v>
      </c>
      <c r="K3660" s="1" t="s">
        <v>15035</v>
      </c>
      <c r="L3660" s="1" t="s">
        <v>13901</v>
      </c>
      <c r="M3660" s="1" t="s">
        <v>718</v>
      </c>
    </row>
    <row r="3661" customFormat="false" ht="15" hidden="false" customHeight="false" outlineLevel="0" collapsed="false">
      <c r="A3661" s="1" t="s">
        <v>15036</v>
      </c>
      <c r="B3661" s="1" t="s">
        <v>15037</v>
      </c>
      <c r="C3661" s="1" t="s">
        <v>8278</v>
      </c>
      <c r="D3661" s="2" t="n">
        <v>39804</v>
      </c>
      <c r="E3661" s="1" t="s">
        <v>763</v>
      </c>
      <c r="F3661" s="1" t="s">
        <v>711</v>
      </c>
      <c r="G3661" s="1" t="s">
        <v>722</v>
      </c>
      <c r="H3661" s="1" t="s">
        <v>713</v>
      </c>
      <c r="I3661" s="1" t="s">
        <v>714</v>
      </c>
      <c r="J3661" s="1" t="s">
        <v>715</v>
      </c>
      <c r="K3661" s="1" t="s">
        <v>15038</v>
      </c>
      <c r="L3661" s="1" t="s">
        <v>15039</v>
      </c>
      <c r="M3661" s="1" t="s">
        <v>718</v>
      </c>
    </row>
    <row r="3662" customFormat="false" ht="15" hidden="false" customHeight="false" outlineLevel="0" collapsed="false">
      <c r="A3662" s="1" t="s">
        <v>15040</v>
      </c>
      <c r="B3662" s="1" t="s">
        <v>15041</v>
      </c>
      <c r="C3662" s="1" t="s">
        <v>15042</v>
      </c>
      <c r="D3662" s="2" t="n">
        <v>38597</v>
      </c>
      <c r="E3662" s="1" t="s">
        <v>710</v>
      </c>
      <c r="F3662" s="1" t="s">
        <v>711</v>
      </c>
      <c r="G3662" s="1" t="s">
        <v>15043</v>
      </c>
      <c r="H3662" s="1" t="s">
        <v>713</v>
      </c>
      <c r="I3662" s="1" t="s">
        <v>714</v>
      </c>
      <c r="J3662" s="1" t="s">
        <v>1390</v>
      </c>
      <c r="K3662" s="1" t="s">
        <v>15044</v>
      </c>
      <c r="L3662" s="1" t="s">
        <v>15045</v>
      </c>
      <c r="M3662" s="1" t="s">
        <v>718</v>
      </c>
    </row>
    <row r="3663" customFormat="false" ht="15" hidden="false" customHeight="false" outlineLevel="0" collapsed="false">
      <c r="A3663" s="1" t="s">
        <v>15046</v>
      </c>
      <c r="B3663" s="1" t="s">
        <v>3157</v>
      </c>
      <c r="C3663" s="1" t="s">
        <v>15047</v>
      </c>
      <c r="D3663" s="2" t="n">
        <v>38876</v>
      </c>
      <c r="E3663" s="1" t="s">
        <v>710</v>
      </c>
      <c r="F3663" s="1" t="s">
        <v>711</v>
      </c>
      <c r="G3663" s="1" t="s">
        <v>712</v>
      </c>
      <c r="H3663" s="1" t="s">
        <v>713</v>
      </c>
      <c r="I3663" s="1" t="s">
        <v>714</v>
      </c>
      <c r="J3663" s="1" t="s">
        <v>15048</v>
      </c>
      <c r="K3663" s="1" t="s">
        <v>15049</v>
      </c>
      <c r="L3663" s="1" t="s">
        <v>15050</v>
      </c>
      <c r="M3663" s="1" t="s">
        <v>718</v>
      </c>
    </row>
    <row r="3664" customFormat="false" ht="15" hidden="false" customHeight="false" outlineLevel="0" collapsed="false">
      <c r="A3664" s="1" t="s">
        <v>15051</v>
      </c>
      <c r="B3664" s="1" t="s">
        <v>1468</v>
      </c>
      <c r="C3664" s="1" t="s">
        <v>4853</v>
      </c>
      <c r="D3664" s="2" t="n">
        <v>39192</v>
      </c>
      <c r="E3664" s="1" t="s">
        <v>710</v>
      </c>
      <c r="F3664" s="1" t="s">
        <v>711</v>
      </c>
      <c r="G3664" s="1" t="s">
        <v>722</v>
      </c>
      <c r="H3664" s="1" t="s">
        <v>713</v>
      </c>
      <c r="I3664" s="1" t="s">
        <v>714</v>
      </c>
      <c r="J3664" s="1" t="s">
        <v>1244</v>
      </c>
      <c r="K3664" s="1" t="s">
        <v>15052</v>
      </c>
      <c r="L3664" s="1" t="s">
        <v>3160</v>
      </c>
      <c r="M3664" s="1" t="s">
        <v>718</v>
      </c>
    </row>
    <row r="3665" customFormat="false" ht="15" hidden="false" customHeight="false" outlineLevel="0" collapsed="false">
      <c r="A3665" s="1" t="s">
        <v>666</v>
      </c>
      <c r="B3665" s="1" t="s">
        <v>15053</v>
      </c>
      <c r="C3665" s="1" t="s">
        <v>15054</v>
      </c>
      <c r="D3665" s="2" t="n">
        <v>39941</v>
      </c>
      <c r="E3665" s="1" t="s">
        <v>763</v>
      </c>
      <c r="F3665" s="1" t="s">
        <v>711</v>
      </c>
      <c r="G3665" s="1" t="s">
        <v>712</v>
      </c>
      <c r="H3665" s="1" t="s">
        <v>713</v>
      </c>
      <c r="I3665" s="1" t="s">
        <v>714</v>
      </c>
      <c r="J3665" s="1" t="s">
        <v>15055</v>
      </c>
      <c r="K3665" s="1" t="s">
        <v>15056</v>
      </c>
      <c r="L3665" s="1" t="s">
        <v>15057</v>
      </c>
      <c r="M3665" s="1" t="s">
        <v>718</v>
      </c>
    </row>
    <row r="3666" customFormat="false" ht="15" hidden="false" customHeight="false" outlineLevel="0" collapsed="false">
      <c r="A3666" s="1" t="s">
        <v>15058</v>
      </c>
      <c r="B3666" s="1" t="s">
        <v>2805</v>
      </c>
      <c r="C3666" s="1" t="s">
        <v>8651</v>
      </c>
      <c r="D3666" s="2" t="n">
        <v>34961</v>
      </c>
      <c r="E3666" s="1" t="s">
        <v>710</v>
      </c>
      <c r="F3666" s="1" t="s">
        <v>711</v>
      </c>
      <c r="G3666" s="1" t="s">
        <v>722</v>
      </c>
      <c r="H3666" s="1" t="s">
        <v>713</v>
      </c>
      <c r="I3666" s="1" t="s">
        <v>714</v>
      </c>
      <c r="J3666" s="1" t="s">
        <v>1530</v>
      </c>
      <c r="K3666" s="1" t="s">
        <v>10321</v>
      </c>
      <c r="L3666" s="1" t="s">
        <v>1418</v>
      </c>
      <c r="M3666" s="1" t="s">
        <v>718</v>
      </c>
    </row>
    <row r="3667" customFormat="false" ht="15" hidden="false" customHeight="false" outlineLevel="0" collapsed="false">
      <c r="A3667" s="1" t="s">
        <v>15059</v>
      </c>
      <c r="B3667" s="1" t="s">
        <v>15060</v>
      </c>
      <c r="C3667" s="1" t="s">
        <v>13588</v>
      </c>
      <c r="D3667" s="2" t="n">
        <v>39948</v>
      </c>
      <c r="E3667" s="1" t="s">
        <v>710</v>
      </c>
      <c r="F3667" s="1" t="s">
        <v>711</v>
      </c>
      <c r="G3667" s="1" t="s">
        <v>712</v>
      </c>
      <c r="H3667" s="1" t="s">
        <v>713</v>
      </c>
      <c r="I3667" s="1" t="s">
        <v>714</v>
      </c>
      <c r="J3667" s="1" t="s">
        <v>1445</v>
      </c>
      <c r="K3667" s="1" t="s">
        <v>15061</v>
      </c>
      <c r="L3667" s="1" t="s">
        <v>15062</v>
      </c>
      <c r="M3667" s="1" t="s">
        <v>718</v>
      </c>
    </row>
    <row r="3668" customFormat="false" ht="15" hidden="false" customHeight="false" outlineLevel="0" collapsed="false">
      <c r="A3668" s="1" t="s">
        <v>15063</v>
      </c>
      <c r="B3668" s="1" t="s">
        <v>15064</v>
      </c>
      <c r="C3668" s="1" t="s">
        <v>15065</v>
      </c>
      <c r="D3668" s="2" t="n">
        <v>39583</v>
      </c>
      <c r="E3668" s="1" t="s">
        <v>710</v>
      </c>
      <c r="F3668" s="1" t="s">
        <v>711</v>
      </c>
      <c r="G3668" s="1" t="s">
        <v>722</v>
      </c>
      <c r="H3668" s="1" t="s">
        <v>713</v>
      </c>
      <c r="I3668" s="1" t="s">
        <v>714</v>
      </c>
      <c r="J3668" s="1" t="s">
        <v>5767</v>
      </c>
      <c r="K3668" s="1" t="s">
        <v>716</v>
      </c>
      <c r="L3668" s="1" t="s">
        <v>15066</v>
      </c>
      <c r="M3668" s="1" t="s">
        <v>718</v>
      </c>
    </row>
    <row r="3669" customFormat="false" ht="15" hidden="false" customHeight="false" outlineLevel="0" collapsed="false">
      <c r="A3669" s="1" t="s">
        <v>15067</v>
      </c>
      <c r="B3669" s="1" t="s">
        <v>738</v>
      </c>
      <c r="C3669" s="1" t="s">
        <v>15068</v>
      </c>
      <c r="D3669" s="2" t="n">
        <v>32161</v>
      </c>
      <c r="E3669" s="1" t="s">
        <v>710</v>
      </c>
      <c r="F3669" s="1" t="s">
        <v>711</v>
      </c>
      <c r="G3669" s="1" t="s">
        <v>712</v>
      </c>
      <c r="H3669" s="1" t="s">
        <v>713</v>
      </c>
      <c r="I3669" s="1" t="s">
        <v>714</v>
      </c>
      <c r="J3669" s="1" t="s">
        <v>716</v>
      </c>
      <c r="K3669" s="1" t="s">
        <v>716</v>
      </c>
      <c r="L3669" s="1" t="s">
        <v>1418</v>
      </c>
      <c r="M3669" s="1" t="s">
        <v>718</v>
      </c>
    </row>
    <row r="3670" customFormat="false" ht="15" hidden="false" customHeight="false" outlineLevel="0" collapsed="false">
      <c r="A3670" s="1" t="s">
        <v>15069</v>
      </c>
      <c r="B3670" s="1" t="s">
        <v>15070</v>
      </c>
      <c r="C3670" s="1" t="s">
        <v>7308</v>
      </c>
      <c r="D3670" s="2" t="n">
        <v>31855</v>
      </c>
      <c r="E3670" s="1" t="s">
        <v>763</v>
      </c>
      <c r="F3670" s="1" t="s">
        <v>711</v>
      </c>
      <c r="G3670" s="1" t="s">
        <v>712</v>
      </c>
      <c r="H3670" s="1" t="s">
        <v>713</v>
      </c>
      <c r="I3670" s="1" t="s">
        <v>714</v>
      </c>
      <c r="J3670" s="1" t="s">
        <v>716</v>
      </c>
      <c r="K3670" s="1" t="s">
        <v>716</v>
      </c>
      <c r="L3670" s="1" t="s">
        <v>1418</v>
      </c>
      <c r="M3670" s="1" t="s">
        <v>718</v>
      </c>
    </row>
    <row r="3671" customFormat="false" ht="15" hidden="false" customHeight="false" outlineLevel="0" collapsed="false">
      <c r="A3671" s="1" t="s">
        <v>662</v>
      </c>
      <c r="B3671" s="1" t="s">
        <v>15071</v>
      </c>
      <c r="C3671" s="1" t="s">
        <v>10933</v>
      </c>
      <c r="D3671" s="2" t="n">
        <v>39726</v>
      </c>
      <c r="E3671" s="1" t="s">
        <v>763</v>
      </c>
      <c r="F3671" s="1" t="s">
        <v>711</v>
      </c>
      <c r="G3671" s="1" t="s">
        <v>712</v>
      </c>
      <c r="H3671" s="1" t="s">
        <v>713</v>
      </c>
      <c r="I3671" s="1" t="s">
        <v>714</v>
      </c>
      <c r="J3671" s="1" t="s">
        <v>13604</v>
      </c>
      <c r="K3671" s="1" t="s">
        <v>15072</v>
      </c>
      <c r="L3671" s="1" t="s">
        <v>10935</v>
      </c>
      <c r="M3671" s="1" t="s">
        <v>718</v>
      </c>
    </row>
    <row r="3672" customFormat="false" ht="15" hidden="false" customHeight="false" outlineLevel="0" collapsed="false">
      <c r="A3672" s="1" t="s">
        <v>15073</v>
      </c>
      <c r="B3672" s="1" t="s">
        <v>15074</v>
      </c>
      <c r="C3672" s="1" t="s">
        <v>15075</v>
      </c>
      <c r="D3672" s="2" t="n">
        <v>39434</v>
      </c>
      <c r="E3672" s="1" t="s">
        <v>710</v>
      </c>
      <c r="F3672" s="1" t="s">
        <v>711</v>
      </c>
      <c r="G3672" s="1" t="s">
        <v>712</v>
      </c>
      <c r="H3672" s="1" t="s">
        <v>713</v>
      </c>
      <c r="I3672" s="1" t="s">
        <v>714</v>
      </c>
      <c r="J3672" s="1" t="s">
        <v>15076</v>
      </c>
      <c r="K3672" s="1" t="s">
        <v>15077</v>
      </c>
      <c r="L3672" s="1" t="s">
        <v>15078</v>
      </c>
      <c r="M3672" s="1" t="s">
        <v>718</v>
      </c>
    </row>
    <row r="3673" customFormat="false" ht="15" hidden="false" customHeight="false" outlineLevel="0" collapsed="false">
      <c r="A3673" s="1" t="s">
        <v>15079</v>
      </c>
      <c r="B3673" s="1" t="s">
        <v>15080</v>
      </c>
      <c r="C3673" s="1" t="s">
        <v>15081</v>
      </c>
      <c r="D3673" s="2" t="n">
        <v>39655</v>
      </c>
      <c r="E3673" s="1" t="s">
        <v>710</v>
      </c>
      <c r="F3673" s="1" t="s">
        <v>711</v>
      </c>
      <c r="G3673" s="1" t="s">
        <v>712</v>
      </c>
      <c r="H3673" s="1" t="s">
        <v>713</v>
      </c>
      <c r="I3673" s="1" t="s">
        <v>714</v>
      </c>
      <c r="J3673" s="1" t="s">
        <v>821</v>
      </c>
      <c r="K3673" s="1" t="s">
        <v>15082</v>
      </c>
      <c r="L3673" s="1" t="s">
        <v>15083</v>
      </c>
      <c r="M3673" s="1" t="s">
        <v>718</v>
      </c>
    </row>
    <row r="3674" customFormat="false" ht="15" hidden="false" customHeight="false" outlineLevel="0" collapsed="false">
      <c r="A3674" s="1" t="s">
        <v>15084</v>
      </c>
      <c r="B3674" s="1" t="s">
        <v>15085</v>
      </c>
      <c r="C3674" s="1" t="s">
        <v>2006</v>
      </c>
      <c r="D3674" s="2" t="n">
        <v>39465</v>
      </c>
      <c r="E3674" s="1" t="s">
        <v>763</v>
      </c>
      <c r="F3674" s="1" t="s">
        <v>711</v>
      </c>
      <c r="G3674" s="1" t="s">
        <v>722</v>
      </c>
      <c r="H3674" s="1" t="s">
        <v>713</v>
      </c>
      <c r="I3674" s="1" t="s">
        <v>714</v>
      </c>
      <c r="J3674" s="1" t="s">
        <v>790</v>
      </c>
      <c r="K3674" s="1" t="s">
        <v>15086</v>
      </c>
      <c r="L3674" s="1" t="s">
        <v>9966</v>
      </c>
      <c r="M3674" s="1" t="s">
        <v>718</v>
      </c>
    </row>
    <row r="3675" customFormat="false" ht="15" hidden="false" customHeight="false" outlineLevel="0" collapsed="false">
      <c r="A3675" s="1" t="s">
        <v>15087</v>
      </c>
      <c r="B3675" s="1" t="s">
        <v>15088</v>
      </c>
      <c r="C3675" s="1" t="s">
        <v>15089</v>
      </c>
      <c r="D3675" s="2" t="n">
        <v>32592</v>
      </c>
      <c r="E3675" s="1" t="s">
        <v>763</v>
      </c>
      <c r="F3675" s="1" t="s">
        <v>711</v>
      </c>
      <c r="G3675" s="1" t="s">
        <v>712</v>
      </c>
      <c r="H3675" s="1" t="s">
        <v>713</v>
      </c>
      <c r="I3675" s="1" t="s">
        <v>714</v>
      </c>
      <c r="J3675" s="1" t="s">
        <v>716</v>
      </c>
      <c r="K3675" s="1" t="s">
        <v>716</v>
      </c>
      <c r="L3675" s="1" t="s">
        <v>4070</v>
      </c>
      <c r="M3675" s="1" t="s">
        <v>718</v>
      </c>
    </row>
    <row r="3676" customFormat="false" ht="15" hidden="false" customHeight="false" outlineLevel="0" collapsed="false">
      <c r="A3676" s="1" t="s">
        <v>15090</v>
      </c>
      <c r="B3676" s="1" t="s">
        <v>15091</v>
      </c>
      <c r="C3676" s="1" t="s">
        <v>3354</v>
      </c>
      <c r="D3676" s="2" t="n">
        <v>34177</v>
      </c>
      <c r="E3676" s="1" t="s">
        <v>763</v>
      </c>
      <c r="F3676" s="1" t="s">
        <v>711</v>
      </c>
      <c r="G3676" s="1" t="s">
        <v>712</v>
      </c>
      <c r="H3676" s="1" t="s">
        <v>713</v>
      </c>
      <c r="I3676" s="1" t="s">
        <v>714</v>
      </c>
      <c r="J3676" s="1" t="s">
        <v>716</v>
      </c>
      <c r="K3676" s="1" t="s">
        <v>716</v>
      </c>
      <c r="L3676" s="1" t="s">
        <v>2425</v>
      </c>
      <c r="M3676" s="1" t="s">
        <v>718</v>
      </c>
    </row>
    <row r="3677" customFormat="false" ht="15" hidden="false" customHeight="false" outlineLevel="0" collapsed="false">
      <c r="A3677" s="1" t="s">
        <v>15092</v>
      </c>
      <c r="B3677" s="1" t="s">
        <v>15093</v>
      </c>
      <c r="C3677" s="1" t="s">
        <v>15094</v>
      </c>
      <c r="D3677" s="2" t="n">
        <v>34655</v>
      </c>
      <c r="E3677" s="1" t="s">
        <v>763</v>
      </c>
      <c r="F3677" s="1" t="s">
        <v>711</v>
      </c>
      <c r="G3677" s="1" t="s">
        <v>722</v>
      </c>
      <c r="H3677" s="1" t="s">
        <v>713</v>
      </c>
      <c r="I3677" s="1" t="s">
        <v>714</v>
      </c>
      <c r="J3677" s="1" t="s">
        <v>716</v>
      </c>
      <c r="K3677" s="1" t="s">
        <v>716</v>
      </c>
      <c r="L3677" s="1" t="s">
        <v>15057</v>
      </c>
      <c r="M3677" s="1" t="s">
        <v>718</v>
      </c>
    </row>
    <row r="3678" customFormat="false" ht="15" hidden="false" customHeight="false" outlineLevel="0" collapsed="false">
      <c r="A3678" s="1" t="s">
        <v>15095</v>
      </c>
      <c r="B3678" s="1" t="s">
        <v>11280</v>
      </c>
      <c r="C3678" s="1" t="s">
        <v>1756</v>
      </c>
      <c r="D3678" s="2" t="n">
        <v>33305</v>
      </c>
      <c r="E3678" s="1" t="s">
        <v>710</v>
      </c>
      <c r="F3678" s="1" t="s">
        <v>711</v>
      </c>
      <c r="G3678" s="1" t="s">
        <v>712</v>
      </c>
      <c r="H3678" s="1" t="s">
        <v>713</v>
      </c>
      <c r="I3678" s="1" t="s">
        <v>714</v>
      </c>
      <c r="J3678" s="1" t="s">
        <v>716</v>
      </c>
      <c r="K3678" s="1" t="s">
        <v>716</v>
      </c>
      <c r="L3678" s="1" t="s">
        <v>1418</v>
      </c>
      <c r="M3678" s="1" t="s">
        <v>718</v>
      </c>
    </row>
    <row r="3679" customFormat="false" ht="15" hidden="false" customHeight="false" outlineLevel="0" collapsed="false">
      <c r="A3679" s="1" t="s">
        <v>15096</v>
      </c>
      <c r="B3679" s="1" t="s">
        <v>15097</v>
      </c>
      <c r="C3679" s="1" t="s">
        <v>15098</v>
      </c>
      <c r="D3679" s="2" t="n">
        <v>30234</v>
      </c>
      <c r="E3679" s="1" t="s">
        <v>710</v>
      </c>
      <c r="F3679" s="1" t="s">
        <v>711</v>
      </c>
      <c r="G3679" s="1" t="s">
        <v>722</v>
      </c>
      <c r="H3679" s="1" t="s">
        <v>713</v>
      </c>
      <c r="I3679" s="1" t="s">
        <v>714</v>
      </c>
      <c r="J3679" s="1" t="s">
        <v>716</v>
      </c>
      <c r="K3679" s="1" t="s">
        <v>716</v>
      </c>
      <c r="L3679" s="1" t="s">
        <v>1418</v>
      </c>
      <c r="M3679" s="1" t="s">
        <v>718</v>
      </c>
    </row>
    <row r="3680" customFormat="false" ht="15" hidden="false" customHeight="false" outlineLevel="0" collapsed="false">
      <c r="A3680" s="1" t="s">
        <v>15099</v>
      </c>
      <c r="B3680" s="1" t="s">
        <v>4594</v>
      </c>
      <c r="C3680" s="1" t="s">
        <v>9151</v>
      </c>
      <c r="D3680" s="2" t="n">
        <v>32906</v>
      </c>
      <c r="E3680" s="1" t="s">
        <v>710</v>
      </c>
      <c r="F3680" s="1" t="s">
        <v>711</v>
      </c>
      <c r="G3680" s="1" t="s">
        <v>712</v>
      </c>
      <c r="H3680" s="1" t="s">
        <v>713</v>
      </c>
      <c r="I3680" s="1" t="s">
        <v>714</v>
      </c>
      <c r="J3680" s="1" t="s">
        <v>716</v>
      </c>
      <c r="K3680" s="1" t="s">
        <v>716</v>
      </c>
      <c r="L3680" s="1" t="s">
        <v>1894</v>
      </c>
      <c r="M3680" s="1" t="s">
        <v>718</v>
      </c>
    </row>
    <row r="3681" customFormat="false" ht="15" hidden="false" customHeight="false" outlineLevel="0" collapsed="false">
      <c r="A3681" s="1" t="s">
        <v>672</v>
      </c>
      <c r="B3681" s="1" t="s">
        <v>15100</v>
      </c>
      <c r="C3681" s="1" t="s">
        <v>15101</v>
      </c>
      <c r="D3681" s="2" t="n">
        <v>40024</v>
      </c>
      <c r="E3681" s="1" t="s">
        <v>763</v>
      </c>
      <c r="F3681" s="1" t="s">
        <v>711</v>
      </c>
      <c r="G3681" s="1" t="s">
        <v>712</v>
      </c>
      <c r="H3681" s="1" t="s">
        <v>713</v>
      </c>
      <c r="I3681" s="1" t="s">
        <v>714</v>
      </c>
      <c r="J3681" s="1" t="s">
        <v>8676</v>
      </c>
      <c r="K3681" s="1" t="s">
        <v>11344</v>
      </c>
      <c r="L3681" s="1" t="s">
        <v>15102</v>
      </c>
      <c r="M3681" s="1" t="s">
        <v>718</v>
      </c>
    </row>
    <row r="3682" customFormat="false" ht="15" hidden="false" customHeight="false" outlineLevel="0" collapsed="false">
      <c r="A3682" s="1" t="s">
        <v>514</v>
      </c>
      <c r="B3682" s="1" t="s">
        <v>2974</v>
      </c>
      <c r="C3682" s="1" t="s">
        <v>15103</v>
      </c>
      <c r="D3682" s="2" t="n">
        <v>39890</v>
      </c>
      <c r="E3682" s="1" t="s">
        <v>710</v>
      </c>
      <c r="F3682" s="1" t="s">
        <v>711</v>
      </c>
      <c r="G3682" s="1" t="s">
        <v>712</v>
      </c>
      <c r="H3682" s="1" t="s">
        <v>713</v>
      </c>
      <c r="I3682" s="1" t="s">
        <v>714</v>
      </c>
      <c r="J3682" s="1" t="s">
        <v>8504</v>
      </c>
      <c r="K3682" s="1" t="s">
        <v>11344</v>
      </c>
      <c r="L3682" s="1" t="s">
        <v>15104</v>
      </c>
      <c r="M3682" s="1" t="s">
        <v>718</v>
      </c>
    </row>
    <row r="3683" customFormat="false" ht="15" hidden="false" customHeight="false" outlineLevel="0" collapsed="false">
      <c r="A3683" s="1" t="s">
        <v>15105</v>
      </c>
      <c r="B3683" s="1" t="s">
        <v>15106</v>
      </c>
      <c r="C3683" s="1" t="s">
        <v>750</v>
      </c>
      <c r="D3683" s="2" t="n">
        <v>39888</v>
      </c>
      <c r="E3683" s="1" t="s">
        <v>710</v>
      </c>
      <c r="F3683" s="1" t="s">
        <v>711</v>
      </c>
      <c r="G3683" s="1" t="s">
        <v>712</v>
      </c>
      <c r="H3683" s="1" t="s">
        <v>713</v>
      </c>
      <c r="I3683" s="1" t="s">
        <v>714</v>
      </c>
      <c r="J3683" s="1" t="s">
        <v>15107</v>
      </c>
      <c r="K3683" s="1" t="s">
        <v>14801</v>
      </c>
      <c r="L3683" s="1" t="s">
        <v>15108</v>
      </c>
      <c r="M3683" s="1" t="s">
        <v>718</v>
      </c>
    </row>
    <row r="3684" customFormat="false" ht="15" hidden="false" customHeight="false" outlineLevel="0" collapsed="false">
      <c r="A3684" s="1" t="s">
        <v>15109</v>
      </c>
      <c r="B3684" s="1" t="s">
        <v>15110</v>
      </c>
      <c r="C3684" s="1" t="s">
        <v>750</v>
      </c>
      <c r="D3684" s="2" t="n">
        <v>39844</v>
      </c>
      <c r="E3684" s="1" t="s">
        <v>710</v>
      </c>
      <c r="F3684" s="1" t="s">
        <v>711</v>
      </c>
      <c r="G3684" s="1" t="s">
        <v>712</v>
      </c>
      <c r="H3684" s="1" t="s">
        <v>713</v>
      </c>
      <c r="I3684" s="1" t="s">
        <v>714</v>
      </c>
      <c r="J3684" s="1" t="s">
        <v>8879</v>
      </c>
      <c r="K3684" s="1" t="s">
        <v>14801</v>
      </c>
      <c r="L3684" s="1" t="s">
        <v>6576</v>
      </c>
      <c r="M3684" s="1" t="s">
        <v>718</v>
      </c>
    </row>
    <row r="3685" customFormat="false" ht="15" hidden="false" customHeight="false" outlineLevel="0" collapsed="false">
      <c r="A3685" s="1" t="s">
        <v>663</v>
      </c>
      <c r="B3685" s="1" t="s">
        <v>15111</v>
      </c>
      <c r="C3685" s="1" t="s">
        <v>13151</v>
      </c>
      <c r="D3685" s="2" t="n">
        <v>39925</v>
      </c>
      <c r="E3685" s="1" t="s">
        <v>763</v>
      </c>
      <c r="F3685" s="1" t="s">
        <v>711</v>
      </c>
      <c r="G3685" s="1" t="s">
        <v>712</v>
      </c>
      <c r="H3685" s="1" t="s">
        <v>713</v>
      </c>
      <c r="I3685" s="1" t="s">
        <v>714</v>
      </c>
      <c r="J3685" s="1" t="s">
        <v>8879</v>
      </c>
      <c r="K3685" s="1" t="s">
        <v>14801</v>
      </c>
      <c r="L3685" s="1" t="s">
        <v>15112</v>
      </c>
      <c r="M3685" s="1" t="s">
        <v>718</v>
      </c>
    </row>
    <row r="3686" customFormat="false" ht="15" hidden="false" customHeight="false" outlineLevel="0" collapsed="false">
      <c r="A3686" s="1" t="s">
        <v>661</v>
      </c>
      <c r="B3686" s="1" t="s">
        <v>5918</v>
      </c>
      <c r="C3686" s="1" t="s">
        <v>15113</v>
      </c>
      <c r="D3686" s="2" t="n">
        <v>39935</v>
      </c>
      <c r="E3686" s="1" t="s">
        <v>710</v>
      </c>
      <c r="F3686" s="1" t="s">
        <v>711</v>
      </c>
      <c r="G3686" s="1" t="s">
        <v>712</v>
      </c>
      <c r="H3686" s="1" t="s">
        <v>713</v>
      </c>
      <c r="I3686" s="1" t="s">
        <v>714</v>
      </c>
      <c r="J3686" s="1" t="s">
        <v>8879</v>
      </c>
      <c r="K3686" s="1" t="s">
        <v>14801</v>
      </c>
      <c r="L3686" s="1" t="s">
        <v>15114</v>
      </c>
      <c r="M3686" s="1" t="s">
        <v>718</v>
      </c>
    </row>
    <row r="3687" customFormat="false" ht="15" hidden="false" customHeight="false" outlineLevel="0" collapsed="false">
      <c r="A3687" s="1" t="s">
        <v>669</v>
      </c>
      <c r="B3687" s="1" t="s">
        <v>15115</v>
      </c>
      <c r="C3687" s="1" t="s">
        <v>14012</v>
      </c>
      <c r="D3687" s="2" t="n">
        <v>40296</v>
      </c>
      <c r="E3687" s="1" t="s">
        <v>763</v>
      </c>
      <c r="F3687" s="1" t="s">
        <v>711</v>
      </c>
      <c r="G3687" s="1" t="s">
        <v>722</v>
      </c>
      <c r="H3687" s="1" t="s">
        <v>713</v>
      </c>
      <c r="I3687" s="1" t="s">
        <v>714</v>
      </c>
      <c r="J3687" s="1" t="s">
        <v>8879</v>
      </c>
      <c r="K3687" s="1" t="s">
        <v>14801</v>
      </c>
      <c r="L3687" s="1" t="s">
        <v>5198</v>
      </c>
      <c r="M3687" s="1" t="s">
        <v>718</v>
      </c>
    </row>
    <row r="3688" customFormat="false" ht="15" hidden="false" customHeight="false" outlineLevel="0" collapsed="false">
      <c r="A3688" s="1" t="s">
        <v>616</v>
      </c>
      <c r="B3688" s="1" t="s">
        <v>15116</v>
      </c>
      <c r="C3688" s="1" t="s">
        <v>15117</v>
      </c>
      <c r="D3688" s="2" t="n">
        <v>40147</v>
      </c>
      <c r="E3688" s="1" t="s">
        <v>763</v>
      </c>
      <c r="F3688" s="1" t="s">
        <v>711</v>
      </c>
      <c r="G3688" s="1" t="s">
        <v>712</v>
      </c>
      <c r="H3688" s="1" t="s">
        <v>713</v>
      </c>
      <c r="I3688" s="1" t="s">
        <v>714</v>
      </c>
      <c r="J3688" s="1" t="s">
        <v>8879</v>
      </c>
      <c r="K3688" s="1" t="s">
        <v>11344</v>
      </c>
      <c r="L3688" s="1" t="s">
        <v>11577</v>
      </c>
      <c r="M3688" s="1" t="s">
        <v>718</v>
      </c>
    </row>
    <row r="3689" customFormat="false" ht="15" hidden="false" customHeight="false" outlineLevel="0" collapsed="false">
      <c r="A3689" s="1" t="s">
        <v>654</v>
      </c>
      <c r="B3689" s="1" t="s">
        <v>15118</v>
      </c>
      <c r="C3689" s="1" t="s">
        <v>13602</v>
      </c>
      <c r="D3689" s="2" t="n">
        <v>40012</v>
      </c>
      <c r="E3689" s="1" t="s">
        <v>710</v>
      </c>
      <c r="F3689" s="1" t="s">
        <v>711</v>
      </c>
      <c r="G3689" s="1" t="s">
        <v>722</v>
      </c>
      <c r="H3689" s="1" t="s">
        <v>713</v>
      </c>
      <c r="I3689" s="1" t="s">
        <v>714</v>
      </c>
      <c r="J3689" s="1" t="s">
        <v>8879</v>
      </c>
      <c r="K3689" s="1" t="s">
        <v>14801</v>
      </c>
      <c r="L3689" s="1" t="s">
        <v>10989</v>
      </c>
      <c r="M3689" s="1" t="s">
        <v>718</v>
      </c>
    </row>
    <row r="3690" customFormat="false" ht="15" hidden="false" customHeight="false" outlineLevel="0" collapsed="false">
      <c r="A3690" s="1" t="s">
        <v>15119</v>
      </c>
      <c r="B3690" s="1" t="s">
        <v>15120</v>
      </c>
      <c r="C3690" s="1" t="s">
        <v>15121</v>
      </c>
      <c r="D3690" s="2" t="n">
        <v>39913</v>
      </c>
      <c r="E3690" s="1" t="s">
        <v>763</v>
      </c>
      <c r="F3690" s="1" t="s">
        <v>711</v>
      </c>
      <c r="G3690" s="1" t="s">
        <v>712</v>
      </c>
      <c r="H3690" s="1" t="s">
        <v>713</v>
      </c>
      <c r="I3690" s="1" t="s">
        <v>714</v>
      </c>
      <c r="J3690" s="1" t="s">
        <v>8879</v>
      </c>
      <c r="K3690" s="1" t="s">
        <v>11383</v>
      </c>
      <c r="L3690" s="1" t="s">
        <v>15122</v>
      </c>
      <c r="M3690" s="1" t="s">
        <v>718</v>
      </c>
    </row>
    <row r="3691" customFormat="false" ht="15" hidden="false" customHeight="false" outlineLevel="0" collapsed="false">
      <c r="A3691" s="1" t="s">
        <v>15123</v>
      </c>
      <c r="B3691" s="1" t="s">
        <v>15124</v>
      </c>
      <c r="C3691" s="1" t="s">
        <v>15125</v>
      </c>
      <c r="D3691" s="2" t="n">
        <v>39948</v>
      </c>
      <c r="E3691" s="1" t="s">
        <v>763</v>
      </c>
      <c r="F3691" s="1" t="s">
        <v>711</v>
      </c>
      <c r="G3691" s="1" t="s">
        <v>722</v>
      </c>
      <c r="H3691" s="1" t="s">
        <v>713</v>
      </c>
      <c r="I3691" s="1" t="s">
        <v>714</v>
      </c>
      <c r="J3691" s="1" t="s">
        <v>15126</v>
      </c>
      <c r="K3691" s="1" t="s">
        <v>14801</v>
      </c>
      <c r="L3691" s="1" t="s">
        <v>15127</v>
      </c>
      <c r="M3691" s="1" t="s">
        <v>718</v>
      </c>
    </row>
    <row r="3692" s="13" customFormat="true" ht="15" hidden="false" customHeight="false" outlineLevel="0" collapsed="false">
      <c r="A3692" s="10" t="s">
        <v>648</v>
      </c>
      <c r="B3692" s="10" t="s">
        <v>15128</v>
      </c>
      <c r="C3692" s="10" t="s">
        <v>13652</v>
      </c>
      <c r="D3692" s="12" t="n">
        <v>39842</v>
      </c>
      <c r="E3692" s="10" t="s">
        <v>763</v>
      </c>
      <c r="F3692" s="10" t="s">
        <v>711</v>
      </c>
      <c r="G3692" s="10" t="s">
        <v>712</v>
      </c>
      <c r="H3692" s="10" t="s">
        <v>713</v>
      </c>
      <c r="I3692" s="10" t="s">
        <v>714</v>
      </c>
      <c r="J3692" s="10" t="s">
        <v>13354</v>
      </c>
      <c r="K3692" s="10" t="s">
        <v>12590</v>
      </c>
      <c r="L3692" s="10" t="s">
        <v>13654</v>
      </c>
      <c r="M3692" s="10" t="s">
        <v>718</v>
      </c>
      <c r="XEE3692" s="0"/>
      <c r="XEF3692" s="0"/>
      <c r="XEG3692" s="0"/>
      <c r="XEH3692" s="0"/>
      <c r="XEI3692" s="0"/>
      <c r="XEJ3692" s="0"/>
      <c r="XEK3692" s="0"/>
      <c r="XEL3692" s="0"/>
      <c r="XEM3692" s="0"/>
      <c r="XEN3692" s="0"/>
      <c r="XEO3692" s="0"/>
      <c r="XEP3692" s="0"/>
      <c r="XEQ3692" s="0"/>
      <c r="XER3692" s="0"/>
      <c r="XES3692" s="0"/>
      <c r="XET3692" s="0"/>
      <c r="XEU3692" s="0"/>
      <c r="XEV3692" s="0"/>
      <c r="XEW3692" s="0"/>
      <c r="XEX3692" s="0"/>
      <c r="XEY3692" s="0"/>
      <c r="XEZ3692" s="0"/>
      <c r="XFA3692" s="0"/>
      <c r="XFB3692" s="0"/>
      <c r="XFC3692" s="0"/>
      <c r="XFD3692" s="0"/>
    </row>
    <row r="3693" customFormat="false" ht="15" hidden="false" customHeight="false" outlineLevel="0" collapsed="false">
      <c r="A3693" s="1" t="s">
        <v>15129</v>
      </c>
      <c r="B3693" s="1" t="s">
        <v>15130</v>
      </c>
      <c r="C3693" s="1" t="s">
        <v>1539</v>
      </c>
      <c r="D3693" s="2" t="n">
        <v>39161</v>
      </c>
      <c r="E3693" s="1" t="s">
        <v>710</v>
      </c>
      <c r="F3693" s="1" t="s">
        <v>711</v>
      </c>
      <c r="G3693" s="1" t="s">
        <v>712</v>
      </c>
      <c r="H3693" s="1" t="s">
        <v>713</v>
      </c>
      <c r="I3693" s="1" t="s">
        <v>714</v>
      </c>
      <c r="J3693" s="1" t="s">
        <v>15131</v>
      </c>
      <c r="K3693" s="1" t="s">
        <v>11344</v>
      </c>
      <c r="L3693" s="1" t="s">
        <v>1540</v>
      </c>
      <c r="M3693" s="1" t="s">
        <v>718</v>
      </c>
    </row>
    <row r="3694" customFormat="false" ht="15" hidden="false" customHeight="false" outlineLevel="0" collapsed="false">
      <c r="A3694" s="1" t="s">
        <v>652</v>
      </c>
      <c r="B3694" s="1" t="s">
        <v>15132</v>
      </c>
      <c r="C3694" s="1" t="s">
        <v>2006</v>
      </c>
      <c r="D3694" s="2" t="n">
        <v>39895</v>
      </c>
      <c r="E3694" s="1" t="s">
        <v>710</v>
      </c>
      <c r="F3694" s="1" t="s">
        <v>711</v>
      </c>
      <c r="G3694" s="1" t="s">
        <v>712</v>
      </c>
      <c r="H3694" s="1" t="s">
        <v>713</v>
      </c>
      <c r="I3694" s="1" t="s">
        <v>714</v>
      </c>
      <c r="J3694" s="1" t="s">
        <v>8314</v>
      </c>
      <c r="K3694" s="1" t="s">
        <v>11344</v>
      </c>
      <c r="L3694" s="1" t="s">
        <v>15133</v>
      </c>
      <c r="M3694" s="1" t="s">
        <v>718</v>
      </c>
    </row>
    <row r="3695" customFormat="false" ht="15" hidden="false" customHeight="false" outlineLevel="0" collapsed="false">
      <c r="A3695" s="1" t="s">
        <v>673</v>
      </c>
      <c r="B3695" s="1" t="s">
        <v>9367</v>
      </c>
      <c r="C3695" s="1" t="s">
        <v>15134</v>
      </c>
      <c r="D3695" s="2" t="n">
        <v>40128</v>
      </c>
      <c r="E3695" s="1" t="s">
        <v>763</v>
      </c>
      <c r="F3695" s="1" t="s">
        <v>711</v>
      </c>
      <c r="G3695" s="1" t="s">
        <v>712</v>
      </c>
      <c r="H3695" s="1" t="s">
        <v>713</v>
      </c>
      <c r="I3695" s="1" t="s">
        <v>714</v>
      </c>
      <c r="J3695" s="1" t="s">
        <v>10504</v>
      </c>
      <c r="K3695" s="1" t="s">
        <v>11344</v>
      </c>
      <c r="L3695" s="1" t="s">
        <v>4191</v>
      </c>
      <c r="M3695" s="1" t="s">
        <v>718</v>
      </c>
    </row>
    <row r="3696" customFormat="false" ht="15" hidden="false" customHeight="false" outlineLevel="0" collapsed="false">
      <c r="A3696" s="1" t="s">
        <v>632</v>
      </c>
      <c r="B3696" s="1" t="s">
        <v>15135</v>
      </c>
      <c r="C3696" s="1" t="s">
        <v>15136</v>
      </c>
      <c r="D3696" s="2" t="n">
        <v>40284</v>
      </c>
      <c r="E3696" s="1" t="s">
        <v>763</v>
      </c>
      <c r="F3696" s="1" t="s">
        <v>711</v>
      </c>
      <c r="G3696" s="1" t="s">
        <v>712</v>
      </c>
      <c r="H3696" s="1" t="s">
        <v>713</v>
      </c>
      <c r="I3696" s="1" t="s">
        <v>714</v>
      </c>
      <c r="J3696" s="1" t="s">
        <v>716</v>
      </c>
      <c r="K3696" s="1" t="s">
        <v>15137</v>
      </c>
      <c r="L3696" s="1" t="s">
        <v>15138</v>
      </c>
      <c r="M3696" s="1" t="s">
        <v>718</v>
      </c>
    </row>
    <row r="3697" customFormat="false" ht="15" hidden="false" customHeight="false" outlineLevel="0" collapsed="false">
      <c r="A3697" s="1" t="s">
        <v>633</v>
      </c>
      <c r="B3697" s="1" t="s">
        <v>15139</v>
      </c>
      <c r="C3697" s="1" t="s">
        <v>15140</v>
      </c>
      <c r="D3697" s="2" t="n">
        <v>39818</v>
      </c>
      <c r="E3697" s="1" t="s">
        <v>710</v>
      </c>
      <c r="F3697" s="1" t="s">
        <v>711</v>
      </c>
      <c r="G3697" s="1" t="s">
        <v>712</v>
      </c>
      <c r="H3697" s="1" t="s">
        <v>713</v>
      </c>
      <c r="I3697" s="1" t="s">
        <v>714</v>
      </c>
      <c r="J3697" s="1" t="s">
        <v>4239</v>
      </c>
      <c r="K3697" s="1" t="s">
        <v>716</v>
      </c>
      <c r="L3697" s="1" t="s">
        <v>15141</v>
      </c>
      <c r="M3697" s="1" t="s">
        <v>718</v>
      </c>
    </row>
    <row r="3698" customFormat="false" ht="15" hidden="false" customHeight="false" outlineLevel="0" collapsed="false">
      <c r="A3698" s="1" t="s">
        <v>15142</v>
      </c>
      <c r="B3698" s="1" t="s">
        <v>15143</v>
      </c>
      <c r="C3698" s="1" t="s">
        <v>2965</v>
      </c>
      <c r="D3698" s="2" t="n">
        <v>40403</v>
      </c>
      <c r="E3698" s="1" t="s">
        <v>763</v>
      </c>
      <c r="F3698" s="1" t="s">
        <v>711</v>
      </c>
      <c r="G3698" s="1" t="s">
        <v>712</v>
      </c>
      <c r="H3698" s="1" t="s">
        <v>713</v>
      </c>
      <c r="I3698" s="1" t="s">
        <v>714</v>
      </c>
      <c r="J3698" s="1" t="s">
        <v>4239</v>
      </c>
      <c r="K3698" s="1" t="s">
        <v>14216</v>
      </c>
      <c r="L3698" s="1" t="s">
        <v>15144</v>
      </c>
      <c r="M3698" s="1" t="s">
        <v>718</v>
      </c>
    </row>
    <row r="3699" customFormat="false" ht="15" hidden="false" customHeight="false" outlineLevel="0" collapsed="false">
      <c r="A3699" s="1" t="s">
        <v>635</v>
      </c>
      <c r="B3699" s="1" t="s">
        <v>9234</v>
      </c>
      <c r="C3699" s="1" t="s">
        <v>7473</v>
      </c>
      <c r="D3699" s="2" t="n">
        <v>39767</v>
      </c>
      <c r="E3699" s="1" t="s">
        <v>763</v>
      </c>
      <c r="F3699" s="1" t="s">
        <v>711</v>
      </c>
      <c r="G3699" s="1" t="s">
        <v>722</v>
      </c>
      <c r="H3699" s="1" t="s">
        <v>713</v>
      </c>
      <c r="I3699" s="1" t="s">
        <v>714</v>
      </c>
      <c r="J3699" s="1" t="s">
        <v>751</v>
      </c>
      <c r="K3699" s="1" t="s">
        <v>15145</v>
      </c>
      <c r="L3699" s="1" t="s">
        <v>15146</v>
      </c>
      <c r="M3699" s="1" t="s">
        <v>718</v>
      </c>
    </row>
    <row r="3700" customFormat="false" ht="15" hidden="false" customHeight="false" outlineLevel="0" collapsed="false">
      <c r="A3700" s="1" t="s">
        <v>15147</v>
      </c>
      <c r="B3700" s="1" t="s">
        <v>4294</v>
      </c>
      <c r="C3700" s="1" t="s">
        <v>15148</v>
      </c>
      <c r="D3700" s="2" t="n">
        <v>40039</v>
      </c>
      <c r="E3700" s="1" t="s">
        <v>710</v>
      </c>
      <c r="F3700" s="1" t="s">
        <v>711</v>
      </c>
      <c r="G3700" s="1" t="s">
        <v>712</v>
      </c>
      <c r="H3700" s="1" t="s">
        <v>713</v>
      </c>
      <c r="I3700" s="1" t="s">
        <v>714</v>
      </c>
      <c r="J3700" s="1" t="s">
        <v>4239</v>
      </c>
      <c r="K3700" s="1" t="s">
        <v>15149</v>
      </c>
      <c r="L3700" s="1" t="s">
        <v>15150</v>
      </c>
      <c r="M3700" s="1" t="s">
        <v>718</v>
      </c>
    </row>
    <row r="3701" customFormat="false" ht="15" hidden="false" customHeight="false" outlineLevel="0" collapsed="false">
      <c r="A3701" s="1" t="s">
        <v>15151</v>
      </c>
      <c r="B3701" s="1" t="s">
        <v>1397</v>
      </c>
      <c r="C3701" s="1" t="s">
        <v>15148</v>
      </c>
      <c r="D3701" s="2" t="n">
        <v>40039</v>
      </c>
      <c r="E3701" s="1" t="s">
        <v>710</v>
      </c>
      <c r="F3701" s="1" t="s">
        <v>711</v>
      </c>
      <c r="G3701" s="1" t="s">
        <v>712</v>
      </c>
      <c r="H3701" s="1" t="s">
        <v>713</v>
      </c>
      <c r="I3701" s="1" t="s">
        <v>714</v>
      </c>
      <c r="J3701" s="1" t="s">
        <v>4239</v>
      </c>
      <c r="K3701" s="1" t="s">
        <v>15149</v>
      </c>
      <c r="L3701" s="1" t="s">
        <v>15150</v>
      </c>
      <c r="M3701" s="1" t="s">
        <v>718</v>
      </c>
    </row>
    <row r="3702" customFormat="false" ht="15" hidden="false" customHeight="false" outlineLevel="0" collapsed="false">
      <c r="A3702" s="1" t="s">
        <v>15152</v>
      </c>
      <c r="B3702" s="1" t="s">
        <v>15153</v>
      </c>
      <c r="C3702" s="1" t="s">
        <v>2632</v>
      </c>
      <c r="D3702" s="2" t="n">
        <v>40033</v>
      </c>
      <c r="E3702" s="1" t="s">
        <v>763</v>
      </c>
      <c r="F3702" s="1" t="s">
        <v>711</v>
      </c>
      <c r="G3702" s="1" t="s">
        <v>712</v>
      </c>
      <c r="H3702" s="1" t="s">
        <v>713</v>
      </c>
      <c r="I3702" s="1" t="s">
        <v>714</v>
      </c>
      <c r="J3702" s="1" t="s">
        <v>4239</v>
      </c>
      <c r="K3702" s="1" t="s">
        <v>15154</v>
      </c>
      <c r="L3702" s="1" t="s">
        <v>15155</v>
      </c>
      <c r="M3702" s="1" t="s">
        <v>718</v>
      </c>
    </row>
    <row r="3703" customFormat="false" ht="15" hidden="false" customHeight="false" outlineLevel="0" collapsed="false">
      <c r="A3703" s="1" t="s">
        <v>641</v>
      </c>
      <c r="B3703" s="1" t="s">
        <v>15156</v>
      </c>
      <c r="C3703" s="1" t="s">
        <v>15157</v>
      </c>
      <c r="D3703" s="2" t="n">
        <v>40433</v>
      </c>
      <c r="E3703" s="1" t="s">
        <v>710</v>
      </c>
      <c r="F3703" s="1" t="s">
        <v>711</v>
      </c>
      <c r="G3703" s="1" t="s">
        <v>712</v>
      </c>
      <c r="H3703" s="1" t="s">
        <v>713</v>
      </c>
      <c r="I3703" s="1" t="s">
        <v>714</v>
      </c>
      <c r="J3703" s="1" t="s">
        <v>4239</v>
      </c>
      <c r="K3703" s="1" t="s">
        <v>11383</v>
      </c>
      <c r="L3703" s="1" t="s">
        <v>15158</v>
      </c>
      <c r="M3703" s="1" t="s">
        <v>718</v>
      </c>
    </row>
    <row r="3704" customFormat="false" ht="15" hidden="false" customHeight="false" outlineLevel="0" collapsed="false">
      <c r="A3704" s="1" t="s">
        <v>534</v>
      </c>
      <c r="B3704" s="1" t="s">
        <v>15159</v>
      </c>
      <c r="C3704" s="1" t="s">
        <v>4005</v>
      </c>
      <c r="D3704" s="2" t="n">
        <v>39756</v>
      </c>
      <c r="E3704" s="1" t="s">
        <v>710</v>
      </c>
      <c r="F3704" s="1" t="s">
        <v>711</v>
      </c>
      <c r="G3704" s="1" t="s">
        <v>712</v>
      </c>
      <c r="H3704" s="1" t="s">
        <v>713</v>
      </c>
      <c r="I3704" s="1" t="s">
        <v>714</v>
      </c>
      <c r="J3704" s="1" t="s">
        <v>1398</v>
      </c>
      <c r="K3704" s="1" t="s">
        <v>11383</v>
      </c>
      <c r="L3704" s="1" t="s">
        <v>7573</v>
      </c>
      <c r="M3704" s="1" t="s">
        <v>718</v>
      </c>
    </row>
    <row r="3705" customFormat="false" ht="15" hidden="false" customHeight="false" outlineLevel="0" collapsed="false">
      <c r="A3705" s="1" t="s">
        <v>630</v>
      </c>
      <c r="B3705" s="1" t="s">
        <v>15160</v>
      </c>
      <c r="C3705" s="1" t="s">
        <v>750</v>
      </c>
      <c r="D3705" s="2" t="n">
        <v>40360</v>
      </c>
      <c r="E3705" s="1" t="s">
        <v>763</v>
      </c>
      <c r="F3705" s="1" t="s">
        <v>711</v>
      </c>
      <c r="G3705" s="1" t="s">
        <v>712</v>
      </c>
      <c r="H3705" s="1" t="s">
        <v>713</v>
      </c>
      <c r="I3705" s="1" t="s">
        <v>714</v>
      </c>
      <c r="J3705" s="1" t="s">
        <v>8879</v>
      </c>
      <c r="K3705" s="1" t="s">
        <v>14801</v>
      </c>
      <c r="L3705" s="1" t="s">
        <v>15161</v>
      </c>
      <c r="M3705" s="1" t="s">
        <v>718</v>
      </c>
    </row>
    <row r="3706" customFormat="false" ht="15" hidden="false" customHeight="false" outlineLevel="0" collapsed="false">
      <c r="A3706" s="1" t="s">
        <v>15162</v>
      </c>
      <c r="B3706" s="1" t="s">
        <v>15163</v>
      </c>
      <c r="C3706" s="1" t="s">
        <v>1854</v>
      </c>
      <c r="D3706" s="2" t="n">
        <v>40087</v>
      </c>
      <c r="E3706" s="1" t="s">
        <v>710</v>
      </c>
      <c r="F3706" s="1" t="s">
        <v>711</v>
      </c>
      <c r="G3706" s="1" t="s">
        <v>712</v>
      </c>
      <c r="H3706" s="1" t="s">
        <v>713</v>
      </c>
      <c r="I3706" s="1" t="s">
        <v>714</v>
      </c>
      <c r="J3706" s="1" t="s">
        <v>4239</v>
      </c>
      <c r="K3706" s="1" t="s">
        <v>15164</v>
      </c>
      <c r="L3706" s="1" t="s">
        <v>15165</v>
      </c>
      <c r="M3706" s="1" t="s">
        <v>718</v>
      </c>
    </row>
    <row r="3707" customFormat="false" ht="15" hidden="false" customHeight="false" outlineLevel="0" collapsed="false">
      <c r="A3707" s="1" t="s">
        <v>15166</v>
      </c>
      <c r="B3707" s="1" t="s">
        <v>15167</v>
      </c>
      <c r="C3707" s="1" t="s">
        <v>739</v>
      </c>
      <c r="D3707" s="2" t="n">
        <v>39962</v>
      </c>
      <c r="E3707" s="1" t="s">
        <v>763</v>
      </c>
      <c r="F3707" s="1" t="s">
        <v>711</v>
      </c>
      <c r="G3707" s="1" t="s">
        <v>712</v>
      </c>
      <c r="H3707" s="1" t="s">
        <v>713</v>
      </c>
      <c r="I3707" s="1" t="s">
        <v>714</v>
      </c>
      <c r="J3707" s="1" t="s">
        <v>4239</v>
      </c>
      <c r="K3707" s="1" t="s">
        <v>15168</v>
      </c>
      <c r="L3707" s="1" t="s">
        <v>9374</v>
      </c>
      <c r="M3707" s="1" t="s">
        <v>718</v>
      </c>
    </row>
    <row r="3708" customFormat="false" ht="15" hidden="false" customHeight="false" outlineLevel="0" collapsed="false">
      <c r="A3708" s="1" t="s">
        <v>631</v>
      </c>
      <c r="B3708" s="1" t="s">
        <v>15169</v>
      </c>
      <c r="C3708" s="1" t="s">
        <v>15170</v>
      </c>
      <c r="D3708" s="2" t="n">
        <v>39973</v>
      </c>
      <c r="E3708" s="1" t="s">
        <v>763</v>
      </c>
      <c r="F3708" s="1" t="s">
        <v>711</v>
      </c>
      <c r="G3708" s="1" t="s">
        <v>712</v>
      </c>
      <c r="H3708" s="1" t="s">
        <v>713</v>
      </c>
      <c r="I3708" s="1" t="s">
        <v>714</v>
      </c>
      <c r="J3708" s="1" t="s">
        <v>15171</v>
      </c>
      <c r="K3708" s="1" t="s">
        <v>15172</v>
      </c>
      <c r="L3708" s="1" t="s">
        <v>15173</v>
      </c>
      <c r="M3708" s="1" t="s">
        <v>718</v>
      </c>
    </row>
    <row r="3709" customFormat="false" ht="15" hidden="false" customHeight="false" outlineLevel="0" collapsed="false">
      <c r="A3709" s="1" t="s">
        <v>15174</v>
      </c>
      <c r="B3709" s="1" t="s">
        <v>12647</v>
      </c>
      <c r="C3709" s="1" t="s">
        <v>15175</v>
      </c>
      <c r="D3709" s="2" t="n">
        <v>40108</v>
      </c>
      <c r="E3709" s="1" t="s">
        <v>763</v>
      </c>
      <c r="F3709" s="1" t="s">
        <v>711</v>
      </c>
      <c r="G3709" s="1" t="s">
        <v>712</v>
      </c>
      <c r="H3709" s="1" t="s">
        <v>713</v>
      </c>
      <c r="I3709" s="1" t="s">
        <v>714</v>
      </c>
      <c r="J3709" s="1" t="s">
        <v>4239</v>
      </c>
      <c r="K3709" s="1" t="s">
        <v>15176</v>
      </c>
      <c r="L3709" s="1" t="s">
        <v>15177</v>
      </c>
      <c r="M3709" s="1" t="s">
        <v>718</v>
      </c>
    </row>
    <row r="3710" customFormat="false" ht="15" hidden="false" customHeight="false" outlineLevel="0" collapsed="false">
      <c r="A3710" s="1" t="s">
        <v>634</v>
      </c>
      <c r="B3710" s="1" t="s">
        <v>15178</v>
      </c>
      <c r="C3710" s="1" t="s">
        <v>15179</v>
      </c>
      <c r="D3710" s="2" t="n">
        <v>40445</v>
      </c>
      <c r="E3710" s="1" t="s">
        <v>710</v>
      </c>
      <c r="F3710" s="1" t="s">
        <v>711</v>
      </c>
      <c r="G3710" s="1" t="s">
        <v>712</v>
      </c>
      <c r="H3710" s="1" t="s">
        <v>713</v>
      </c>
      <c r="I3710" s="1" t="s">
        <v>714</v>
      </c>
      <c r="J3710" s="1" t="s">
        <v>4239</v>
      </c>
      <c r="K3710" s="1" t="s">
        <v>15180</v>
      </c>
      <c r="L3710" s="1" t="s">
        <v>15181</v>
      </c>
      <c r="M3710" s="1" t="s">
        <v>718</v>
      </c>
    </row>
    <row r="3711" customFormat="false" ht="15" hidden="false" customHeight="false" outlineLevel="0" collapsed="false">
      <c r="A3711" s="1" t="s">
        <v>15182</v>
      </c>
      <c r="B3711" s="1" t="s">
        <v>15183</v>
      </c>
      <c r="C3711" s="1" t="s">
        <v>15184</v>
      </c>
      <c r="D3711" s="2" t="n">
        <v>40425</v>
      </c>
      <c r="E3711" s="1" t="s">
        <v>710</v>
      </c>
      <c r="F3711" s="1" t="s">
        <v>711</v>
      </c>
      <c r="G3711" s="1" t="s">
        <v>712</v>
      </c>
      <c r="H3711" s="1" t="s">
        <v>713</v>
      </c>
      <c r="I3711" s="1" t="s">
        <v>714</v>
      </c>
      <c r="J3711" s="1" t="s">
        <v>4239</v>
      </c>
      <c r="K3711" s="1" t="s">
        <v>15185</v>
      </c>
      <c r="L3711" s="1" t="s">
        <v>15186</v>
      </c>
      <c r="M3711" s="1" t="s">
        <v>718</v>
      </c>
    </row>
    <row r="3712" customFormat="false" ht="15" hidden="false" customHeight="false" outlineLevel="0" collapsed="false">
      <c r="A3712" s="1" t="s">
        <v>15187</v>
      </c>
      <c r="B3712" s="1" t="s">
        <v>13031</v>
      </c>
      <c r="C3712" s="1" t="s">
        <v>15188</v>
      </c>
      <c r="D3712" s="2" t="n">
        <v>33175</v>
      </c>
      <c r="E3712" s="1" t="s">
        <v>763</v>
      </c>
      <c r="F3712" s="1" t="s">
        <v>711</v>
      </c>
      <c r="G3712" s="1" t="s">
        <v>722</v>
      </c>
      <c r="H3712" s="1" t="s">
        <v>713</v>
      </c>
      <c r="I3712" s="1" t="s">
        <v>714</v>
      </c>
      <c r="J3712" s="1" t="s">
        <v>716</v>
      </c>
      <c r="K3712" s="1" t="s">
        <v>716</v>
      </c>
      <c r="L3712" s="1" t="s">
        <v>1418</v>
      </c>
      <c r="M3712" s="1" t="s">
        <v>718</v>
      </c>
    </row>
    <row r="3713" customFormat="false" ht="15" hidden="false" customHeight="false" outlineLevel="0" collapsed="false">
      <c r="A3713" s="1" t="s">
        <v>15189</v>
      </c>
      <c r="B3713" s="1" t="s">
        <v>15190</v>
      </c>
      <c r="C3713" s="1" t="s">
        <v>8692</v>
      </c>
      <c r="D3713" s="2" t="n">
        <v>35138</v>
      </c>
      <c r="E3713" s="1" t="s">
        <v>763</v>
      </c>
      <c r="F3713" s="1" t="s">
        <v>711</v>
      </c>
      <c r="G3713" s="1" t="s">
        <v>722</v>
      </c>
      <c r="H3713" s="1" t="s">
        <v>713</v>
      </c>
      <c r="I3713" s="1" t="s">
        <v>714</v>
      </c>
      <c r="J3713" s="1" t="s">
        <v>716</v>
      </c>
      <c r="K3713" s="1" t="s">
        <v>716</v>
      </c>
      <c r="L3713" s="1" t="s">
        <v>1894</v>
      </c>
      <c r="M3713" s="1" t="s">
        <v>718</v>
      </c>
    </row>
    <row r="3714" customFormat="false" ht="15" hidden="false" customHeight="false" outlineLevel="0" collapsed="false">
      <c r="A3714" s="1" t="s">
        <v>684</v>
      </c>
      <c r="B3714" s="1" t="s">
        <v>15191</v>
      </c>
      <c r="C3714" s="1" t="s">
        <v>15192</v>
      </c>
      <c r="D3714" s="2" t="n">
        <v>39955</v>
      </c>
      <c r="E3714" s="1" t="s">
        <v>763</v>
      </c>
      <c r="F3714" s="1" t="s">
        <v>711</v>
      </c>
      <c r="G3714" s="1" t="s">
        <v>712</v>
      </c>
      <c r="H3714" s="1" t="s">
        <v>713</v>
      </c>
      <c r="I3714" s="1" t="s">
        <v>714</v>
      </c>
      <c r="J3714" s="1" t="s">
        <v>838</v>
      </c>
      <c r="K3714" s="1" t="s">
        <v>15193</v>
      </c>
      <c r="L3714" s="1" t="s">
        <v>15194</v>
      </c>
      <c r="M3714" s="1" t="s">
        <v>718</v>
      </c>
    </row>
    <row r="3715" customFormat="false" ht="15" hidden="false" customHeight="false" outlineLevel="0" collapsed="false">
      <c r="A3715" s="1" t="s">
        <v>15195</v>
      </c>
      <c r="B3715" s="1" t="s">
        <v>15196</v>
      </c>
      <c r="C3715" s="1" t="s">
        <v>4361</v>
      </c>
      <c r="D3715" s="2" t="n">
        <v>28717</v>
      </c>
      <c r="E3715" s="1" t="s">
        <v>710</v>
      </c>
      <c r="F3715" s="1" t="s">
        <v>711</v>
      </c>
      <c r="G3715" s="1" t="s">
        <v>712</v>
      </c>
      <c r="H3715" s="1" t="s">
        <v>713</v>
      </c>
      <c r="I3715" s="1" t="s">
        <v>714</v>
      </c>
      <c r="J3715" s="1" t="s">
        <v>712</v>
      </c>
      <c r="K3715" s="1" t="s">
        <v>716</v>
      </c>
      <c r="L3715" s="1" t="s">
        <v>1894</v>
      </c>
      <c r="M3715" s="1" t="s">
        <v>718</v>
      </c>
    </row>
    <row r="3716" customFormat="false" ht="15" hidden="false" customHeight="false" outlineLevel="0" collapsed="false">
      <c r="A3716" s="1" t="s">
        <v>15197</v>
      </c>
      <c r="B3716" s="1" t="s">
        <v>15198</v>
      </c>
      <c r="C3716" s="1" t="s">
        <v>800</v>
      </c>
      <c r="D3716" s="2" t="n">
        <v>29950</v>
      </c>
      <c r="E3716" s="1" t="s">
        <v>763</v>
      </c>
      <c r="F3716" s="1" t="s">
        <v>711</v>
      </c>
      <c r="G3716" s="1" t="s">
        <v>716</v>
      </c>
      <c r="H3716" s="1" t="s">
        <v>713</v>
      </c>
      <c r="I3716" s="1" t="s">
        <v>714</v>
      </c>
      <c r="J3716" s="1" t="s">
        <v>716</v>
      </c>
      <c r="K3716" s="1" t="s">
        <v>716</v>
      </c>
      <c r="L3716" s="1" t="s">
        <v>5560</v>
      </c>
      <c r="M3716" s="1" t="s">
        <v>718</v>
      </c>
    </row>
    <row r="3717" customFormat="false" ht="15" hidden="false" customHeight="false" outlineLevel="0" collapsed="false">
      <c r="A3717" s="1" t="s">
        <v>15199</v>
      </c>
      <c r="B3717" s="1" t="s">
        <v>15200</v>
      </c>
      <c r="C3717" s="1" t="s">
        <v>15201</v>
      </c>
      <c r="D3717" s="2" t="n">
        <v>35870</v>
      </c>
      <c r="E3717" s="1" t="s">
        <v>763</v>
      </c>
      <c r="F3717" s="1" t="s">
        <v>711</v>
      </c>
      <c r="G3717" s="1" t="s">
        <v>712</v>
      </c>
      <c r="H3717" s="1" t="s">
        <v>713</v>
      </c>
      <c r="I3717" s="1" t="s">
        <v>714</v>
      </c>
      <c r="J3717" s="1" t="s">
        <v>716</v>
      </c>
      <c r="K3717" s="1" t="s">
        <v>716</v>
      </c>
      <c r="L3717" s="1" t="s">
        <v>6513</v>
      </c>
      <c r="M3717" s="1" t="s">
        <v>718</v>
      </c>
    </row>
    <row r="3718" customFormat="false" ht="15" hidden="false" customHeight="false" outlineLevel="0" collapsed="false">
      <c r="A3718" s="1" t="s">
        <v>15202</v>
      </c>
      <c r="B3718" s="1" t="s">
        <v>15203</v>
      </c>
      <c r="C3718" s="1" t="s">
        <v>5486</v>
      </c>
      <c r="D3718" s="2" t="n">
        <v>34448</v>
      </c>
      <c r="E3718" s="1" t="s">
        <v>710</v>
      </c>
      <c r="F3718" s="1" t="s">
        <v>711</v>
      </c>
      <c r="G3718" s="1" t="s">
        <v>712</v>
      </c>
      <c r="H3718" s="1" t="s">
        <v>713</v>
      </c>
      <c r="I3718" s="1" t="s">
        <v>714</v>
      </c>
      <c r="J3718" s="1" t="s">
        <v>716</v>
      </c>
      <c r="K3718" s="1" t="s">
        <v>716</v>
      </c>
      <c r="L3718" s="1" t="s">
        <v>10562</v>
      </c>
      <c r="M3718" s="1" t="s">
        <v>718</v>
      </c>
    </row>
    <row r="3719" customFormat="false" ht="15" hidden="false" customHeight="false" outlineLevel="0" collapsed="false">
      <c r="A3719" s="1" t="s">
        <v>15204</v>
      </c>
      <c r="B3719" s="1" t="s">
        <v>15205</v>
      </c>
      <c r="C3719" s="1" t="s">
        <v>2029</v>
      </c>
      <c r="D3719" s="2" t="n">
        <v>34293</v>
      </c>
      <c r="E3719" s="1" t="s">
        <v>763</v>
      </c>
      <c r="F3719" s="1" t="s">
        <v>711</v>
      </c>
      <c r="G3719" s="1" t="s">
        <v>15206</v>
      </c>
      <c r="H3719" s="1" t="s">
        <v>713</v>
      </c>
      <c r="I3719" s="1" t="s">
        <v>714</v>
      </c>
      <c r="J3719" s="1" t="s">
        <v>716</v>
      </c>
      <c r="K3719" s="1" t="s">
        <v>716</v>
      </c>
      <c r="L3719" s="1" t="s">
        <v>15207</v>
      </c>
      <c r="M3719" s="1" t="s">
        <v>718</v>
      </c>
    </row>
    <row r="3720" customFormat="false" ht="15" hidden="false" customHeight="false" outlineLevel="0" collapsed="false">
      <c r="A3720" s="1" t="s">
        <v>501</v>
      </c>
      <c r="B3720" s="1" t="s">
        <v>15208</v>
      </c>
      <c r="C3720" s="1" t="s">
        <v>8371</v>
      </c>
      <c r="D3720" s="2" t="n">
        <v>40294</v>
      </c>
      <c r="E3720" s="1" t="s">
        <v>763</v>
      </c>
      <c r="F3720" s="1" t="s">
        <v>711</v>
      </c>
      <c r="G3720" s="1" t="s">
        <v>712</v>
      </c>
      <c r="H3720" s="1" t="s">
        <v>713</v>
      </c>
      <c r="I3720" s="1" t="s">
        <v>714</v>
      </c>
      <c r="J3720" s="1" t="s">
        <v>716</v>
      </c>
      <c r="K3720" s="1" t="s">
        <v>15209</v>
      </c>
      <c r="L3720" s="1" t="s">
        <v>5131</v>
      </c>
      <c r="M3720" s="1" t="s">
        <v>718</v>
      </c>
    </row>
    <row r="3721" customFormat="false" ht="15" hidden="false" customHeight="false" outlineLevel="0" collapsed="false">
      <c r="A3721" s="1" t="s">
        <v>423</v>
      </c>
      <c r="B3721" s="1" t="s">
        <v>15210</v>
      </c>
      <c r="C3721" s="1" t="s">
        <v>3309</v>
      </c>
      <c r="D3721" s="2" t="n">
        <v>40036</v>
      </c>
      <c r="E3721" s="1" t="s">
        <v>763</v>
      </c>
      <c r="F3721" s="1" t="s">
        <v>711</v>
      </c>
      <c r="G3721" s="1" t="s">
        <v>712</v>
      </c>
      <c r="H3721" s="1" t="s">
        <v>713</v>
      </c>
      <c r="I3721" s="1" t="s">
        <v>714</v>
      </c>
      <c r="J3721" s="1" t="s">
        <v>1149</v>
      </c>
      <c r="K3721" s="1" t="s">
        <v>15211</v>
      </c>
      <c r="L3721" s="1" t="s">
        <v>15212</v>
      </c>
      <c r="M3721" s="1" t="s">
        <v>718</v>
      </c>
    </row>
    <row r="3722" customFormat="false" ht="15" hidden="false" customHeight="false" outlineLevel="0" collapsed="false">
      <c r="A3722" s="1" t="s">
        <v>495</v>
      </c>
      <c r="B3722" s="1" t="s">
        <v>15213</v>
      </c>
      <c r="C3722" s="1" t="s">
        <v>1491</v>
      </c>
      <c r="D3722" s="2" t="n">
        <v>40535</v>
      </c>
      <c r="E3722" s="1" t="s">
        <v>710</v>
      </c>
      <c r="F3722" s="1" t="s">
        <v>711</v>
      </c>
      <c r="G3722" s="1" t="s">
        <v>722</v>
      </c>
      <c r="H3722" s="1" t="s">
        <v>713</v>
      </c>
      <c r="I3722" s="1" t="s">
        <v>714</v>
      </c>
      <c r="J3722" s="1" t="s">
        <v>15214</v>
      </c>
      <c r="K3722" s="1" t="s">
        <v>15215</v>
      </c>
      <c r="L3722" s="1" t="s">
        <v>3760</v>
      </c>
      <c r="M3722" s="1" t="s">
        <v>718</v>
      </c>
    </row>
    <row r="3723" customFormat="false" ht="15" hidden="false" customHeight="false" outlineLevel="0" collapsed="false">
      <c r="A3723" s="1" t="s">
        <v>484</v>
      </c>
      <c r="B3723" s="1" t="s">
        <v>1490</v>
      </c>
      <c r="C3723" s="1" t="s">
        <v>2643</v>
      </c>
      <c r="D3723" s="2" t="n">
        <v>39872</v>
      </c>
      <c r="E3723" s="1" t="s">
        <v>710</v>
      </c>
      <c r="F3723" s="1" t="s">
        <v>711</v>
      </c>
      <c r="G3723" s="1" t="s">
        <v>712</v>
      </c>
      <c r="H3723" s="1" t="s">
        <v>713</v>
      </c>
      <c r="I3723" s="1" t="s">
        <v>714</v>
      </c>
      <c r="J3723" s="1" t="s">
        <v>15216</v>
      </c>
      <c r="K3723" s="1" t="s">
        <v>15217</v>
      </c>
      <c r="L3723" s="1" t="s">
        <v>15218</v>
      </c>
      <c r="M3723" s="1" t="s">
        <v>718</v>
      </c>
    </row>
    <row r="3724" customFormat="false" ht="15" hidden="false" customHeight="false" outlineLevel="0" collapsed="false">
      <c r="A3724" s="1" t="s">
        <v>485</v>
      </c>
      <c r="B3724" s="1" t="s">
        <v>15219</v>
      </c>
      <c r="C3724" s="1" t="s">
        <v>10983</v>
      </c>
      <c r="D3724" s="2" t="n">
        <v>40141</v>
      </c>
      <c r="E3724" s="1" t="s">
        <v>710</v>
      </c>
      <c r="F3724" s="1" t="s">
        <v>711</v>
      </c>
      <c r="G3724" s="1" t="s">
        <v>712</v>
      </c>
      <c r="H3724" s="1" t="s">
        <v>713</v>
      </c>
      <c r="I3724" s="1" t="s">
        <v>714</v>
      </c>
      <c r="J3724" s="1" t="s">
        <v>1530</v>
      </c>
      <c r="K3724" s="1" t="s">
        <v>15220</v>
      </c>
      <c r="L3724" s="1" t="s">
        <v>10985</v>
      </c>
      <c r="M3724" s="1" t="s">
        <v>718</v>
      </c>
    </row>
    <row r="3725" customFormat="false" ht="15" hidden="false" customHeight="false" outlineLevel="0" collapsed="false">
      <c r="A3725" s="1" t="s">
        <v>15221</v>
      </c>
      <c r="B3725" s="1" t="s">
        <v>15222</v>
      </c>
      <c r="C3725" s="1" t="s">
        <v>15223</v>
      </c>
      <c r="D3725" s="2" t="n">
        <v>40482</v>
      </c>
      <c r="E3725" s="1" t="s">
        <v>710</v>
      </c>
      <c r="F3725" s="1" t="s">
        <v>711</v>
      </c>
      <c r="G3725" s="1" t="s">
        <v>712</v>
      </c>
      <c r="H3725" s="1" t="s">
        <v>713</v>
      </c>
      <c r="I3725" s="1" t="s">
        <v>714</v>
      </c>
      <c r="J3725" s="1" t="s">
        <v>8853</v>
      </c>
      <c r="K3725" s="1" t="s">
        <v>15224</v>
      </c>
      <c r="L3725" s="1" t="s">
        <v>15225</v>
      </c>
      <c r="M3725" s="1" t="s">
        <v>718</v>
      </c>
    </row>
    <row r="3726" customFormat="false" ht="15" hidden="false" customHeight="false" outlineLevel="0" collapsed="false">
      <c r="A3726" s="1" t="s">
        <v>15226</v>
      </c>
      <c r="B3726" s="1" t="s">
        <v>12084</v>
      </c>
      <c r="C3726" s="1" t="s">
        <v>3845</v>
      </c>
      <c r="D3726" s="2" t="n">
        <v>40474</v>
      </c>
      <c r="E3726" s="1" t="s">
        <v>710</v>
      </c>
      <c r="F3726" s="1" t="s">
        <v>711</v>
      </c>
      <c r="G3726" s="1" t="s">
        <v>712</v>
      </c>
      <c r="H3726" s="1" t="s">
        <v>713</v>
      </c>
      <c r="I3726" s="1" t="s">
        <v>714</v>
      </c>
      <c r="J3726" s="1" t="s">
        <v>2298</v>
      </c>
      <c r="K3726" s="1" t="s">
        <v>15224</v>
      </c>
      <c r="L3726" s="1" t="s">
        <v>15227</v>
      </c>
      <c r="M3726" s="1" t="s">
        <v>718</v>
      </c>
    </row>
    <row r="3727" customFormat="false" ht="15" hidden="false" customHeight="false" outlineLevel="0" collapsed="false">
      <c r="A3727" s="1" t="s">
        <v>526</v>
      </c>
      <c r="B3727" s="1" t="s">
        <v>1668</v>
      </c>
      <c r="C3727" s="1" t="s">
        <v>15228</v>
      </c>
      <c r="D3727" s="2" t="n">
        <v>40450</v>
      </c>
      <c r="E3727" s="1" t="s">
        <v>710</v>
      </c>
      <c r="F3727" s="1" t="s">
        <v>711</v>
      </c>
      <c r="G3727" s="1" t="s">
        <v>712</v>
      </c>
      <c r="H3727" s="1" t="s">
        <v>713</v>
      </c>
      <c r="I3727" s="1" t="s">
        <v>714</v>
      </c>
      <c r="J3727" s="1" t="s">
        <v>15229</v>
      </c>
      <c r="K3727" s="1" t="s">
        <v>716</v>
      </c>
      <c r="L3727" s="1" t="s">
        <v>15230</v>
      </c>
      <c r="M3727" s="1" t="s">
        <v>718</v>
      </c>
    </row>
    <row r="3728" customFormat="false" ht="15" hidden="false" customHeight="false" outlineLevel="0" collapsed="false">
      <c r="A3728" s="1" t="s">
        <v>489</v>
      </c>
      <c r="B3728" s="1" t="s">
        <v>15231</v>
      </c>
      <c r="C3728" s="1" t="s">
        <v>15232</v>
      </c>
      <c r="D3728" s="2" t="n">
        <v>40512</v>
      </c>
      <c r="E3728" s="1" t="s">
        <v>763</v>
      </c>
      <c r="F3728" s="1" t="s">
        <v>711</v>
      </c>
      <c r="G3728" s="1" t="s">
        <v>712</v>
      </c>
      <c r="H3728" s="1" t="s">
        <v>713</v>
      </c>
      <c r="I3728" s="1" t="s">
        <v>714</v>
      </c>
      <c r="J3728" s="1" t="s">
        <v>15233</v>
      </c>
      <c r="K3728" s="1" t="s">
        <v>15234</v>
      </c>
      <c r="L3728" s="1" t="s">
        <v>15235</v>
      </c>
      <c r="M3728" s="1" t="s">
        <v>718</v>
      </c>
    </row>
    <row r="3729" customFormat="false" ht="15" hidden="false" customHeight="false" outlineLevel="0" collapsed="false">
      <c r="A3729" s="1" t="s">
        <v>499</v>
      </c>
      <c r="B3729" s="1" t="s">
        <v>15236</v>
      </c>
      <c r="C3729" s="1" t="s">
        <v>11711</v>
      </c>
      <c r="D3729" s="2" t="n">
        <v>40487</v>
      </c>
      <c r="E3729" s="1" t="s">
        <v>763</v>
      </c>
      <c r="F3729" s="1" t="s">
        <v>711</v>
      </c>
      <c r="G3729" s="1" t="s">
        <v>712</v>
      </c>
      <c r="H3729" s="1" t="s">
        <v>713</v>
      </c>
      <c r="I3729" s="1" t="s">
        <v>714</v>
      </c>
      <c r="J3729" s="1" t="s">
        <v>3893</v>
      </c>
      <c r="K3729" s="1" t="s">
        <v>15237</v>
      </c>
      <c r="L3729" s="1" t="s">
        <v>14075</v>
      </c>
      <c r="M3729" s="1" t="s">
        <v>718</v>
      </c>
    </row>
    <row r="3730" customFormat="false" ht="15" hidden="false" customHeight="false" outlineLevel="0" collapsed="false">
      <c r="A3730" s="1" t="s">
        <v>15238</v>
      </c>
      <c r="B3730" s="1" t="s">
        <v>3349</v>
      </c>
      <c r="C3730" s="1" t="s">
        <v>15239</v>
      </c>
      <c r="D3730" s="2" t="n">
        <v>40355</v>
      </c>
      <c r="E3730" s="1" t="s">
        <v>710</v>
      </c>
      <c r="F3730" s="1" t="s">
        <v>711</v>
      </c>
      <c r="G3730" s="1" t="s">
        <v>712</v>
      </c>
      <c r="H3730" s="1" t="s">
        <v>713</v>
      </c>
      <c r="I3730" s="1" t="s">
        <v>714</v>
      </c>
      <c r="J3730" s="1" t="s">
        <v>3893</v>
      </c>
      <c r="K3730" s="1" t="s">
        <v>15240</v>
      </c>
      <c r="L3730" s="1" t="s">
        <v>15241</v>
      </c>
      <c r="M3730" s="1" t="s">
        <v>718</v>
      </c>
    </row>
    <row r="3731" customFormat="false" ht="15" hidden="false" customHeight="false" outlineLevel="0" collapsed="false">
      <c r="A3731" s="1" t="s">
        <v>494</v>
      </c>
      <c r="B3731" s="1" t="s">
        <v>15242</v>
      </c>
      <c r="C3731" s="1" t="s">
        <v>9619</v>
      </c>
      <c r="D3731" s="2" t="n">
        <v>40470</v>
      </c>
      <c r="E3731" s="1" t="s">
        <v>710</v>
      </c>
      <c r="F3731" s="1" t="s">
        <v>711</v>
      </c>
      <c r="G3731" s="1" t="s">
        <v>712</v>
      </c>
      <c r="H3731" s="1" t="s">
        <v>713</v>
      </c>
      <c r="I3731" s="1" t="s">
        <v>714</v>
      </c>
      <c r="J3731" s="1" t="s">
        <v>1244</v>
      </c>
      <c r="K3731" s="1" t="s">
        <v>15243</v>
      </c>
      <c r="L3731" s="1" t="s">
        <v>5421</v>
      </c>
      <c r="M3731" s="1" t="s">
        <v>718</v>
      </c>
    </row>
    <row r="3732" customFormat="false" ht="15" hidden="false" customHeight="false" outlineLevel="0" collapsed="false">
      <c r="A3732" s="1" t="s">
        <v>498</v>
      </c>
      <c r="B3732" s="1" t="s">
        <v>15244</v>
      </c>
      <c r="C3732" s="1" t="s">
        <v>12789</v>
      </c>
      <c r="D3732" s="2" t="n">
        <v>40076</v>
      </c>
      <c r="E3732" s="1" t="s">
        <v>710</v>
      </c>
      <c r="F3732" s="1" t="s">
        <v>711</v>
      </c>
      <c r="G3732" s="1" t="s">
        <v>712</v>
      </c>
      <c r="H3732" s="1" t="s">
        <v>713</v>
      </c>
      <c r="I3732" s="1" t="s">
        <v>714</v>
      </c>
      <c r="J3732" s="1" t="s">
        <v>1398</v>
      </c>
      <c r="K3732" s="1" t="s">
        <v>15245</v>
      </c>
      <c r="L3732" s="1" t="s">
        <v>12791</v>
      </c>
      <c r="M3732" s="1" t="s">
        <v>718</v>
      </c>
    </row>
    <row r="3733" customFormat="false" ht="15" hidden="false" customHeight="false" outlineLevel="0" collapsed="false">
      <c r="A3733" s="1" t="s">
        <v>15246</v>
      </c>
      <c r="B3733" s="1" t="s">
        <v>15247</v>
      </c>
      <c r="C3733" s="1" t="s">
        <v>15248</v>
      </c>
      <c r="D3733" s="2" t="n">
        <v>40375</v>
      </c>
      <c r="E3733" s="1" t="s">
        <v>763</v>
      </c>
      <c r="F3733" s="1" t="s">
        <v>711</v>
      </c>
      <c r="G3733" s="1" t="s">
        <v>712</v>
      </c>
      <c r="H3733" s="1" t="s">
        <v>713</v>
      </c>
      <c r="I3733" s="1" t="s">
        <v>714</v>
      </c>
      <c r="J3733" s="1" t="s">
        <v>15249</v>
      </c>
      <c r="K3733" s="1" t="s">
        <v>15250</v>
      </c>
      <c r="L3733" s="1" t="s">
        <v>15251</v>
      </c>
      <c r="M3733" s="1" t="s">
        <v>718</v>
      </c>
    </row>
    <row r="3734" customFormat="false" ht="15" hidden="false" customHeight="false" outlineLevel="0" collapsed="false">
      <c r="A3734" s="1" t="s">
        <v>425</v>
      </c>
      <c r="B3734" s="1" t="s">
        <v>15252</v>
      </c>
      <c r="C3734" s="1" t="s">
        <v>1477</v>
      </c>
      <c r="D3734" s="2" t="n">
        <v>40499</v>
      </c>
      <c r="E3734" s="1" t="s">
        <v>710</v>
      </c>
      <c r="F3734" s="1" t="s">
        <v>711</v>
      </c>
      <c r="G3734" s="1" t="s">
        <v>712</v>
      </c>
      <c r="H3734" s="1" t="s">
        <v>713</v>
      </c>
      <c r="I3734" s="1" t="s">
        <v>714</v>
      </c>
      <c r="J3734" s="1" t="s">
        <v>1149</v>
      </c>
      <c r="K3734" s="1" t="s">
        <v>15253</v>
      </c>
      <c r="L3734" s="1" t="s">
        <v>1479</v>
      </c>
      <c r="M3734" s="1" t="s">
        <v>718</v>
      </c>
    </row>
    <row r="3735" customFormat="false" ht="15" hidden="false" customHeight="false" outlineLevel="0" collapsed="false">
      <c r="A3735" s="1" t="s">
        <v>542</v>
      </c>
      <c r="B3735" s="1" t="s">
        <v>15254</v>
      </c>
      <c r="C3735" s="1" t="s">
        <v>750</v>
      </c>
      <c r="D3735" s="2" t="n">
        <v>40275</v>
      </c>
      <c r="E3735" s="1" t="s">
        <v>763</v>
      </c>
      <c r="F3735" s="1" t="s">
        <v>711</v>
      </c>
      <c r="G3735" s="1" t="s">
        <v>712</v>
      </c>
      <c r="H3735" s="1" t="s">
        <v>713</v>
      </c>
      <c r="I3735" s="1" t="s">
        <v>714</v>
      </c>
      <c r="J3735" s="1" t="s">
        <v>1584</v>
      </c>
      <c r="K3735" s="1" t="s">
        <v>716</v>
      </c>
      <c r="L3735" s="1" t="s">
        <v>15255</v>
      </c>
      <c r="M3735" s="1" t="s">
        <v>718</v>
      </c>
    </row>
    <row r="3736" customFormat="false" ht="15" hidden="false" customHeight="false" outlineLevel="0" collapsed="false">
      <c r="A3736" s="1" t="s">
        <v>500</v>
      </c>
      <c r="B3736" s="1" t="s">
        <v>15256</v>
      </c>
      <c r="C3736" s="1" t="s">
        <v>1068</v>
      </c>
      <c r="D3736" s="2" t="n">
        <v>40633</v>
      </c>
      <c r="E3736" s="1" t="s">
        <v>763</v>
      </c>
      <c r="F3736" s="1" t="s">
        <v>711</v>
      </c>
      <c r="G3736" s="1" t="s">
        <v>712</v>
      </c>
      <c r="H3736" s="1" t="s">
        <v>713</v>
      </c>
      <c r="I3736" s="1" t="s">
        <v>714</v>
      </c>
      <c r="J3736" s="1" t="s">
        <v>4940</v>
      </c>
      <c r="K3736" s="1" t="s">
        <v>716</v>
      </c>
      <c r="L3736" s="1" t="s">
        <v>1069</v>
      </c>
      <c r="M3736" s="1" t="s">
        <v>718</v>
      </c>
    </row>
    <row r="3737" customFormat="false" ht="15" hidden="false" customHeight="false" outlineLevel="0" collapsed="false">
      <c r="A3737" s="1" t="s">
        <v>15257</v>
      </c>
      <c r="B3737" s="1" t="s">
        <v>15258</v>
      </c>
      <c r="C3737" s="1" t="s">
        <v>1345</v>
      </c>
      <c r="D3737" s="2" t="n">
        <v>34978</v>
      </c>
      <c r="E3737" s="1" t="s">
        <v>763</v>
      </c>
      <c r="F3737" s="1" t="s">
        <v>711</v>
      </c>
      <c r="G3737" s="1" t="s">
        <v>722</v>
      </c>
      <c r="H3737" s="1" t="s">
        <v>713</v>
      </c>
      <c r="I3737" s="1" t="s">
        <v>714</v>
      </c>
      <c r="J3737" s="1" t="s">
        <v>716</v>
      </c>
      <c r="K3737" s="1" t="s">
        <v>716</v>
      </c>
      <c r="L3737" s="1" t="s">
        <v>1418</v>
      </c>
      <c r="M3737" s="1" t="s">
        <v>718</v>
      </c>
    </row>
    <row r="3738" customFormat="false" ht="15" hidden="false" customHeight="false" outlineLevel="0" collapsed="false">
      <c r="A3738" s="1" t="s">
        <v>15259</v>
      </c>
      <c r="B3738" s="1" t="s">
        <v>15260</v>
      </c>
      <c r="C3738" s="1" t="s">
        <v>15261</v>
      </c>
      <c r="D3738" s="2" t="n">
        <v>38602</v>
      </c>
      <c r="E3738" s="1" t="s">
        <v>710</v>
      </c>
      <c r="F3738" s="1" t="s">
        <v>711</v>
      </c>
      <c r="G3738" s="1" t="s">
        <v>712</v>
      </c>
      <c r="H3738" s="1" t="s">
        <v>713</v>
      </c>
      <c r="I3738" s="1" t="s">
        <v>714</v>
      </c>
      <c r="J3738" s="1" t="s">
        <v>2889</v>
      </c>
      <c r="K3738" s="1" t="s">
        <v>15262</v>
      </c>
      <c r="L3738" s="1" t="s">
        <v>15263</v>
      </c>
      <c r="M3738" s="1" t="s">
        <v>718</v>
      </c>
    </row>
    <row r="3739" customFormat="false" ht="15" hidden="false" customHeight="false" outlineLevel="0" collapsed="false">
      <c r="A3739" s="1" t="s">
        <v>502</v>
      </c>
      <c r="B3739" s="1" t="s">
        <v>15264</v>
      </c>
      <c r="C3739" s="1" t="s">
        <v>15265</v>
      </c>
      <c r="D3739" s="2" t="n">
        <v>40227</v>
      </c>
      <c r="E3739" s="1" t="s">
        <v>710</v>
      </c>
      <c r="F3739" s="1" t="s">
        <v>711</v>
      </c>
      <c r="G3739" s="1" t="s">
        <v>712</v>
      </c>
      <c r="H3739" s="1" t="s">
        <v>713</v>
      </c>
      <c r="I3739" s="1" t="s">
        <v>714</v>
      </c>
      <c r="J3739" s="1" t="s">
        <v>11173</v>
      </c>
      <c r="K3739" s="1" t="s">
        <v>15266</v>
      </c>
      <c r="L3739" s="1" t="s">
        <v>15267</v>
      </c>
      <c r="M3739" s="1" t="s">
        <v>718</v>
      </c>
    </row>
    <row r="3740" customFormat="false" ht="15" hidden="false" customHeight="false" outlineLevel="0" collapsed="false">
      <c r="A3740" s="1" t="s">
        <v>15268</v>
      </c>
      <c r="B3740" s="1" t="s">
        <v>15269</v>
      </c>
      <c r="C3740" s="1" t="s">
        <v>15270</v>
      </c>
      <c r="D3740" s="2" t="n">
        <v>40085</v>
      </c>
      <c r="E3740" s="1" t="s">
        <v>763</v>
      </c>
      <c r="F3740" s="1" t="s">
        <v>711</v>
      </c>
      <c r="G3740" s="1" t="s">
        <v>712</v>
      </c>
      <c r="H3740" s="1" t="s">
        <v>713</v>
      </c>
      <c r="I3740" s="1" t="s">
        <v>714</v>
      </c>
      <c r="J3740" s="1" t="s">
        <v>6851</v>
      </c>
      <c r="K3740" s="1" t="s">
        <v>15271</v>
      </c>
      <c r="L3740" s="1" t="s">
        <v>15272</v>
      </c>
      <c r="M3740" s="1" t="s">
        <v>718</v>
      </c>
    </row>
    <row r="3741" customFormat="false" ht="15" hidden="false" customHeight="false" outlineLevel="0" collapsed="false">
      <c r="A3741" s="1" t="s">
        <v>15273</v>
      </c>
      <c r="B3741" s="1" t="s">
        <v>15274</v>
      </c>
      <c r="C3741" s="1" t="s">
        <v>10718</v>
      </c>
      <c r="D3741" s="2" t="n">
        <v>39952</v>
      </c>
      <c r="E3741" s="1" t="s">
        <v>763</v>
      </c>
      <c r="F3741" s="1" t="s">
        <v>711</v>
      </c>
      <c r="G3741" s="1" t="s">
        <v>712</v>
      </c>
      <c r="H3741" s="1" t="s">
        <v>713</v>
      </c>
      <c r="I3741" s="1" t="s">
        <v>714</v>
      </c>
      <c r="J3741" s="1" t="s">
        <v>1723</v>
      </c>
      <c r="K3741" s="1" t="s">
        <v>15275</v>
      </c>
      <c r="L3741" s="1" t="s">
        <v>15276</v>
      </c>
      <c r="M3741" s="1" t="s">
        <v>718</v>
      </c>
    </row>
    <row r="3742" customFormat="false" ht="15" hidden="false" customHeight="false" outlineLevel="0" collapsed="false">
      <c r="A3742" s="1" t="s">
        <v>506</v>
      </c>
      <c r="B3742" s="1" t="s">
        <v>15277</v>
      </c>
      <c r="C3742" s="1" t="s">
        <v>4317</v>
      </c>
      <c r="D3742" s="2" t="n">
        <v>40011</v>
      </c>
      <c r="E3742" s="1" t="s">
        <v>710</v>
      </c>
      <c r="F3742" s="1" t="s">
        <v>711</v>
      </c>
      <c r="G3742" s="1" t="s">
        <v>712</v>
      </c>
      <c r="H3742" s="1" t="s">
        <v>713</v>
      </c>
      <c r="I3742" s="1" t="s">
        <v>714</v>
      </c>
      <c r="J3742" s="1" t="s">
        <v>15278</v>
      </c>
      <c r="K3742" s="1" t="s">
        <v>15279</v>
      </c>
      <c r="L3742" s="1" t="s">
        <v>15280</v>
      </c>
      <c r="M3742" s="1" t="s">
        <v>718</v>
      </c>
    </row>
    <row r="3743" customFormat="false" ht="15" hidden="false" customHeight="false" outlineLevel="0" collapsed="false">
      <c r="A3743" s="1" t="s">
        <v>15281</v>
      </c>
      <c r="B3743" s="1" t="s">
        <v>15282</v>
      </c>
      <c r="C3743" s="1" t="s">
        <v>15283</v>
      </c>
      <c r="D3743" s="2" t="n">
        <v>40188</v>
      </c>
      <c r="E3743" s="1" t="s">
        <v>763</v>
      </c>
      <c r="F3743" s="1" t="s">
        <v>711</v>
      </c>
      <c r="G3743" s="1" t="s">
        <v>712</v>
      </c>
      <c r="H3743" s="1" t="s">
        <v>713</v>
      </c>
      <c r="I3743" s="1" t="s">
        <v>714</v>
      </c>
      <c r="J3743" s="1" t="s">
        <v>2001</v>
      </c>
      <c r="K3743" s="1" t="s">
        <v>15284</v>
      </c>
      <c r="L3743" s="1" t="s">
        <v>15285</v>
      </c>
      <c r="M3743" s="1" t="s">
        <v>718</v>
      </c>
    </row>
    <row r="3744" customFormat="false" ht="15" hidden="false" customHeight="false" outlineLevel="0" collapsed="false">
      <c r="A3744" s="1" t="s">
        <v>504</v>
      </c>
      <c r="B3744" s="1" t="s">
        <v>15286</v>
      </c>
      <c r="C3744" s="1" t="s">
        <v>9622</v>
      </c>
      <c r="D3744" s="2" t="n">
        <v>40227</v>
      </c>
      <c r="E3744" s="1" t="s">
        <v>763</v>
      </c>
      <c r="F3744" s="1" t="s">
        <v>711</v>
      </c>
      <c r="G3744" s="1" t="s">
        <v>712</v>
      </c>
      <c r="H3744" s="1" t="s">
        <v>713</v>
      </c>
      <c r="I3744" s="1" t="s">
        <v>714</v>
      </c>
      <c r="J3744" s="1" t="s">
        <v>6508</v>
      </c>
      <c r="K3744" s="1" t="s">
        <v>716</v>
      </c>
      <c r="L3744" s="1" t="s">
        <v>9624</v>
      </c>
      <c r="M3744" s="1" t="s">
        <v>718</v>
      </c>
    </row>
    <row r="3745" customFormat="false" ht="15" hidden="false" customHeight="false" outlineLevel="0" collapsed="false">
      <c r="A3745" s="1" t="s">
        <v>15287</v>
      </c>
      <c r="B3745" s="1" t="s">
        <v>15288</v>
      </c>
      <c r="C3745" s="1" t="s">
        <v>15289</v>
      </c>
      <c r="D3745" s="2" t="n">
        <v>40441</v>
      </c>
      <c r="E3745" s="1" t="s">
        <v>763</v>
      </c>
      <c r="F3745" s="1" t="s">
        <v>711</v>
      </c>
      <c r="G3745" s="1" t="s">
        <v>712</v>
      </c>
      <c r="H3745" s="1" t="s">
        <v>713</v>
      </c>
      <c r="I3745" s="1" t="s">
        <v>714</v>
      </c>
      <c r="J3745" s="1" t="s">
        <v>15290</v>
      </c>
      <c r="K3745" s="1" t="s">
        <v>15291</v>
      </c>
      <c r="L3745" s="1" t="s">
        <v>15292</v>
      </c>
      <c r="M3745" s="1" t="s">
        <v>718</v>
      </c>
    </row>
    <row r="3746" customFormat="false" ht="15" hidden="false" customHeight="false" outlineLevel="0" collapsed="false">
      <c r="A3746" s="1" t="s">
        <v>15293</v>
      </c>
      <c r="B3746" s="1" t="s">
        <v>15294</v>
      </c>
      <c r="C3746" s="1" t="s">
        <v>5444</v>
      </c>
      <c r="D3746" s="2" t="n">
        <v>40626</v>
      </c>
      <c r="E3746" s="1" t="s">
        <v>710</v>
      </c>
      <c r="F3746" s="1" t="s">
        <v>711</v>
      </c>
      <c r="G3746" s="1" t="s">
        <v>712</v>
      </c>
      <c r="H3746" s="1" t="s">
        <v>713</v>
      </c>
      <c r="I3746" s="1" t="s">
        <v>714</v>
      </c>
      <c r="J3746" s="1" t="s">
        <v>1055</v>
      </c>
      <c r="K3746" s="1" t="s">
        <v>15295</v>
      </c>
      <c r="L3746" s="1" t="s">
        <v>15296</v>
      </c>
      <c r="M3746" s="1" t="s">
        <v>718</v>
      </c>
    </row>
    <row r="3747" customFormat="false" ht="15" hidden="false" customHeight="false" outlineLevel="0" collapsed="false">
      <c r="A3747" s="1" t="s">
        <v>413</v>
      </c>
      <c r="B3747" s="1" t="s">
        <v>1397</v>
      </c>
      <c r="C3747" s="1" t="s">
        <v>2121</v>
      </c>
      <c r="D3747" s="2" t="n">
        <v>40223</v>
      </c>
      <c r="E3747" s="1" t="s">
        <v>710</v>
      </c>
      <c r="F3747" s="1" t="s">
        <v>711</v>
      </c>
      <c r="G3747" s="1" t="s">
        <v>712</v>
      </c>
      <c r="H3747" s="1" t="s">
        <v>713</v>
      </c>
      <c r="I3747" s="1" t="s">
        <v>714</v>
      </c>
      <c r="J3747" s="1" t="s">
        <v>1244</v>
      </c>
      <c r="K3747" s="1" t="s">
        <v>15295</v>
      </c>
      <c r="L3747" s="1" t="s">
        <v>15297</v>
      </c>
      <c r="M3747" s="1" t="s">
        <v>718</v>
      </c>
    </row>
    <row r="3748" customFormat="false" ht="15" hidden="false" customHeight="false" outlineLevel="0" collapsed="false">
      <c r="A3748" s="1" t="s">
        <v>510</v>
      </c>
      <c r="B3748" s="1" t="s">
        <v>2451</v>
      </c>
      <c r="C3748" s="1" t="s">
        <v>11476</v>
      </c>
      <c r="D3748" s="2" t="n">
        <v>40266</v>
      </c>
      <c r="E3748" s="1" t="s">
        <v>710</v>
      </c>
      <c r="F3748" s="1" t="s">
        <v>711</v>
      </c>
      <c r="G3748" s="1" t="s">
        <v>712</v>
      </c>
      <c r="H3748" s="1" t="s">
        <v>713</v>
      </c>
      <c r="I3748" s="1" t="s">
        <v>714</v>
      </c>
      <c r="J3748" s="1" t="s">
        <v>1505</v>
      </c>
      <c r="K3748" s="1" t="s">
        <v>15298</v>
      </c>
      <c r="L3748" s="1" t="s">
        <v>11478</v>
      </c>
      <c r="M3748" s="1" t="s">
        <v>718</v>
      </c>
    </row>
    <row r="3749" customFormat="false" ht="15" hidden="false" customHeight="false" outlineLevel="0" collapsed="false">
      <c r="A3749" s="1" t="s">
        <v>488</v>
      </c>
      <c r="B3749" s="1" t="s">
        <v>15299</v>
      </c>
      <c r="C3749" s="1" t="s">
        <v>1295</v>
      </c>
      <c r="D3749" s="2" t="n">
        <v>40213</v>
      </c>
      <c r="E3749" s="1" t="s">
        <v>710</v>
      </c>
      <c r="F3749" s="1" t="s">
        <v>711</v>
      </c>
      <c r="G3749" s="1" t="s">
        <v>712</v>
      </c>
      <c r="H3749" s="1" t="s">
        <v>713</v>
      </c>
      <c r="I3749" s="1" t="s">
        <v>714</v>
      </c>
      <c r="J3749" s="1" t="s">
        <v>1398</v>
      </c>
      <c r="K3749" s="1" t="s">
        <v>15300</v>
      </c>
      <c r="L3749" s="1" t="s">
        <v>15301</v>
      </c>
      <c r="M3749" s="1" t="s">
        <v>718</v>
      </c>
    </row>
    <row r="3750" customFormat="false" ht="15" hidden="false" customHeight="false" outlineLevel="0" collapsed="false">
      <c r="A3750" s="1" t="s">
        <v>505</v>
      </c>
      <c r="B3750" s="1" t="s">
        <v>15302</v>
      </c>
      <c r="C3750" s="1" t="s">
        <v>10430</v>
      </c>
      <c r="D3750" s="2" t="n">
        <v>40339</v>
      </c>
      <c r="E3750" s="1" t="s">
        <v>763</v>
      </c>
      <c r="F3750" s="1" t="s">
        <v>711</v>
      </c>
      <c r="G3750" s="1" t="s">
        <v>712</v>
      </c>
      <c r="H3750" s="1" t="s">
        <v>713</v>
      </c>
      <c r="I3750" s="1" t="s">
        <v>714</v>
      </c>
      <c r="J3750" s="1" t="s">
        <v>15303</v>
      </c>
      <c r="K3750" s="1" t="s">
        <v>15304</v>
      </c>
      <c r="L3750" s="1" t="s">
        <v>13580</v>
      </c>
      <c r="M3750" s="1" t="s">
        <v>718</v>
      </c>
    </row>
    <row r="3751" customFormat="false" ht="15" hidden="false" customHeight="false" outlineLevel="0" collapsed="false">
      <c r="A3751" s="1" t="s">
        <v>486</v>
      </c>
      <c r="B3751" s="1" t="s">
        <v>15305</v>
      </c>
      <c r="C3751" s="1" t="s">
        <v>12599</v>
      </c>
      <c r="D3751" s="2" t="n">
        <v>40484</v>
      </c>
      <c r="E3751" s="1" t="s">
        <v>710</v>
      </c>
      <c r="F3751" s="1" t="s">
        <v>711</v>
      </c>
      <c r="G3751" s="1" t="s">
        <v>712</v>
      </c>
      <c r="H3751" s="1" t="s">
        <v>713</v>
      </c>
      <c r="I3751" s="1" t="s">
        <v>714</v>
      </c>
      <c r="J3751" s="1" t="s">
        <v>740</v>
      </c>
      <c r="K3751" s="1" t="s">
        <v>15306</v>
      </c>
      <c r="L3751" s="1" t="s">
        <v>1890</v>
      </c>
      <c r="M3751" s="1" t="s">
        <v>718</v>
      </c>
    </row>
    <row r="3752" customFormat="false" ht="15" hidden="false" customHeight="false" outlineLevel="0" collapsed="false">
      <c r="A3752" s="1" t="s">
        <v>15307</v>
      </c>
      <c r="B3752" s="1" t="s">
        <v>15308</v>
      </c>
      <c r="C3752" s="1" t="s">
        <v>15309</v>
      </c>
      <c r="D3752" s="2" t="n">
        <v>40359</v>
      </c>
      <c r="E3752" s="1" t="s">
        <v>710</v>
      </c>
      <c r="F3752" s="1" t="s">
        <v>711</v>
      </c>
      <c r="G3752" s="1" t="s">
        <v>712</v>
      </c>
      <c r="H3752" s="1" t="s">
        <v>713</v>
      </c>
      <c r="I3752" s="1" t="s">
        <v>714</v>
      </c>
      <c r="J3752" s="1" t="s">
        <v>1131</v>
      </c>
      <c r="K3752" s="1" t="s">
        <v>15310</v>
      </c>
      <c r="L3752" s="1" t="s">
        <v>15311</v>
      </c>
      <c r="M3752" s="1" t="s">
        <v>718</v>
      </c>
    </row>
    <row r="3753" customFormat="false" ht="15" hidden="false" customHeight="false" outlineLevel="0" collapsed="false">
      <c r="A3753" s="1" t="s">
        <v>487</v>
      </c>
      <c r="B3753" s="1" t="s">
        <v>15312</v>
      </c>
      <c r="C3753" s="1" t="s">
        <v>15313</v>
      </c>
      <c r="D3753" s="2" t="n">
        <v>39804</v>
      </c>
      <c r="E3753" s="1" t="s">
        <v>763</v>
      </c>
      <c r="F3753" s="1" t="s">
        <v>711</v>
      </c>
      <c r="G3753" s="1" t="s">
        <v>712</v>
      </c>
      <c r="H3753" s="1" t="s">
        <v>713</v>
      </c>
      <c r="I3753" s="1" t="s">
        <v>714</v>
      </c>
      <c r="J3753" s="1" t="s">
        <v>1445</v>
      </c>
      <c r="K3753" s="1" t="s">
        <v>14045</v>
      </c>
      <c r="L3753" s="1" t="s">
        <v>14046</v>
      </c>
      <c r="M3753" s="1" t="s">
        <v>718</v>
      </c>
    </row>
    <row r="3754" customFormat="false" ht="15" hidden="false" customHeight="false" outlineLevel="0" collapsed="false">
      <c r="A3754" s="1" t="s">
        <v>492</v>
      </c>
      <c r="B3754" s="1" t="s">
        <v>15314</v>
      </c>
      <c r="C3754" s="1" t="s">
        <v>750</v>
      </c>
      <c r="D3754" s="2" t="n">
        <v>40388</v>
      </c>
      <c r="E3754" s="1" t="s">
        <v>763</v>
      </c>
      <c r="F3754" s="1" t="s">
        <v>711</v>
      </c>
      <c r="G3754" s="1" t="s">
        <v>712</v>
      </c>
      <c r="H3754" s="1" t="s">
        <v>713</v>
      </c>
      <c r="I3754" s="1" t="s">
        <v>714</v>
      </c>
      <c r="J3754" s="1" t="s">
        <v>716</v>
      </c>
      <c r="K3754" s="1" t="s">
        <v>15315</v>
      </c>
      <c r="L3754" s="1" t="s">
        <v>15316</v>
      </c>
      <c r="M3754" s="1" t="s">
        <v>718</v>
      </c>
    </row>
    <row r="3755" customFormat="false" ht="15" hidden="false" customHeight="false" outlineLevel="0" collapsed="false">
      <c r="A3755" s="1" t="s">
        <v>525</v>
      </c>
      <c r="B3755" s="1" t="s">
        <v>15317</v>
      </c>
      <c r="C3755" s="1" t="s">
        <v>11067</v>
      </c>
      <c r="D3755" s="2" t="n">
        <v>40365</v>
      </c>
      <c r="E3755" s="1" t="s">
        <v>763</v>
      </c>
      <c r="F3755" s="1" t="s">
        <v>711</v>
      </c>
      <c r="G3755" s="1" t="s">
        <v>712</v>
      </c>
      <c r="H3755" s="1" t="s">
        <v>713</v>
      </c>
      <c r="I3755" s="1" t="s">
        <v>714</v>
      </c>
      <c r="J3755" s="1" t="s">
        <v>15318</v>
      </c>
      <c r="K3755" s="1" t="s">
        <v>716</v>
      </c>
      <c r="L3755" s="1" t="s">
        <v>2896</v>
      </c>
      <c r="M3755" s="1" t="s">
        <v>718</v>
      </c>
    </row>
    <row r="3756" customFormat="false" ht="15" hidden="false" customHeight="false" outlineLevel="0" collapsed="false">
      <c r="A3756" s="1" t="s">
        <v>15319</v>
      </c>
      <c r="B3756" s="1" t="s">
        <v>15320</v>
      </c>
      <c r="C3756" s="1" t="s">
        <v>15321</v>
      </c>
      <c r="D3756" s="2" t="n">
        <v>40527</v>
      </c>
      <c r="E3756" s="1" t="s">
        <v>763</v>
      </c>
      <c r="F3756" s="1" t="s">
        <v>711</v>
      </c>
      <c r="G3756" s="1" t="s">
        <v>712</v>
      </c>
      <c r="H3756" s="1" t="s">
        <v>713</v>
      </c>
      <c r="I3756" s="1" t="s">
        <v>714</v>
      </c>
      <c r="J3756" s="1" t="s">
        <v>838</v>
      </c>
      <c r="K3756" s="1" t="s">
        <v>15049</v>
      </c>
      <c r="L3756" s="1" t="s">
        <v>15050</v>
      </c>
      <c r="M3756" s="1" t="s">
        <v>718</v>
      </c>
    </row>
    <row r="3757" customFormat="false" ht="15" hidden="false" customHeight="false" outlineLevel="0" collapsed="false">
      <c r="A3757" s="1" t="s">
        <v>15322</v>
      </c>
      <c r="B3757" s="1" t="s">
        <v>7856</v>
      </c>
      <c r="C3757" s="1" t="s">
        <v>15323</v>
      </c>
      <c r="D3757" s="2" t="n">
        <v>40132</v>
      </c>
      <c r="E3757" s="1" t="s">
        <v>710</v>
      </c>
      <c r="F3757" s="1" t="s">
        <v>711</v>
      </c>
      <c r="G3757" s="1" t="s">
        <v>712</v>
      </c>
      <c r="H3757" s="1" t="s">
        <v>713</v>
      </c>
      <c r="I3757" s="1" t="s">
        <v>714</v>
      </c>
      <c r="J3757" s="1" t="s">
        <v>1390</v>
      </c>
      <c r="K3757" s="1" t="s">
        <v>15324</v>
      </c>
      <c r="L3757" s="1" t="s">
        <v>15325</v>
      </c>
      <c r="M3757" s="1" t="s">
        <v>718</v>
      </c>
    </row>
    <row r="3758" customFormat="false" ht="15" hidden="false" customHeight="false" outlineLevel="0" collapsed="false">
      <c r="A3758" s="1" t="s">
        <v>520</v>
      </c>
      <c r="B3758" s="1" t="s">
        <v>15326</v>
      </c>
      <c r="C3758" s="1" t="s">
        <v>15327</v>
      </c>
      <c r="D3758" s="2" t="n">
        <v>40451</v>
      </c>
      <c r="E3758" s="1" t="s">
        <v>763</v>
      </c>
      <c r="F3758" s="1" t="s">
        <v>711</v>
      </c>
      <c r="G3758" s="1" t="s">
        <v>712</v>
      </c>
      <c r="H3758" s="1" t="s">
        <v>713</v>
      </c>
      <c r="I3758" s="1" t="s">
        <v>714</v>
      </c>
      <c r="J3758" s="1" t="s">
        <v>805</v>
      </c>
      <c r="K3758" s="1" t="s">
        <v>15328</v>
      </c>
      <c r="L3758" s="1" t="s">
        <v>15329</v>
      </c>
      <c r="M3758" s="1" t="s">
        <v>718</v>
      </c>
    </row>
    <row r="3759" customFormat="false" ht="15" hidden="false" customHeight="false" outlineLevel="0" collapsed="false">
      <c r="A3759" s="1" t="s">
        <v>533</v>
      </c>
      <c r="B3759" s="1" t="s">
        <v>15330</v>
      </c>
      <c r="C3759" s="1" t="s">
        <v>13002</v>
      </c>
      <c r="D3759" s="2" t="n">
        <v>40579</v>
      </c>
      <c r="E3759" s="1" t="s">
        <v>710</v>
      </c>
      <c r="F3759" s="1" t="s">
        <v>711</v>
      </c>
      <c r="G3759" s="1" t="s">
        <v>712</v>
      </c>
      <c r="H3759" s="1" t="s">
        <v>713</v>
      </c>
      <c r="I3759" s="1" t="s">
        <v>714</v>
      </c>
      <c r="J3759" s="1" t="s">
        <v>1131</v>
      </c>
      <c r="K3759" s="1" t="s">
        <v>15331</v>
      </c>
      <c r="L3759" s="1" t="s">
        <v>13004</v>
      </c>
      <c r="M3759" s="1" t="s">
        <v>718</v>
      </c>
    </row>
    <row r="3760" customFormat="false" ht="15" hidden="false" customHeight="false" outlineLevel="0" collapsed="false">
      <c r="A3760" s="1" t="s">
        <v>15332</v>
      </c>
      <c r="B3760" s="1" t="s">
        <v>15333</v>
      </c>
      <c r="C3760" s="1" t="s">
        <v>3238</v>
      </c>
      <c r="D3760" s="2" t="n">
        <v>40487</v>
      </c>
      <c r="E3760" s="1" t="s">
        <v>710</v>
      </c>
      <c r="F3760" s="1" t="s">
        <v>711</v>
      </c>
      <c r="G3760" s="1" t="s">
        <v>712</v>
      </c>
      <c r="H3760" s="1" t="s">
        <v>713</v>
      </c>
      <c r="I3760" s="1" t="s">
        <v>714</v>
      </c>
      <c r="J3760" s="1" t="s">
        <v>2530</v>
      </c>
      <c r="K3760" s="1" t="s">
        <v>15334</v>
      </c>
      <c r="L3760" s="1" t="s">
        <v>3240</v>
      </c>
      <c r="M3760" s="1" t="s">
        <v>718</v>
      </c>
    </row>
    <row r="3761" customFormat="false" ht="15" hidden="false" customHeight="false" outlineLevel="0" collapsed="false">
      <c r="A3761" s="1" t="s">
        <v>493</v>
      </c>
      <c r="B3761" s="1" t="s">
        <v>11135</v>
      </c>
      <c r="C3761" s="1" t="s">
        <v>15335</v>
      </c>
      <c r="D3761" s="2" t="n">
        <v>40240</v>
      </c>
      <c r="E3761" s="1" t="s">
        <v>710</v>
      </c>
      <c r="F3761" s="1" t="s">
        <v>711</v>
      </c>
      <c r="G3761" s="1" t="s">
        <v>712</v>
      </c>
      <c r="H3761" s="1" t="s">
        <v>713</v>
      </c>
      <c r="I3761" s="1" t="s">
        <v>714</v>
      </c>
      <c r="J3761" s="1" t="s">
        <v>1723</v>
      </c>
      <c r="K3761" s="1" t="s">
        <v>15336</v>
      </c>
      <c r="L3761" s="1" t="s">
        <v>15337</v>
      </c>
      <c r="M3761" s="1" t="s">
        <v>718</v>
      </c>
    </row>
    <row r="3762" customFormat="false" ht="15" hidden="false" customHeight="false" outlineLevel="0" collapsed="false">
      <c r="A3762" s="1" t="s">
        <v>15338</v>
      </c>
      <c r="B3762" s="1" t="s">
        <v>15339</v>
      </c>
      <c r="C3762" s="1" t="s">
        <v>15340</v>
      </c>
      <c r="D3762" s="2" t="n">
        <v>40402</v>
      </c>
      <c r="E3762" s="1" t="s">
        <v>763</v>
      </c>
      <c r="F3762" s="1" t="s">
        <v>711</v>
      </c>
      <c r="G3762" s="1" t="s">
        <v>712</v>
      </c>
      <c r="H3762" s="1" t="s">
        <v>713</v>
      </c>
      <c r="I3762" s="1" t="s">
        <v>714</v>
      </c>
      <c r="J3762" s="1" t="s">
        <v>1131</v>
      </c>
      <c r="K3762" s="1" t="s">
        <v>15341</v>
      </c>
      <c r="L3762" s="1" t="s">
        <v>15342</v>
      </c>
      <c r="M3762" s="1" t="s">
        <v>718</v>
      </c>
    </row>
    <row r="3763" customFormat="false" ht="15" hidden="false" customHeight="false" outlineLevel="0" collapsed="false">
      <c r="A3763" s="1" t="s">
        <v>15343</v>
      </c>
      <c r="B3763" s="1" t="s">
        <v>15344</v>
      </c>
      <c r="C3763" s="1" t="s">
        <v>15261</v>
      </c>
      <c r="D3763" s="2" t="n">
        <v>40645</v>
      </c>
      <c r="E3763" s="1" t="s">
        <v>710</v>
      </c>
      <c r="F3763" s="1" t="s">
        <v>711</v>
      </c>
      <c r="G3763" s="1" t="s">
        <v>712</v>
      </c>
      <c r="H3763" s="1" t="s">
        <v>713</v>
      </c>
      <c r="I3763" s="1" t="s">
        <v>714</v>
      </c>
      <c r="J3763" s="1" t="s">
        <v>715</v>
      </c>
      <c r="K3763" s="1" t="s">
        <v>15345</v>
      </c>
      <c r="L3763" s="1" t="s">
        <v>15346</v>
      </c>
      <c r="M3763" s="1" t="s">
        <v>718</v>
      </c>
    </row>
    <row r="3764" customFormat="false" ht="15" hidden="false" customHeight="false" outlineLevel="0" collapsed="false">
      <c r="A3764" s="1" t="s">
        <v>521</v>
      </c>
      <c r="B3764" s="1" t="s">
        <v>15347</v>
      </c>
      <c r="C3764" s="1" t="s">
        <v>15010</v>
      </c>
      <c r="D3764" s="2" t="n">
        <v>40887</v>
      </c>
      <c r="E3764" s="1" t="s">
        <v>763</v>
      </c>
      <c r="F3764" s="1" t="s">
        <v>711</v>
      </c>
      <c r="G3764" s="1" t="s">
        <v>712</v>
      </c>
      <c r="H3764" s="1" t="s">
        <v>713</v>
      </c>
      <c r="I3764" s="1" t="s">
        <v>714</v>
      </c>
      <c r="J3764" s="1" t="s">
        <v>15348</v>
      </c>
      <c r="K3764" s="1" t="s">
        <v>15349</v>
      </c>
      <c r="L3764" s="1" t="s">
        <v>15350</v>
      </c>
      <c r="M3764" s="1" t="s">
        <v>718</v>
      </c>
    </row>
    <row r="3765" customFormat="false" ht="15" hidden="false" customHeight="false" outlineLevel="0" collapsed="false">
      <c r="A3765" s="1" t="s">
        <v>519</v>
      </c>
      <c r="B3765" s="1" t="s">
        <v>15351</v>
      </c>
      <c r="C3765" s="1" t="s">
        <v>3656</v>
      </c>
      <c r="D3765" s="2" t="n">
        <v>40658</v>
      </c>
      <c r="E3765" s="1" t="s">
        <v>710</v>
      </c>
      <c r="F3765" s="1" t="s">
        <v>711</v>
      </c>
      <c r="G3765" s="1" t="s">
        <v>712</v>
      </c>
      <c r="H3765" s="1" t="s">
        <v>713</v>
      </c>
      <c r="I3765" s="1" t="s">
        <v>714</v>
      </c>
      <c r="J3765" s="1" t="s">
        <v>15352</v>
      </c>
      <c r="K3765" s="1" t="s">
        <v>15353</v>
      </c>
      <c r="L3765" s="1" t="s">
        <v>15354</v>
      </c>
      <c r="M3765" s="1" t="s">
        <v>718</v>
      </c>
    </row>
    <row r="3766" customFormat="false" ht="15" hidden="false" customHeight="false" outlineLevel="0" collapsed="false">
      <c r="A3766" s="1" t="s">
        <v>15355</v>
      </c>
      <c r="B3766" s="1" t="s">
        <v>15356</v>
      </c>
      <c r="C3766" s="1" t="s">
        <v>15357</v>
      </c>
      <c r="D3766" s="2" t="n">
        <v>40469</v>
      </c>
      <c r="E3766" s="1" t="s">
        <v>710</v>
      </c>
      <c r="F3766" s="1" t="s">
        <v>711</v>
      </c>
      <c r="G3766" s="1" t="s">
        <v>712</v>
      </c>
      <c r="H3766" s="1" t="s">
        <v>713</v>
      </c>
      <c r="I3766" s="1" t="s">
        <v>714</v>
      </c>
      <c r="J3766" s="1" t="s">
        <v>1723</v>
      </c>
      <c r="K3766" s="1" t="s">
        <v>15358</v>
      </c>
      <c r="L3766" s="1" t="s">
        <v>15359</v>
      </c>
      <c r="M3766" s="1" t="s">
        <v>718</v>
      </c>
    </row>
    <row r="3767" customFormat="false" ht="15" hidden="false" customHeight="false" outlineLevel="0" collapsed="false">
      <c r="A3767" s="1" t="s">
        <v>527</v>
      </c>
      <c r="B3767" s="1" t="s">
        <v>15360</v>
      </c>
      <c r="C3767" s="1" t="s">
        <v>6447</v>
      </c>
      <c r="D3767" s="2" t="n">
        <v>40227</v>
      </c>
      <c r="E3767" s="1" t="s">
        <v>763</v>
      </c>
      <c r="F3767" s="1" t="s">
        <v>711</v>
      </c>
      <c r="G3767" s="1" t="s">
        <v>712</v>
      </c>
      <c r="H3767" s="1" t="s">
        <v>713</v>
      </c>
      <c r="I3767" s="1" t="s">
        <v>714</v>
      </c>
      <c r="J3767" s="1" t="s">
        <v>790</v>
      </c>
      <c r="K3767" s="1" t="s">
        <v>716</v>
      </c>
      <c r="L3767" s="1" t="s">
        <v>6449</v>
      </c>
      <c r="M3767" s="1" t="s">
        <v>718</v>
      </c>
    </row>
    <row r="3768" customFormat="false" ht="15" hidden="false" customHeight="false" outlineLevel="0" collapsed="false">
      <c r="A3768" s="1" t="s">
        <v>538</v>
      </c>
      <c r="B3768" s="1" t="s">
        <v>15361</v>
      </c>
      <c r="C3768" s="1" t="s">
        <v>15362</v>
      </c>
      <c r="D3768" s="2" t="n">
        <v>40565</v>
      </c>
      <c r="E3768" s="1" t="s">
        <v>710</v>
      </c>
      <c r="F3768" s="1" t="s">
        <v>711</v>
      </c>
      <c r="G3768" s="1" t="s">
        <v>712</v>
      </c>
      <c r="H3768" s="1" t="s">
        <v>713</v>
      </c>
      <c r="I3768" s="1" t="s">
        <v>714</v>
      </c>
      <c r="J3768" s="1" t="s">
        <v>15363</v>
      </c>
      <c r="K3768" s="1" t="s">
        <v>716</v>
      </c>
      <c r="L3768" s="1" t="s">
        <v>15364</v>
      </c>
      <c r="M3768" s="1" t="s">
        <v>718</v>
      </c>
    </row>
    <row r="3769" customFormat="false" ht="15" hidden="false" customHeight="false" outlineLevel="0" collapsed="false">
      <c r="A3769" s="1" t="s">
        <v>15365</v>
      </c>
      <c r="B3769" s="1" t="s">
        <v>15366</v>
      </c>
      <c r="C3769" s="1" t="s">
        <v>9324</v>
      </c>
      <c r="D3769" s="2" t="n">
        <v>40554</v>
      </c>
      <c r="E3769" s="1" t="s">
        <v>763</v>
      </c>
      <c r="F3769" s="1" t="s">
        <v>711</v>
      </c>
      <c r="G3769" s="1" t="s">
        <v>712</v>
      </c>
      <c r="H3769" s="1" t="s">
        <v>713</v>
      </c>
      <c r="I3769" s="1" t="s">
        <v>714</v>
      </c>
      <c r="J3769" s="1" t="s">
        <v>832</v>
      </c>
      <c r="K3769" s="1" t="s">
        <v>15367</v>
      </c>
      <c r="L3769" s="1" t="s">
        <v>9327</v>
      </c>
      <c r="M3769" s="1" t="s">
        <v>718</v>
      </c>
    </row>
    <row r="3770" customFormat="false" ht="15" hidden="false" customHeight="false" outlineLevel="0" collapsed="false">
      <c r="A3770" s="1" t="s">
        <v>524</v>
      </c>
      <c r="B3770" s="1" t="s">
        <v>15368</v>
      </c>
      <c r="C3770" s="1" t="s">
        <v>13136</v>
      </c>
      <c r="D3770" s="2" t="n">
        <v>40356</v>
      </c>
      <c r="E3770" s="1" t="s">
        <v>763</v>
      </c>
      <c r="F3770" s="1" t="s">
        <v>711</v>
      </c>
      <c r="G3770" s="1" t="s">
        <v>712</v>
      </c>
      <c r="H3770" s="1" t="s">
        <v>713</v>
      </c>
      <c r="I3770" s="1" t="s">
        <v>714</v>
      </c>
      <c r="J3770" s="1" t="s">
        <v>8234</v>
      </c>
      <c r="K3770" s="1" t="s">
        <v>716</v>
      </c>
      <c r="L3770" s="1" t="s">
        <v>15369</v>
      </c>
      <c r="M3770" s="1" t="s">
        <v>718</v>
      </c>
    </row>
    <row r="3771" customFormat="false" ht="15" hidden="false" customHeight="false" outlineLevel="0" collapsed="false">
      <c r="A3771" s="1" t="s">
        <v>491</v>
      </c>
      <c r="B3771" s="1" t="s">
        <v>15370</v>
      </c>
      <c r="C3771" s="1" t="s">
        <v>15371</v>
      </c>
      <c r="D3771" s="2" t="n">
        <v>40549</v>
      </c>
      <c r="E3771" s="1" t="s">
        <v>763</v>
      </c>
      <c r="F3771" s="1" t="s">
        <v>711</v>
      </c>
      <c r="G3771" s="1" t="s">
        <v>712</v>
      </c>
      <c r="H3771" s="1" t="s">
        <v>713</v>
      </c>
      <c r="I3771" s="1" t="s">
        <v>714</v>
      </c>
      <c r="J3771" s="1" t="s">
        <v>15372</v>
      </c>
      <c r="K3771" s="1" t="s">
        <v>14241</v>
      </c>
      <c r="L3771" s="1" t="s">
        <v>15373</v>
      </c>
      <c r="M3771" s="1" t="s">
        <v>718</v>
      </c>
    </row>
    <row r="3772" customFormat="false" ht="15" hidden="false" customHeight="false" outlineLevel="0" collapsed="false">
      <c r="A3772" s="1" t="s">
        <v>15374</v>
      </c>
      <c r="B3772" s="1" t="s">
        <v>15375</v>
      </c>
      <c r="C3772" s="1" t="s">
        <v>9712</v>
      </c>
      <c r="D3772" s="2" t="n">
        <v>40491</v>
      </c>
      <c r="E3772" s="1" t="s">
        <v>763</v>
      </c>
      <c r="F3772" s="1" t="s">
        <v>711</v>
      </c>
      <c r="G3772" s="1" t="s">
        <v>722</v>
      </c>
      <c r="H3772" s="1" t="s">
        <v>713</v>
      </c>
      <c r="I3772" s="1" t="s">
        <v>714</v>
      </c>
      <c r="J3772" s="1" t="s">
        <v>15376</v>
      </c>
      <c r="K3772" s="1" t="s">
        <v>15377</v>
      </c>
      <c r="L3772" s="1" t="s">
        <v>3002</v>
      </c>
      <c r="M3772" s="1" t="s">
        <v>718</v>
      </c>
    </row>
    <row r="3773" customFormat="false" ht="15" hidden="false" customHeight="false" outlineLevel="0" collapsed="false">
      <c r="A3773" s="1" t="s">
        <v>15378</v>
      </c>
      <c r="B3773" s="1" t="s">
        <v>15379</v>
      </c>
      <c r="C3773" s="1" t="s">
        <v>15380</v>
      </c>
      <c r="D3773" s="2" t="n">
        <v>40585</v>
      </c>
      <c r="E3773" s="1" t="s">
        <v>763</v>
      </c>
      <c r="F3773" s="1" t="s">
        <v>711</v>
      </c>
      <c r="G3773" s="1" t="s">
        <v>712</v>
      </c>
      <c r="H3773" s="1" t="s">
        <v>713</v>
      </c>
      <c r="I3773" s="1" t="s">
        <v>714</v>
      </c>
      <c r="J3773" s="1" t="s">
        <v>15381</v>
      </c>
      <c r="K3773" s="1" t="s">
        <v>15382</v>
      </c>
      <c r="L3773" s="1" t="s">
        <v>15383</v>
      </c>
      <c r="M3773" s="1" t="s">
        <v>718</v>
      </c>
    </row>
    <row r="3774" customFormat="false" ht="15" hidden="false" customHeight="false" outlineLevel="0" collapsed="false">
      <c r="A3774" s="1" t="s">
        <v>15384</v>
      </c>
      <c r="B3774" s="1" t="s">
        <v>15385</v>
      </c>
      <c r="C3774" s="1" t="s">
        <v>1940</v>
      </c>
      <c r="D3774" s="2" t="n">
        <v>40613</v>
      </c>
      <c r="E3774" s="1" t="s">
        <v>763</v>
      </c>
      <c r="F3774" s="1" t="s">
        <v>711</v>
      </c>
      <c r="G3774" s="1" t="s">
        <v>712</v>
      </c>
      <c r="H3774" s="1" t="s">
        <v>713</v>
      </c>
      <c r="I3774" s="1" t="s">
        <v>714</v>
      </c>
      <c r="J3774" s="1" t="s">
        <v>15386</v>
      </c>
      <c r="K3774" s="1" t="s">
        <v>15387</v>
      </c>
      <c r="L3774" s="1" t="s">
        <v>15388</v>
      </c>
      <c r="M3774" s="1" t="s">
        <v>718</v>
      </c>
    </row>
    <row r="3775" customFormat="false" ht="15" hidden="false" customHeight="false" outlineLevel="0" collapsed="false">
      <c r="A3775" s="1" t="s">
        <v>536</v>
      </c>
      <c r="B3775" s="1" t="s">
        <v>1657</v>
      </c>
      <c r="C3775" s="1" t="s">
        <v>739</v>
      </c>
      <c r="D3775" s="2" t="n">
        <v>40583</v>
      </c>
      <c r="E3775" s="1" t="s">
        <v>710</v>
      </c>
      <c r="F3775" s="1" t="s">
        <v>711</v>
      </c>
      <c r="G3775" s="1" t="s">
        <v>712</v>
      </c>
      <c r="H3775" s="1" t="s">
        <v>713</v>
      </c>
      <c r="I3775" s="1" t="s">
        <v>714</v>
      </c>
      <c r="J3775" s="1" t="s">
        <v>15389</v>
      </c>
      <c r="K3775" s="1" t="s">
        <v>15390</v>
      </c>
      <c r="L3775" s="1" t="s">
        <v>15391</v>
      </c>
      <c r="M3775" s="1" t="s">
        <v>718</v>
      </c>
    </row>
    <row r="3776" customFormat="false" ht="15" hidden="false" customHeight="false" outlineLevel="0" collapsed="false">
      <c r="A3776" s="1" t="s">
        <v>515</v>
      </c>
      <c r="B3776" s="1" t="s">
        <v>5433</v>
      </c>
      <c r="C3776" s="1" t="s">
        <v>15392</v>
      </c>
      <c r="D3776" s="2" t="n">
        <v>40212</v>
      </c>
      <c r="E3776" s="1" t="s">
        <v>763</v>
      </c>
      <c r="F3776" s="1" t="s">
        <v>711</v>
      </c>
      <c r="G3776" s="1" t="s">
        <v>712</v>
      </c>
      <c r="H3776" s="1" t="s">
        <v>713</v>
      </c>
      <c r="I3776" s="1" t="s">
        <v>714</v>
      </c>
      <c r="J3776" s="1" t="s">
        <v>15393</v>
      </c>
      <c r="K3776" s="1" t="s">
        <v>716</v>
      </c>
      <c r="L3776" s="1" t="s">
        <v>15394</v>
      </c>
      <c r="M3776" s="1" t="s">
        <v>718</v>
      </c>
    </row>
    <row r="3777" customFormat="false" ht="15" hidden="false" customHeight="false" outlineLevel="0" collapsed="false">
      <c r="A3777" s="1" t="s">
        <v>523</v>
      </c>
      <c r="B3777" s="1" t="s">
        <v>15395</v>
      </c>
      <c r="C3777" s="1" t="s">
        <v>15396</v>
      </c>
      <c r="D3777" s="2" t="n">
        <v>40647</v>
      </c>
      <c r="E3777" s="1" t="s">
        <v>763</v>
      </c>
      <c r="F3777" s="1" t="s">
        <v>711</v>
      </c>
      <c r="G3777" s="1" t="s">
        <v>712</v>
      </c>
      <c r="H3777" s="1" t="s">
        <v>713</v>
      </c>
      <c r="I3777" s="1" t="s">
        <v>714</v>
      </c>
      <c r="J3777" s="1" t="s">
        <v>1584</v>
      </c>
      <c r="K3777" s="1" t="s">
        <v>15397</v>
      </c>
      <c r="L3777" s="1" t="s">
        <v>15398</v>
      </c>
      <c r="M3777" s="1" t="s">
        <v>718</v>
      </c>
    </row>
    <row r="3778" customFormat="false" ht="15" hidden="false" customHeight="false" outlineLevel="0" collapsed="false">
      <c r="A3778" s="1" t="s">
        <v>15399</v>
      </c>
      <c r="B3778" s="1" t="s">
        <v>13750</v>
      </c>
      <c r="C3778" s="1" t="s">
        <v>14903</v>
      </c>
      <c r="D3778" s="2" t="n">
        <v>40329</v>
      </c>
      <c r="E3778" s="1" t="s">
        <v>763</v>
      </c>
      <c r="F3778" s="1" t="s">
        <v>711</v>
      </c>
      <c r="G3778" s="1" t="s">
        <v>712</v>
      </c>
      <c r="H3778" s="1" t="s">
        <v>713</v>
      </c>
      <c r="I3778" s="1" t="s">
        <v>714</v>
      </c>
      <c r="J3778" s="1" t="s">
        <v>15400</v>
      </c>
      <c r="K3778" s="1" t="s">
        <v>15401</v>
      </c>
      <c r="L3778" s="1" t="s">
        <v>15402</v>
      </c>
      <c r="M3778" s="1" t="s">
        <v>718</v>
      </c>
    </row>
    <row r="3779" customFormat="false" ht="15" hidden="false" customHeight="false" outlineLevel="0" collapsed="false">
      <c r="A3779" s="1" t="s">
        <v>15403</v>
      </c>
      <c r="B3779" s="1" t="s">
        <v>15404</v>
      </c>
      <c r="C3779" s="1" t="s">
        <v>15405</v>
      </c>
      <c r="D3779" s="2" t="n">
        <v>40640</v>
      </c>
      <c r="E3779" s="1" t="s">
        <v>763</v>
      </c>
      <c r="F3779" s="1" t="s">
        <v>711</v>
      </c>
      <c r="G3779" s="1" t="s">
        <v>712</v>
      </c>
      <c r="H3779" s="1" t="s">
        <v>713</v>
      </c>
      <c r="I3779" s="1" t="s">
        <v>714</v>
      </c>
      <c r="J3779" s="1" t="s">
        <v>15400</v>
      </c>
      <c r="K3779" s="1" t="s">
        <v>15401</v>
      </c>
      <c r="L3779" s="1" t="s">
        <v>15406</v>
      </c>
      <c r="M3779" s="1" t="s">
        <v>718</v>
      </c>
    </row>
    <row r="3780" customFormat="false" ht="15" hidden="false" customHeight="false" outlineLevel="0" collapsed="false">
      <c r="A3780" s="1" t="s">
        <v>529</v>
      </c>
      <c r="B3780" s="1" t="s">
        <v>15407</v>
      </c>
      <c r="C3780" s="1" t="s">
        <v>1897</v>
      </c>
      <c r="D3780" s="2" t="n">
        <v>40878</v>
      </c>
      <c r="E3780" s="1" t="s">
        <v>763</v>
      </c>
      <c r="F3780" s="1" t="s">
        <v>711</v>
      </c>
      <c r="G3780" s="1" t="s">
        <v>712</v>
      </c>
      <c r="H3780" s="1" t="s">
        <v>713</v>
      </c>
      <c r="I3780" s="1" t="s">
        <v>714</v>
      </c>
      <c r="J3780" s="1" t="s">
        <v>821</v>
      </c>
      <c r="K3780" s="1" t="s">
        <v>15408</v>
      </c>
      <c r="L3780" s="1" t="s">
        <v>15409</v>
      </c>
      <c r="M3780" s="1" t="s">
        <v>718</v>
      </c>
    </row>
    <row r="3781" customFormat="false" ht="15" hidden="false" customHeight="false" outlineLevel="0" collapsed="false">
      <c r="A3781" s="1" t="s">
        <v>522</v>
      </c>
      <c r="B3781" s="1" t="s">
        <v>15410</v>
      </c>
      <c r="C3781" s="1" t="s">
        <v>9335</v>
      </c>
      <c r="D3781" s="2" t="n">
        <v>40793</v>
      </c>
      <c r="E3781" s="1" t="s">
        <v>763</v>
      </c>
      <c r="F3781" s="1" t="s">
        <v>711</v>
      </c>
      <c r="G3781" s="1" t="s">
        <v>712</v>
      </c>
      <c r="H3781" s="1" t="s">
        <v>713</v>
      </c>
      <c r="I3781" s="1" t="s">
        <v>714</v>
      </c>
      <c r="J3781" s="1" t="s">
        <v>15411</v>
      </c>
      <c r="K3781" s="1" t="s">
        <v>9337</v>
      </c>
      <c r="L3781" s="1" t="s">
        <v>9338</v>
      </c>
      <c r="M3781" s="1" t="s">
        <v>718</v>
      </c>
    </row>
    <row r="3782" customFormat="false" ht="15" hidden="false" customHeight="false" outlineLevel="0" collapsed="false">
      <c r="A3782" s="1" t="s">
        <v>528</v>
      </c>
      <c r="B3782" s="1" t="s">
        <v>15412</v>
      </c>
      <c r="C3782" s="1" t="s">
        <v>6270</v>
      </c>
      <c r="D3782" s="2" t="n">
        <v>40330</v>
      </c>
      <c r="E3782" s="1" t="s">
        <v>763</v>
      </c>
      <c r="F3782" s="1" t="s">
        <v>711</v>
      </c>
      <c r="G3782" s="1" t="s">
        <v>712</v>
      </c>
      <c r="H3782" s="1" t="s">
        <v>713</v>
      </c>
      <c r="I3782" s="1" t="s">
        <v>714</v>
      </c>
      <c r="J3782" s="1" t="s">
        <v>15413</v>
      </c>
      <c r="K3782" s="1" t="s">
        <v>15414</v>
      </c>
      <c r="L3782" s="1" t="s">
        <v>13998</v>
      </c>
      <c r="M3782" s="1" t="s">
        <v>718</v>
      </c>
    </row>
    <row r="3783" customFormat="false" ht="15" hidden="false" customHeight="false" outlineLevel="0" collapsed="false">
      <c r="A3783" s="1" t="s">
        <v>503</v>
      </c>
      <c r="B3783" s="1" t="s">
        <v>15415</v>
      </c>
      <c r="C3783" s="1" t="s">
        <v>12543</v>
      </c>
      <c r="D3783" s="2" t="n">
        <v>40915</v>
      </c>
      <c r="E3783" s="1" t="s">
        <v>763</v>
      </c>
      <c r="F3783" s="1" t="s">
        <v>711</v>
      </c>
      <c r="G3783" s="1" t="s">
        <v>712</v>
      </c>
      <c r="H3783" s="1" t="s">
        <v>713</v>
      </c>
      <c r="I3783" s="1" t="s">
        <v>714</v>
      </c>
      <c r="J3783" s="1" t="s">
        <v>10551</v>
      </c>
      <c r="K3783" s="1" t="s">
        <v>14143</v>
      </c>
      <c r="L3783" s="1" t="s">
        <v>14144</v>
      </c>
      <c r="M3783" s="1" t="s">
        <v>718</v>
      </c>
    </row>
    <row r="3784" customFormat="false" ht="15" hidden="false" customHeight="false" outlineLevel="0" collapsed="false">
      <c r="A3784" s="1" t="s">
        <v>15416</v>
      </c>
      <c r="B3784" s="1" t="s">
        <v>15417</v>
      </c>
      <c r="C3784" s="1" t="s">
        <v>15418</v>
      </c>
      <c r="D3784" s="2" t="n">
        <v>40451</v>
      </c>
      <c r="E3784" s="1" t="s">
        <v>710</v>
      </c>
      <c r="F3784" s="1" t="s">
        <v>711</v>
      </c>
      <c r="G3784" s="1" t="s">
        <v>712</v>
      </c>
      <c r="H3784" s="1" t="s">
        <v>713</v>
      </c>
      <c r="I3784" s="1" t="s">
        <v>714</v>
      </c>
      <c r="J3784" s="1" t="s">
        <v>10551</v>
      </c>
      <c r="K3784" s="1" t="s">
        <v>14637</v>
      </c>
      <c r="L3784" s="1" t="s">
        <v>14638</v>
      </c>
      <c r="M3784" s="1" t="s">
        <v>718</v>
      </c>
    </row>
    <row r="3785" customFormat="false" ht="15" hidden="false" customHeight="false" outlineLevel="0" collapsed="false">
      <c r="A3785" s="1" t="s">
        <v>518</v>
      </c>
      <c r="B3785" s="1" t="s">
        <v>15419</v>
      </c>
      <c r="C3785" s="1" t="s">
        <v>15420</v>
      </c>
      <c r="D3785" s="2" t="n">
        <v>40479</v>
      </c>
      <c r="E3785" s="1" t="s">
        <v>710</v>
      </c>
      <c r="F3785" s="1" t="s">
        <v>711</v>
      </c>
      <c r="G3785" s="1" t="s">
        <v>712</v>
      </c>
      <c r="H3785" s="1" t="s">
        <v>713</v>
      </c>
      <c r="I3785" s="1" t="s">
        <v>714</v>
      </c>
      <c r="J3785" s="1" t="s">
        <v>716</v>
      </c>
      <c r="K3785" s="1" t="s">
        <v>716</v>
      </c>
      <c r="L3785" s="1" t="s">
        <v>15421</v>
      </c>
      <c r="M3785" s="1" t="s">
        <v>718</v>
      </c>
    </row>
    <row r="3786" customFormat="false" ht="15" hidden="false" customHeight="false" outlineLevel="0" collapsed="false">
      <c r="A3786" s="1" t="s">
        <v>15422</v>
      </c>
      <c r="B3786" s="1" t="s">
        <v>10279</v>
      </c>
      <c r="C3786" s="1" t="s">
        <v>15423</v>
      </c>
      <c r="D3786" s="2" t="n">
        <v>40722</v>
      </c>
      <c r="E3786" s="1" t="s">
        <v>710</v>
      </c>
      <c r="F3786" s="1" t="s">
        <v>711</v>
      </c>
      <c r="G3786" s="1" t="s">
        <v>712</v>
      </c>
      <c r="H3786" s="1" t="s">
        <v>713</v>
      </c>
      <c r="I3786" s="1" t="s">
        <v>714</v>
      </c>
      <c r="J3786" s="1" t="s">
        <v>1723</v>
      </c>
      <c r="K3786" s="1" t="s">
        <v>15424</v>
      </c>
      <c r="L3786" s="1" t="s">
        <v>15425</v>
      </c>
      <c r="M3786" s="1" t="s">
        <v>718</v>
      </c>
    </row>
    <row r="3787" customFormat="false" ht="15" hidden="false" customHeight="false" outlineLevel="0" collapsed="false">
      <c r="A3787" s="1" t="s">
        <v>516</v>
      </c>
      <c r="B3787" s="1" t="s">
        <v>3219</v>
      </c>
      <c r="C3787" s="1" t="s">
        <v>750</v>
      </c>
      <c r="D3787" s="2" t="n">
        <v>40369</v>
      </c>
      <c r="E3787" s="1" t="s">
        <v>710</v>
      </c>
      <c r="F3787" s="1" t="s">
        <v>711</v>
      </c>
      <c r="G3787" s="1" t="s">
        <v>712</v>
      </c>
      <c r="H3787" s="1" t="s">
        <v>713</v>
      </c>
      <c r="I3787" s="1" t="s">
        <v>714</v>
      </c>
      <c r="J3787" s="1" t="s">
        <v>1584</v>
      </c>
      <c r="K3787" s="1" t="s">
        <v>14274</v>
      </c>
      <c r="L3787" s="1" t="s">
        <v>15426</v>
      </c>
      <c r="M3787" s="1" t="s">
        <v>718</v>
      </c>
    </row>
    <row r="3788" customFormat="false" ht="15" hidden="false" customHeight="false" outlineLevel="0" collapsed="false">
      <c r="A3788" s="1" t="s">
        <v>15427</v>
      </c>
      <c r="B3788" s="1" t="s">
        <v>15428</v>
      </c>
      <c r="C3788" s="1" t="s">
        <v>15429</v>
      </c>
      <c r="D3788" s="2" t="n">
        <v>40372</v>
      </c>
      <c r="E3788" s="1" t="s">
        <v>710</v>
      </c>
      <c r="F3788" s="1" t="s">
        <v>711</v>
      </c>
      <c r="G3788" s="1" t="s">
        <v>712</v>
      </c>
      <c r="H3788" s="1" t="s">
        <v>713</v>
      </c>
      <c r="I3788" s="1" t="s">
        <v>714</v>
      </c>
      <c r="J3788" s="1" t="s">
        <v>1398</v>
      </c>
      <c r="K3788" s="1" t="s">
        <v>15430</v>
      </c>
      <c r="L3788" s="1" t="s">
        <v>15431</v>
      </c>
      <c r="M3788" s="1" t="s">
        <v>718</v>
      </c>
    </row>
    <row r="3789" customFormat="false" ht="15" hidden="false" customHeight="false" outlineLevel="0" collapsed="false">
      <c r="A3789" s="1" t="s">
        <v>15432</v>
      </c>
      <c r="B3789" s="1" t="s">
        <v>15433</v>
      </c>
      <c r="C3789" s="1" t="s">
        <v>3191</v>
      </c>
      <c r="D3789" s="2" t="n">
        <v>40001</v>
      </c>
      <c r="E3789" s="1" t="s">
        <v>710</v>
      </c>
      <c r="F3789" s="1" t="s">
        <v>711</v>
      </c>
      <c r="G3789" s="1" t="s">
        <v>722</v>
      </c>
      <c r="H3789" s="1" t="s">
        <v>713</v>
      </c>
      <c r="I3789" s="1" t="s">
        <v>714</v>
      </c>
      <c r="J3789" s="1" t="s">
        <v>15434</v>
      </c>
      <c r="K3789" s="1" t="s">
        <v>15435</v>
      </c>
      <c r="L3789" s="1" t="s">
        <v>11610</v>
      </c>
      <c r="M3789" s="1" t="s">
        <v>718</v>
      </c>
    </row>
    <row r="3790" customFormat="false" ht="15" hidden="false" customHeight="false" outlineLevel="0" collapsed="false">
      <c r="A3790" s="1" t="s">
        <v>562</v>
      </c>
      <c r="B3790" s="1" t="s">
        <v>15436</v>
      </c>
      <c r="C3790" s="1" t="s">
        <v>15437</v>
      </c>
      <c r="D3790" s="2" t="n">
        <v>40281</v>
      </c>
      <c r="E3790" s="1" t="s">
        <v>763</v>
      </c>
      <c r="F3790" s="1" t="s">
        <v>711</v>
      </c>
      <c r="G3790" s="1" t="s">
        <v>712</v>
      </c>
      <c r="H3790" s="1" t="s">
        <v>713</v>
      </c>
      <c r="I3790" s="1" t="s">
        <v>714</v>
      </c>
      <c r="J3790" s="1" t="s">
        <v>15438</v>
      </c>
      <c r="K3790" s="1" t="s">
        <v>15439</v>
      </c>
      <c r="L3790" s="1" t="s">
        <v>15440</v>
      </c>
      <c r="M3790" s="1" t="s">
        <v>718</v>
      </c>
    </row>
    <row r="3791" customFormat="false" ht="15" hidden="false" customHeight="false" outlineLevel="0" collapsed="false">
      <c r="A3791" s="1" t="s">
        <v>570</v>
      </c>
      <c r="B3791" s="1" t="s">
        <v>15441</v>
      </c>
      <c r="C3791" s="1" t="s">
        <v>15442</v>
      </c>
      <c r="D3791" s="2" t="n">
        <v>40211</v>
      </c>
      <c r="E3791" s="1" t="s">
        <v>710</v>
      </c>
      <c r="F3791" s="1" t="s">
        <v>711</v>
      </c>
      <c r="G3791" s="1" t="s">
        <v>712</v>
      </c>
      <c r="H3791" s="1" t="s">
        <v>713</v>
      </c>
      <c r="I3791" s="1" t="s">
        <v>714</v>
      </c>
      <c r="J3791" s="1" t="s">
        <v>15443</v>
      </c>
      <c r="K3791" s="1" t="s">
        <v>15444</v>
      </c>
      <c r="L3791" s="1" t="s">
        <v>15445</v>
      </c>
      <c r="M3791" s="1" t="s">
        <v>718</v>
      </c>
    </row>
    <row r="3792" customFormat="false" ht="15" hidden="false" customHeight="false" outlineLevel="0" collapsed="false">
      <c r="A3792" s="1" t="s">
        <v>566</v>
      </c>
      <c r="B3792" s="1" t="s">
        <v>15446</v>
      </c>
      <c r="C3792" s="1" t="s">
        <v>2035</v>
      </c>
      <c r="D3792" s="2" t="n">
        <v>40375</v>
      </c>
      <c r="E3792" s="1" t="s">
        <v>763</v>
      </c>
      <c r="F3792" s="1" t="s">
        <v>711</v>
      </c>
      <c r="G3792" s="1" t="s">
        <v>722</v>
      </c>
      <c r="H3792" s="1" t="s">
        <v>713</v>
      </c>
      <c r="I3792" s="1" t="s">
        <v>714</v>
      </c>
      <c r="J3792" s="1" t="s">
        <v>6614</v>
      </c>
      <c r="K3792" s="1" t="s">
        <v>716</v>
      </c>
      <c r="L3792" s="1" t="s">
        <v>5424</v>
      </c>
      <c r="M3792" s="1" t="s">
        <v>718</v>
      </c>
    </row>
    <row r="3793" customFormat="false" ht="15" hidden="false" customHeight="false" outlineLevel="0" collapsed="false">
      <c r="A3793" s="1" t="s">
        <v>552</v>
      </c>
      <c r="B3793" s="1" t="s">
        <v>15447</v>
      </c>
      <c r="C3793" s="1" t="s">
        <v>7861</v>
      </c>
      <c r="D3793" s="2" t="n">
        <v>40501</v>
      </c>
      <c r="E3793" s="1" t="s">
        <v>763</v>
      </c>
      <c r="F3793" s="1" t="s">
        <v>711</v>
      </c>
      <c r="G3793" s="1" t="s">
        <v>712</v>
      </c>
      <c r="H3793" s="1" t="s">
        <v>713</v>
      </c>
      <c r="I3793" s="1" t="s">
        <v>714</v>
      </c>
      <c r="J3793" s="1" t="s">
        <v>9030</v>
      </c>
      <c r="K3793" s="1" t="s">
        <v>15448</v>
      </c>
      <c r="L3793" s="1" t="s">
        <v>15449</v>
      </c>
      <c r="M3793" s="1" t="s">
        <v>718</v>
      </c>
    </row>
    <row r="3794" customFormat="false" ht="15" hidden="false" customHeight="false" outlineLevel="0" collapsed="false">
      <c r="A3794" s="1" t="s">
        <v>559</v>
      </c>
      <c r="B3794" s="1" t="s">
        <v>15450</v>
      </c>
      <c r="C3794" s="1" t="s">
        <v>5448</v>
      </c>
      <c r="D3794" s="2" t="n">
        <v>40466</v>
      </c>
      <c r="E3794" s="1" t="s">
        <v>763</v>
      </c>
      <c r="F3794" s="1" t="s">
        <v>711</v>
      </c>
      <c r="G3794" s="1" t="s">
        <v>712</v>
      </c>
      <c r="H3794" s="1" t="s">
        <v>713</v>
      </c>
      <c r="I3794" s="1" t="s">
        <v>714</v>
      </c>
      <c r="J3794" s="1" t="s">
        <v>1390</v>
      </c>
      <c r="K3794" s="1" t="s">
        <v>15451</v>
      </c>
      <c r="L3794" s="1" t="s">
        <v>15452</v>
      </c>
      <c r="M3794" s="1" t="s">
        <v>718</v>
      </c>
    </row>
    <row r="3795" customFormat="false" ht="15" hidden="false" customHeight="false" outlineLevel="0" collapsed="false">
      <c r="A3795" s="1" t="s">
        <v>15453</v>
      </c>
      <c r="B3795" s="1" t="s">
        <v>15454</v>
      </c>
      <c r="C3795" s="1" t="s">
        <v>1928</v>
      </c>
      <c r="D3795" s="2" t="n">
        <v>40109</v>
      </c>
      <c r="E3795" s="1" t="s">
        <v>710</v>
      </c>
      <c r="F3795" s="1" t="s">
        <v>711</v>
      </c>
      <c r="G3795" s="1" t="s">
        <v>712</v>
      </c>
      <c r="H3795" s="1" t="s">
        <v>713</v>
      </c>
      <c r="I3795" s="1" t="s">
        <v>714</v>
      </c>
      <c r="J3795" s="1" t="s">
        <v>1114</v>
      </c>
      <c r="K3795" s="1" t="s">
        <v>15455</v>
      </c>
      <c r="L3795" s="1" t="s">
        <v>15456</v>
      </c>
      <c r="M3795" s="1" t="s">
        <v>718</v>
      </c>
    </row>
    <row r="3796" customFormat="false" ht="15" hidden="false" customHeight="false" outlineLevel="0" collapsed="false">
      <c r="A3796" s="1" t="s">
        <v>545</v>
      </c>
      <c r="B3796" s="1" t="s">
        <v>7577</v>
      </c>
      <c r="C3796" s="1" t="s">
        <v>750</v>
      </c>
      <c r="D3796" s="2" t="n">
        <v>40359</v>
      </c>
      <c r="E3796" s="1" t="s">
        <v>710</v>
      </c>
      <c r="F3796" s="1" t="s">
        <v>711</v>
      </c>
      <c r="G3796" s="1" t="s">
        <v>712</v>
      </c>
      <c r="H3796" s="1" t="s">
        <v>713</v>
      </c>
      <c r="I3796" s="1" t="s">
        <v>714</v>
      </c>
      <c r="J3796" s="1" t="s">
        <v>1398</v>
      </c>
      <c r="K3796" s="1" t="s">
        <v>716</v>
      </c>
      <c r="L3796" s="1" t="s">
        <v>15457</v>
      </c>
      <c r="M3796" s="1" t="s">
        <v>718</v>
      </c>
    </row>
    <row r="3797" customFormat="false" ht="15" hidden="false" customHeight="false" outlineLevel="0" collapsed="false">
      <c r="A3797" s="1" t="s">
        <v>558</v>
      </c>
      <c r="B3797" s="1" t="s">
        <v>15458</v>
      </c>
      <c r="C3797" s="1" t="s">
        <v>1717</v>
      </c>
      <c r="D3797" s="2" t="n">
        <v>40180</v>
      </c>
      <c r="E3797" s="1" t="s">
        <v>763</v>
      </c>
      <c r="F3797" s="1" t="s">
        <v>711</v>
      </c>
      <c r="G3797" s="1" t="s">
        <v>712</v>
      </c>
      <c r="H3797" s="1" t="s">
        <v>713</v>
      </c>
      <c r="I3797" s="1" t="s">
        <v>714</v>
      </c>
      <c r="J3797" s="1" t="s">
        <v>1445</v>
      </c>
      <c r="K3797" s="1" t="s">
        <v>716</v>
      </c>
      <c r="L3797" s="1" t="s">
        <v>14379</v>
      </c>
      <c r="M3797" s="1" t="s">
        <v>718</v>
      </c>
    </row>
    <row r="3798" customFormat="false" ht="15" hidden="false" customHeight="false" outlineLevel="0" collapsed="false">
      <c r="A3798" s="1" t="s">
        <v>544</v>
      </c>
      <c r="B3798" s="1" t="s">
        <v>15459</v>
      </c>
      <c r="C3798" s="1" t="s">
        <v>15460</v>
      </c>
      <c r="D3798" s="2" t="n">
        <v>40441</v>
      </c>
      <c r="E3798" s="1" t="s">
        <v>710</v>
      </c>
      <c r="F3798" s="1" t="s">
        <v>711</v>
      </c>
      <c r="G3798" s="1" t="s">
        <v>712</v>
      </c>
      <c r="H3798" s="1" t="s">
        <v>713</v>
      </c>
      <c r="I3798" s="1" t="s">
        <v>714</v>
      </c>
      <c r="J3798" s="1" t="s">
        <v>15461</v>
      </c>
      <c r="K3798" s="1" t="s">
        <v>15462</v>
      </c>
      <c r="L3798" s="1" t="s">
        <v>15463</v>
      </c>
      <c r="M3798" s="1" t="s">
        <v>718</v>
      </c>
    </row>
    <row r="3799" customFormat="false" ht="15" hidden="false" customHeight="false" outlineLevel="0" collapsed="false">
      <c r="A3799" s="1" t="s">
        <v>547</v>
      </c>
      <c r="B3799" s="1" t="s">
        <v>15464</v>
      </c>
      <c r="C3799" s="1" t="s">
        <v>1637</v>
      </c>
      <c r="D3799" s="2" t="n">
        <v>40256</v>
      </c>
      <c r="E3799" s="1" t="s">
        <v>763</v>
      </c>
      <c r="F3799" s="1" t="s">
        <v>711</v>
      </c>
      <c r="G3799" s="1" t="s">
        <v>712</v>
      </c>
      <c r="H3799" s="1" t="s">
        <v>713</v>
      </c>
      <c r="I3799" s="1" t="s">
        <v>714</v>
      </c>
      <c r="J3799" s="1" t="s">
        <v>1398</v>
      </c>
      <c r="K3799" s="1" t="s">
        <v>15465</v>
      </c>
      <c r="L3799" s="1" t="s">
        <v>15466</v>
      </c>
      <c r="M3799" s="1" t="s">
        <v>718</v>
      </c>
    </row>
    <row r="3800" customFormat="false" ht="15" hidden="false" customHeight="false" outlineLevel="0" collapsed="false">
      <c r="A3800" s="1" t="s">
        <v>567</v>
      </c>
      <c r="B3800" s="1" t="s">
        <v>1668</v>
      </c>
      <c r="C3800" s="1" t="s">
        <v>15467</v>
      </c>
      <c r="D3800" s="2" t="n">
        <v>40503</v>
      </c>
      <c r="E3800" s="1" t="s">
        <v>710</v>
      </c>
      <c r="F3800" s="1" t="s">
        <v>711</v>
      </c>
      <c r="G3800" s="1" t="s">
        <v>712</v>
      </c>
      <c r="H3800" s="1" t="s">
        <v>713</v>
      </c>
      <c r="I3800" s="1" t="s">
        <v>714</v>
      </c>
      <c r="J3800" s="1" t="s">
        <v>15389</v>
      </c>
      <c r="K3800" s="1" t="s">
        <v>15468</v>
      </c>
      <c r="L3800" s="1" t="s">
        <v>14149</v>
      </c>
      <c r="M3800" s="1" t="s">
        <v>718</v>
      </c>
    </row>
    <row r="3801" customFormat="false" ht="15" hidden="false" customHeight="false" outlineLevel="0" collapsed="false">
      <c r="A3801" s="1" t="s">
        <v>15469</v>
      </c>
      <c r="B3801" s="1" t="s">
        <v>15470</v>
      </c>
      <c r="C3801" s="1" t="s">
        <v>15471</v>
      </c>
      <c r="D3801" s="2" t="n">
        <v>40565</v>
      </c>
      <c r="E3801" s="1" t="s">
        <v>710</v>
      </c>
      <c r="F3801" s="1" t="s">
        <v>711</v>
      </c>
      <c r="G3801" s="1" t="s">
        <v>712</v>
      </c>
      <c r="H3801" s="1" t="s">
        <v>713</v>
      </c>
      <c r="I3801" s="1" t="s">
        <v>714</v>
      </c>
      <c r="J3801" s="1" t="s">
        <v>15389</v>
      </c>
      <c r="K3801" s="1" t="s">
        <v>15472</v>
      </c>
      <c r="L3801" s="1" t="s">
        <v>3014</v>
      </c>
      <c r="M3801" s="1" t="s">
        <v>718</v>
      </c>
    </row>
    <row r="3802" customFormat="false" ht="15" hidden="false" customHeight="false" outlineLevel="0" collapsed="false">
      <c r="A3802" s="1" t="s">
        <v>555</v>
      </c>
      <c r="B3802" s="1" t="s">
        <v>15473</v>
      </c>
      <c r="C3802" s="1" t="s">
        <v>15474</v>
      </c>
      <c r="D3802" s="2" t="n">
        <v>40642</v>
      </c>
      <c r="E3802" s="1" t="s">
        <v>710</v>
      </c>
      <c r="F3802" s="1" t="s">
        <v>711</v>
      </c>
      <c r="G3802" s="1" t="s">
        <v>712</v>
      </c>
      <c r="H3802" s="1" t="s">
        <v>713</v>
      </c>
      <c r="I3802" s="1" t="s">
        <v>714</v>
      </c>
      <c r="J3802" s="1" t="s">
        <v>716</v>
      </c>
      <c r="K3802" s="1" t="s">
        <v>15475</v>
      </c>
      <c r="L3802" s="1" t="s">
        <v>15476</v>
      </c>
      <c r="M3802" s="1" t="s">
        <v>718</v>
      </c>
    </row>
    <row r="3803" customFormat="false" ht="15" hidden="false" customHeight="false" outlineLevel="0" collapsed="false">
      <c r="A3803" s="1" t="s">
        <v>15477</v>
      </c>
      <c r="B3803" s="1" t="s">
        <v>15478</v>
      </c>
      <c r="C3803" s="1" t="s">
        <v>15113</v>
      </c>
      <c r="D3803" s="2" t="n">
        <v>40268</v>
      </c>
      <c r="E3803" s="1" t="s">
        <v>763</v>
      </c>
      <c r="F3803" s="1" t="s">
        <v>711</v>
      </c>
      <c r="G3803" s="1" t="s">
        <v>722</v>
      </c>
      <c r="H3803" s="1" t="s">
        <v>713</v>
      </c>
      <c r="I3803" s="1" t="s">
        <v>714</v>
      </c>
      <c r="J3803" s="1" t="s">
        <v>1530</v>
      </c>
      <c r="K3803" s="1" t="s">
        <v>15479</v>
      </c>
      <c r="L3803" s="1" t="s">
        <v>15114</v>
      </c>
      <c r="M3803" s="1" t="s">
        <v>718</v>
      </c>
    </row>
    <row r="3804" customFormat="false" ht="15" hidden="false" customHeight="false" outlineLevel="0" collapsed="false">
      <c r="A3804" s="1" t="s">
        <v>553</v>
      </c>
      <c r="B3804" s="1" t="s">
        <v>1902</v>
      </c>
      <c r="C3804" s="1" t="s">
        <v>5584</v>
      </c>
      <c r="D3804" s="2" t="n">
        <v>40444</v>
      </c>
      <c r="E3804" s="1" t="s">
        <v>763</v>
      </c>
      <c r="F3804" s="1" t="s">
        <v>711</v>
      </c>
      <c r="G3804" s="1" t="s">
        <v>712</v>
      </c>
      <c r="H3804" s="1" t="s">
        <v>713</v>
      </c>
      <c r="I3804" s="1" t="s">
        <v>714</v>
      </c>
      <c r="J3804" s="1" t="s">
        <v>1723</v>
      </c>
      <c r="K3804" s="1" t="s">
        <v>15480</v>
      </c>
      <c r="L3804" s="1" t="s">
        <v>3942</v>
      </c>
      <c r="M3804" s="1" t="s">
        <v>718</v>
      </c>
    </row>
    <row r="3805" customFormat="false" ht="15" hidden="false" customHeight="false" outlineLevel="0" collapsed="false">
      <c r="A3805" s="1" t="s">
        <v>561</v>
      </c>
      <c r="B3805" s="1" t="s">
        <v>15481</v>
      </c>
      <c r="C3805" s="1" t="s">
        <v>12292</v>
      </c>
      <c r="D3805" s="2" t="n">
        <v>40012</v>
      </c>
      <c r="E3805" s="1" t="s">
        <v>763</v>
      </c>
      <c r="F3805" s="1" t="s">
        <v>711</v>
      </c>
      <c r="G3805" s="1" t="s">
        <v>712</v>
      </c>
      <c r="H3805" s="1" t="s">
        <v>713</v>
      </c>
      <c r="I3805" s="1" t="s">
        <v>714</v>
      </c>
      <c r="J3805" s="1" t="s">
        <v>11906</v>
      </c>
      <c r="K3805" s="1" t="s">
        <v>716</v>
      </c>
      <c r="L3805" s="1" t="s">
        <v>3019</v>
      </c>
      <c r="M3805" s="1" t="s">
        <v>718</v>
      </c>
    </row>
    <row r="3806" customFormat="false" ht="15" hidden="false" customHeight="false" outlineLevel="0" collapsed="false">
      <c r="A3806" s="1" t="s">
        <v>531</v>
      </c>
      <c r="B3806" s="1" t="s">
        <v>11885</v>
      </c>
      <c r="C3806" s="1" t="s">
        <v>15482</v>
      </c>
      <c r="D3806" s="2" t="n">
        <v>40182</v>
      </c>
      <c r="E3806" s="1" t="s">
        <v>710</v>
      </c>
      <c r="F3806" s="1" t="s">
        <v>711</v>
      </c>
      <c r="G3806" s="1" t="s">
        <v>712</v>
      </c>
      <c r="H3806" s="1" t="s">
        <v>713</v>
      </c>
      <c r="I3806" s="1" t="s">
        <v>714</v>
      </c>
      <c r="J3806" s="1" t="s">
        <v>1244</v>
      </c>
      <c r="K3806" s="1" t="s">
        <v>15483</v>
      </c>
      <c r="L3806" s="1" t="s">
        <v>15484</v>
      </c>
      <c r="M3806" s="1" t="s">
        <v>718</v>
      </c>
    </row>
    <row r="3807" customFormat="false" ht="15" hidden="false" customHeight="false" outlineLevel="0" collapsed="false">
      <c r="A3807" s="1" t="s">
        <v>15485</v>
      </c>
      <c r="B3807" s="1" t="s">
        <v>15486</v>
      </c>
      <c r="C3807" s="1" t="s">
        <v>10632</v>
      </c>
      <c r="D3807" s="2" t="n">
        <v>39349</v>
      </c>
      <c r="E3807" s="1" t="s">
        <v>763</v>
      </c>
      <c r="F3807" s="1" t="s">
        <v>711</v>
      </c>
      <c r="G3807" s="1" t="s">
        <v>712</v>
      </c>
      <c r="H3807" s="1" t="s">
        <v>713</v>
      </c>
      <c r="I3807" s="1" t="s">
        <v>714</v>
      </c>
      <c r="J3807" s="1" t="s">
        <v>1055</v>
      </c>
      <c r="K3807" s="1" t="s">
        <v>716</v>
      </c>
      <c r="L3807" s="1" t="s">
        <v>9458</v>
      </c>
      <c r="M3807" s="1" t="s">
        <v>718</v>
      </c>
    </row>
    <row r="3808" customFormat="false" ht="15" hidden="false" customHeight="false" outlineLevel="0" collapsed="false">
      <c r="A3808" s="1" t="s">
        <v>497</v>
      </c>
      <c r="B3808" s="1" t="s">
        <v>15487</v>
      </c>
      <c r="C3808" s="1" t="s">
        <v>12803</v>
      </c>
      <c r="D3808" s="2" t="n">
        <v>40649</v>
      </c>
      <c r="E3808" s="1" t="s">
        <v>763</v>
      </c>
      <c r="F3808" s="1" t="s">
        <v>711</v>
      </c>
      <c r="G3808" s="1" t="s">
        <v>712</v>
      </c>
      <c r="H3808" s="1" t="s">
        <v>713</v>
      </c>
      <c r="I3808" s="1" t="s">
        <v>714</v>
      </c>
      <c r="J3808" s="1" t="s">
        <v>15488</v>
      </c>
      <c r="K3808" s="1" t="s">
        <v>15489</v>
      </c>
      <c r="L3808" s="1" t="s">
        <v>12796</v>
      </c>
      <c r="M3808" s="1" t="s">
        <v>718</v>
      </c>
    </row>
    <row r="3809" customFormat="false" ht="15" hidden="false" customHeight="false" outlineLevel="0" collapsed="false">
      <c r="A3809" s="1" t="s">
        <v>565</v>
      </c>
      <c r="B3809" s="1" t="s">
        <v>14243</v>
      </c>
      <c r="C3809" s="1" t="s">
        <v>3253</v>
      </c>
      <c r="D3809" s="2" t="n">
        <v>39872</v>
      </c>
      <c r="E3809" s="1" t="s">
        <v>710</v>
      </c>
      <c r="F3809" s="1" t="s">
        <v>711</v>
      </c>
      <c r="G3809" s="1" t="s">
        <v>712</v>
      </c>
      <c r="H3809" s="1" t="s">
        <v>713</v>
      </c>
      <c r="I3809" s="1" t="s">
        <v>714</v>
      </c>
      <c r="J3809" s="1" t="s">
        <v>751</v>
      </c>
      <c r="K3809" s="1" t="s">
        <v>15490</v>
      </c>
      <c r="L3809" s="1" t="s">
        <v>15491</v>
      </c>
      <c r="M3809" s="1" t="s">
        <v>718</v>
      </c>
    </row>
    <row r="3810" customFormat="false" ht="15" hidden="false" customHeight="false" outlineLevel="0" collapsed="false">
      <c r="A3810" s="1" t="s">
        <v>15492</v>
      </c>
      <c r="B3810" s="1" t="s">
        <v>15493</v>
      </c>
      <c r="C3810" s="1" t="s">
        <v>15494</v>
      </c>
      <c r="D3810" s="2" t="n">
        <v>40669</v>
      </c>
      <c r="E3810" s="1" t="s">
        <v>763</v>
      </c>
      <c r="F3810" s="1" t="s">
        <v>711</v>
      </c>
      <c r="G3810" s="1" t="s">
        <v>712</v>
      </c>
      <c r="H3810" s="1" t="s">
        <v>713</v>
      </c>
      <c r="I3810" s="1" t="s">
        <v>714</v>
      </c>
      <c r="J3810" s="1" t="s">
        <v>15495</v>
      </c>
      <c r="K3810" s="1" t="s">
        <v>15496</v>
      </c>
      <c r="L3810" s="1" t="s">
        <v>4015</v>
      </c>
      <c r="M3810" s="1" t="s">
        <v>718</v>
      </c>
    </row>
    <row r="3811" customFormat="false" ht="15" hidden="false" customHeight="false" outlineLevel="0" collapsed="false">
      <c r="A3811" s="1" t="s">
        <v>431</v>
      </c>
      <c r="B3811" s="1" t="s">
        <v>15497</v>
      </c>
      <c r="C3811" s="1" t="s">
        <v>9353</v>
      </c>
      <c r="D3811" s="2" t="n">
        <v>40364</v>
      </c>
      <c r="E3811" s="1" t="s">
        <v>763</v>
      </c>
      <c r="F3811" s="1" t="s">
        <v>711</v>
      </c>
      <c r="G3811" s="1" t="s">
        <v>712</v>
      </c>
      <c r="H3811" s="1" t="s">
        <v>713</v>
      </c>
      <c r="I3811" s="1" t="s">
        <v>714</v>
      </c>
      <c r="J3811" s="1" t="s">
        <v>15498</v>
      </c>
      <c r="K3811" s="1" t="s">
        <v>15499</v>
      </c>
      <c r="L3811" s="1" t="s">
        <v>15500</v>
      </c>
      <c r="M3811" s="1" t="s">
        <v>718</v>
      </c>
    </row>
    <row r="3812" customFormat="false" ht="15" hidden="false" customHeight="false" outlineLevel="0" collapsed="false">
      <c r="A3812" s="1" t="s">
        <v>590</v>
      </c>
      <c r="B3812" s="1" t="s">
        <v>15501</v>
      </c>
      <c r="C3812" s="1" t="s">
        <v>15502</v>
      </c>
      <c r="D3812" s="2" t="n">
        <v>40466</v>
      </c>
      <c r="E3812" s="1" t="s">
        <v>763</v>
      </c>
      <c r="F3812" s="1" t="s">
        <v>711</v>
      </c>
      <c r="G3812" s="1" t="s">
        <v>712</v>
      </c>
      <c r="H3812" s="1" t="s">
        <v>713</v>
      </c>
      <c r="I3812" s="1" t="s">
        <v>714</v>
      </c>
      <c r="J3812" s="1" t="s">
        <v>5654</v>
      </c>
      <c r="K3812" s="1" t="s">
        <v>15503</v>
      </c>
      <c r="L3812" s="1" t="s">
        <v>13743</v>
      </c>
      <c r="M3812" s="1" t="s">
        <v>718</v>
      </c>
    </row>
    <row r="3813" customFormat="false" ht="15" hidden="false" customHeight="false" outlineLevel="0" collapsed="false">
      <c r="A3813" s="1" t="s">
        <v>568</v>
      </c>
      <c r="B3813" s="1" t="s">
        <v>15504</v>
      </c>
      <c r="C3813" s="1" t="s">
        <v>15505</v>
      </c>
      <c r="D3813" s="2" t="n">
        <v>40484</v>
      </c>
      <c r="E3813" s="1" t="s">
        <v>763</v>
      </c>
      <c r="F3813" s="1" t="s">
        <v>711</v>
      </c>
      <c r="G3813" s="1" t="s">
        <v>712</v>
      </c>
      <c r="H3813" s="1" t="s">
        <v>713</v>
      </c>
      <c r="I3813" s="1" t="s">
        <v>714</v>
      </c>
      <c r="J3813" s="1" t="s">
        <v>15506</v>
      </c>
      <c r="K3813" s="1" t="s">
        <v>716</v>
      </c>
      <c r="L3813" s="1" t="s">
        <v>15507</v>
      </c>
      <c r="M3813" s="1" t="s">
        <v>718</v>
      </c>
    </row>
    <row r="3814" customFormat="false" ht="15" hidden="false" customHeight="false" outlineLevel="0" collapsed="false">
      <c r="A3814" s="1" t="s">
        <v>548</v>
      </c>
      <c r="B3814" s="1" t="s">
        <v>11326</v>
      </c>
      <c r="C3814" s="1" t="s">
        <v>9874</v>
      </c>
      <c r="D3814" s="2" t="n">
        <v>40423</v>
      </c>
      <c r="E3814" s="1" t="s">
        <v>763</v>
      </c>
      <c r="F3814" s="1" t="s">
        <v>711</v>
      </c>
      <c r="G3814" s="1" t="s">
        <v>712</v>
      </c>
      <c r="H3814" s="1" t="s">
        <v>713</v>
      </c>
      <c r="I3814" s="1" t="s">
        <v>714</v>
      </c>
      <c r="J3814" s="1" t="s">
        <v>15508</v>
      </c>
      <c r="K3814" s="1" t="s">
        <v>15509</v>
      </c>
      <c r="L3814" s="1" t="s">
        <v>9877</v>
      </c>
      <c r="M3814" s="1" t="s">
        <v>718</v>
      </c>
    </row>
    <row r="3815" customFormat="false" ht="15" hidden="false" customHeight="false" outlineLevel="0" collapsed="false">
      <c r="A3815" s="1" t="s">
        <v>15510</v>
      </c>
      <c r="B3815" s="1" t="s">
        <v>15511</v>
      </c>
      <c r="C3815" s="1" t="s">
        <v>1610</v>
      </c>
      <c r="D3815" s="2" t="n">
        <v>40370</v>
      </c>
      <c r="E3815" s="1" t="s">
        <v>710</v>
      </c>
      <c r="F3815" s="1" t="s">
        <v>711</v>
      </c>
      <c r="G3815" s="1" t="s">
        <v>722</v>
      </c>
      <c r="H3815" s="1" t="s">
        <v>713</v>
      </c>
      <c r="I3815" s="1" t="s">
        <v>714</v>
      </c>
      <c r="J3815" s="1" t="s">
        <v>1398</v>
      </c>
      <c r="K3815" s="1" t="s">
        <v>15512</v>
      </c>
      <c r="L3815" s="1" t="s">
        <v>15513</v>
      </c>
      <c r="M3815" s="1" t="s">
        <v>718</v>
      </c>
    </row>
    <row r="3816" customFormat="false" ht="15" hidden="false" customHeight="false" outlineLevel="0" collapsed="false">
      <c r="A3816" s="1" t="s">
        <v>549</v>
      </c>
      <c r="B3816" s="1" t="s">
        <v>15514</v>
      </c>
      <c r="C3816" s="1" t="s">
        <v>15515</v>
      </c>
      <c r="D3816" s="2" t="n">
        <v>40289</v>
      </c>
      <c r="E3816" s="1" t="s">
        <v>710</v>
      </c>
      <c r="F3816" s="1" t="s">
        <v>711</v>
      </c>
      <c r="G3816" s="1" t="s">
        <v>722</v>
      </c>
      <c r="H3816" s="1" t="s">
        <v>713</v>
      </c>
      <c r="I3816" s="1" t="s">
        <v>714</v>
      </c>
      <c r="J3816" s="1" t="s">
        <v>5805</v>
      </c>
      <c r="K3816" s="1" t="s">
        <v>14694</v>
      </c>
      <c r="L3816" s="1" t="s">
        <v>14261</v>
      </c>
      <c r="M3816" s="1" t="s">
        <v>718</v>
      </c>
    </row>
    <row r="3817" customFormat="false" ht="15" hidden="false" customHeight="false" outlineLevel="0" collapsed="false">
      <c r="A3817" s="1" t="s">
        <v>546</v>
      </c>
      <c r="B3817" s="1" t="s">
        <v>15516</v>
      </c>
      <c r="C3817" s="1" t="s">
        <v>4029</v>
      </c>
      <c r="D3817" s="2" t="n">
        <v>40585</v>
      </c>
      <c r="E3817" s="1" t="s">
        <v>710</v>
      </c>
      <c r="F3817" s="1" t="s">
        <v>711</v>
      </c>
      <c r="G3817" s="1" t="s">
        <v>712</v>
      </c>
      <c r="H3817" s="1" t="s">
        <v>713</v>
      </c>
      <c r="I3817" s="1" t="s">
        <v>714</v>
      </c>
      <c r="J3817" s="1" t="s">
        <v>1055</v>
      </c>
      <c r="K3817" s="1" t="s">
        <v>716</v>
      </c>
      <c r="L3817" s="1" t="s">
        <v>9458</v>
      </c>
      <c r="M3817" s="1" t="s">
        <v>718</v>
      </c>
    </row>
    <row r="3818" customFormat="false" ht="15" hidden="false" customHeight="false" outlineLevel="0" collapsed="false">
      <c r="A3818" s="1" t="s">
        <v>554</v>
      </c>
      <c r="B3818" s="1" t="s">
        <v>15517</v>
      </c>
      <c r="C3818" s="1" t="s">
        <v>15518</v>
      </c>
      <c r="D3818" s="2" t="n">
        <v>40798</v>
      </c>
      <c r="E3818" s="1" t="s">
        <v>710</v>
      </c>
      <c r="F3818" s="1" t="s">
        <v>711</v>
      </c>
      <c r="G3818" s="1" t="s">
        <v>712</v>
      </c>
      <c r="H3818" s="1" t="s">
        <v>713</v>
      </c>
      <c r="I3818" s="1" t="s">
        <v>714</v>
      </c>
      <c r="J3818" s="1" t="s">
        <v>1055</v>
      </c>
      <c r="K3818" s="1" t="s">
        <v>15519</v>
      </c>
      <c r="L3818" s="1" t="s">
        <v>15520</v>
      </c>
      <c r="M3818" s="1" t="s">
        <v>718</v>
      </c>
    </row>
    <row r="3819" customFormat="false" ht="15" hidden="false" customHeight="false" outlineLevel="0" collapsed="false">
      <c r="A3819" s="1" t="s">
        <v>551</v>
      </c>
      <c r="B3819" s="1" t="s">
        <v>15521</v>
      </c>
      <c r="C3819" s="1" t="s">
        <v>2307</v>
      </c>
      <c r="D3819" s="2" t="n">
        <v>40451</v>
      </c>
      <c r="E3819" s="1" t="s">
        <v>763</v>
      </c>
      <c r="F3819" s="1" t="s">
        <v>711</v>
      </c>
      <c r="G3819" s="1" t="s">
        <v>712</v>
      </c>
      <c r="H3819" s="1" t="s">
        <v>713</v>
      </c>
      <c r="I3819" s="1" t="s">
        <v>714</v>
      </c>
      <c r="J3819" s="1" t="s">
        <v>5758</v>
      </c>
      <c r="K3819" s="1" t="s">
        <v>14664</v>
      </c>
      <c r="L3819" s="1" t="s">
        <v>14665</v>
      </c>
      <c r="M3819" s="1" t="s">
        <v>718</v>
      </c>
    </row>
    <row r="3820" customFormat="false" ht="15" hidden="false" customHeight="false" outlineLevel="0" collapsed="false">
      <c r="A3820" s="1" t="s">
        <v>550</v>
      </c>
      <c r="B3820" s="1" t="s">
        <v>14053</v>
      </c>
      <c r="C3820" s="1" t="s">
        <v>11756</v>
      </c>
      <c r="D3820" s="2" t="n">
        <v>40518</v>
      </c>
      <c r="E3820" s="1" t="s">
        <v>710</v>
      </c>
      <c r="F3820" s="1" t="s">
        <v>711</v>
      </c>
      <c r="G3820" s="1" t="s">
        <v>712</v>
      </c>
      <c r="H3820" s="1" t="s">
        <v>713</v>
      </c>
      <c r="I3820" s="1" t="s">
        <v>714</v>
      </c>
      <c r="J3820" s="1" t="s">
        <v>8000</v>
      </c>
      <c r="K3820" s="1" t="s">
        <v>15522</v>
      </c>
      <c r="L3820" s="1" t="s">
        <v>11758</v>
      </c>
      <c r="M3820" s="1" t="s">
        <v>718</v>
      </c>
    </row>
    <row r="3821" customFormat="false" ht="15" hidden="false" customHeight="false" outlineLevel="0" collapsed="false">
      <c r="A3821" s="1" t="s">
        <v>540</v>
      </c>
      <c r="B3821" s="1" t="s">
        <v>15523</v>
      </c>
      <c r="C3821" s="1" t="s">
        <v>15524</v>
      </c>
      <c r="D3821" s="2" t="n">
        <v>40398</v>
      </c>
      <c r="E3821" s="1" t="s">
        <v>710</v>
      </c>
      <c r="F3821" s="1" t="s">
        <v>711</v>
      </c>
      <c r="G3821" s="1" t="s">
        <v>712</v>
      </c>
      <c r="H3821" s="1" t="s">
        <v>713</v>
      </c>
      <c r="I3821" s="1" t="s">
        <v>714</v>
      </c>
      <c r="J3821" s="1" t="s">
        <v>826</v>
      </c>
      <c r="K3821" s="1" t="s">
        <v>716</v>
      </c>
      <c r="L3821" s="1" t="s">
        <v>15525</v>
      </c>
      <c r="M3821" s="1" t="s">
        <v>718</v>
      </c>
    </row>
    <row r="3822" customFormat="false" ht="15" hidden="false" customHeight="false" outlineLevel="0" collapsed="false">
      <c r="A3822" s="1" t="s">
        <v>433</v>
      </c>
      <c r="B3822" s="1" t="s">
        <v>15526</v>
      </c>
      <c r="C3822" s="1" t="s">
        <v>15527</v>
      </c>
      <c r="D3822" s="2" t="n">
        <v>40476</v>
      </c>
      <c r="E3822" s="1" t="s">
        <v>710</v>
      </c>
      <c r="F3822" s="1" t="s">
        <v>711</v>
      </c>
      <c r="G3822" s="1" t="s">
        <v>712</v>
      </c>
      <c r="H3822" s="1" t="s">
        <v>713</v>
      </c>
      <c r="I3822" s="1" t="s">
        <v>714</v>
      </c>
      <c r="J3822" s="1" t="s">
        <v>1584</v>
      </c>
      <c r="K3822" s="1" t="s">
        <v>15528</v>
      </c>
      <c r="L3822" s="1" t="s">
        <v>11834</v>
      </c>
      <c r="M3822" s="1" t="s">
        <v>718</v>
      </c>
    </row>
    <row r="3823" customFormat="false" ht="15" hidden="false" customHeight="false" outlineLevel="0" collapsed="false">
      <c r="A3823" s="1" t="s">
        <v>15529</v>
      </c>
      <c r="B3823" s="1" t="s">
        <v>15530</v>
      </c>
      <c r="C3823" s="1" t="s">
        <v>15531</v>
      </c>
      <c r="D3823" s="2" t="n">
        <v>39746</v>
      </c>
      <c r="E3823" s="1" t="s">
        <v>710</v>
      </c>
      <c r="F3823" s="1" t="s">
        <v>711</v>
      </c>
      <c r="G3823" s="1" t="s">
        <v>722</v>
      </c>
      <c r="H3823" s="1" t="s">
        <v>713</v>
      </c>
      <c r="I3823" s="1" t="s">
        <v>714</v>
      </c>
      <c r="J3823" s="1" t="s">
        <v>15532</v>
      </c>
      <c r="K3823" s="1" t="s">
        <v>15533</v>
      </c>
      <c r="L3823" s="1" t="s">
        <v>15534</v>
      </c>
      <c r="M3823" s="1" t="s">
        <v>718</v>
      </c>
    </row>
    <row r="3824" customFormat="false" ht="15" hidden="false" customHeight="false" outlineLevel="0" collapsed="false">
      <c r="A3824" s="1" t="s">
        <v>575</v>
      </c>
      <c r="B3824" s="1" t="s">
        <v>15535</v>
      </c>
      <c r="C3824" s="1" t="s">
        <v>13563</v>
      </c>
      <c r="D3824" s="2" t="n">
        <v>41170</v>
      </c>
      <c r="E3824" s="1" t="s">
        <v>710</v>
      </c>
      <c r="F3824" s="1" t="s">
        <v>711</v>
      </c>
      <c r="G3824" s="1" t="s">
        <v>722</v>
      </c>
      <c r="H3824" s="1" t="s">
        <v>713</v>
      </c>
      <c r="I3824" s="1" t="s">
        <v>714</v>
      </c>
      <c r="J3824" s="1" t="s">
        <v>15536</v>
      </c>
      <c r="K3824" s="1" t="s">
        <v>15537</v>
      </c>
      <c r="L3824" s="1" t="s">
        <v>13565</v>
      </c>
      <c r="M3824" s="1" t="s">
        <v>718</v>
      </c>
    </row>
    <row r="3825" customFormat="false" ht="15" hidden="false" customHeight="false" outlineLevel="0" collapsed="false">
      <c r="A3825" s="1" t="s">
        <v>587</v>
      </c>
      <c r="B3825" s="1" t="s">
        <v>15538</v>
      </c>
      <c r="C3825" s="1" t="s">
        <v>15539</v>
      </c>
      <c r="D3825" s="2" t="n">
        <v>39934</v>
      </c>
      <c r="E3825" s="1" t="s">
        <v>763</v>
      </c>
      <c r="F3825" s="1" t="s">
        <v>711</v>
      </c>
      <c r="G3825" s="1" t="s">
        <v>712</v>
      </c>
      <c r="H3825" s="1" t="s">
        <v>713</v>
      </c>
      <c r="I3825" s="1" t="s">
        <v>714</v>
      </c>
      <c r="J3825" s="1" t="s">
        <v>11173</v>
      </c>
      <c r="K3825" s="1" t="s">
        <v>15540</v>
      </c>
      <c r="L3825" s="1" t="s">
        <v>15541</v>
      </c>
      <c r="M3825" s="1" t="s">
        <v>718</v>
      </c>
    </row>
    <row r="3826" customFormat="false" ht="15" hidden="false" customHeight="false" outlineLevel="0" collapsed="false">
      <c r="A3826" s="1" t="s">
        <v>580</v>
      </c>
      <c r="B3826" s="1" t="s">
        <v>15542</v>
      </c>
      <c r="C3826" s="1" t="s">
        <v>15543</v>
      </c>
      <c r="D3826" s="2" t="n">
        <v>40495</v>
      </c>
      <c r="E3826" s="1" t="s">
        <v>710</v>
      </c>
      <c r="F3826" s="1" t="s">
        <v>711</v>
      </c>
      <c r="G3826" s="1" t="s">
        <v>712</v>
      </c>
      <c r="H3826" s="1" t="s">
        <v>713</v>
      </c>
      <c r="I3826" s="1" t="s">
        <v>714</v>
      </c>
      <c r="J3826" s="1" t="s">
        <v>15488</v>
      </c>
      <c r="K3826" s="1" t="s">
        <v>15544</v>
      </c>
      <c r="L3826" s="1" t="s">
        <v>1418</v>
      </c>
      <c r="M3826" s="1" t="s">
        <v>718</v>
      </c>
    </row>
    <row r="3827" customFormat="false" ht="15" hidden="false" customHeight="false" outlineLevel="0" collapsed="false">
      <c r="A3827" s="1" t="s">
        <v>576</v>
      </c>
      <c r="B3827" s="1" t="s">
        <v>15545</v>
      </c>
      <c r="C3827" s="1" t="s">
        <v>13804</v>
      </c>
      <c r="D3827" s="2" t="n">
        <v>40524</v>
      </c>
      <c r="E3827" s="1" t="s">
        <v>710</v>
      </c>
      <c r="F3827" s="1" t="s">
        <v>711</v>
      </c>
      <c r="G3827" s="1" t="s">
        <v>712</v>
      </c>
      <c r="H3827" s="1" t="s">
        <v>713</v>
      </c>
      <c r="I3827" s="1" t="s">
        <v>714</v>
      </c>
      <c r="J3827" s="1" t="s">
        <v>1398</v>
      </c>
      <c r="K3827" s="1" t="s">
        <v>716</v>
      </c>
      <c r="L3827" s="1" t="s">
        <v>15546</v>
      </c>
      <c r="M3827" s="1" t="s">
        <v>718</v>
      </c>
    </row>
    <row r="3828" customFormat="false" ht="15" hidden="false" customHeight="false" outlineLevel="0" collapsed="false">
      <c r="A3828" s="1" t="s">
        <v>456</v>
      </c>
      <c r="B3828" s="1" t="s">
        <v>15547</v>
      </c>
      <c r="C3828" s="1" t="s">
        <v>12681</v>
      </c>
      <c r="D3828" s="2" t="n">
        <v>40111</v>
      </c>
      <c r="E3828" s="1" t="s">
        <v>710</v>
      </c>
      <c r="F3828" s="1" t="s">
        <v>711</v>
      </c>
      <c r="G3828" s="1" t="s">
        <v>712</v>
      </c>
      <c r="H3828" s="1" t="s">
        <v>713</v>
      </c>
      <c r="I3828" s="1" t="s">
        <v>714</v>
      </c>
      <c r="J3828" s="1" t="s">
        <v>928</v>
      </c>
      <c r="K3828" s="1" t="s">
        <v>15548</v>
      </c>
      <c r="L3828" s="1" t="s">
        <v>15549</v>
      </c>
      <c r="M3828" s="1" t="s">
        <v>718</v>
      </c>
    </row>
    <row r="3829" customFormat="false" ht="15" hidden="false" customHeight="false" outlineLevel="0" collapsed="false">
      <c r="A3829" s="1" t="s">
        <v>463</v>
      </c>
      <c r="B3829" s="1" t="s">
        <v>15550</v>
      </c>
      <c r="C3829" s="1" t="s">
        <v>779</v>
      </c>
      <c r="D3829" s="2" t="n">
        <v>39772</v>
      </c>
      <c r="E3829" s="1" t="s">
        <v>710</v>
      </c>
      <c r="F3829" s="1" t="s">
        <v>711</v>
      </c>
      <c r="G3829" s="1" t="s">
        <v>712</v>
      </c>
      <c r="H3829" s="1" t="s">
        <v>713</v>
      </c>
      <c r="I3829" s="1" t="s">
        <v>714</v>
      </c>
      <c r="J3829" s="1" t="s">
        <v>5654</v>
      </c>
      <c r="K3829" s="1" t="s">
        <v>15503</v>
      </c>
      <c r="L3829" s="1" t="s">
        <v>782</v>
      </c>
      <c r="M3829" s="1" t="s">
        <v>718</v>
      </c>
    </row>
    <row r="3830" customFormat="false" ht="15" hidden="false" customHeight="false" outlineLevel="0" collapsed="false">
      <c r="A3830" s="1" t="s">
        <v>586</v>
      </c>
      <c r="B3830" s="1" t="s">
        <v>15551</v>
      </c>
      <c r="C3830" s="1" t="s">
        <v>15552</v>
      </c>
      <c r="D3830" s="2" t="n">
        <v>40084</v>
      </c>
      <c r="E3830" s="1" t="s">
        <v>710</v>
      </c>
      <c r="F3830" s="1" t="s">
        <v>711</v>
      </c>
      <c r="G3830" s="1" t="s">
        <v>712</v>
      </c>
      <c r="H3830" s="1" t="s">
        <v>713</v>
      </c>
      <c r="I3830" s="1" t="s">
        <v>714</v>
      </c>
      <c r="J3830" s="1" t="s">
        <v>10639</v>
      </c>
      <c r="K3830" s="1" t="s">
        <v>15553</v>
      </c>
      <c r="L3830" s="1" t="s">
        <v>10679</v>
      </c>
      <c r="M3830" s="1" t="s">
        <v>718</v>
      </c>
    </row>
    <row r="3831" customFormat="false" ht="15" hidden="false" customHeight="false" outlineLevel="0" collapsed="false">
      <c r="A3831" s="1" t="s">
        <v>15554</v>
      </c>
      <c r="B3831" s="1" t="s">
        <v>2712</v>
      </c>
      <c r="C3831" s="1" t="s">
        <v>15555</v>
      </c>
      <c r="D3831" s="2" t="n">
        <v>39933</v>
      </c>
      <c r="E3831" s="1" t="s">
        <v>710</v>
      </c>
      <c r="F3831" s="1" t="s">
        <v>711</v>
      </c>
      <c r="G3831" s="1" t="s">
        <v>712</v>
      </c>
      <c r="H3831" s="1" t="s">
        <v>713</v>
      </c>
      <c r="I3831" s="1" t="s">
        <v>714</v>
      </c>
      <c r="J3831" s="1" t="s">
        <v>1445</v>
      </c>
      <c r="K3831" s="1" t="s">
        <v>15556</v>
      </c>
      <c r="L3831" s="1" t="s">
        <v>15557</v>
      </c>
      <c r="M3831" s="1" t="s">
        <v>718</v>
      </c>
    </row>
    <row r="3832" customFormat="false" ht="15" hidden="false" customHeight="false" outlineLevel="0" collapsed="false">
      <c r="A3832" s="1" t="s">
        <v>15558</v>
      </c>
      <c r="B3832" s="1" t="s">
        <v>15559</v>
      </c>
      <c r="C3832" s="1" t="s">
        <v>15560</v>
      </c>
      <c r="D3832" s="2" t="n">
        <v>39506</v>
      </c>
      <c r="E3832" s="1" t="s">
        <v>763</v>
      </c>
      <c r="F3832" s="1" t="s">
        <v>711</v>
      </c>
      <c r="G3832" s="1" t="s">
        <v>712</v>
      </c>
      <c r="H3832" s="1" t="s">
        <v>713</v>
      </c>
      <c r="I3832" s="1" t="s">
        <v>714</v>
      </c>
      <c r="J3832" s="1" t="s">
        <v>1723</v>
      </c>
      <c r="K3832" s="1" t="s">
        <v>15561</v>
      </c>
      <c r="L3832" s="1" t="s">
        <v>15562</v>
      </c>
      <c r="M3832" s="1" t="s">
        <v>718</v>
      </c>
    </row>
    <row r="3833" customFormat="false" ht="15" hidden="false" customHeight="false" outlineLevel="0" collapsed="false">
      <c r="A3833" s="1" t="s">
        <v>15563</v>
      </c>
      <c r="B3833" s="1" t="s">
        <v>15564</v>
      </c>
      <c r="C3833" s="1" t="s">
        <v>15565</v>
      </c>
      <c r="D3833" s="2" t="n">
        <v>40188</v>
      </c>
      <c r="E3833" s="1" t="s">
        <v>763</v>
      </c>
      <c r="F3833" s="1" t="s">
        <v>711</v>
      </c>
      <c r="G3833" s="1" t="s">
        <v>712</v>
      </c>
      <c r="H3833" s="1" t="s">
        <v>713</v>
      </c>
      <c r="I3833" s="1" t="s">
        <v>714</v>
      </c>
      <c r="J3833" s="1" t="s">
        <v>790</v>
      </c>
      <c r="K3833" s="1" t="s">
        <v>716</v>
      </c>
      <c r="L3833" s="1" t="s">
        <v>1418</v>
      </c>
      <c r="M3833" s="1" t="s">
        <v>718</v>
      </c>
    </row>
    <row r="3834" customFormat="false" ht="15" hidden="false" customHeight="false" outlineLevel="0" collapsed="false">
      <c r="A3834" s="1" t="s">
        <v>511</v>
      </c>
      <c r="B3834" s="1" t="s">
        <v>15566</v>
      </c>
      <c r="C3834" s="1" t="s">
        <v>7387</v>
      </c>
      <c r="D3834" s="2" t="n">
        <v>40565</v>
      </c>
      <c r="E3834" s="1" t="s">
        <v>710</v>
      </c>
      <c r="F3834" s="1" t="s">
        <v>711</v>
      </c>
      <c r="G3834" s="1" t="s">
        <v>712</v>
      </c>
      <c r="H3834" s="1" t="s">
        <v>713</v>
      </c>
      <c r="I3834" s="1" t="s">
        <v>714</v>
      </c>
      <c r="J3834" s="1" t="s">
        <v>15567</v>
      </c>
      <c r="K3834" s="1" t="s">
        <v>15568</v>
      </c>
      <c r="L3834" s="1" t="s">
        <v>7389</v>
      </c>
      <c r="M3834" s="1" t="s">
        <v>718</v>
      </c>
    </row>
    <row r="3835" customFormat="false" ht="15" hidden="false" customHeight="false" outlineLevel="0" collapsed="false">
      <c r="A3835" s="1" t="s">
        <v>581</v>
      </c>
      <c r="B3835" s="1" t="s">
        <v>15569</v>
      </c>
      <c r="C3835" s="1" t="s">
        <v>12464</v>
      </c>
      <c r="D3835" s="2" t="n">
        <v>40447</v>
      </c>
      <c r="E3835" s="1" t="s">
        <v>710</v>
      </c>
      <c r="F3835" s="1" t="s">
        <v>711</v>
      </c>
      <c r="G3835" s="1" t="s">
        <v>712</v>
      </c>
      <c r="H3835" s="1" t="s">
        <v>713</v>
      </c>
      <c r="I3835" s="1" t="s">
        <v>714</v>
      </c>
      <c r="J3835" s="1" t="s">
        <v>15570</v>
      </c>
      <c r="K3835" s="1" t="s">
        <v>15571</v>
      </c>
      <c r="L3835" s="1" t="s">
        <v>15572</v>
      </c>
      <c r="M3835" s="1" t="s">
        <v>718</v>
      </c>
    </row>
    <row r="3836" customFormat="false" ht="15" hidden="false" customHeight="false" outlineLevel="0" collapsed="false">
      <c r="A3836" s="1" t="s">
        <v>658</v>
      </c>
      <c r="B3836" s="1" t="s">
        <v>15573</v>
      </c>
      <c r="C3836" s="1" t="s">
        <v>1610</v>
      </c>
      <c r="D3836" s="2" t="n">
        <v>40130</v>
      </c>
      <c r="E3836" s="1" t="s">
        <v>710</v>
      </c>
      <c r="F3836" s="1" t="s">
        <v>711</v>
      </c>
      <c r="G3836" s="1" t="s">
        <v>712</v>
      </c>
      <c r="H3836" s="1" t="s">
        <v>713</v>
      </c>
      <c r="I3836" s="1" t="s">
        <v>714</v>
      </c>
      <c r="J3836" s="1" t="s">
        <v>14655</v>
      </c>
      <c r="K3836" s="1" t="s">
        <v>15574</v>
      </c>
      <c r="L3836" s="1" t="s">
        <v>6938</v>
      </c>
      <c r="M3836" s="1" t="s">
        <v>718</v>
      </c>
    </row>
    <row r="3837" customFormat="false" ht="15" hidden="false" customHeight="false" outlineLevel="0" collapsed="false">
      <c r="A3837" s="1" t="s">
        <v>15575</v>
      </c>
      <c r="B3837" s="1" t="s">
        <v>12032</v>
      </c>
      <c r="C3837" s="1" t="s">
        <v>15576</v>
      </c>
      <c r="D3837" s="2" t="n">
        <v>39584</v>
      </c>
      <c r="E3837" s="1" t="s">
        <v>710</v>
      </c>
      <c r="F3837" s="1" t="s">
        <v>711</v>
      </c>
      <c r="G3837" s="1" t="s">
        <v>712</v>
      </c>
      <c r="H3837" s="1" t="s">
        <v>713</v>
      </c>
      <c r="I3837" s="1" t="s">
        <v>714</v>
      </c>
      <c r="J3837" s="1" t="s">
        <v>15577</v>
      </c>
      <c r="K3837" s="1" t="s">
        <v>716</v>
      </c>
      <c r="L3837" s="1" t="s">
        <v>15578</v>
      </c>
      <c r="M3837" s="1" t="s">
        <v>718</v>
      </c>
    </row>
    <row r="3838" customFormat="false" ht="15" hidden="false" customHeight="false" outlineLevel="0" collapsed="false">
      <c r="A3838" s="1" t="s">
        <v>15579</v>
      </c>
      <c r="B3838" s="1" t="s">
        <v>15580</v>
      </c>
      <c r="C3838" s="1" t="s">
        <v>15581</v>
      </c>
      <c r="D3838" s="2" t="n">
        <v>39014</v>
      </c>
      <c r="E3838" s="1" t="s">
        <v>763</v>
      </c>
      <c r="F3838" s="1" t="s">
        <v>711</v>
      </c>
      <c r="G3838" s="1" t="s">
        <v>712</v>
      </c>
      <c r="H3838" s="1" t="s">
        <v>713</v>
      </c>
      <c r="I3838" s="1" t="s">
        <v>714</v>
      </c>
      <c r="J3838" s="1" t="s">
        <v>15582</v>
      </c>
      <c r="K3838" s="1" t="s">
        <v>716</v>
      </c>
      <c r="L3838" s="1" t="s">
        <v>9680</v>
      </c>
      <c r="M3838" s="1" t="s">
        <v>718</v>
      </c>
    </row>
    <row r="3839" customFormat="false" ht="15" hidden="false" customHeight="false" outlineLevel="0" collapsed="false">
      <c r="A3839" s="1" t="s">
        <v>15583</v>
      </c>
      <c r="B3839" s="1" t="s">
        <v>14541</v>
      </c>
      <c r="C3839" s="1" t="s">
        <v>2643</v>
      </c>
      <c r="D3839" s="2" t="n">
        <v>39534</v>
      </c>
      <c r="E3839" s="1" t="s">
        <v>763</v>
      </c>
      <c r="F3839" s="1" t="s">
        <v>711</v>
      </c>
      <c r="G3839" s="1" t="s">
        <v>712</v>
      </c>
      <c r="H3839" s="1" t="s">
        <v>713</v>
      </c>
      <c r="I3839" s="1" t="s">
        <v>714</v>
      </c>
      <c r="J3839" s="1" t="s">
        <v>15584</v>
      </c>
      <c r="K3839" s="1" t="s">
        <v>15585</v>
      </c>
      <c r="L3839" s="1" t="s">
        <v>5998</v>
      </c>
      <c r="M3839" s="1" t="s">
        <v>718</v>
      </c>
    </row>
    <row r="3840" customFormat="false" ht="15" hidden="false" customHeight="false" outlineLevel="0" collapsed="false">
      <c r="A3840" s="1" t="s">
        <v>537</v>
      </c>
      <c r="B3840" s="1" t="s">
        <v>15586</v>
      </c>
      <c r="C3840" s="1" t="s">
        <v>2588</v>
      </c>
      <c r="D3840" s="2" t="n">
        <v>40601</v>
      </c>
      <c r="E3840" s="1" t="s">
        <v>763</v>
      </c>
      <c r="F3840" s="1" t="s">
        <v>711</v>
      </c>
      <c r="G3840" s="1" t="s">
        <v>712</v>
      </c>
      <c r="H3840" s="1" t="s">
        <v>713</v>
      </c>
      <c r="I3840" s="1" t="s">
        <v>714</v>
      </c>
      <c r="J3840" s="1" t="s">
        <v>15587</v>
      </c>
      <c r="K3840" s="1" t="s">
        <v>15588</v>
      </c>
      <c r="L3840" s="1" t="s">
        <v>2590</v>
      </c>
      <c r="M3840" s="1" t="s">
        <v>718</v>
      </c>
    </row>
    <row r="3841" customFormat="false" ht="15" hidden="false" customHeight="false" outlineLevel="0" collapsed="false">
      <c r="A3841" s="1" t="s">
        <v>560</v>
      </c>
      <c r="B3841" s="1" t="s">
        <v>15589</v>
      </c>
      <c r="C3841" s="1" t="s">
        <v>15590</v>
      </c>
      <c r="D3841" s="2" t="n">
        <v>40512</v>
      </c>
      <c r="E3841" s="1" t="s">
        <v>710</v>
      </c>
      <c r="F3841" s="1" t="s">
        <v>711</v>
      </c>
      <c r="G3841" s="1" t="s">
        <v>712</v>
      </c>
      <c r="H3841" s="1" t="s">
        <v>713</v>
      </c>
      <c r="I3841" s="1" t="s">
        <v>714</v>
      </c>
      <c r="J3841" s="1" t="s">
        <v>790</v>
      </c>
      <c r="K3841" s="1" t="s">
        <v>716</v>
      </c>
      <c r="L3841" s="1" t="s">
        <v>8227</v>
      </c>
      <c r="M3841" s="1" t="s">
        <v>718</v>
      </c>
    </row>
    <row r="3842" customFormat="false" ht="15" hidden="false" customHeight="false" outlineLevel="0" collapsed="false">
      <c r="A3842" s="1" t="s">
        <v>577</v>
      </c>
      <c r="B3842" s="1" t="s">
        <v>15591</v>
      </c>
      <c r="C3842" s="1" t="s">
        <v>15592</v>
      </c>
      <c r="D3842" s="2" t="n">
        <v>40457</v>
      </c>
      <c r="E3842" s="1" t="s">
        <v>710</v>
      </c>
      <c r="F3842" s="1" t="s">
        <v>711</v>
      </c>
      <c r="G3842" s="1" t="s">
        <v>712</v>
      </c>
      <c r="H3842" s="1" t="s">
        <v>713</v>
      </c>
      <c r="I3842" s="1" t="s">
        <v>714</v>
      </c>
      <c r="J3842" s="1" t="s">
        <v>1584</v>
      </c>
      <c r="K3842" s="1" t="s">
        <v>15593</v>
      </c>
      <c r="L3842" s="1" t="s">
        <v>3002</v>
      </c>
      <c r="M3842" s="1" t="s">
        <v>718</v>
      </c>
    </row>
    <row r="3843" customFormat="false" ht="15" hidden="false" customHeight="false" outlineLevel="0" collapsed="false">
      <c r="A3843" s="1" t="s">
        <v>15594</v>
      </c>
      <c r="B3843" s="1" t="s">
        <v>15595</v>
      </c>
      <c r="C3843" s="1" t="s">
        <v>15596</v>
      </c>
      <c r="D3843" s="2" t="n">
        <v>39466</v>
      </c>
      <c r="E3843" s="1" t="s">
        <v>710</v>
      </c>
      <c r="F3843" s="1" t="s">
        <v>711</v>
      </c>
      <c r="G3843" s="1" t="s">
        <v>712</v>
      </c>
      <c r="H3843" s="1" t="s">
        <v>713</v>
      </c>
      <c r="I3843" s="1" t="s">
        <v>714</v>
      </c>
      <c r="J3843" s="1" t="s">
        <v>805</v>
      </c>
      <c r="K3843" s="1" t="s">
        <v>15597</v>
      </c>
      <c r="L3843" s="1" t="s">
        <v>15598</v>
      </c>
      <c r="M3843" s="1" t="s">
        <v>718</v>
      </c>
    </row>
    <row r="3844" customFormat="false" ht="15" hidden="false" customHeight="false" outlineLevel="0" collapsed="false">
      <c r="A3844" s="1" t="s">
        <v>15599</v>
      </c>
      <c r="B3844" s="1" t="s">
        <v>15600</v>
      </c>
      <c r="C3844" s="1" t="s">
        <v>15601</v>
      </c>
      <c r="D3844" s="2" t="n">
        <v>39163</v>
      </c>
      <c r="E3844" s="1" t="s">
        <v>763</v>
      </c>
      <c r="F3844" s="1" t="s">
        <v>711</v>
      </c>
      <c r="G3844" s="1" t="s">
        <v>712</v>
      </c>
      <c r="H3844" s="1" t="s">
        <v>713</v>
      </c>
      <c r="I3844" s="1" t="s">
        <v>714</v>
      </c>
      <c r="J3844" s="1" t="s">
        <v>1244</v>
      </c>
      <c r="K3844" s="1" t="s">
        <v>15271</v>
      </c>
      <c r="L3844" s="1" t="s">
        <v>15272</v>
      </c>
      <c r="M3844" s="1" t="s">
        <v>718</v>
      </c>
    </row>
    <row r="3845" customFormat="false" ht="15" hidden="false" customHeight="false" outlineLevel="0" collapsed="false">
      <c r="A3845" s="1" t="s">
        <v>15602</v>
      </c>
      <c r="B3845" s="1" t="s">
        <v>15603</v>
      </c>
      <c r="C3845" s="1" t="s">
        <v>7326</v>
      </c>
      <c r="D3845" s="2" t="n">
        <v>39844</v>
      </c>
      <c r="E3845" s="1" t="s">
        <v>763</v>
      </c>
      <c r="F3845" s="1" t="s">
        <v>711</v>
      </c>
      <c r="G3845" s="1" t="s">
        <v>712</v>
      </c>
      <c r="H3845" s="1" t="s">
        <v>713</v>
      </c>
      <c r="I3845" s="1" t="s">
        <v>714</v>
      </c>
      <c r="J3845" s="1" t="s">
        <v>716</v>
      </c>
      <c r="K3845" s="1" t="s">
        <v>15604</v>
      </c>
      <c r="L3845" s="1" t="s">
        <v>9020</v>
      </c>
      <c r="M3845" s="1" t="s">
        <v>718</v>
      </c>
    </row>
    <row r="3846" customFormat="false" ht="15" hidden="false" customHeight="false" outlineLevel="0" collapsed="false">
      <c r="A3846" s="1" t="s">
        <v>15605</v>
      </c>
      <c r="B3846" s="1" t="s">
        <v>15606</v>
      </c>
      <c r="C3846" s="1" t="s">
        <v>1094</v>
      </c>
      <c r="D3846" s="2" t="n">
        <v>35238</v>
      </c>
      <c r="E3846" s="1" t="s">
        <v>763</v>
      </c>
      <c r="F3846" s="1" t="s">
        <v>711</v>
      </c>
      <c r="G3846" s="1" t="s">
        <v>722</v>
      </c>
      <c r="H3846" s="1" t="s">
        <v>713</v>
      </c>
      <c r="I3846" s="1" t="s">
        <v>714</v>
      </c>
      <c r="J3846" s="1" t="s">
        <v>716</v>
      </c>
      <c r="K3846" s="1" t="s">
        <v>716</v>
      </c>
      <c r="L3846" s="1" t="s">
        <v>1418</v>
      </c>
      <c r="M3846" s="1" t="s">
        <v>718</v>
      </c>
    </row>
    <row r="3847" customFormat="false" ht="15" hidden="false" customHeight="false" outlineLevel="0" collapsed="false">
      <c r="A3847" s="1" t="s">
        <v>15607</v>
      </c>
      <c r="B3847" s="1" t="s">
        <v>15608</v>
      </c>
      <c r="C3847" s="1" t="s">
        <v>941</v>
      </c>
      <c r="D3847" s="2" t="n">
        <v>40238</v>
      </c>
      <c r="E3847" s="1" t="s">
        <v>763</v>
      </c>
      <c r="F3847" s="1" t="s">
        <v>711</v>
      </c>
      <c r="G3847" s="1" t="s">
        <v>722</v>
      </c>
      <c r="H3847" s="1" t="s">
        <v>713</v>
      </c>
      <c r="I3847" s="1" t="s">
        <v>714</v>
      </c>
      <c r="J3847" s="1" t="s">
        <v>15609</v>
      </c>
      <c r="K3847" s="1" t="s">
        <v>12697</v>
      </c>
      <c r="L3847" s="1" t="s">
        <v>9706</v>
      </c>
      <c r="M3847" s="1" t="s">
        <v>718</v>
      </c>
    </row>
    <row r="3848" customFormat="false" ht="15" hidden="false" customHeight="false" outlineLevel="0" collapsed="false">
      <c r="A3848" s="1" t="s">
        <v>15610</v>
      </c>
      <c r="B3848" s="1" t="s">
        <v>15611</v>
      </c>
      <c r="C3848" s="1" t="s">
        <v>2375</v>
      </c>
      <c r="D3848" s="2" t="n">
        <v>40396</v>
      </c>
      <c r="E3848" s="1" t="s">
        <v>763</v>
      </c>
      <c r="F3848" s="1" t="s">
        <v>711</v>
      </c>
      <c r="G3848" s="1" t="s">
        <v>712</v>
      </c>
      <c r="H3848" s="1" t="s">
        <v>713</v>
      </c>
      <c r="I3848" s="1" t="s">
        <v>714</v>
      </c>
      <c r="J3848" s="1" t="s">
        <v>15612</v>
      </c>
      <c r="K3848" s="1" t="s">
        <v>15613</v>
      </c>
      <c r="L3848" s="1" t="s">
        <v>3718</v>
      </c>
      <c r="M3848" s="1" t="s">
        <v>718</v>
      </c>
    </row>
    <row r="3849" customFormat="false" ht="15" hidden="false" customHeight="false" outlineLevel="0" collapsed="false">
      <c r="A3849" s="1" t="s">
        <v>15614</v>
      </c>
      <c r="B3849" s="1" t="s">
        <v>15615</v>
      </c>
      <c r="C3849" s="1" t="s">
        <v>15616</v>
      </c>
      <c r="D3849" s="2" t="n">
        <v>39845</v>
      </c>
      <c r="E3849" s="1" t="s">
        <v>710</v>
      </c>
      <c r="F3849" s="1" t="s">
        <v>711</v>
      </c>
      <c r="G3849" s="1" t="s">
        <v>712</v>
      </c>
      <c r="H3849" s="1" t="s">
        <v>713</v>
      </c>
      <c r="I3849" s="1" t="s">
        <v>714</v>
      </c>
      <c r="J3849" s="1" t="s">
        <v>2564</v>
      </c>
      <c r="K3849" s="1" t="s">
        <v>15617</v>
      </c>
      <c r="L3849" s="1" t="s">
        <v>7226</v>
      </c>
      <c r="M3849" s="1" t="s">
        <v>718</v>
      </c>
    </row>
    <row r="3850" customFormat="false" ht="15" hidden="false" customHeight="false" outlineLevel="0" collapsed="false">
      <c r="A3850" s="1" t="s">
        <v>15618</v>
      </c>
      <c r="B3850" s="1" t="s">
        <v>15619</v>
      </c>
      <c r="C3850" s="1" t="s">
        <v>15620</v>
      </c>
      <c r="D3850" s="2" t="n">
        <v>32917</v>
      </c>
      <c r="E3850" s="1" t="s">
        <v>710</v>
      </c>
      <c r="F3850" s="1" t="s">
        <v>711</v>
      </c>
      <c r="G3850" s="1" t="s">
        <v>712</v>
      </c>
      <c r="H3850" s="1" t="s">
        <v>713</v>
      </c>
      <c r="I3850" s="1" t="s">
        <v>714</v>
      </c>
      <c r="J3850" s="1" t="s">
        <v>716</v>
      </c>
      <c r="K3850" s="1" t="s">
        <v>716</v>
      </c>
      <c r="L3850" s="1" t="s">
        <v>11230</v>
      </c>
      <c r="M3850" s="1" t="s">
        <v>718</v>
      </c>
    </row>
    <row r="3851" s="13" customFormat="true" ht="15" hidden="false" customHeight="false" outlineLevel="0" collapsed="false">
      <c r="A3851" s="10" t="s">
        <v>675</v>
      </c>
      <c r="B3851" s="10" t="s">
        <v>15621</v>
      </c>
      <c r="C3851" s="10" t="s">
        <v>3974</v>
      </c>
      <c r="D3851" s="12" t="n">
        <v>39717</v>
      </c>
      <c r="E3851" s="10" t="s">
        <v>710</v>
      </c>
      <c r="F3851" s="10" t="s">
        <v>711</v>
      </c>
      <c r="G3851" s="10" t="s">
        <v>712</v>
      </c>
      <c r="H3851" s="10" t="s">
        <v>713</v>
      </c>
      <c r="I3851" s="10" t="s">
        <v>714</v>
      </c>
      <c r="J3851" s="10" t="s">
        <v>15622</v>
      </c>
      <c r="K3851" s="10" t="s">
        <v>716</v>
      </c>
      <c r="L3851" s="10" t="s">
        <v>5552</v>
      </c>
      <c r="M3851" s="10" t="s">
        <v>718</v>
      </c>
      <c r="XEE3851" s="0"/>
      <c r="XEF3851" s="0"/>
      <c r="XEG3851" s="0"/>
      <c r="XEH3851" s="0"/>
      <c r="XEI3851" s="0"/>
      <c r="XEJ3851" s="0"/>
      <c r="XEK3851" s="0"/>
      <c r="XEL3851" s="0"/>
      <c r="XEM3851" s="0"/>
      <c r="XEN3851" s="0"/>
      <c r="XEO3851" s="0"/>
      <c r="XEP3851" s="0"/>
      <c r="XEQ3851" s="0"/>
      <c r="XER3851" s="0"/>
      <c r="XES3851" s="0"/>
      <c r="XET3851" s="0"/>
      <c r="XEU3851" s="0"/>
      <c r="XEV3851" s="0"/>
      <c r="XEW3851" s="0"/>
      <c r="XEX3851" s="0"/>
      <c r="XEY3851" s="0"/>
      <c r="XEZ3851" s="0"/>
      <c r="XFA3851" s="0"/>
      <c r="XFB3851" s="0"/>
      <c r="XFC3851" s="0"/>
      <c r="XFD3851" s="0"/>
    </row>
    <row r="3852" customFormat="false" ht="15" hidden="false" customHeight="false" outlineLevel="0" collapsed="false">
      <c r="A3852" s="1" t="s">
        <v>557</v>
      </c>
      <c r="B3852" s="1" t="s">
        <v>15623</v>
      </c>
      <c r="C3852" s="1" t="s">
        <v>15624</v>
      </c>
      <c r="D3852" s="2" t="n">
        <v>40290</v>
      </c>
      <c r="E3852" s="1" t="s">
        <v>763</v>
      </c>
      <c r="F3852" s="1" t="s">
        <v>711</v>
      </c>
      <c r="G3852" s="1" t="s">
        <v>712</v>
      </c>
      <c r="H3852" s="1" t="s">
        <v>713</v>
      </c>
      <c r="I3852" s="1" t="s">
        <v>714</v>
      </c>
      <c r="J3852" s="1" t="s">
        <v>15625</v>
      </c>
      <c r="K3852" s="1" t="s">
        <v>15626</v>
      </c>
      <c r="L3852" s="1" t="s">
        <v>15627</v>
      </c>
      <c r="M3852" s="1" t="s">
        <v>718</v>
      </c>
    </row>
    <row r="3853" customFormat="false" ht="15" hidden="false" customHeight="false" outlineLevel="0" collapsed="false">
      <c r="A3853" s="1" t="s">
        <v>508</v>
      </c>
      <c r="B3853" s="1" t="s">
        <v>1490</v>
      </c>
      <c r="C3853" s="1" t="s">
        <v>2267</v>
      </c>
      <c r="D3853" s="2" t="n">
        <v>40632</v>
      </c>
      <c r="E3853" s="1" t="s">
        <v>710</v>
      </c>
      <c r="F3853" s="1" t="s">
        <v>711</v>
      </c>
      <c r="G3853" s="1" t="s">
        <v>722</v>
      </c>
      <c r="H3853" s="1" t="s">
        <v>713</v>
      </c>
      <c r="I3853" s="1" t="s">
        <v>714</v>
      </c>
      <c r="J3853" s="1" t="s">
        <v>15628</v>
      </c>
      <c r="K3853" s="1" t="s">
        <v>15629</v>
      </c>
      <c r="L3853" s="1" t="s">
        <v>15630</v>
      </c>
      <c r="M3853" s="1" t="s">
        <v>718</v>
      </c>
    </row>
    <row r="3854" customFormat="false" ht="15" hidden="false" customHeight="false" outlineLevel="0" collapsed="false">
      <c r="A3854" s="1" t="s">
        <v>15631</v>
      </c>
      <c r="B3854" s="1" t="s">
        <v>15632</v>
      </c>
      <c r="C3854" s="1" t="s">
        <v>15633</v>
      </c>
      <c r="D3854" s="2" t="n">
        <v>40248</v>
      </c>
      <c r="E3854" s="1" t="s">
        <v>710</v>
      </c>
      <c r="F3854" s="1" t="s">
        <v>711</v>
      </c>
      <c r="G3854" s="1" t="s">
        <v>712</v>
      </c>
      <c r="H3854" s="1" t="s">
        <v>713</v>
      </c>
      <c r="I3854" s="1" t="s">
        <v>714</v>
      </c>
      <c r="J3854" s="1" t="s">
        <v>8226</v>
      </c>
      <c r="K3854" s="1" t="s">
        <v>15634</v>
      </c>
      <c r="L3854" s="1" t="s">
        <v>2565</v>
      </c>
      <c r="M3854" s="1" t="s">
        <v>718</v>
      </c>
    </row>
    <row r="3855" customFormat="false" ht="15" hidden="false" customHeight="false" outlineLevel="0" collapsed="false">
      <c r="A3855" s="1" t="s">
        <v>15635</v>
      </c>
      <c r="B3855" s="1" t="s">
        <v>15636</v>
      </c>
      <c r="C3855" s="1" t="s">
        <v>15637</v>
      </c>
      <c r="D3855" s="2" t="n">
        <v>40400</v>
      </c>
      <c r="E3855" s="1" t="s">
        <v>763</v>
      </c>
      <c r="F3855" s="1" t="s">
        <v>711</v>
      </c>
      <c r="G3855" s="1" t="s">
        <v>712</v>
      </c>
      <c r="H3855" s="1" t="s">
        <v>713</v>
      </c>
      <c r="I3855" s="1" t="s">
        <v>714</v>
      </c>
      <c r="J3855" s="1" t="s">
        <v>1530</v>
      </c>
      <c r="K3855" s="1" t="s">
        <v>716</v>
      </c>
      <c r="L3855" s="1" t="s">
        <v>4788</v>
      </c>
      <c r="M3855" s="1" t="s">
        <v>718</v>
      </c>
    </row>
    <row r="3856" customFormat="false" ht="15" hidden="false" customHeight="false" outlineLevel="0" collapsed="false">
      <c r="A3856" s="1" t="s">
        <v>583</v>
      </c>
      <c r="B3856" s="1" t="s">
        <v>15638</v>
      </c>
      <c r="C3856" s="1" t="s">
        <v>15261</v>
      </c>
      <c r="D3856" s="2" t="n">
        <v>40430</v>
      </c>
      <c r="E3856" s="1" t="s">
        <v>763</v>
      </c>
      <c r="F3856" s="1" t="s">
        <v>711</v>
      </c>
      <c r="G3856" s="1" t="s">
        <v>712</v>
      </c>
      <c r="H3856" s="1" t="s">
        <v>713</v>
      </c>
      <c r="I3856" s="1" t="s">
        <v>714</v>
      </c>
      <c r="J3856" s="1" t="s">
        <v>9030</v>
      </c>
      <c r="K3856" s="1" t="s">
        <v>15639</v>
      </c>
      <c r="L3856" s="1" t="s">
        <v>15263</v>
      </c>
      <c r="M3856" s="1" t="s">
        <v>718</v>
      </c>
    </row>
    <row r="3857" customFormat="false" ht="15" hidden="false" customHeight="false" outlineLevel="0" collapsed="false">
      <c r="A3857" s="1" t="s">
        <v>591</v>
      </c>
      <c r="B3857" s="1" t="s">
        <v>940</v>
      </c>
      <c r="C3857" s="1" t="s">
        <v>15640</v>
      </c>
      <c r="D3857" s="2" t="n">
        <v>40584</v>
      </c>
      <c r="E3857" s="1" t="s">
        <v>710</v>
      </c>
      <c r="F3857" s="1" t="s">
        <v>711</v>
      </c>
      <c r="G3857" s="1" t="s">
        <v>722</v>
      </c>
      <c r="H3857" s="1" t="s">
        <v>713</v>
      </c>
      <c r="I3857" s="1" t="s">
        <v>714</v>
      </c>
      <c r="J3857" s="1" t="s">
        <v>9767</v>
      </c>
      <c r="K3857" s="1" t="s">
        <v>15641</v>
      </c>
      <c r="L3857" s="1" t="s">
        <v>15642</v>
      </c>
      <c r="M3857" s="1" t="s">
        <v>718</v>
      </c>
    </row>
    <row r="3858" customFormat="false" ht="15" hidden="false" customHeight="false" outlineLevel="0" collapsed="false">
      <c r="A3858" s="1" t="s">
        <v>15643</v>
      </c>
      <c r="B3858" s="1" t="s">
        <v>15644</v>
      </c>
      <c r="C3858" s="1" t="s">
        <v>15645</v>
      </c>
      <c r="D3858" s="2" t="n">
        <v>40315</v>
      </c>
      <c r="E3858" s="1" t="s">
        <v>763</v>
      </c>
      <c r="F3858" s="1" t="s">
        <v>711</v>
      </c>
      <c r="G3858" s="1" t="s">
        <v>722</v>
      </c>
      <c r="H3858" s="1" t="s">
        <v>713</v>
      </c>
      <c r="I3858" s="1" t="s">
        <v>714</v>
      </c>
      <c r="J3858" s="1" t="s">
        <v>838</v>
      </c>
      <c r="K3858" s="1" t="s">
        <v>15646</v>
      </c>
      <c r="L3858" s="1" t="s">
        <v>15647</v>
      </c>
      <c r="M3858" s="1" t="s">
        <v>718</v>
      </c>
    </row>
    <row r="3859" customFormat="false" ht="15" hidden="false" customHeight="false" outlineLevel="0" collapsed="false">
      <c r="A3859" s="1" t="s">
        <v>589</v>
      </c>
      <c r="B3859" s="1" t="s">
        <v>15648</v>
      </c>
      <c r="C3859" s="1" t="s">
        <v>3350</v>
      </c>
      <c r="D3859" s="2" t="n">
        <v>40285</v>
      </c>
      <c r="E3859" s="1" t="s">
        <v>710</v>
      </c>
      <c r="F3859" s="1" t="s">
        <v>711</v>
      </c>
      <c r="G3859" s="1" t="s">
        <v>712</v>
      </c>
      <c r="H3859" s="1" t="s">
        <v>713</v>
      </c>
      <c r="I3859" s="1" t="s">
        <v>714</v>
      </c>
      <c r="J3859" s="1" t="s">
        <v>715</v>
      </c>
      <c r="K3859" s="1" t="s">
        <v>15649</v>
      </c>
      <c r="L3859" s="1" t="s">
        <v>11059</v>
      </c>
      <c r="M3859" s="1" t="s">
        <v>718</v>
      </c>
    </row>
    <row r="3860" customFormat="false" ht="15" hidden="false" customHeight="false" outlineLevel="0" collapsed="false">
      <c r="A3860" s="1" t="s">
        <v>15650</v>
      </c>
      <c r="B3860" s="1" t="s">
        <v>1247</v>
      </c>
      <c r="C3860" s="1" t="s">
        <v>1139</v>
      </c>
      <c r="D3860" s="2" t="n">
        <v>40327</v>
      </c>
      <c r="E3860" s="1" t="s">
        <v>710</v>
      </c>
      <c r="F3860" s="1" t="s">
        <v>711</v>
      </c>
      <c r="G3860" s="1" t="s">
        <v>712</v>
      </c>
      <c r="H3860" s="1" t="s">
        <v>713</v>
      </c>
      <c r="I3860" s="1" t="s">
        <v>714</v>
      </c>
      <c r="J3860" s="1" t="s">
        <v>1398</v>
      </c>
      <c r="K3860" s="1" t="s">
        <v>15651</v>
      </c>
      <c r="L3860" s="1" t="s">
        <v>15652</v>
      </c>
      <c r="M3860" s="1" t="s">
        <v>718</v>
      </c>
    </row>
    <row r="3861" customFormat="false" ht="15" hidden="false" customHeight="false" outlineLevel="0" collapsed="false">
      <c r="A3861" s="1" t="s">
        <v>592</v>
      </c>
      <c r="B3861" s="1" t="s">
        <v>8523</v>
      </c>
      <c r="C3861" s="1" t="s">
        <v>15653</v>
      </c>
      <c r="D3861" s="2" t="n">
        <v>41193</v>
      </c>
      <c r="E3861" s="1" t="s">
        <v>710</v>
      </c>
      <c r="F3861" s="1" t="s">
        <v>711</v>
      </c>
      <c r="G3861" s="1" t="s">
        <v>712</v>
      </c>
      <c r="H3861" s="1" t="s">
        <v>713</v>
      </c>
      <c r="I3861" s="1" t="s">
        <v>714</v>
      </c>
      <c r="J3861" s="1" t="s">
        <v>1398</v>
      </c>
      <c r="K3861" s="1" t="s">
        <v>15654</v>
      </c>
      <c r="L3861" s="1" t="s">
        <v>13227</v>
      </c>
      <c r="M3861" s="1" t="s">
        <v>718</v>
      </c>
    </row>
    <row r="3862" customFormat="false" ht="15" hidden="false" customHeight="false" outlineLevel="0" collapsed="false">
      <c r="A3862" s="1" t="s">
        <v>574</v>
      </c>
      <c r="B3862" s="1" t="s">
        <v>15655</v>
      </c>
      <c r="C3862" s="1" t="s">
        <v>15656</v>
      </c>
      <c r="D3862" s="2" t="n">
        <v>40419</v>
      </c>
      <c r="E3862" s="1" t="s">
        <v>710</v>
      </c>
      <c r="F3862" s="1" t="s">
        <v>711</v>
      </c>
      <c r="G3862" s="1" t="s">
        <v>712</v>
      </c>
      <c r="H3862" s="1" t="s">
        <v>713</v>
      </c>
      <c r="I3862" s="1" t="s">
        <v>714</v>
      </c>
      <c r="J3862" s="1" t="s">
        <v>716</v>
      </c>
      <c r="K3862" s="1" t="s">
        <v>15657</v>
      </c>
      <c r="L3862" s="1" t="s">
        <v>15658</v>
      </c>
      <c r="M3862" s="1" t="s">
        <v>718</v>
      </c>
    </row>
    <row r="3863" customFormat="false" ht="15" hidden="false" customHeight="false" outlineLevel="0" collapsed="false">
      <c r="A3863" s="1" t="s">
        <v>585</v>
      </c>
      <c r="B3863" s="1" t="s">
        <v>15659</v>
      </c>
      <c r="C3863" s="1" t="s">
        <v>1610</v>
      </c>
      <c r="D3863" s="2" t="n">
        <v>39772</v>
      </c>
      <c r="E3863" s="1" t="s">
        <v>710</v>
      </c>
      <c r="F3863" s="1" t="s">
        <v>711</v>
      </c>
      <c r="G3863" s="1" t="s">
        <v>712</v>
      </c>
      <c r="H3863" s="1" t="s">
        <v>713</v>
      </c>
      <c r="I3863" s="1" t="s">
        <v>714</v>
      </c>
      <c r="J3863" s="1" t="s">
        <v>15660</v>
      </c>
      <c r="K3863" s="1" t="s">
        <v>15512</v>
      </c>
      <c r="L3863" s="1" t="s">
        <v>15513</v>
      </c>
      <c r="M3863" s="1" t="s">
        <v>718</v>
      </c>
    </row>
    <row r="3864" customFormat="false" ht="15" hidden="false" customHeight="false" outlineLevel="0" collapsed="false">
      <c r="A3864" s="1" t="s">
        <v>578</v>
      </c>
      <c r="B3864" s="1" t="s">
        <v>7626</v>
      </c>
      <c r="C3864" s="1" t="s">
        <v>750</v>
      </c>
      <c r="D3864" s="2" t="n">
        <v>40391</v>
      </c>
      <c r="E3864" s="1" t="s">
        <v>710</v>
      </c>
      <c r="F3864" s="1" t="s">
        <v>711</v>
      </c>
      <c r="G3864" s="1" t="s">
        <v>722</v>
      </c>
      <c r="H3864" s="1" t="s">
        <v>713</v>
      </c>
      <c r="I3864" s="1" t="s">
        <v>714</v>
      </c>
      <c r="J3864" s="1" t="s">
        <v>1398</v>
      </c>
      <c r="K3864" s="1" t="s">
        <v>15661</v>
      </c>
      <c r="L3864" s="1" t="s">
        <v>13451</v>
      </c>
      <c r="M3864" s="1" t="s">
        <v>718</v>
      </c>
    </row>
    <row r="3865" customFormat="false" ht="15" hidden="false" customHeight="false" outlineLevel="0" collapsed="false">
      <c r="A3865" s="1" t="s">
        <v>517</v>
      </c>
      <c r="B3865" s="1" t="s">
        <v>15662</v>
      </c>
      <c r="C3865" s="1" t="s">
        <v>15663</v>
      </c>
      <c r="D3865" s="2" t="n">
        <v>40270</v>
      </c>
      <c r="E3865" s="1" t="s">
        <v>763</v>
      </c>
      <c r="F3865" s="1" t="s">
        <v>711</v>
      </c>
      <c r="G3865" s="1" t="s">
        <v>712</v>
      </c>
      <c r="H3865" s="1" t="s">
        <v>713</v>
      </c>
      <c r="I3865" s="1" t="s">
        <v>714</v>
      </c>
      <c r="J3865" s="1" t="s">
        <v>1723</v>
      </c>
      <c r="K3865" s="1" t="s">
        <v>15664</v>
      </c>
      <c r="L3865" s="1" t="s">
        <v>15665</v>
      </c>
      <c r="M3865" s="1" t="s">
        <v>718</v>
      </c>
    </row>
    <row r="3866" customFormat="false" ht="15" hidden="false" customHeight="false" outlineLevel="0" collapsed="false">
      <c r="A3866" s="1" t="s">
        <v>532</v>
      </c>
      <c r="B3866" s="1" t="s">
        <v>15666</v>
      </c>
      <c r="C3866" s="1" t="s">
        <v>739</v>
      </c>
      <c r="D3866" s="2" t="n">
        <v>40485</v>
      </c>
      <c r="E3866" s="1" t="s">
        <v>763</v>
      </c>
      <c r="F3866" s="1" t="s">
        <v>711</v>
      </c>
      <c r="G3866" s="1" t="s">
        <v>712</v>
      </c>
      <c r="H3866" s="1" t="s">
        <v>713</v>
      </c>
      <c r="I3866" s="1" t="s">
        <v>714</v>
      </c>
      <c r="J3866" s="1" t="s">
        <v>716</v>
      </c>
      <c r="K3866" s="1" t="s">
        <v>15667</v>
      </c>
      <c r="L3866" s="1" t="s">
        <v>15668</v>
      </c>
      <c r="M3866" s="1" t="s">
        <v>718</v>
      </c>
    </row>
    <row r="3867" customFormat="false" ht="15" hidden="false" customHeight="false" outlineLevel="0" collapsed="false">
      <c r="A3867" s="1" t="s">
        <v>556</v>
      </c>
      <c r="B3867" s="1" t="s">
        <v>15669</v>
      </c>
      <c r="C3867" s="1" t="s">
        <v>15670</v>
      </c>
      <c r="D3867" s="2" t="n">
        <v>40371</v>
      </c>
      <c r="E3867" s="1" t="s">
        <v>710</v>
      </c>
      <c r="F3867" s="1" t="s">
        <v>711</v>
      </c>
      <c r="G3867" s="1" t="s">
        <v>712</v>
      </c>
      <c r="H3867" s="1" t="s">
        <v>713</v>
      </c>
      <c r="I3867" s="1" t="s">
        <v>714</v>
      </c>
      <c r="J3867" s="1" t="s">
        <v>15671</v>
      </c>
      <c r="K3867" s="1" t="s">
        <v>15672</v>
      </c>
      <c r="L3867" s="1" t="s">
        <v>15673</v>
      </c>
      <c r="M3867" s="1" t="s">
        <v>718</v>
      </c>
    </row>
    <row r="3868" customFormat="false" ht="15" hidden="false" customHeight="false" outlineLevel="0" collapsed="false">
      <c r="A3868" s="1" t="s">
        <v>15674</v>
      </c>
      <c r="B3868" s="1" t="s">
        <v>15675</v>
      </c>
      <c r="C3868" s="1" t="s">
        <v>15676</v>
      </c>
      <c r="D3868" s="2" t="n">
        <v>40345</v>
      </c>
      <c r="E3868" s="1" t="s">
        <v>710</v>
      </c>
      <c r="F3868" s="1" t="s">
        <v>711</v>
      </c>
      <c r="G3868" s="1" t="s">
        <v>15677</v>
      </c>
      <c r="H3868" s="1" t="s">
        <v>713</v>
      </c>
      <c r="I3868" s="1" t="s">
        <v>714</v>
      </c>
      <c r="J3868" s="1" t="s">
        <v>5654</v>
      </c>
      <c r="K3868" s="1" t="s">
        <v>15678</v>
      </c>
      <c r="L3868" s="1" t="s">
        <v>15679</v>
      </c>
      <c r="M3868" s="1" t="s">
        <v>718</v>
      </c>
    </row>
    <row r="3869" customFormat="false" ht="15" hidden="false" customHeight="false" outlineLevel="0" collapsed="false">
      <c r="A3869" s="1" t="s">
        <v>15680</v>
      </c>
      <c r="B3869" s="1" t="s">
        <v>15681</v>
      </c>
      <c r="C3869" s="1" t="s">
        <v>15682</v>
      </c>
      <c r="D3869" s="2" t="n">
        <v>40468</v>
      </c>
      <c r="E3869" s="1" t="s">
        <v>763</v>
      </c>
      <c r="F3869" s="1" t="s">
        <v>711</v>
      </c>
      <c r="G3869" s="1" t="s">
        <v>712</v>
      </c>
      <c r="H3869" s="1" t="s">
        <v>713</v>
      </c>
      <c r="I3869" s="1" t="s">
        <v>714</v>
      </c>
      <c r="J3869" s="1" t="s">
        <v>15498</v>
      </c>
      <c r="K3869" s="1" t="s">
        <v>15683</v>
      </c>
      <c r="L3869" s="1" t="s">
        <v>13207</v>
      </c>
      <c r="M3869" s="1" t="s">
        <v>718</v>
      </c>
    </row>
    <row r="3870" customFormat="false" ht="15" hidden="false" customHeight="false" outlineLevel="0" collapsed="false">
      <c r="A3870" s="1" t="s">
        <v>15684</v>
      </c>
      <c r="B3870" s="1" t="s">
        <v>12660</v>
      </c>
      <c r="C3870" s="1" t="s">
        <v>3022</v>
      </c>
      <c r="D3870" s="2" t="n">
        <v>39991</v>
      </c>
      <c r="E3870" s="1" t="s">
        <v>763</v>
      </c>
      <c r="F3870" s="1" t="s">
        <v>711</v>
      </c>
      <c r="G3870" s="1" t="s">
        <v>712</v>
      </c>
      <c r="H3870" s="1" t="s">
        <v>713</v>
      </c>
      <c r="I3870" s="1" t="s">
        <v>714</v>
      </c>
      <c r="J3870" s="1" t="s">
        <v>15685</v>
      </c>
      <c r="K3870" s="1" t="s">
        <v>15686</v>
      </c>
      <c r="L3870" s="1" t="s">
        <v>15687</v>
      </c>
      <c r="M3870" s="1" t="s">
        <v>718</v>
      </c>
    </row>
    <row r="3871" customFormat="false" ht="15" hidden="false" customHeight="false" outlineLevel="0" collapsed="false">
      <c r="A3871" s="1" t="s">
        <v>543</v>
      </c>
      <c r="B3871" s="1" t="s">
        <v>1561</v>
      </c>
      <c r="C3871" s="1" t="s">
        <v>12909</v>
      </c>
      <c r="D3871" s="2" t="n">
        <v>40273</v>
      </c>
      <c r="E3871" s="1" t="s">
        <v>710</v>
      </c>
      <c r="F3871" s="1" t="s">
        <v>711</v>
      </c>
      <c r="G3871" s="1" t="s">
        <v>712</v>
      </c>
      <c r="H3871" s="1" t="s">
        <v>713</v>
      </c>
      <c r="I3871" s="1" t="s">
        <v>714</v>
      </c>
      <c r="J3871" s="1" t="s">
        <v>716</v>
      </c>
      <c r="K3871" s="1" t="s">
        <v>716</v>
      </c>
      <c r="L3871" s="1" t="s">
        <v>12912</v>
      </c>
      <c r="M3871" s="1" t="s">
        <v>718</v>
      </c>
    </row>
    <row r="3872" customFormat="false" ht="15" hidden="false" customHeight="false" outlineLevel="0" collapsed="false">
      <c r="A3872" s="1" t="s">
        <v>564</v>
      </c>
      <c r="B3872" s="1" t="s">
        <v>15688</v>
      </c>
      <c r="C3872" s="1" t="s">
        <v>9587</v>
      </c>
      <c r="D3872" s="2" t="n">
        <v>40150</v>
      </c>
      <c r="E3872" s="1" t="s">
        <v>710</v>
      </c>
      <c r="F3872" s="1" t="s">
        <v>711</v>
      </c>
      <c r="G3872" s="1" t="s">
        <v>712</v>
      </c>
      <c r="H3872" s="1" t="s">
        <v>713</v>
      </c>
      <c r="I3872" s="1" t="s">
        <v>714</v>
      </c>
      <c r="J3872" s="1" t="s">
        <v>5654</v>
      </c>
      <c r="K3872" s="1" t="s">
        <v>15689</v>
      </c>
      <c r="L3872" s="1" t="s">
        <v>8244</v>
      </c>
      <c r="M3872" s="1" t="s">
        <v>718</v>
      </c>
    </row>
    <row r="3873" customFormat="false" ht="15" hidden="false" customHeight="false" outlineLevel="0" collapsed="false">
      <c r="A3873" s="1" t="s">
        <v>15690</v>
      </c>
      <c r="B3873" s="1" t="s">
        <v>15691</v>
      </c>
      <c r="C3873" s="1" t="s">
        <v>6236</v>
      </c>
      <c r="D3873" s="2" t="n">
        <v>40272</v>
      </c>
      <c r="E3873" s="1" t="s">
        <v>763</v>
      </c>
      <c r="F3873" s="1" t="s">
        <v>711</v>
      </c>
      <c r="G3873" s="1" t="s">
        <v>712</v>
      </c>
      <c r="H3873" s="1" t="s">
        <v>713</v>
      </c>
      <c r="I3873" s="1" t="s">
        <v>714</v>
      </c>
      <c r="J3873" s="1" t="s">
        <v>15692</v>
      </c>
      <c r="K3873" s="1" t="s">
        <v>15693</v>
      </c>
      <c r="L3873" s="1" t="s">
        <v>6238</v>
      </c>
      <c r="M3873" s="1" t="s">
        <v>718</v>
      </c>
    </row>
    <row r="3874" customFormat="false" ht="15" hidden="false" customHeight="false" outlineLevel="0" collapsed="false">
      <c r="A3874" s="1" t="s">
        <v>424</v>
      </c>
      <c r="B3874" s="1" t="s">
        <v>15694</v>
      </c>
      <c r="C3874" s="1" t="s">
        <v>11675</v>
      </c>
      <c r="D3874" s="2" t="n">
        <v>40438</v>
      </c>
      <c r="E3874" s="1" t="s">
        <v>763</v>
      </c>
      <c r="F3874" s="1" t="s">
        <v>711</v>
      </c>
      <c r="G3874" s="1" t="s">
        <v>712</v>
      </c>
      <c r="H3874" s="1" t="s">
        <v>713</v>
      </c>
      <c r="I3874" s="1" t="s">
        <v>714</v>
      </c>
      <c r="J3874" s="1" t="s">
        <v>15695</v>
      </c>
      <c r="K3874" s="1" t="s">
        <v>15696</v>
      </c>
      <c r="L3874" s="1" t="s">
        <v>11797</v>
      </c>
      <c r="M3874" s="1" t="s">
        <v>718</v>
      </c>
    </row>
    <row r="3875" customFormat="false" ht="15" hidden="false" customHeight="false" outlineLevel="0" collapsed="false">
      <c r="A3875" s="1" t="s">
        <v>15697</v>
      </c>
      <c r="B3875" s="1" t="s">
        <v>4176</v>
      </c>
      <c r="C3875" s="1" t="s">
        <v>10236</v>
      </c>
      <c r="D3875" s="2" t="n">
        <v>39336</v>
      </c>
      <c r="E3875" s="1" t="s">
        <v>710</v>
      </c>
      <c r="F3875" s="1" t="s">
        <v>711</v>
      </c>
      <c r="G3875" s="1" t="s">
        <v>712</v>
      </c>
      <c r="H3875" s="1" t="s">
        <v>713</v>
      </c>
      <c r="I3875" s="1" t="s">
        <v>714</v>
      </c>
      <c r="J3875" s="1" t="s">
        <v>1723</v>
      </c>
      <c r="K3875" s="1" t="s">
        <v>15698</v>
      </c>
      <c r="L3875" s="1" t="s">
        <v>877</v>
      </c>
      <c r="M3875" s="1" t="s">
        <v>718</v>
      </c>
    </row>
    <row r="3876" customFormat="false" ht="15" hidden="false" customHeight="false" outlineLevel="0" collapsed="false">
      <c r="A3876" s="1" t="s">
        <v>15699</v>
      </c>
      <c r="B3876" s="1" t="s">
        <v>15700</v>
      </c>
      <c r="C3876" s="1" t="s">
        <v>1185</v>
      </c>
      <c r="D3876" s="2" t="n">
        <v>40008</v>
      </c>
      <c r="E3876" s="1" t="s">
        <v>710</v>
      </c>
      <c r="F3876" s="1" t="s">
        <v>711</v>
      </c>
      <c r="G3876" s="1" t="s">
        <v>712</v>
      </c>
      <c r="H3876" s="1" t="s">
        <v>713</v>
      </c>
      <c r="I3876" s="1" t="s">
        <v>714</v>
      </c>
      <c r="J3876" s="1" t="s">
        <v>1398</v>
      </c>
      <c r="K3876" s="1" t="s">
        <v>716</v>
      </c>
      <c r="L3876" s="1" t="s">
        <v>8362</v>
      </c>
      <c r="M3876" s="1" t="s">
        <v>718</v>
      </c>
    </row>
    <row r="3877" customFormat="false" ht="15" hidden="false" customHeight="false" outlineLevel="0" collapsed="false">
      <c r="A3877" s="1" t="s">
        <v>584</v>
      </c>
      <c r="B3877" s="1" t="s">
        <v>15701</v>
      </c>
      <c r="C3877" s="1" t="s">
        <v>12321</v>
      </c>
      <c r="D3877" s="2" t="n">
        <v>39795</v>
      </c>
      <c r="E3877" s="1" t="s">
        <v>710</v>
      </c>
      <c r="F3877" s="1" t="s">
        <v>711</v>
      </c>
      <c r="G3877" s="1" t="s">
        <v>712</v>
      </c>
      <c r="H3877" s="1" t="s">
        <v>713</v>
      </c>
      <c r="I3877" s="1" t="s">
        <v>714</v>
      </c>
      <c r="J3877" s="1" t="s">
        <v>1398</v>
      </c>
      <c r="K3877" s="1" t="s">
        <v>15702</v>
      </c>
      <c r="L3877" s="1" t="s">
        <v>15703</v>
      </c>
      <c r="M3877" s="1" t="s">
        <v>718</v>
      </c>
    </row>
    <row r="3878" customFormat="false" ht="15" hidden="false" customHeight="false" outlineLevel="0" collapsed="false">
      <c r="A3878" s="1" t="s">
        <v>15704</v>
      </c>
      <c r="B3878" s="1" t="s">
        <v>15705</v>
      </c>
      <c r="C3878" s="1" t="s">
        <v>15706</v>
      </c>
      <c r="D3878" s="2" t="n">
        <v>40221</v>
      </c>
      <c r="E3878" s="1" t="s">
        <v>710</v>
      </c>
      <c r="F3878" s="1" t="s">
        <v>711</v>
      </c>
      <c r="G3878" s="1" t="s">
        <v>712</v>
      </c>
      <c r="H3878" s="1" t="s">
        <v>713</v>
      </c>
      <c r="I3878" s="1" t="s">
        <v>714</v>
      </c>
      <c r="J3878" s="1" t="s">
        <v>1398</v>
      </c>
      <c r="K3878" s="1" t="s">
        <v>15702</v>
      </c>
      <c r="L3878" s="1" t="s">
        <v>15707</v>
      </c>
      <c r="M3878" s="1" t="s">
        <v>718</v>
      </c>
    </row>
    <row r="3879" customFormat="false" ht="15" hidden="false" customHeight="false" outlineLevel="0" collapsed="false">
      <c r="A3879" s="1" t="s">
        <v>15708</v>
      </c>
      <c r="B3879" s="1" t="s">
        <v>15709</v>
      </c>
      <c r="C3879" s="1" t="s">
        <v>1421</v>
      </c>
      <c r="D3879" s="2" t="n">
        <v>40486</v>
      </c>
      <c r="E3879" s="1" t="s">
        <v>710</v>
      </c>
      <c r="F3879" s="1" t="s">
        <v>711</v>
      </c>
      <c r="G3879" s="1" t="s">
        <v>712</v>
      </c>
      <c r="H3879" s="1" t="s">
        <v>713</v>
      </c>
      <c r="I3879" s="1" t="s">
        <v>714</v>
      </c>
      <c r="J3879" s="1" t="s">
        <v>2117</v>
      </c>
      <c r="K3879" s="1" t="s">
        <v>13855</v>
      </c>
      <c r="L3879" s="1" t="s">
        <v>6636</v>
      </c>
      <c r="M3879" s="1" t="s">
        <v>718</v>
      </c>
    </row>
    <row r="3880" customFormat="false" ht="15" hidden="false" customHeight="false" outlineLevel="0" collapsed="false">
      <c r="A3880" s="1" t="s">
        <v>563</v>
      </c>
      <c r="B3880" s="1" t="s">
        <v>15710</v>
      </c>
      <c r="C3880" s="1" t="s">
        <v>9587</v>
      </c>
      <c r="D3880" s="2" t="n">
        <v>39522</v>
      </c>
      <c r="E3880" s="1" t="s">
        <v>763</v>
      </c>
      <c r="F3880" s="1" t="s">
        <v>711</v>
      </c>
      <c r="G3880" s="1" t="s">
        <v>712</v>
      </c>
      <c r="H3880" s="1" t="s">
        <v>713</v>
      </c>
      <c r="I3880" s="1" t="s">
        <v>714</v>
      </c>
      <c r="J3880" s="1" t="s">
        <v>1723</v>
      </c>
      <c r="K3880" s="1" t="s">
        <v>15689</v>
      </c>
      <c r="L3880" s="1" t="s">
        <v>8244</v>
      </c>
      <c r="M3880" s="1" t="s">
        <v>718</v>
      </c>
    </row>
    <row r="3881" customFormat="false" ht="15" hidden="false" customHeight="false" outlineLevel="0" collapsed="false">
      <c r="A3881" s="1" t="s">
        <v>15711</v>
      </c>
      <c r="B3881" s="1" t="s">
        <v>15712</v>
      </c>
      <c r="C3881" s="1" t="s">
        <v>10060</v>
      </c>
      <c r="D3881" s="2" t="n">
        <v>39124</v>
      </c>
      <c r="E3881" s="1" t="s">
        <v>710</v>
      </c>
      <c r="F3881" s="1" t="s">
        <v>711</v>
      </c>
      <c r="G3881" s="1" t="s">
        <v>712</v>
      </c>
      <c r="H3881" s="1" t="s">
        <v>713</v>
      </c>
      <c r="I3881" s="1" t="s">
        <v>714</v>
      </c>
      <c r="J3881" s="1" t="s">
        <v>1584</v>
      </c>
      <c r="K3881" s="1" t="s">
        <v>15713</v>
      </c>
      <c r="L3881" s="1" t="s">
        <v>10061</v>
      </c>
      <c r="M3881" s="1" t="s">
        <v>718</v>
      </c>
    </row>
    <row r="3882" customFormat="false" ht="15" hidden="false" customHeight="false" outlineLevel="0" collapsed="false">
      <c r="A3882" s="1" t="s">
        <v>15714</v>
      </c>
      <c r="B3882" s="1" t="s">
        <v>15715</v>
      </c>
      <c r="C3882" s="1" t="s">
        <v>739</v>
      </c>
      <c r="D3882" s="2" t="n">
        <v>39692</v>
      </c>
      <c r="E3882" s="1" t="s">
        <v>710</v>
      </c>
      <c r="F3882" s="1" t="s">
        <v>711</v>
      </c>
      <c r="G3882" s="1" t="s">
        <v>722</v>
      </c>
      <c r="H3882" s="1" t="s">
        <v>713</v>
      </c>
      <c r="I3882" s="1" t="s">
        <v>714</v>
      </c>
      <c r="J3882" s="1" t="s">
        <v>6242</v>
      </c>
      <c r="K3882" s="1" t="s">
        <v>15716</v>
      </c>
      <c r="L3882" s="1" t="s">
        <v>15717</v>
      </c>
      <c r="M3882" s="1" t="s">
        <v>718</v>
      </c>
    </row>
    <row r="3883" customFormat="false" ht="15" hidden="false" customHeight="false" outlineLevel="0" collapsed="false">
      <c r="A3883" s="1" t="s">
        <v>15718</v>
      </c>
      <c r="B3883" s="1" t="s">
        <v>9367</v>
      </c>
      <c r="C3883" s="1" t="s">
        <v>15719</v>
      </c>
      <c r="D3883" s="2" t="n">
        <v>39638</v>
      </c>
      <c r="E3883" s="1" t="s">
        <v>763</v>
      </c>
      <c r="F3883" s="1" t="s">
        <v>711</v>
      </c>
      <c r="G3883" s="1" t="s">
        <v>712</v>
      </c>
      <c r="H3883" s="1" t="s">
        <v>713</v>
      </c>
      <c r="I3883" s="1" t="s">
        <v>714</v>
      </c>
      <c r="J3883" s="1" t="s">
        <v>9030</v>
      </c>
      <c r="K3883" s="1" t="s">
        <v>15720</v>
      </c>
      <c r="L3883" s="1" t="s">
        <v>15721</v>
      </c>
      <c r="M3883" s="1" t="s">
        <v>718</v>
      </c>
    </row>
    <row r="3884" customFormat="false" ht="15" hidden="false" customHeight="false" outlineLevel="0" collapsed="false">
      <c r="A3884" s="1" t="s">
        <v>15722</v>
      </c>
      <c r="B3884" s="1" t="s">
        <v>5791</v>
      </c>
      <c r="C3884" s="1" t="s">
        <v>15723</v>
      </c>
      <c r="D3884" s="2" t="n">
        <v>30594</v>
      </c>
      <c r="E3884" s="1" t="s">
        <v>763</v>
      </c>
      <c r="F3884" s="1" t="s">
        <v>711</v>
      </c>
      <c r="G3884" s="1" t="s">
        <v>722</v>
      </c>
      <c r="H3884" s="1" t="s">
        <v>713</v>
      </c>
      <c r="I3884" s="1" t="s">
        <v>714</v>
      </c>
      <c r="J3884" s="1" t="s">
        <v>716</v>
      </c>
      <c r="K3884" s="1" t="s">
        <v>716</v>
      </c>
      <c r="L3884" s="1" t="s">
        <v>11230</v>
      </c>
      <c r="M3884" s="1" t="s">
        <v>718</v>
      </c>
    </row>
    <row r="3885" customFormat="false" ht="15" hidden="false" customHeight="false" outlineLevel="0" collapsed="false">
      <c r="A3885" s="1" t="s">
        <v>15724</v>
      </c>
      <c r="B3885" s="1" t="s">
        <v>15725</v>
      </c>
      <c r="C3885" s="1" t="s">
        <v>2970</v>
      </c>
      <c r="D3885" s="2" t="n">
        <v>39531</v>
      </c>
      <c r="E3885" s="1" t="s">
        <v>763</v>
      </c>
      <c r="F3885" s="1" t="s">
        <v>711</v>
      </c>
      <c r="G3885" s="1" t="s">
        <v>712</v>
      </c>
      <c r="H3885" s="1" t="s">
        <v>713</v>
      </c>
      <c r="I3885" s="1" t="s">
        <v>714</v>
      </c>
      <c r="J3885" s="1" t="s">
        <v>1131</v>
      </c>
      <c r="K3885" s="1" t="s">
        <v>15726</v>
      </c>
      <c r="L3885" s="1" t="s">
        <v>10556</v>
      </c>
      <c r="M3885" s="1" t="s">
        <v>718</v>
      </c>
    </row>
    <row r="3886" customFormat="false" ht="15" hidden="false" customHeight="false" outlineLevel="0" collapsed="false">
      <c r="A3886" s="1" t="s">
        <v>15727</v>
      </c>
      <c r="B3886" s="1" t="s">
        <v>15728</v>
      </c>
      <c r="C3886" s="1" t="s">
        <v>2970</v>
      </c>
      <c r="D3886" s="2" t="n">
        <v>38881</v>
      </c>
      <c r="E3886" s="1" t="s">
        <v>763</v>
      </c>
      <c r="F3886" s="1" t="s">
        <v>711</v>
      </c>
      <c r="G3886" s="1" t="s">
        <v>712</v>
      </c>
      <c r="H3886" s="1" t="s">
        <v>713</v>
      </c>
      <c r="I3886" s="1" t="s">
        <v>714</v>
      </c>
      <c r="J3886" s="1" t="s">
        <v>1131</v>
      </c>
      <c r="K3886" s="1" t="s">
        <v>15726</v>
      </c>
      <c r="L3886" s="1" t="s">
        <v>10556</v>
      </c>
      <c r="M3886" s="1" t="s">
        <v>718</v>
      </c>
    </row>
    <row r="3887" customFormat="false" ht="15" hidden="false" customHeight="false" outlineLevel="0" collapsed="false">
      <c r="A3887" s="1" t="s">
        <v>15729</v>
      </c>
      <c r="B3887" s="1" t="s">
        <v>15730</v>
      </c>
      <c r="C3887" s="1" t="s">
        <v>739</v>
      </c>
      <c r="D3887" s="2" t="n">
        <v>35050</v>
      </c>
      <c r="E3887" s="1" t="s">
        <v>763</v>
      </c>
      <c r="F3887" s="1" t="s">
        <v>711</v>
      </c>
      <c r="G3887" s="1" t="s">
        <v>722</v>
      </c>
      <c r="H3887" s="1" t="s">
        <v>713</v>
      </c>
      <c r="I3887" s="1" t="s">
        <v>714</v>
      </c>
      <c r="J3887" s="1" t="s">
        <v>716</v>
      </c>
      <c r="K3887" s="1" t="s">
        <v>716</v>
      </c>
      <c r="L3887" s="1" t="s">
        <v>1418</v>
      </c>
      <c r="M3887" s="1" t="s">
        <v>718</v>
      </c>
    </row>
    <row r="3888" customFormat="false" ht="15" hidden="false" customHeight="false" outlineLevel="0" collapsed="false">
      <c r="A3888" s="1" t="s">
        <v>15731</v>
      </c>
      <c r="B3888" s="1" t="s">
        <v>15732</v>
      </c>
      <c r="C3888" s="1" t="s">
        <v>15733</v>
      </c>
      <c r="D3888" s="2" t="n">
        <v>32930</v>
      </c>
      <c r="E3888" s="1" t="s">
        <v>763</v>
      </c>
      <c r="F3888" s="1" t="s">
        <v>711</v>
      </c>
      <c r="G3888" s="1" t="s">
        <v>722</v>
      </c>
      <c r="H3888" s="1" t="s">
        <v>713</v>
      </c>
      <c r="I3888" s="1" t="s">
        <v>714</v>
      </c>
      <c r="J3888" s="1" t="s">
        <v>716</v>
      </c>
      <c r="K3888" s="1" t="s">
        <v>716</v>
      </c>
      <c r="L3888" s="1" t="s">
        <v>1418</v>
      </c>
      <c r="M3888" s="1" t="s">
        <v>718</v>
      </c>
    </row>
    <row r="3889" customFormat="false" ht="15" hidden="false" customHeight="false" outlineLevel="0" collapsed="false">
      <c r="A3889" s="1" t="s">
        <v>15734</v>
      </c>
      <c r="B3889" s="1" t="s">
        <v>15735</v>
      </c>
      <c r="C3889" s="1" t="s">
        <v>15736</v>
      </c>
      <c r="D3889" s="2" t="n">
        <v>32441</v>
      </c>
      <c r="E3889" s="1" t="s">
        <v>763</v>
      </c>
      <c r="F3889" s="1" t="s">
        <v>711</v>
      </c>
      <c r="G3889" s="1" t="s">
        <v>712</v>
      </c>
      <c r="H3889" s="1" t="s">
        <v>713</v>
      </c>
      <c r="I3889" s="1" t="s">
        <v>714</v>
      </c>
      <c r="J3889" s="1" t="s">
        <v>716</v>
      </c>
      <c r="K3889" s="1" t="s">
        <v>716</v>
      </c>
      <c r="L3889" s="1" t="s">
        <v>1418</v>
      </c>
      <c r="M3889" s="1" t="s">
        <v>718</v>
      </c>
    </row>
    <row r="3890" customFormat="false" ht="15" hidden="false" customHeight="false" outlineLevel="0" collapsed="false">
      <c r="A3890" s="1" t="s">
        <v>15737</v>
      </c>
      <c r="B3890" s="1" t="s">
        <v>15738</v>
      </c>
      <c r="C3890" s="1" t="s">
        <v>15739</v>
      </c>
      <c r="D3890" s="2" t="n">
        <v>31025</v>
      </c>
      <c r="E3890" s="1" t="s">
        <v>763</v>
      </c>
      <c r="F3890" s="1" t="s">
        <v>711</v>
      </c>
      <c r="G3890" s="1" t="s">
        <v>712</v>
      </c>
      <c r="H3890" s="1" t="s">
        <v>713</v>
      </c>
      <c r="I3890" s="1" t="s">
        <v>714</v>
      </c>
      <c r="J3890" s="1" t="s">
        <v>716</v>
      </c>
      <c r="K3890" s="1" t="s">
        <v>716</v>
      </c>
      <c r="L3890" s="1" t="s">
        <v>1418</v>
      </c>
      <c r="M3890" s="1" t="s">
        <v>718</v>
      </c>
    </row>
    <row r="3891" customFormat="false" ht="15" hidden="false" customHeight="false" outlineLevel="0" collapsed="false">
      <c r="A3891" s="1" t="s">
        <v>15740</v>
      </c>
      <c r="B3891" s="1" t="s">
        <v>4498</v>
      </c>
      <c r="C3891" s="1" t="s">
        <v>15741</v>
      </c>
      <c r="D3891" s="2" t="n">
        <v>39564</v>
      </c>
      <c r="E3891" s="1" t="s">
        <v>710</v>
      </c>
      <c r="F3891" s="1" t="s">
        <v>711</v>
      </c>
      <c r="G3891" s="1" t="s">
        <v>722</v>
      </c>
      <c r="H3891" s="1" t="s">
        <v>713</v>
      </c>
      <c r="I3891" s="1" t="s">
        <v>714</v>
      </c>
      <c r="J3891" s="1" t="s">
        <v>1723</v>
      </c>
      <c r="K3891" s="1" t="s">
        <v>716</v>
      </c>
      <c r="L3891" s="1" t="s">
        <v>4931</v>
      </c>
      <c r="M3891" s="1" t="s">
        <v>718</v>
      </c>
    </row>
    <row r="3892" customFormat="false" ht="15" hidden="false" customHeight="false" outlineLevel="0" collapsed="false">
      <c r="A3892" s="1" t="s">
        <v>366</v>
      </c>
      <c r="B3892" s="1" t="s">
        <v>15742</v>
      </c>
      <c r="C3892" s="1" t="s">
        <v>11591</v>
      </c>
      <c r="D3892" s="2" t="n">
        <v>40889</v>
      </c>
      <c r="E3892" s="1" t="s">
        <v>763</v>
      </c>
      <c r="F3892" s="1" t="s">
        <v>711</v>
      </c>
      <c r="G3892" s="1" t="s">
        <v>722</v>
      </c>
      <c r="H3892" s="1" t="s">
        <v>713</v>
      </c>
      <c r="I3892" s="1" t="s">
        <v>714</v>
      </c>
      <c r="J3892" s="1" t="s">
        <v>9030</v>
      </c>
      <c r="K3892" s="1" t="s">
        <v>15743</v>
      </c>
      <c r="L3892" s="1" t="s">
        <v>11593</v>
      </c>
      <c r="M3892" s="1" t="s">
        <v>718</v>
      </c>
    </row>
    <row r="3893" customFormat="false" ht="15" hidden="false" customHeight="false" outlineLevel="0" collapsed="false">
      <c r="A3893" s="1" t="s">
        <v>388</v>
      </c>
      <c r="B3893" s="1" t="s">
        <v>10822</v>
      </c>
      <c r="C3893" s="1" t="s">
        <v>13399</v>
      </c>
      <c r="D3893" s="2" t="n">
        <v>41270</v>
      </c>
      <c r="E3893" s="1" t="s">
        <v>710</v>
      </c>
      <c r="F3893" s="1" t="s">
        <v>711</v>
      </c>
      <c r="G3893" s="1" t="s">
        <v>712</v>
      </c>
      <c r="H3893" s="1" t="s">
        <v>713</v>
      </c>
      <c r="I3893" s="1" t="s">
        <v>714</v>
      </c>
      <c r="J3893" s="1" t="s">
        <v>15303</v>
      </c>
      <c r="K3893" s="1" t="s">
        <v>15744</v>
      </c>
      <c r="L3893" s="1" t="s">
        <v>15745</v>
      </c>
      <c r="M3893" s="1" t="s">
        <v>718</v>
      </c>
    </row>
    <row r="3894" customFormat="false" ht="15" hidden="false" customHeight="false" outlineLevel="0" collapsed="false">
      <c r="A3894" s="1" t="s">
        <v>383</v>
      </c>
      <c r="B3894" s="1" t="s">
        <v>15746</v>
      </c>
      <c r="C3894" s="1" t="s">
        <v>15747</v>
      </c>
      <c r="D3894" s="2" t="n">
        <v>40762</v>
      </c>
      <c r="E3894" s="1" t="s">
        <v>710</v>
      </c>
      <c r="F3894" s="1" t="s">
        <v>711</v>
      </c>
      <c r="G3894" s="1" t="s">
        <v>712</v>
      </c>
      <c r="H3894" s="1" t="s">
        <v>713</v>
      </c>
      <c r="I3894" s="1" t="s">
        <v>714</v>
      </c>
      <c r="J3894" s="1" t="s">
        <v>15748</v>
      </c>
      <c r="K3894" s="1" t="s">
        <v>15749</v>
      </c>
      <c r="L3894" s="1" t="s">
        <v>15750</v>
      </c>
      <c r="M3894" s="1" t="s">
        <v>718</v>
      </c>
    </row>
    <row r="3895" customFormat="false" ht="15" hidden="false" customHeight="false" outlineLevel="0" collapsed="false">
      <c r="A3895" s="1" t="s">
        <v>387</v>
      </c>
      <c r="B3895" s="1" t="s">
        <v>15751</v>
      </c>
      <c r="C3895" s="1" t="s">
        <v>15752</v>
      </c>
      <c r="D3895" s="2" t="n">
        <v>41027</v>
      </c>
      <c r="E3895" s="1" t="s">
        <v>710</v>
      </c>
      <c r="F3895" s="1" t="s">
        <v>711</v>
      </c>
      <c r="G3895" s="1" t="s">
        <v>712</v>
      </c>
      <c r="H3895" s="1" t="s">
        <v>713</v>
      </c>
      <c r="I3895" s="1" t="s">
        <v>714</v>
      </c>
      <c r="J3895" s="1" t="s">
        <v>15753</v>
      </c>
      <c r="K3895" s="1" t="s">
        <v>15754</v>
      </c>
      <c r="L3895" s="1" t="s">
        <v>15755</v>
      </c>
      <c r="M3895" s="1" t="s">
        <v>718</v>
      </c>
    </row>
    <row r="3896" customFormat="false" ht="15" hidden="false" customHeight="false" outlineLevel="0" collapsed="false">
      <c r="A3896" s="1" t="s">
        <v>357</v>
      </c>
      <c r="B3896" s="1" t="s">
        <v>13806</v>
      </c>
      <c r="C3896" s="1" t="s">
        <v>15756</v>
      </c>
      <c r="D3896" s="2" t="n">
        <v>40616</v>
      </c>
      <c r="E3896" s="1" t="s">
        <v>710</v>
      </c>
      <c r="F3896" s="1" t="s">
        <v>711</v>
      </c>
      <c r="G3896" s="1" t="s">
        <v>712</v>
      </c>
      <c r="H3896" s="1" t="s">
        <v>713</v>
      </c>
      <c r="I3896" s="1" t="s">
        <v>714</v>
      </c>
      <c r="J3896" s="1" t="s">
        <v>15303</v>
      </c>
      <c r="K3896" s="1" t="s">
        <v>15757</v>
      </c>
      <c r="L3896" s="1" t="s">
        <v>15758</v>
      </c>
      <c r="M3896" s="1" t="s">
        <v>718</v>
      </c>
    </row>
    <row r="3897" customFormat="false" ht="15" hidden="false" customHeight="false" outlineLevel="0" collapsed="false">
      <c r="A3897" s="1" t="s">
        <v>15759</v>
      </c>
      <c r="B3897" s="1" t="s">
        <v>15760</v>
      </c>
      <c r="C3897" s="1" t="s">
        <v>15761</v>
      </c>
      <c r="D3897" s="2" t="n">
        <v>40791</v>
      </c>
      <c r="E3897" s="1" t="s">
        <v>763</v>
      </c>
      <c r="F3897" s="1" t="s">
        <v>711</v>
      </c>
      <c r="G3897" s="1" t="s">
        <v>712</v>
      </c>
      <c r="H3897" s="1" t="s">
        <v>713</v>
      </c>
      <c r="I3897" s="1" t="s">
        <v>714</v>
      </c>
      <c r="J3897" s="1" t="s">
        <v>15303</v>
      </c>
      <c r="K3897" s="1" t="s">
        <v>15762</v>
      </c>
      <c r="L3897" s="1" t="s">
        <v>1418</v>
      </c>
      <c r="M3897" s="1" t="s">
        <v>718</v>
      </c>
    </row>
    <row r="3898" customFormat="false" ht="15" hidden="false" customHeight="false" outlineLevel="0" collapsed="false">
      <c r="A3898" s="1" t="s">
        <v>358</v>
      </c>
      <c r="B3898" s="1" t="s">
        <v>7626</v>
      </c>
      <c r="C3898" s="1" t="s">
        <v>15763</v>
      </c>
      <c r="D3898" s="2" t="n">
        <v>40725</v>
      </c>
      <c r="E3898" s="1" t="s">
        <v>710</v>
      </c>
      <c r="F3898" s="1" t="s">
        <v>711</v>
      </c>
      <c r="G3898" s="1" t="s">
        <v>722</v>
      </c>
      <c r="H3898" s="1" t="s">
        <v>713</v>
      </c>
      <c r="I3898" s="1" t="s">
        <v>714</v>
      </c>
      <c r="J3898" s="1" t="s">
        <v>5211</v>
      </c>
      <c r="K3898" s="1" t="s">
        <v>15764</v>
      </c>
      <c r="L3898" s="1" t="s">
        <v>12867</v>
      </c>
      <c r="M3898" s="1" t="s">
        <v>718</v>
      </c>
    </row>
    <row r="3899" customFormat="false" ht="15" hidden="false" customHeight="false" outlineLevel="0" collapsed="false">
      <c r="A3899" s="1" t="s">
        <v>362</v>
      </c>
      <c r="B3899" s="1" t="s">
        <v>1490</v>
      </c>
      <c r="C3899" s="1" t="s">
        <v>7765</v>
      </c>
      <c r="D3899" s="2" t="n">
        <v>41121</v>
      </c>
      <c r="E3899" s="1" t="s">
        <v>710</v>
      </c>
      <c r="F3899" s="1" t="s">
        <v>711</v>
      </c>
      <c r="G3899" s="1" t="s">
        <v>712</v>
      </c>
      <c r="H3899" s="1" t="s">
        <v>713</v>
      </c>
      <c r="I3899" s="1" t="s">
        <v>714</v>
      </c>
      <c r="J3899" s="1" t="s">
        <v>15303</v>
      </c>
      <c r="K3899" s="1" t="s">
        <v>15765</v>
      </c>
      <c r="L3899" s="1" t="s">
        <v>1418</v>
      </c>
      <c r="M3899" s="1" t="s">
        <v>718</v>
      </c>
    </row>
    <row r="3900" customFormat="false" ht="15" hidden="false" customHeight="false" outlineLevel="0" collapsed="false">
      <c r="A3900" s="1" t="s">
        <v>369</v>
      </c>
      <c r="B3900" s="1" t="s">
        <v>15766</v>
      </c>
      <c r="C3900" s="1" t="s">
        <v>9587</v>
      </c>
      <c r="D3900" s="2" t="n">
        <v>41125</v>
      </c>
      <c r="E3900" s="1" t="s">
        <v>763</v>
      </c>
      <c r="F3900" s="1" t="s">
        <v>711</v>
      </c>
      <c r="G3900" s="1" t="s">
        <v>712</v>
      </c>
      <c r="H3900" s="1" t="s">
        <v>713</v>
      </c>
      <c r="I3900" s="1" t="s">
        <v>714</v>
      </c>
      <c r="J3900" s="1" t="s">
        <v>2889</v>
      </c>
      <c r="K3900" s="1" t="s">
        <v>15767</v>
      </c>
      <c r="L3900" s="1" t="s">
        <v>1418</v>
      </c>
      <c r="M3900" s="1" t="s">
        <v>718</v>
      </c>
    </row>
    <row r="3901" customFormat="false" ht="15" hidden="false" customHeight="false" outlineLevel="0" collapsed="false">
      <c r="A3901" s="1" t="s">
        <v>381</v>
      </c>
      <c r="B3901" s="1" t="s">
        <v>15768</v>
      </c>
      <c r="C3901" s="1" t="s">
        <v>2488</v>
      </c>
      <c r="D3901" s="2" t="n">
        <v>40709</v>
      </c>
      <c r="E3901" s="1" t="s">
        <v>763</v>
      </c>
      <c r="F3901" s="1" t="s">
        <v>711</v>
      </c>
      <c r="G3901" s="1" t="s">
        <v>712</v>
      </c>
      <c r="H3901" s="1" t="s">
        <v>713</v>
      </c>
      <c r="I3901" s="1" t="s">
        <v>714</v>
      </c>
      <c r="J3901" s="1" t="s">
        <v>1723</v>
      </c>
      <c r="K3901" s="1" t="s">
        <v>15769</v>
      </c>
      <c r="L3901" s="1" t="s">
        <v>1418</v>
      </c>
      <c r="M3901" s="1" t="s">
        <v>718</v>
      </c>
    </row>
    <row r="3902" customFormat="false" ht="15" hidden="false" customHeight="false" outlineLevel="0" collapsed="false">
      <c r="A3902" s="1" t="s">
        <v>374</v>
      </c>
      <c r="B3902" s="1" t="s">
        <v>15770</v>
      </c>
      <c r="C3902" s="1" t="s">
        <v>8403</v>
      </c>
      <c r="D3902" s="2" t="n">
        <v>40782</v>
      </c>
      <c r="E3902" s="1" t="s">
        <v>710</v>
      </c>
      <c r="F3902" s="1" t="s">
        <v>711</v>
      </c>
      <c r="G3902" s="1" t="s">
        <v>712</v>
      </c>
      <c r="H3902" s="1" t="s">
        <v>713</v>
      </c>
      <c r="I3902" s="1" t="s">
        <v>714</v>
      </c>
      <c r="J3902" s="1" t="s">
        <v>790</v>
      </c>
      <c r="K3902" s="1" t="s">
        <v>15771</v>
      </c>
      <c r="L3902" s="1" t="s">
        <v>1418</v>
      </c>
      <c r="M3902" s="1" t="s">
        <v>718</v>
      </c>
    </row>
    <row r="3903" customFormat="false" ht="15" hidden="false" customHeight="false" outlineLevel="0" collapsed="false">
      <c r="A3903" s="1" t="s">
        <v>380</v>
      </c>
      <c r="B3903" s="1" t="s">
        <v>15772</v>
      </c>
      <c r="C3903" s="1" t="s">
        <v>5426</v>
      </c>
      <c r="D3903" s="2" t="n">
        <v>40864</v>
      </c>
      <c r="E3903" s="1" t="s">
        <v>763</v>
      </c>
      <c r="F3903" s="1" t="s">
        <v>711</v>
      </c>
      <c r="G3903" s="1" t="s">
        <v>712</v>
      </c>
      <c r="H3903" s="1" t="s">
        <v>713</v>
      </c>
      <c r="I3903" s="1" t="s">
        <v>714</v>
      </c>
      <c r="J3903" s="1" t="s">
        <v>10491</v>
      </c>
      <c r="K3903" s="1" t="s">
        <v>15773</v>
      </c>
      <c r="L3903" s="1" t="s">
        <v>1418</v>
      </c>
      <c r="M3903" s="1" t="s">
        <v>718</v>
      </c>
    </row>
    <row r="3904" customFormat="false" ht="15" hidden="false" customHeight="false" outlineLevel="0" collapsed="false">
      <c r="A3904" s="1" t="s">
        <v>372</v>
      </c>
      <c r="B3904" s="1" t="s">
        <v>15774</v>
      </c>
      <c r="C3904" s="1" t="s">
        <v>6696</v>
      </c>
      <c r="D3904" s="2" t="n">
        <v>40851</v>
      </c>
      <c r="E3904" s="1" t="s">
        <v>763</v>
      </c>
      <c r="F3904" s="1" t="s">
        <v>711</v>
      </c>
      <c r="G3904" s="1" t="s">
        <v>712</v>
      </c>
      <c r="H3904" s="1" t="s">
        <v>713</v>
      </c>
      <c r="I3904" s="1" t="s">
        <v>714</v>
      </c>
      <c r="J3904" s="1" t="s">
        <v>9030</v>
      </c>
      <c r="K3904" s="1" t="s">
        <v>716</v>
      </c>
      <c r="L3904" s="1" t="s">
        <v>1418</v>
      </c>
      <c r="M3904" s="1" t="s">
        <v>718</v>
      </c>
    </row>
    <row r="3905" customFormat="false" ht="15" hidden="false" customHeight="false" outlineLevel="0" collapsed="false">
      <c r="A3905" s="1" t="s">
        <v>496</v>
      </c>
      <c r="B3905" s="1" t="s">
        <v>15775</v>
      </c>
      <c r="C3905" s="1" t="s">
        <v>1143</v>
      </c>
      <c r="D3905" s="2" t="n">
        <v>40373</v>
      </c>
      <c r="E3905" s="1" t="s">
        <v>763</v>
      </c>
      <c r="F3905" s="1" t="s">
        <v>711</v>
      </c>
      <c r="G3905" s="1" t="s">
        <v>712</v>
      </c>
      <c r="H3905" s="1" t="s">
        <v>713</v>
      </c>
      <c r="I3905" s="1" t="s">
        <v>714</v>
      </c>
      <c r="J3905" s="1" t="s">
        <v>4811</v>
      </c>
      <c r="K3905" s="1" t="s">
        <v>15776</v>
      </c>
      <c r="L3905" s="1" t="s">
        <v>1418</v>
      </c>
      <c r="M3905" s="1" t="s">
        <v>718</v>
      </c>
    </row>
    <row r="3906" customFormat="false" ht="15" hidden="false" customHeight="false" outlineLevel="0" collapsed="false">
      <c r="A3906" s="1" t="s">
        <v>15777</v>
      </c>
      <c r="B3906" s="1" t="s">
        <v>15778</v>
      </c>
      <c r="C3906" s="1" t="s">
        <v>15779</v>
      </c>
      <c r="D3906" s="2" t="n">
        <v>40333</v>
      </c>
      <c r="E3906" s="1" t="s">
        <v>763</v>
      </c>
      <c r="F3906" s="1" t="s">
        <v>711</v>
      </c>
      <c r="G3906" s="1" t="s">
        <v>712</v>
      </c>
      <c r="H3906" s="1" t="s">
        <v>713</v>
      </c>
      <c r="I3906" s="1" t="s">
        <v>714</v>
      </c>
      <c r="J3906" s="1" t="s">
        <v>790</v>
      </c>
      <c r="K3906" s="1" t="s">
        <v>15780</v>
      </c>
      <c r="L3906" s="1" t="s">
        <v>15781</v>
      </c>
      <c r="M3906" s="1" t="s">
        <v>718</v>
      </c>
    </row>
    <row r="3907" customFormat="false" ht="15" hidden="false" customHeight="false" outlineLevel="0" collapsed="false">
      <c r="A3907" s="1" t="s">
        <v>15782</v>
      </c>
      <c r="B3907" s="1" t="s">
        <v>15783</v>
      </c>
      <c r="C3907" s="1" t="s">
        <v>15784</v>
      </c>
      <c r="D3907" s="2" t="n">
        <v>40120</v>
      </c>
      <c r="E3907" s="1" t="s">
        <v>763</v>
      </c>
      <c r="F3907" s="1" t="s">
        <v>711</v>
      </c>
      <c r="G3907" s="1" t="s">
        <v>722</v>
      </c>
      <c r="H3907" s="1" t="s">
        <v>713</v>
      </c>
      <c r="I3907" s="1" t="s">
        <v>714</v>
      </c>
      <c r="J3907" s="1" t="s">
        <v>9976</v>
      </c>
      <c r="K3907" s="1" t="s">
        <v>14518</v>
      </c>
      <c r="L3907" s="1" t="s">
        <v>1418</v>
      </c>
      <c r="M3907" s="1" t="s">
        <v>718</v>
      </c>
    </row>
    <row r="3908" customFormat="false" ht="15" hidden="false" customHeight="false" outlineLevel="0" collapsed="false">
      <c r="A3908" s="1" t="s">
        <v>15785</v>
      </c>
      <c r="B3908" s="1" t="s">
        <v>15786</v>
      </c>
      <c r="C3908" s="1" t="s">
        <v>1015</v>
      </c>
      <c r="D3908" s="2" t="n">
        <v>40505</v>
      </c>
      <c r="E3908" s="1" t="s">
        <v>710</v>
      </c>
      <c r="F3908" s="1" t="s">
        <v>711</v>
      </c>
      <c r="G3908" s="1" t="s">
        <v>712</v>
      </c>
      <c r="H3908" s="1" t="s">
        <v>713</v>
      </c>
      <c r="I3908" s="1" t="s">
        <v>714</v>
      </c>
      <c r="J3908" s="1" t="s">
        <v>716</v>
      </c>
      <c r="K3908" s="1" t="s">
        <v>15787</v>
      </c>
      <c r="L3908" s="1" t="s">
        <v>1418</v>
      </c>
      <c r="M3908" s="1" t="s">
        <v>718</v>
      </c>
    </row>
    <row r="3909" customFormat="false" ht="15" hidden="false" customHeight="false" outlineLevel="0" collapsed="false">
      <c r="A3909" s="1" t="s">
        <v>15788</v>
      </c>
      <c r="B3909" s="1" t="s">
        <v>15789</v>
      </c>
      <c r="C3909" s="1" t="s">
        <v>8647</v>
      </c>
      <c r="D3909" s="2" t="n">
        <v>40780</v>
      </c>
      <c r="E3909" s="1" t="s">
        <v>763</v>
      </c>
      <c r="F3909" s="1" t="s">
        <v>711</v>
      </c>
      <c r="G3909" s="1" t="s">
        <v>712</v>
      </c>
      <c r="H3909" s="1" t="s">
        <v>713</v>
      </c>
      <c r="I3909" s="1" t="s">
        <v>714</v>
      </c>
      <c r="J3909" s="1" t="s">
        <v>821</v>
      </c>
      <c r="K3909" s="1" t="s">
        <v>15790</v>
      </c>
      <c r="L3909" s="1" t="s">
        <v>1418</v>
      </c>
      <c r="M3909" s="1" t="s">
        <v>718</v>
      </c>
    </row>
    <row r="3910" customFormat="false" ht="15" hidden="false" customHeight="false" outlineLevel="0" collapsed="false">
      <c r="A3910" s="1" t="s">
        <v>15791</v>
      </c>
      <c r="B3910" s="1" t="s">
        <v>14333</v>
      </c>
      <c r="C3910" s="1" t="s">
        <v>3850</v>
      </c>
      <c r="D3910" s="2" t="n">
        <v>40316</v>
      </c>
      <c r="E3910" s="1" t="s">
        <v>710</v>
      </c>
      <c r="F3910" s="1" t="s">
        <v>711</v>
      </c>
      <c r="G3910" s="1" t="s">
        <v>712</v>
      </c>
      <c r="H3910" s="1" t="s">
        <v>713</v>
      </c>
      <c r="I3910" s="1" t="s">
        <v>714</v>
      </c>
      <c r="J3910" s="1" t="s">
        <v>1398</v>
      </c>
      <c r="K3910" s="1" t="s">
        <v>15792</v>
      </c>
      <c r="L3910" s="1" t="s">
        <v>15793</v>
      </c>
      <c r="M3910" s="1" t="s">
        <v>718</v>
      </c>
    </row>
    <row r="3911" customFormat="false" ht="15" hidden="false" customHeight="false" outlineLevel="0" collapsed="false">
      <c r="A3911" s="1" t="s">
        <v>403</v>
      </c>
      <c r="B3911" s="1" t="s">
        <v>1121</v>
      </c>
      <c r="C3911" s="1" t="s">
        <v>15543</v>
      </c>
      <c r="D3911" s="2" t="n">
        <v>41286</v>
      </c>
      <c r="E3911" s="1" t="s">
        <v>710</v>
      </c>
      <c r="F3911" s="1" t="s">
        <v>711</v>
      </c>
      <c r="G3911" s="1" t="s">
        <v>712</v>
      </c>
      <c r="H3911" s="1" t="s">
        <v>713</v>
      </c>
      <c r="I3911" s="1" t="s">
        <v>714</v>
      </c>
      <c r="J3911" s="1" t="s">
        <v>790</v>
      </c>
      <c r="K3911" s="1" t="s">
        <v>15544</v>
      </c>
      <c r="L3911" s="1" t="s">
        <v>1418</v>
      </c>
      <c r="M3911" s="1" t="s">
        <v>718</v>
      </c>
    </row>
    <row r="3912" customFormat="false" ht="15" hidden="false" customHeight="false" outlineLevel="0" collapsed="false">
      <c r="A3912" s="1" t="s">
        <v>417</v>
      </c>
      <c r="B3912" s="1" t="s">
        <v>15794</v>
      </c>
      <c r="C3912" s="1" t="s">
        <v>15795</v>
      </c>
      <c r="D3912" s="2" t="n">
        <v>40703</v>
      </c>
      <c r="E3912" s="1" t="s">
        <v>763</v>
      </c>
      <c r="F3912" s="1" t="s">
        <v>711</v>
      </c>
      <c r="G3912" s="1" t="s">
        <v>712</v>
      </c>
      <c r="H3912" s="1" t="s">
        <v>713</v>
      </c>
      <c r="I3912" s="1" t="s">
        <v>714</v>
      </c>
      <c r="J3912" s="1" t="s">
        <v>1723</v>
      </c>
      <c r="K3912" s="1" t="s">
        <v>15796</v>
      </c>
      <c r="L3912" s="1" t="s">
        <v>1418</v>
      </c>
      <c r="M3912" s="1" t="s">
        <v>718</v>
      </c>
    </row>
    <row r="3913" customFormat="false" ht="15" hidden="false" customHeight="false" outlineLevel="0" collapsed="false">
      <c r="A3913" s="1" t="s">
        <v>15797</v>
      </c>
      <c r="B3913" s="1" t="s">
        <v>15798</v>
      </c>
      <c r="C3913" s="1" t="s">
        <v>15799</v>
      </c>
      <c r="D3913" s="2" t="n">
        <v>40893</v>
      </c>
      <c r="E3913" s="1" t="s">
        <v>710</v>
      </c>
      <c r="F3913" s="1" t="s">
        <v>711</v>
      </c>
      <c r="G3913" s="1" t="s">
        <v>712</v>
      </c>
      <c r="H3913" s="1" t="s">
        <v>713</v>
      </c>
      <c r="I3913" s="1" t="s">
        <v>714</v>
      </c>
      <c r="J3913" s="1" t="s">
        <v>4239</v>
      </c>
      <c r="K3913" s="1" t="s">
        <v>15800</v>
      </c>
      <c r="L3913" s="1" t="s">
        <v>1418</v>
      </c>
      <c r="M3913" s="1" t="s">
        <v>718</v>
      </c>
    </row>
    <row r="3914" customFormat="false" ht="15" hidden="false" customHeight="false" outlineLevel="0" collapsed="false">
      <c r="A3914" s="1" t="s">
        <v>421</v>
      </c>
      <c r="B3914" s="1" t="s">
        <v>10526</v>
      </c>
      <c r="C3914" s="1" t="s">
        <v>3253</v>
      </c>
      <c r="D3914" s="2" t="n">
        <v>40780</v>
      </c>
      <c r="E3914" s="1" t="s">
        <v>763</v>
      </c>
      <c r="F3914" s="1" t="s">
        <v>711</v>
      </c>
      <c r="G3914" s="1" t="s">
        <v>712</v>
      </c>
      <c r="H3914" s="1" t="s">
        <v>713</v>
      </c>
      <c r="I3914" s="1" t="s">
        <v>714</v>
      </c>
      <c r="J3914" s="1" t="s">
        <v>2621</v>
      </c>
      <c r="K3914" s="1" t="s">
        <v>14378</v>
      </c>
      <c r="L3914" s="1" t="s">
        <v>1418</v>
      </c>
      <c r="M3914" s="1" t="s">
        <v>718</v>
      </c>
    </row>
    <row r="3915" customFormat="false" ht="15" hidden="false" customHeight="false" outlineLevel="0" collapsed="false">
      <c r="A3915" s="1" t="s">
        <v>407</v>
      </c>
      <c r="B3915" s="1" t="s">
        <v>15801</v>
      </c>
      <c r="C3915" s="1" t="s">
        <v>15802</v>
      </c>
      <c r="D3915" s="2" t="n">
        <v>40826</v>
      </c>
      <c r="E3915" s="1" t="s">
        <v>710</v>
      </c>
      <c r="F3915" s="1" t="s">
        <v>711</v>
      </c>
      <c r="G3915" s="1" t="s">
        <v>712</v>
      </c>
      <c r="H3915" s="1" t="s">
        <v>713</v>
      </c>
      <c r="I3915" s="1" t="s">
        <v>714</v>
      </c>
      <c r="J3915" s="1" t="s">
        <v>832</v>
      </c>
      <c r="K3915" s="1" t="s">
        <v>15803</v>
      </c>
      <c r="L3915" s="1" t="s">
        <v>1418</v>
      </c>
      <c r="M3915" s="1" t="s">
        <v>718</v>
      </c>
    </row>
    <row r="3916" customFormat="false" ht="15" hidden="false" customHeight="false" outlineLevel="0" collapsed="false">
      <c r="A3916" s="1" t="s">
        <v>569</v>
      </c>
      <c r="B3916" s="1" t="s">
        <v>15804</v>
      </c>
      <c r="C3916" s="1" t="s">
        <v>15805</v>
      </c>
      <c r="D3916" s="2" t="n">
        <v>39928</v>
      </c>
      <c r="E3916" s="1" t="s">
        <v>710</v>
      </c>
      <c r="F3916" s="1" t="s">
        <v>711</v>
      </c>
      <c r="G3916" s="1" t="s">
        <v>712</v>
      </c>
      <c r="H3916" s="1" t="s">
        <v>713</v>
      </c>
      <c r="I3916" s="1" t="s">
        <v>714</v>
      </c>
      <c r="J3916" s="1" t="s">
        <v>1723</v>
      </c>
      <c r="K3916" s="1" t="s">
        <v>15806</v>
      </c>
      <c r="L3916" s="1" t="s">
        <v>15807</v>
      </c>
      <c r="M3916" s="1" t="s">
        <v>718</v>
      </c>
    </row>
    <row r="3917" customFormat="false" ht="15" hidden="false" customHeight="false" outlineLevel="0" collapsed="false">
      <c r="A3917" s="1" t="s">
        <v>373</v>
      </c>
      <c r="B3917" s="1" t="s">
        <v>9782</v>
      </c>
      <c r="C3917" s="1" t="s">
        <v>14070</v>
      </c>
      <c r="D3917" s="2" t="n">
        <v>40903</v>
      </c>
      <c r="E3917" s="1" t="s">
        <v>710</v>
      </c>
      <c r="F3917" s="1" t="s">
        <v>711</v>
      </c>
      <c r="G3917" s="1" t="s">
        <v>712</v>
      </c>
      <c r="H3917" s="1" t="s">
        <v>713</v>
      </c>
      <c r="I3917" s="1" t="s">
        <v>714</v>
      </c>
      <c r="J3917" s="1" t="s">
        <v>15808</v>
      </c>
      <c r="K3917" s="1" t="s">
        <v>15809</v>
      </c>
      <c r="L3917" s="1" t="s">
        <v>1418</v>
      </c>
      <c r="M3917" s="1" t="s">
        <v>718</v>
      </c>
    </row>
    <row r="3918" customFormat="false" ht="15" hidden="false" customHeight="false" outlineLevel="0" collapsed="false">
      <c r="A3918" s="1" t="s">
        <v>386</v>
      </c>
      <c r="B3918" s="1" t="s">
        <v>13750</v>
      </c>
      <c r="C3918" s="1" t="s">
        <v>14649</v>
      </c>
      <c r="D3918" s="2" t="n">
        <v>40867</v>
      </c>
      <c r="E3918" s="1" t="s">
        <v>710</v>
      </c>
      <c r="F3918" s="1" t="s">
        <v>711</v>
      </c>
      <c r="G3918" s="1" t="s">
        <v>712</v>
      </c>
      <c r="H3918" s="1" t="s">
        <v>713</v>
      </c>
      <c r="I3918" s="1" t="s">
        <v>714</v>
      </c>
      <c r="J3918" s="1" t="s">
        <v>15808</v>
      </c>
      <c r="K3918" s="1" t="s">
        <v>15810</v>
      </c>
      <c r="L3918" s="1" t="s">
        <v>1418</v>
      </c>
      <c r="M3918" s="1" t="s">
        <v>718</v>
      </c>
    </row>
    <row r="3919" customFormat="false" ht="15" hidden="false" customHeight="false" outlineLevel="0" collapsed="false">
      <c r="A3919" s="1" t="s">
        <v>382</v>
      </c>
      <c r="B3919" s="1" t="s">
        <v>15811</v>
      </c>
      <c r="C3919" s="1" t="s">
        <v>739</v>
      </c>
      <c r="D3919" s="2" t="n">
        <v>40763</v>
      </c>
      <c r="E3919" s="1" t="s">
        <v>710</v>
      </c>
      <c r="F3919" s="1" t="s">
        <v>711</v>
      </c>
      <c r="G3919" s="1" t="s">
        <v>712</v>
      </c>
      <c r="H3919" s="1" t="s">
        <v>713</v>
      </c>
      <c r="I3919" s="1" t="s">
        <v>714</v>
      </c>
      <c r="J3919" s="1" t="s">
        <v>15812</v>
      </c>
      <c r="K3919" s="1" t="s">
        <v>15813</v>
      </c>
      <c r="L3919" s="1" t="s">
        <v>1418</v>
      </c>
      <c r="M3919" s="1" t="s">
        <v>718</v>
      </c>
    </row>
    <row r="3920" customFormat="false" ht="15" hidden="false" customHeight="false" outlineLevel="0" collapsed="false">
      <c r="A3920" s="1" t="s">
        <v>375</v>
      </c>
      <c r="B3920" s="1" t="s">
        <v>15814</v>
      </c>
      <c r="C3920" s="1" t="s">
        <v>15815</v>
      </c>
      <c r="D3920" s="2" t="n">
        <v>41099</v>
      </c>
      <c r="E3920" s="1" t="s">
        <v>710</v>
      </c>
      <c r="F3920" s="1" t="s">
        <v>711</v>
      </c>
      <c r="G3920" s="1" t="s">
        <v>712</v>
      </c>
      <c r="H3920" s="1" t="s">
        <v>713</v>
      </c>
      <c r="I3920" s="1" t="s">
        <v>714</v>
      </c>
      <c r="J3920" s="1" t="s">
        <v>15816</v>
      </c>
      <c r="K3920" s="1" t="s">
        <v>15817</v>
      </c>
      <c r="L3920" s="1" t="s">
        <v>1418</v>
      </c>
      <c r="M3920" s="1" t="s">
        <v>718</v>
      </c>
    </row>
    <row r="3921" customFormat="false" ht="15" hidden="false" customHeight="false" outlineLevel="0" collapsed="false">
      <c r="A3921" s="1" t="s">
        <v>360</v>
      </c>
      <c r="B3921" s="1" t="s">
        <v>4484</v>
      </c>
      <c r="C3921" s="1" t="s">
        <v>3309</v>
      </c>
      <c r="D3921" s="2" t="n">
        <v>40708</v>
      </c>
      <c r="E3921" s="1" t="s">
        <v>710</v>
      </c>
      <c r="F3921" s="1" t="s">
        <v>711</v>
      </c>
      <c r="G3921" s="1" t="s">
        <v>712</v>
      </c>
      <c r="H3921" s="1" t="s">
        <v>713</v>
      </c>
      <c r="I3921" s="1" t="s">
        <v>714</v>
      </c>
      <c r="J3921" s="1" t="s">
        <v>15808</v>
      </c>
      <c r="K3921" s="1" t="s">
        <v>15818</v>
      </c>
      <c r="L3921" s="1" t="s">
        <v>1418</v>
      </c>
      <c r="M3921" s="1" t="s">
        <v>718</v>
      </c>
    </row>
    <row r="3922" customFormat="false" ht="15" hidden="false" customHeight="false" outlineLevel="0" collapsed="false">
      <c r="A3922" s="1" t="s">
        <v>364</v>
      </c>
      <c r="B3922" s="1" t="s">
        <v>11885</v>
      </c>
      <c r="C3922" s="1" t="s">
        <v>15819</v>
      </c>
      <c r="D3922" s="2" t="n">
        <v>40904</v>
      </c>
      <c r="E3922" s="1" t="s">
        <v>710</v>
      </c>
      <c r="F3922" s="1" t="s">
        <v>711</v>
      </c>
      <c r="G3922" s="1" t="s">
        <v>712</v>
      </c>
      <c r="H3922" s="1" t="s">
        <v>713</v>
      </c>
      <c r="I3922" s="1" t="s">
        <v>714</v>
      </c>
      <c r="J3922" s="1" t="s">
        <v>2530</v>
      </c>
      <c r="K3922" s="1" t="s">
        <v>15820</v>
      </c>
      <c r="L3922" s="1" t="s">
        <v>1418</v>
      </c>
      <c r="M3922" s="1" t="s">
        <v>718</v>
      </c>
    </row>
    <row r="3923" customFormat="false" ht="15" hidden="false" customHeight="false" outlineLevel="0" collapsed="false">
      <c r="A3923" s="1" t="s">
        <v>389</v>
      </c>
      <c r="B3923" s="1" t="s">
        <v>13375</v>
      </c>
      <c r="C3923" s="1" t="s">
        <v>15821</v>
      </c>
      <c r="D3923" s="2" t="n">
        <v>41117</v>
      </c>
      <c r="E3923" s="1" t="s">
        <v>710</v>
      </c>
      <c r="F3923" s="1" t="s">
        <v>711</v>
      </c>
      <c r="G3923" s="1" t="s">
        <v>712</v>
      </c>
      <c r="H3923" s="1" t="s">
        <v>713</v>
      </c>
      <c r="I3923" s="1" t="s">
        <v>714</v>
      </c>
      <c r="J3923" s="1" t="s">
        <v>15303</v>
      </c>
      <c r="K3923" s="1" t="s">
        <v>15822</v>
      </c>
      <c r="L3923" s="1" t="s">
        <v>1418</v>
      </c>
      <c r="M3923" s="1" t="s">
        <v>718</v>
      </c>
    </row>
    <row r="3924" customFormat="false" ht="15" hidden="false" customHeight="false" outlineLevel="0" collapsed="false">
      <c r="A3924" s="1" t="s">
        <v>15823</v>
      </c>
      <c r="B3924" s="1" t="s">
        <v>15824</v>
      </c>
      <c r="C3924" s="1" t="s">
        <v>15825</v>
      </c>
      <c r="D3924" s="2" t="n">
        <v>40884</v>
      </c>
      <c r="E3924" s="1" t="s">
        <v>710</v>
      </c>
      <c r="F3924" s="1" t="s">
        <v>711</v>
      </c>
      <c r="G3924" s="1" t="s">
        <v>712</v>
      </c>
      <c r="H3924" s="1" t="s">
        <v>713</v>
      </c>
      <c r="I3924" s="1" t="s">
        <v>714</v>
      </c>
      <c r="J3924" s="1" t="s">
        <v>1723</v>
      </c>
      <c r="K3924" s="1" t="s">
        <v>15826</v>
      </c>
      <c r="L3924" s="1" t="s">
        <v>1418</v>
      </c>
      <c r="M3924" s="1" t="s">
        <v>718</v>
      </c>
    </row>
    <row r="3925" customFormat="false" ht="15" hidden="false" customHeight="false" outlineLevel="0" collapsed="false">
      <c r="A3925" s="1" t="s">
        <v>361</v>
      </c>
      <c r="B3925" s="1" t="s">
        <v>8229</v>
      </c>
      <c r="C3925" s="1" t="s">
        <v>15827</v>
      </c>
      <c r="D3925" s="2" t="n">
        <v>40775</v>
      </c>
      <c r="E3925" s="1" t="s">
        <v>710</v>
      </c>
      <c r="F3925" s="1" t="s">
        <v>711</v>
      </c>
      <c r="G3925" s="1" t="s">
        <v>712</v>
      </c>
      <c r="H3925" s="1" t="s">
        <v>713</v>
      </c>
      <c r="I3925" s="1" t="s">
        <v>714</v>
      </c>
      <c r="J3925" s="1" t="s">
        <v>1723</v>
      </c>
      <c r="K3925" s="1" t="s">
        <v>15826</v>
      </c>
      <c r="L3925" s="1" t="s">
        <v>1418</v>
      </c>
      <c r="M3925" s="1" t="s">
        <v>718</v>
      </c>
    </row>
    <row r="3926" customFormat="false" ht="15" hidden="false" customHeight="false" outlineLevel="0" collapsed="false">
      <c r="A3926" s="1" t="s">
        <v>371</v>
      </c>
      <c r="B3926" s="1" t="s">
        <v>15828</v>
      </c>
      <c r="C3926" s="1" t="s">
        <v>15829</v>
      </c>
      <c r="D3926" s="2" t="n">
        <v>40776</v>
      </c>
      <c r="E3926" s="1" t="s">
        <v>710</v>
      </c>
      <c r="F3926" s="1" t="s">
        <v>711</v>
      </c>
      <c r="G3926" s="1" t="s">
        <v>712</v>
      </c>
      <c r="H3926" s="1" t="s">
        <v>713</v>
      </c>
      <c r="I3926" s="1" t="s">
        <v>714</v>
      </c>
      <c r="J3926" s="1" t="s">
        <v>1723</v>
      </c>
      <c r="K3926" s="1" t="s">
        <v>15830</v>
      </c>
      <c r="L3926" s="1" t="s">
        <v>1418</v>
      </c>
      <c r="M3926" s="1" t="s">
        <v>718</v>
      </c>
    </row>
    <row r="3927" customFormat="false" ht="15" hidden="false" customHeight="false" outlineLevel="0" collapsed="false">
      <c r="A3927" s="1" t="s">
        <v>359</v>
      </c>
      <c r="B3927" s="1" t="s">
        <v>15831</v>
      </c>
      <c r="C3927" s="1" t="s">
        <v>15832</v>
      </c>
      <c r="D3927" s="2" t="n">
        <v>40866</v>
      </c>
      <c r="E3927" s="1" t="s">
        <v>710</v>
      </c>
      <c r="F3927" s="1" t="s">
        <v>711</v>
      </c>
      <c r="G3927" s="1" t="s">
        <v>712</v>
      </c>
      <c r="H3927" s="1" t="s">
        <v>713</v>
      </c>
      <c r="I3927" s="1" t="s">
        <v>714</v>
      </c>
      <c r="J3927" s="1" t="s">
        <v>7442</v>
      </c>
      <c r="K3927" s="1" t="s">
        <v>15833</v>
      </c>
      <c r="L3927" s="1" t="s">
        <v>1418</v>
      </c>
      <c r="M3927" s="1" t="s">
        <v>718</v>
      </c>
    </row>
    <row r="3928" customFormat="false" ht="15" hidden="false" customHeight="false" outlineLevel="0" collapsed="false">
      <c r="A3928" s="1" t="s">
        <v>370</v>
      </c>
      <c r="B3928" s="1" t="s">
        <v>15834</v>
      </c>
      <c r="C3928" s="1" t="s">
        <v>2006</v>
      </c>
      <c r="D3928" s="2" t="n">
        <v>40818</v>
      </c>
      <c r="E3928" s="1" t="s">
        <v>763</v>
      </c>
      <c r="F3928" s="1" t="s">
        <v>711</v>
      </c>
      <c r="G3928" s="1" t="s">
        <v>712</v>
      </c>
      <c r="H3928" s="1" t="s">
        <v>713</v>
      </c>
      <c r="I3928" s="1" t="s">
        <v>714</v>
      </c>
      <c r="J3928" s="1" t="s">
        <v>15303</v>
      </c>
      <c r="K3928" s="1" t="s">
        <v>15835</v>
      </c>
      <c r="L3928" s="1" t="s">
        <v>1418</v>
      </c>
      <c r="M3928" s="1" t="s">
        <v>718</v>
      </c>
    </row>
    <row r="3929" customFormat="false" ht="15" hidden="false" customHeight="false" outlineLevel="0" collapsed="false">
      <c r="A3929" s="1" t="s">
        <v>367</v>
      </c>
      <c r="B3929" s="1" t="s">
        <v>2606</v>
      </c>
      <c r="C3929" s="1" t="s">
        <v>739</v>
      </c>
      <c r="D3929" s="2" t="n">
        <v>40864</v>
      </c>
      <c r="E3929" s="1" t="s">
        <v>710</v>
      </c>
      <c r="F3929" s="1" t="s">
        <v>711</v>
      </c>
      <c r="G3929" s="1" t="s">
        <v>712</v>
      </c>
      <c r="H3929" s="1" t="s">
        <v>713</v>
      </c>
      <c r="I3929" s="1" t="s">
        <v>714</v>
      </c>
      <c r="J3929" s="1" t="s">
        <v>1723</v>
      </c>
      <c r="K3929" s="1" t="s">
        <v>15836</v>
      </c>
      <c r="L3929" s="1" t="s">
        <v>1418</v>
      </c>
      <c r="M3929" s="1" t="s">
        <v>718</v>
      </c>
    </row>
    <row r="3930" customFormat="false" ht="15" hidden="false" customHeight="false" outlineLevel="0" collapsed="false">
      <c r="A3930" s="1" t="s">
        <v>15837</v>
      </c>
      <c r="B3930" s="1" t="s">
        <v>12613</v>
      </c>
      <c r="C3930" s="1" t="s">
        <v>2643</v>
      </c>
      <c r="D3930" s="2" t="n">
        <v>41003</v>
      </c>
      <c r="E3930" s="1" t="s">
        <v>710</v>
      </c>
      <c r="F3930" s="1" t="s">
        <v>711</v>
      </c>
      <c r="G3930" s="1" t="s">
        <v>712</v>
      </c>
      <c r="H3930" s="1" t="s">
        <v>713</v>
      </c>
      <c r="I3930" s="1" t="s">
        <v>714</v>
      </c>
      <c r="J3930" s="1" t="s">
        <v>15303</v>
      </c>
      <c r="K3930" s="1" t="s">
        <v>15838</v>
      </c>
      <c r="L3930" s="1" t="s">
        <v>15839</v>
      </c>
      <c r="M3930" s="1" t="s">
        <v>718</v>
      </c>
    </row>
    <row r="3931" customFormat="false" ht="15" hidden="false" customHeight="false" outlineLevel="0" collapsed="false">
      <c r="A3931" s="1" t="s">
        <v>232</v>
      </c>
      <c r="B3931" s="1" t="s">
        <v>15840</v>
      </c>
      <c r="C3931" s="1" t="s">
        <v>12090</v>
      </c>
      <c r="D3931" s="2" t="n">
        <v>40746</v>
      </c>
      <c r="E3931" s="1" t="s">
        <v>710</v>
      </c>
      <c r="F3931" s="1" t="s">
        <v>711</v>
      </c>
      <c r="G3931" s="1" t="s">
        <v>712</v>
      </c>
      <c r="H3931" s="1" t="s">
        <v>713</v>
      </c>
      <c r="I3931" s="1" t="s">
        <v>714</v>
      </c>
      <c r="J3931" s="1" t="s">
        <v>15841</v>
      </c>
      <c r="K3931" s="1" t="s">
        <v>15842</v>
      </c>
      <c r="L3931" s="1" t="s">
        <v>1418</v>
      </c>
      <c r="M3931" s="1" t="s">
        <v>718</v>
      </c>
    </row>
    <row r="3932" customFormat="false" ht="15" hidden="false" customHeight="false" outlineLevel="0" collapsed="false">
      <c r="A3932" s="1" t="s">
        <v>477</v>
      </c>
      <c r="B3932" s="1" t="s">
        <v>15843</v>
      </c>
      <c r="C3932" s="1" t="s">
        <v>15844</v>
      </c>
      <c r="D3932" s="2" t="n">
        <v>40906</v>
      </c>
      <c r="E3932" s="1" t="s">
        <v>763</v>
      </c>
      <c r="F3932" s="1" t="s">
        <v>711</v>
      </c>
      <c r="G3932" s="1" t="s">
        <v>712</v>
      </c>
      <c r="H3932" s="1" t="s">
        <v>713</v>
      </c>
      <c r="I3932" s="1" t="s">
        <v>714</v>
      </c>
      <c r="J3932" s="1" t="s">
        <v>805</v>
      </c>
      <c r="K3932" s="1" t="s">
        <v>15845</v>
      </c>
      <c r="L3932" s="1" t="s">
        <v>1418</v>
      </c>
      <c r="M3932" s="1" t="s">
        <v>718</v>
      </c>
    </row>
    <row r="3933" customFormat="false" ht="15" hidden="false" customHeight="false" outlineLevel="0" collapsed="false">
      <c r="A3933" s="1" t="s">
        <v>416</v>
      </c>
      <c r="B3933" s="1" t="s">
        <v>15846</v>
      </c>
      <c r="C3933" s="1" t="s">
        <v>3712</v>
      </c>
      <c r="D3933" s="2" t="n">
        <v>40657</v>
      </c>
      <c r="E3933" s="1" t="s">
        <v>763</v>
      </c>
      <c r="F3933" s="1" t="s">
        <v>711</v>
      </c>
      <c r="G3933" s="1" t="s">
        <v>712</v>
      </c>
      <c r="H3933" s="1" t="s">
        <v>713</v>
      </c>
      <c r="I3933" s="1" t="s">
        <v>714</v>
      </c>
      <c r="J3933" s="1" t="s">
        <v>15847</v>
      </c>
      <c r="K3933" s="1" t="s">
        <v>15848</v>
      </c>
      <c r="L3933" s="1" t="s">
        <v>1418</v>
      </c>
      <c r="M3933" s="1" t="s">
        <v>718</v>
      </c>
    </row>
    <row r="3934" customFormat="false" ht="15" hidden="false" customHeight="false" outlineLevel="0" collapsed="false">
      <c r="A3934" s="1" t="s">
        <v>400</v>
      </c>
      <c r="B3934" s="1" t="s">
        <v>1285</v>
      </c>
      <c r="C3934" s="1" t="s">
        <v>15849</v>
      </c>
      <c r="D3934" s="2" t="n">
        <v>40562</v>
      </c>
      <c r="E3934" s="1" t="s">
        <v>763</v>
      </c>
      <c r="F3934" s="1" t="s">
        <v>711</v>
      </c>
      <c r="G3934" s="1" t="s">
        <v>712</v>
      </c>
      <c r="H3934" s="1" t="s">
        <v>713</v>
      </c>
      <c r="I3934" s="1" t="s">
        <v>714</v>
      </c>
      <c r="J3934" s="1" t="s">
        <v>838</v>
      </c>
      <c r="K3934" s="1" t="s">
        <v>15850</v>
      </c>
      <c r="L3934" s="1" t="s">
        <v>1418</v>
      </c>
      <c r="M3934" s="1" t="s">
        <v>718</v>
      </c>
    </row>
    <row r="3935" customFormat="false" ht="15" hidden="false" customHeight="false" outlineLevel="0" collapsed="false">
      <c r="A3935" s="1" t="s">
        <v>410</v>
      </c>
      <c r="B3935" s="1" t="s">
        <v>2974</v>
      </c>
      <c r="C3935" s="1" t="s">
        <v>15851</v>
      </c>
      <c r="D3935" s="2" t="n">
        <v>41030</v>
      </c>
      <c r="E3935" s="1" t="s">
        <v>710</v>
      </c>
      <c r="F3935" s="1" t="s">
        <v>711</v>
      </c>
      <c r="G3935" s="1" t="s">
        <v>712</v>
      </c>
      <c r="H3935" s="1" t="s">
        <v>713</v>
      </c>
      <c r="I3935" s="1" t="s">
        <v>714</v>
      </c>
      <c r="J3935" s="1" t="s">
        <v>821</v>
      </c>
      <c r="K3935" s="1" t="s">
        <v>15852</v>
      </c>
      <c r="L3935" s="1" t="s">
        <v>1418</v>
      </c>
      <c r="M3935" s="1" t="s">
        <v>718</v>
      </c>
    </row>
    <row r="3936" customFormat="false" ht="15" hidden="false" customHeight="false" outlineLevel="0" collapsed="false">
      <c r="A3936" s="1" t="s">
        <v>405</v>
      </c>
      <c r="B3936" s="1" t="s">
        <v>2071</v>
      </c>
      <c r="C3936" s="1" t="s">
        <v>1756</v>
      </c>
      <c r="D3936" s="2" t="n">
        <v>40842</v>
      </c>
      <c r="E3936" s="1" t="s">
        <v>710</v>
      </c>
      <c r="F3936" s="1" t="s">
        <v>711</v>
      </c>
      <c r="G3936" s="1" t="s">
        <v>712</v>
      </c>
      <c r="H3936" s="1" t="s">
        <v>713</v>
      </c>
      <c r="I3936" s="1" t="s">
        <v>714</v>
      </c>
      <c r="J3936" s="1" t="s">
        <v>1244</v>
      </c>
      <c r="K3936" s="1" t="s">
        <v>15853</v>
      </c>
      <c r="L3936" s="1" t="s">
        <v>1418</v>
      </c>
      <c r="M3936" s="1" t="s">
        <v>718</v>
      </c>
    </row>
    <row r="3937" customFormat="false" ht="15" hidden="false" customHeight="false" outlineLevel="0" collapsed="false">
      <c r="A3937" s="1" t="s">
        <v>368</v>
      </c>
      <c r="B3937" s="1" t="s">
        <v>15854</v>
      </c>
      <c r="C3937" s="1" t="s">
        <v>15855</v>
      </c>
      <c r="D3937" s="2" t="n">
        <v>40752</v>
      </c>
      <c r="E3937" s="1" t="s">
        <v>710</v>
      </c>
      <c r="F3937" s="1" t="s">
        <v>711</v>
      </c>
      <c r="G3937" s="1" t="s">
        <v>712</v>
      </c>
      <c r="H3937" s="1" t="s">
        <v>713</v>
      </c>
      <c r="I3937" s="1" t="s">
        <v>714</v>
      </c>
      <c r="J3937" s="1" t="s">
        <v>1530</v>
      </c>
      <c r="K3937" s="1" t="s">
        <v>15856</v>
      </c>
      <c r="L3937" s="1" t="s">
        <v>1418</v>
      </c>
      <c r="M3937" s="1" t="s">
        <v>718</v>
      </c>
    </row>
    <row r="3938" customFormat="false" ht="15" hidden="false" customHeight="false" outlineLevel="0" collapsed="false">
      <c r="A3938" s="1" t="s">
        <v>397</v>
      </c>
      <c r="B3938" s="1" t="s">
        <v>6334</v>
      </c>
      <c r="C3938" s="1" t="s">
        <v>15857</v>
      </c>
      <c r="D3938" s="2" t="n">
        <v>41041</v>
      </c>
      <c r="E3938" s="1" t="s">
        <v>710</v>
      </c>
      <c r="F3938" s="1" t="s">
        <v>711</v>
      </c>
      <c r="G3938" s="1" t="s">
        <v>712</v>
      </c>
      <c r="H3938" s="1" t="s">
        <v>713</v>
      </c>
      <c r="I3938" s="1" t="s">
        <v>714</v>
      </c>
      <c r="J3938" s="1" t="s">
        <v>1131</v>
      </c>
      <c r="K3938" s="1" t="s">
        <v>15858</v>
      </c>
      <c r="L3938" s="1" t="s">
        <v>1418</v>
      </c>
      <c r="M3938" s="1" t="s">
        <v>718</v>
      </c>
    </row>
    <row r="3939" customFormat="false" ht="15" hidden="false" customHeight="false" outlineLevel="0" collapsed="false">
      <c r="A3939" s="1" t="s">
        <v>418</v>
      </c>
      <c r="B3939" s="1" t="s">
        <v>15859</v>
      </c>
      <c r="C3939" s="1" t="s">
        <v>7363</v>
      </c>
      <c r="D3939" s="2" t="n">
        <v>40890</v>
      </c>
      <c r="E3939" s="1" t="s">
        <v>710</v>
      </c>
      <c r="F3939" s="1" t="s">
        <v>711</v>
      </c>
      <c r="G3939" s="1" t="s">
        <v>712</v>
      </c>
      <c r="H3939" s="1" t="s">
        <v>713</v>
      </c>
      <c r="I3939" s="1" t="s">
        <v>714</v>
      </c>
      <c r="J3939" s="1" t="s">
        <v>1131</v>
      </c>
      <c r="K3939" s="1" t="s">
        <v>15860</v>
      </c>
      <c r="L3939" s="1" t="s">
        <v>1418</v>
      </c>
      <c r="M3939" s="1" t="s">
        <v>718</v>
      </c>
    </row>
    <row r="3940" customFormat="false" ht="15" hidden="false" customHeight="false" outlineLevel="0" collapsed="false">
      <c r="A3940" s="1" t="s">
        <v>409</v>
      </c>
      <c r="B3940" s="1" t="s">
        <v>15861</v>
      </c>
      <c r="C3940" s="1" t="s">
        <v>750</v>
      </c>
      <c r="D3940" s="2" t="n">
        <v>41039</v>
      </c>
      <c r="E3940" s="1" t="s">
        <v>710</v>
      </c>
      <c r="F3940" s="1" t="s">
        <v>711</v>
      </c>
      <c r="G3940" s="1" t="s">
        <v>712</v>
      </c>
      <c r="H3940" s="1" t="s">
        <v>713</v>
      </c>
      <c r="I3940" s="1" t="s">
        <v>714</v>
      </c>
      <c r="J3940" s="1" t="s">
        <v>7489</v>
      </c>
      <c r="K3940" s="1" t="s">
        <v>14220</v>
      </c>
      <c r="L3940" s="1" t="s">
        <v>11230</v>
      </c>
      <c r="M3940" s="1" t="s">
        <v>718</v>
      </c>
    </row>
    <row r="3941" customFormat="false" ht="15" hidden="false" customHeight="false" outlineLevel="0" collapsed="false">
      <c r="A3941" s="1" t="s">
        <v>401</v>
      </c>
      <c r="B3941" s="1" t="s">
        <v>15862</v>
      </c>
      <c r="C3941" s="1" t="s">
        <v>15863</v>
      </c>
      <c r="D3941" s="2" t="n">
        <v>41264</v>
      </c>
      <c r="E3941" s="1" t="s">
        <v>710</v>
      </c>
      <c r="F3941" s="1" t="s">
        <v>711</v>
      </c>
      <c r="G3941" s="1" t="s">
        <v>712</v>
      </c>
      <c r="H3941" s="1" t="s">
        <v>713</v>
      </c>
      <c r="I3941" s="1" t="s">
        <v>714</v>
      </c>
      <c r="J3941" s="1" t="s">
        <v>1723</v>
      </c>
      <c r="K3941" s="1" t="s">
        <v>15864</v>
      </c>
      <c r="L3941" s="1" t="s">
        <v>1418</v>
      </c>
      <c r="M3941" s="1" t="s">
        <v>718</v>
      </c>
    </row>
    <row r="3942" customFormat="false" ht="15" hidden="false" customHeight="false" outlineLevel="0" collapsed="false">
      <c r="A3942" s="1" t="s">
        <v>415</v>
      </c>
      <c r="B3942" s="1" t="s">
        <v>1888</v>
      </c>
      <c r="C3942" s="1" t="s">
        <v>4005</v>
      </c>
      <c r="D3942" s="2" t="n">
        <v>40570</v>
      </c>
      <c r="E3942" s="1" t="s">
        <v>710</v>
      </c>
      <c r="F3942" s="1" t="s">
        <v>711</v>
      </c>
      <c r="G3942" s="1" t="s">
        <v>712</v>
      </c>
      <c r="H3942" s="1" t="s">
        <v>713</v>
      </c>
      <c r="I3942" s="1" t="s">
        <v>714</v>
      </c>
      <c r="J3942" s="1" t="s">
        <v>821</v>
      </c>
      <c r="K3942" s="1" t="s">
        <v>15865</v>
      </c>
      <c r="L3942" s="1" t="s">
        <v>1418</v>
      </c>
      <c r="M3942" s="1" t="s">
        <v>718</v>
      </c>
    </row>
    <row r="3943" customFormat="false" ht="15" hidden="false" customHeight="false" outlineLevel="0" collapsed="false">
      <c r="A3943" s="1" t="s">
        <v>398</v>
      </c>
      <c r="B3943" s="1" t="s">
        <v>15866</v>
      </c>
      <c r="C3943" s="1" t="s">
        <v>15335</v>
      </c>
      <c r="D3943" s="2" t="n">
        <v>40878</v>
      </c>
      <c r="E3943" s="1" t="s">
        <v>710</v>
      </c>
      <c r="F3943" s="1" t="s">
        <v>711</v>
      </c>
      <c r="G3943" s="1" t="s">
        <v>712</v>
      </c>
      <c r="H3943" s="1" t="s">
        <v>713</v>
      </c>
      <c r="I3943" s="1" t="s">
        <v>714</v>
      </c>
      <c r="J3943" s="1" t="s">
        <v>4239</v>
      </c>
      <c r="K3943" s="1" t="s">
        <v>15867</v>
      </c>
      <c r="L3943" s="1" t="s">
        <v>1418</v>
      </c>
      <c r="M3943" s="1" t="s">
        <v>718</v>
      </c>
    </row>
    <row r="3944" customFormat="false" ht="15" hidden="false" customHeight="false" outlineLevel="0" collapsed="false">
      <c r="A3944" s="1" t="s">
        <v>402</v>
      </c>
      <c r="B3944" s="1" t="s">
        <v>15868</v>
      </c>
      <c r="C3944" s="1" t="s">
        <v>15869</v>
      </c>
      <c r="D3944" s="2" t="n">
        <v>40835</v>
      </c>
      <c r="E3944" s="1" t="s">
        <v>763</v>
      </c>
      <c r="F3944" s="1" t="s">
        <v>711</v>
      </c>
      <c r="G3944" s="1" t="s">
        <v>712</v>
      </c>
      <c r="H3944" s="1" t="s">
        <v>713</v>
      </c>
      <c r="I3944" s="1" t="s">
        <v>714</v>
      </c>
      <c r="J3944" s="1" t="s">
        <v>1723</v>
      </c>
      <c r="K3944" s="1" t="s">
        <v>15870</v>
      </c>
      <c r="L3944" s="1" t="s">
        <v>1418</v>
      </c>
      <c r="M3944" s="1" t="s">
        <v>718</v>
      </c>
    </row>
    <row r="3945" customFormat="false" ht="15" hidden="false" customHeight="false" outlineLevel="0" collapsed="false">
      <c r="A3945" s="1" t="s">
        <v>419</v>
      </c>
      <c r="B3945" s="1" t="s">
        <v>15871</v>
      </c>
      <c r="C3945" s="1" t="s">
        <v>2330</v>
      </c>
      <c r="D3945" s="2" t="n">
        <v>40839</v>
      </c>
      <c r="E3945" s="1" t="s">
        <v>763</v>
      </c>
      <c r="F3945" s="1" t="s">
        <v>711</v>
      </c>
      <c r="G3945" s="1" t="s">
        <v>712</v>
      </c>
      <c r="H3945" s="1" t="s">
        <v>713</v>
      </c>
      <c r="I3945" s="1" t="s">
        <v>714</v>
      </c>
      <c r="J3945" s="1" t="s">
        <v>821</v>
      </c>
      <c r="K3945" s="1" t="s">
        <v>716</v>
      </c>
      <c r="L3945" s="1" t="s">
        <v>1418</v>
      </c>
      <c r="M3945" s="1" t="s">
        <v>718</v>
      </c>
    </row>
    <row r="3946" customFormat="false" ht="15" hidden="false" customHeight="false" outlineLevel="0" collapsed="false">
      <c r="A3946" s="1" t="s">
        <v>408</v>
      </c>
      <c r="B3946" s="1" t="s">
        <v>15872</v>
      </c>
      <c r="C3946" s="1" t="s">
        <v>15873</v>
      </c>
      <c r="D3946" s="2" t="n">
        <v>40644</v>
      </c>
      <c r="E3946" s="1" t="s">
        <v>763</v>
      </c>
      <c r="F3946" s="1" t="s">
        <v>711</v>
      </c>
      <c r="G3946" s="1" t="s">
        <v>712</v>
      </c>
      <c r="H3946" s="1" t="s">
        <v>713</v>
      </c>
      <c r="I3946" s="1" t="s">
        <v>714</v>
      </c>
      <c r="J3946" s="1" t="s">
        <v>805</v>
      </c>
      <c r="K3946" s="1" t="s">
        <v>15874</v>
      </c>
      <c r="L3946" s="1" t="s">
        <v>1418</v>
      </c>
      <c r="M3946" s="1" t="s">
        <v>718</v>
      </c>
    </row>
    <row r="3947" customFormat="false" ht="15" hidden="false" customHeight="false" outlineLevel="0" collapsed="false">
      <c r="A3947" s="1" t="s">
        <v>476</v>
      </c>
      <c r="B3947" s="1" t="s">
        <v>15875</v>
      </c>
      <c r="C3947" s="1" t="s">
        <v>15140</v>
      </c>
      <c r="D3947" s="2" t="n">
        <v>40894</v>
      </c>
      <c r="E3947" s="1" t="s">
        <v>763</v>
      </c>
      <c r="F3947" s="1" t="s">
        <v>711</v>
      </c>
      <c r="G3947" s="1" t="s">
        <v>712</v>
      </c>
      <c r="H3947" s="1" t="s">
        <v>713</v>
      </c>
      <c r="I3947" s="1" t="s">
        <v>714</v>
      </c>
      <c r="J3947" s="1" t="s">
        <v>1530</v>
      </c>
      <c r="K3947" s="1" t="s">
        <v>15876</v>
      </c>
      <c r="L3947" s="1" t="s">
        <v>1418</v>
      </c>
      <c r="M3947" s="1" t="s">
        <v>718</v>
      </c>
    </row>
    <row r="3948" customFormat="false" ht="15" hidden="false" customHeight="false" outlineLevel="0" collapsed="false">
      <c r="A3948" s="1" t="s">
        <v>473</v>
      </c>
      <c r="B3948" s="1" t="s">
        <v>15877</v>
      </c>
      <c r="C3948" s="1" t="s">
        <v>11006</v>
      </c>
      <c r="D3948" s="2" t="n">
        <v>40879</v>
      </c>
      <c r="E3948" s="1" t="s">
        <v>763</v>
      </c>
      <c r="F3948" s="1" t="s">
        <v>711</v>
      </c>
      <c r="G3948" s="1" t="s">
        <v>722</v>
      </c>
      <c r="H3948" s="1" t="s">
        <v>713</v>
      </c>
      <c r="I3948" s="1" t="s">
        <v>714</v>
      </c>
      <c r="J3948" s="1" t="s">
        <v>838</v>
      </c>
      <c r="K3948" s="1" t="s">
        <v>15878</v>
      </c>
      <c r="L3948" s="1" t="s">
        <v>1418</v>
      </c>
      <c r="M3948" s="1" t="s">
        <v>718</v>
      </c>
    </row>
    <row r="3949" customFormat="false" ht="15" hidden="false" customHeight="false" outlineLevel="0" collapsed="false">
      <c r="A3949" s="1" t="s">
        <v>15879</v>
      </c>
      <c r="B3949" s="1" t="s">
        <v>15880</v>
      </c>
      <c r="C3949" s="1" t="s">
        <v>9699</v>
      </c>
      <c r="D3949" s="2" t="n">
        <v>39725</v>
      </c>
      <c r="E3949" s="1" t="s">
        <v>710</v>
      </c>
      <c r="F3949" s="1" t="s">
        <v>711</v>
      </c>
      <c r="G3949" s="1" t="s">
        <v>712</v>
      </c>
      <c r="H3949" s="1" t="s">
        <v>713</v>
      </c>
      <c r="I3949" s="1" t="s">
        <v>714</v>
      </c>
      <c r="J3949" s="1" t="s">
        <v>1530</v>
      </c>
      <c r="K3949" s="1" t="s">
        <v>15881</v>
      </c>
      <c r="L3949" s="1" t="s">
        <v>1418</v>
      </c>
      <c r="M3949" s="1" t="s">
        <v>718</v>
      </c>
    </row>
    <row r="3950" customFormat="false" ht="15" hidden="false" customHeight="false" outlineLevel="0" collapsed="false">
      <c r="A3950" s="1" t="s">
        <v>481</v>
      </c>
      <c r="B3950" s="1" t="s">
        <v>15882</v>
      </c>
      <c r="C3950" s="1" t="s">
        <v>15883</v>
      </c>
      <c r="D3950" s="2" t="n">
        <v>40550</v>
      </c>
      <c r="E3950" s="1" t="s">
        <v>710</v>
      </c>
      <c r="F3950" s="1" t="s">
        <v>711</v>
      </c>
      <c r="G3950" s="1" t="s">
        <v>722</v>
      </c>
      <c r="H3950" s="1" t="s">
        <v>713</v>
      </c>
      <c r="I3950" s="1" t="s">
        <v>714</v>
      </c>
      <c r="J3950" s="1" t="s">
        <v>1898</v>
      </c>
      <c r="K3950" s="1" t="s">
        <v>15884</v>
      </c>
      <c r="L3950" s="1" t="s">
        <v>1418</v>
      </c>
      <c r="M3950" s="1" t="s">
        <v>718</v>
      </c>
    </row>
    <row r="3951" customFormat="false" ht="15" hidden="false" customHeight="false" outlineLevel="0" collapsed="false">
      <c r="A3951" s="1" t="s">
        <v>459</v>
      </c>
      <c r="B3951" s="1" t="s">
        <v>15885</v>
      </c>
      <c r="C3951" s="1" t="s">
        <v>1973</v>
      </c>
      <c r="D3951" s="2" t="n">
        <v>40805</v>
      </c>
      <c r="E3951" s="1" t="s">
        <v>710</v>
      </c>
      <c r="F3951" s="1" t="s">
        <v>711</v>
      </c>
      <c r="G3951" s="1" t="s">
        <v>712</v>
      </c>
      <c r="H3951" s="1" t="s">
        <v>713</v>
      </c>
      <c r="I3951" s="1" t="s">
        <v>714</v>
      </c>
      <c r="J3951" s="1" t="s">
        <v>1530</v>
      </c>
      <c r="K3951" s="1" t="s">
        <v>15886</v>
      </c>
      <c r="L3951" s="1" t="s">
        <v>1418</v>
      </c>
      <c r="M3951" s="1" t="s">
        <v>718</v>
      </c>
    </row>
    <row r="3952" customFormat="false" ht="15" hidden="false" customHeight="false" outlineLevel="0" collapsed="false">
      <c r="A3952" s="1" t="s">
        <v>458</v>
      </c>
      <c r="B3952" s="1" t="s">
        <v>15887</v>
      </c>
      <c r="C3952" s="1" t="s">
        <v>15888</v>
      </c>
      <c r="D3952" s="2" t="n">
        <v>39975</v>
      </c>
      <c r="E3952" s="1" t="s">
        <v>710</v>
      </c>
      <c r="F3952" s="1" t="s">
        <v>711</v>
      </c>
      <c r="G3952" s="1" t="s">
        <v>712</v>
      </c>
      <c r="H3952" s="1" t="s">
        <v>713</v>
      </c>
      <c r="I3952" s="1" t="s">
        <v>714</v>
      </c>
      <c r="J3952" s="1" t="s">
        <v>1244</v>
      </c>
      <c r="K3952" s="1" t="s">
        <v>15889</v>
      </c>
      <c r="L3952" s="1" t="s">
        <v>1418</v>
      </c>
      <c r="M3952" s="1" t="s">
        <v>718</v>
      </c>
    </row>
    <row r="3953" customFormat="false" ht="15" hidden="false" customHeight="false" outlineLevel="0" collapsed="false">
      <c r="A3953" s="1" t="s">
        <v>430</v>
      </c>
      <c r="B3953" s="1" t="s">
        <v>15890</v>
      </c>
      <c r="C3953" s="1" t="s">
        <v>15891</v>
      </c>
      <c r="D3953" s="2" t="n">
        <v>40853</v>
      </c>
      <c r="E3953" s="1" t="s">
        <v>763</v>
      </c>
      <c r="F3953" s="1" t="s">
        <v>711</v>
      </c>
      <c r="G3953" s="1" t="s">
        <v>712</v>
      </c>
      <c r="H3953" s="1" t="s">
        <v>713</v>
      </c>
      <c r="I3953" s="1" t="s">
        <v>714</v>
      </c>
      <c r="J3953" s="1" t="s">
        <v>838</v>
      </c>
      <c r="K3953" s="1" t="s">
        <v>15892</v>
      </c>
      <c r="L3953" s="1" t="s">
        <v>1418</v>
      </c>
      <c r="M3953" s="1" t="s">
        <v>718</v>
      </c>
    </row>
    <row r="3954" customFormat="false" ht="15" hidden="false" customHeight="false" outlineLevel="0" collapsed="false">
      <c r="A3954" s="1" t="s">
        <v>455</v>
      </c>
      <c r="B3954" s="1" t="s">
        <v>15893</v>
      </c>
      <c r="C3954" s="1" t="s">
        <v>15894</v>
      </c>
      <c r="D3954" s="2" t="n">
        <v>40738</v>
      </c>
      <c r="E3954" s="1" t="s">
        <v>710</v>
      </c>
      <c r="F3954" s="1" t="s">
        <v>711</v>
      </c>
      <c r="G3954" s="1" t="s">
        <v>712</v>
      </c>
      <c r="H3954" s="1" t="s">
        <v>713</v>
      </c>
      <c r="I3954" s="1" t="s">
        <v>714</v>
      </c>
      <c r="J3954" s="1" t="s">
        <v>838</v>
      </c>
      <c r="K3954" s="1" t="s">
        <v>15895</v>
      </c>
      <c r="L3954" s="1" t="s">
        <v>1418</v>
      </c>
      <c r="M3954" s="1" t="s">
        <v>718</v>
      </c>
    </row>
    <row r="3955" customFormat="false" ht="15" hidden="false" customHeight="false" outlineLevel="0" collapsed="false">
      <c r="A3955" s="1" t="s">
        <v>316</v>
      </c>
      <c r="B3955" s="1" t="s">
        <v>15896</v>
      </c>
      <c r="C3955" s="1" t="s">
        <v>15897</v>
      </c>
      <c r="D3955" s="2" t="n">
        <v>40249</v>
      </c>
      <c r="E3955" s="1" t="s">
        <v>710</v>
      </c>
      <c r="F3955" s="1" t="s">
        <v>711</v>
      </c>
      <c r="G3955" s="1" t="s">
        <v>712</v>
      </c>
      <c r="H3955" s="1" t="s">
        <v>713</v>
      </c>
      <c r="I3955" s="1" t="s">
        <v>714</v>
      </c>
      <c r="J3955" s="1" t="s">
        <v>1398</v>
      </c>
      <c r="K3955" s="1" t="s">
        <v>15898</v>
      </c>
      <c r="L3955" s="1" t="s">
        <v>1418</v>
      </c>
      <c r="M3955" s="1" t="s">
        <v>718</v>
      </c>
    </row>
    <row r="3956" customFormat="false" ht="15" hidden="false" customHeight="false" outlineLevel="0" collapsed="false">
      <c r="A3956" s="1" t="s">
        <v>475</v>
      </c>
      <c r="B3956" s="1" t="s">
        <v>15899</v>
      </c>
      <c r="C3956" s="1" t="s">
        <v>15900</v>
      </c>
      <c r="D3956" s="2" t="n">
        <v>40639</v>
      </c>
      <c r="E3956" s="1" t="s">
        <v>710</v>
      </c>
      <c r="F3956" s="1" t="s">
        <v>711</v>
      </c>
      <c r="G3956" s="1" t="s">
        <v>722</v>
      </c>
      <c r="H3956" s="1" t="s">
        <v>713</v>
      </c>
      <c r="I3956" s="1" t="s">
        <v>714</v>
      </c>
      <c r="J3956" s="1" t="s">
        <v>838</v>
      </c>
      <c r="K3956" s="1" t="s">
        <v>15901</v>
      </c>
      <c r="L3956" s="1" t="s">
        <v>1418</v>
      </c>
      <c r="M3956" s="1" t="s">
        <v>718</v>
      </c>
    </row>
    <row r="3957" customFormat="false" ht="15" hidden="false" customHeight="false" outlineLevel="0" collapsed="false">
      <c r="A3957" s="1" t="s">
        <v>478</v>
      </c>
      <c r="B3957" s="1" t="s">
        <v>15902</v>
      </c>
      <c r="C3957" s="1" t="s">
        <v>15903</v>
      </c>
      <c r="D3957" s="2" t="n">
        <v>40587</v>
      </c>
      <c r="E3957" s="1" t="s">
        <v>710</v>
      </c>
      <c r="F3957" s="1" t="s">
        <v>711</v>
      </c>
      <c r="G3957" s="1" t="s">
        <v>1220</v>
      </c>
      <c r="H3957" s="1" t="s">
        <v>713</v>
      </c>
      <c r="I3957" s="1" t="s">
        <v>714</v>
      </c>
      <c r="J3957" s="1" t="s">
        <v>751</v>
      </c>
      <c r="K3957" s="1" t="s">
        <v>15904</v>
      </c>
      <c r="L3957" s="1" t="s">
        <v>1418</v>
      </c>
      <c r="M3957" s="1" t="s">
        <v>718</v>
      </c>
    </row>
    <row r="3958" customFormat="false" ht="15" hidden="false" customHeight="false" outlineLevel="0" collapsed="false">
      <c r="A3958" s="1" t="s">
        <v>457</v>
      </c>
      <c r="B3958" s="1" t="s">
        <v>15905</v>
      </c>
      <c r="C3958" s="1" t="s">
        <v>15429</v>
      </c>
      <c r="D3958" s="2" t="n">
        <v>41057</v>
      </c>
      <c r="E3958" s="1" t="s">
        <v>710</v>
      </c>
      <c r="F3958" s="1" t="s">
        <v>711</v>
      </c>
      <c r="G3958" s="1" t="s">
        <v>712</v>
      </c>
      <c r="H3958" s="1" t="s">
        <v>713</v>
      </c>
      <c r="I3958" s="1" t="s">
        <v>714</v>
      </c>
      <c r="J3958" s="1" t="s">
        <v>1398</v>
      </c>
      <c r="K3958" s="1" t="s">
        <v>15906</v>
      </c>
      <c r="L3958" s="1" t="s">
        <v>1418</v>
      </c>
      <c r="M3958" s="1" t="s">
        <v>718</v>
      </c>
    </row>
    <row r="3959" customFormat="false" ht="15" hidden="false" customHeight="false" outlineLevel="0" collapsed="false">
      <c r="A3959" s="1" t="s">
        <v>482</v>
      </c>
      <c r="B3959" s="1" t="s">
        <v>15907</v>
      </c>
      <c r="C3959" s="1" t="s">
        <v>15908</v>
      </c>
      <c r="D3959" s="2" t="n">
        <v>40912</v>
      </c>
      <c r="E3959" s="1" t="s">
        <v>763</v>
      </c>
      <c r="F3959" s="1" t="s">
        <v>711</v>
      </c>
      <c r="G3959" s="1" t="s">
        <v>1220</v>
      </c>
      <c r="H3959" s="1" t="s">
        <v>713</v>
      </c>
      <c r="I3959" s="1" t="s">
        <v>714</v>
      </c>
      <c r="J3959" s="1" t="s">
        <v>832</v>
      </c>
      <c r="K3959" s="1" t="s">
        <v>15909</v>
      </c>
      <c r="L3959" s="1" t="s">
        <v>1418</v>
      </c>
      <c r="M3959" s="1" t="s">
        <v>718</v>
      </c>
    </row>
    <row r="3960" customFormat="false" ht="15" hidden="false" customHeight="false" outlineLevel="0" collapsed="false">
      <c r="A3960" s="1" t="s">
        <v>470</v>
      </c>
      <c r="B3960" s="1" t="s">
        <v>15910</v>
      </c>
      <c r="C3960" s="1" t="s">
        <v>7026</v>
      </c>
      <c r="D3960" s="2" t="n">
        <v>40637</v>
      </c>
      <c r="E3960" s="1" t="s">
        <v>710</v>
      </c>
      <c r="F3960" s="1" t="s">
        <v>711</v>
      </c>
      <c r="G3960" s="1" t="s">
        <v>712</v>
      </c>
      <c r="H3960" s="1" t="s">
        <v>713</v>
      </c>
      <c r="I3960" s="1" t="s">
        <v>714</v>
      </c>
      <c r="J3960" s="1" t="s">
        <v>1244</v>
      </c>
      <c r="K3960" s="1" t="s">
        <v>14157</v>
      </c>
      <c r="L3960" s="1" t="s">
        <v>1418</v>
      </c>
      <c r="M3960" s="1" t="s">
        <v>718</v>
      </c>
    </row>
    <row r="3961" customFormat="false" ht="15" hidden="false" customHeight="false" outlineLevel="0" collapsed="false">
      <c r="A3961" s="1" t="s">
        <v>376</v>
      </c>
      <c r="B3961" s="1" t="s">
        <v>13436</v>
      </c>
      <c r="C3961" s="1" t="s">
        <v>14160</v>
      </c>
      <c r="D3961" s="2" t="n">
        <v>40626</v>
      </c>
      <c r="E3961" s="1" t="s">
        <v>710</v>
      </c>
      <c r="F3961" s="1" t="s">
        <v>711</v>
      </c>
      <c r="G3961" s="1" t="s">
        <v>712</v>
      </c>
      <c r="H3961" s="1" t="s">
        <v>713</v>
      </c>
      <c r="I3961" s="1" t="s">
        <v>714</v>
      </c>
      <c r="J3961" s="1" t="s">
        <v>1723</v>
      </c>
      <c r="K3961" s="1" t="s">
        <v>15911</v>
      </c>
      <c r="L3961" s="1" t="s">
        <v>1418</v>
      </c>
      <c r="M3961" s="1" t="s">
        <v>718</v>
      </c>
    </row>
    <row r="3962" customFormat="false" ht="15" hidden="false" customHeight="false" outlineLevel="0" collapsed="false">
      <c r="A3962" s="1" t="s">
        <v>452</v>
      </c>
      <c r="B3962" s="1" t="s">
        <v>15912</v>
      </c>
      <c r="C3962" s="1" t="s">
        <v>15913</v>
      </c>
      <c r="D3962" s="2" t="n">
        <v>41023</v>
      </c>
      <c r="E3962" s="1" t="s">
        <v>763</v>
      </c>
      <c r="F3962" s="1" t="s">
        <v>711</v>
      </c>
      <c r="G3962" s="1" t="s">
        <v>712</v>
      </c>
      <c r="H3962" s="1" t="s">
        <v>713</v>
      </c>
      <c r="I3962" s="1" t="s">
        <v>714</v>
      </c>
      <c r="J3962" s="1" t="s">
        <v>838</v>
      </c>
      <c r="K3962" s="1" t="s">
        <v>15914</v>
      </c>
      <c r="L3962" s="1" t="s">
        <v>1418</v>
      </c>
      <c r="M3962" s="1" t="s">
        <v>718</v>
      </c>
    </row>
    <row r="3963" customFormat="false" ht="15" hidden="false" customHeight="false" outlineLevel="0" collapsed="false">
      <c r="A3963" s="1" t="s">
        <v>15915</v>
      </c>
      <c r="B3963" s="1" t="s">
        <v>15916</v>
      </c>
      <c r="C3963" s="1" t="s">
        <v>4370</v>
      </c>
      <c r="D3963" s="2" t="n">
        <v>40451</v>
      </c>
      <c r="E3963" s="1" t="s">
        <v>710</v>
      </c>
      <c r="F3963" s="1" t="s">
        <v>711</v>
      </c>
      <c r="G3963" s="1" t="s">
        <v>712</v>
      </c>
      <c r="H3963" s="1" t="s">
        <v>713</v>
      </c>
      <c r="I3963" s="1" t="s">
        <v>714</v>
      </c>
      <c r="J3963" s="1" t="s">
        <v>928</v>
      </c>
      <c r="K3963" s="1" t="s">
        <v>15917</v>
      </c>
      <c r="L3963" s="1" t="s">
        <v>1418</v>
      </c>
      <c r="M3963" s="1" t="s">
        <v>718</v>
      </c>
    </row>
    <row r="3964" customFormat="false" ht="15" hidden="false" customHeight="false" outlineLevel="0" collapsed="false">
      <c r="A3964" s="1" t="s">
        <v>396</v>
      </c>
      <c r="B3964" s="1" t="s">
        <v>15918</v>
      </c>
      <c r="C3964" s="1" t="s">
        <v>15919</v>
      </c>
      <c r="D3964" s="2" t="n">
        <v>40660</v>
      </c>
      <c r="E3964" s="1" t="s">
        <v>763</v>
      </c>
      <c r="F3964" s="1" t="s">
        <v>711</v>
      </c>
      <c r="G3964" s="1" t="s">
        <v>712</v>
      </c>
      <c r="H3964" s="1" t="s">
        <v>713</v>
      </c>
      <c r="I3964" s="1" t="s">
        <v>714</v>
      </c>
      <c r="J3964" s="1" t="s">
        <v>1172</v>
      </c>
      <c r="K3964" s="1" t="s">
        <v>15920</v>
      </c>
      <c r="L3964" s="1" t="s">
        <v>1418</v>
      </c>
      <c r="M3964" s="1" t="s">
        <v>718</v>
      </c>
    </row>
    <row r="3965" customFormat="false" ht="15" hidden="false" customHeight="false" outlineLevel="0" collapsed="false">
      <c r="A3965" s="1" t="s">
        <v>15921</v>
      </c>
      <c r="B3965" s="1" t="s">
        <v>15922</v>
      </c>
      <c r="C3965" s="1" t="s">
        <v>958</v>
      </c>
      <c r="D3965" s="2" t="n">
        <v>40805</v>
      </c>
      <c r="E3965" s="1" t="s">
        <v>710</v>
      </c>
      <c r="F3965" s="1" t="s">
        <v>711</v>
      </c>
      <c r="G3965" s="1" t="s">
        <v>712</v>
      </c>
      <c r="H3965" s="1" t="s">
        <v>713</v>
      </c>
      <c r="I3965" s="1" t="s">
        <v>714</v>
      </c>
      <c r="J3965" s="1" t="s">
        <v>9451</v>
      </c>
      <c r="K3965" s="1" t="s">
        <v>15923</v>
      </c>
      <c r="L3965" s="1" t="s">
        <v>1418</v>
      </c>
      <c r="M3965" s="1" t="s">
        <v>718</v>
      </c>
    </row>
    <row r="3966" customFormat="false" ht="15" hidden="false" customHeight="false" outlineLevel="0" collapsed="false">
      <c r="A3966" s="1" t="s">
        <v>437</v>
      </c>
      <c r="B3966" s="1" t="s">
        <v>15924</v>
      </c>
      <c r="C3966" s="1" t="s">
        <v>1185</v>
      </c>
      <c r="D3966" s="2" t="n">
        <v>40691</v>
      </c>
      <c r="E3966" s="1" t="s">
        <v>763</v>
      </c>
      <c r="F3966" s="1" t="s">
        <v>711</v>
      </c>
      <c r="G3966" s="1" t="s">
        <v>722</v>
      </c>
      <c r="H3966" s="1" t="s">
        <v>713</v>
      </c>
      <c r="I3966" s="1" t="s">
        <v>714</v>
      </c>
      <c r="J3966" s="1" t="s">
        <v>1398</v>
      </c>
      <c r="K3966" s="1" t="s">
        <v>716</v>
      </c>
      <c r="L3966" s="1" t="s">
        <v>1418</v>
      </c>
      <c r="M3966" s="1" t="s">
        <v>718</v>
      </c>
    </row>
    <row r="3967" customFormat="false" ht="15" hidden="false" customHeight="false" outlineLevel="0" collapsed="false">
      <c r="A3967" s="1" t="s">
        <v>15925</v>
      </c>
      <c r="B3967" s="1" t="s">
        <v>13978</v>
      </c>
      <c r="C3967" s="1" t="s">
        <v>14811</v>
      </c>
      <c r="D3967" s="2" t="n">
        <v>40348</v>
      </c>
      <c r="E3967" s="1" t="s">
        <v>710</v>
      </c>
      <c r="F3967" s="1" t="s">
        <v>711</v>
      </c>
      <c r="G3967" s="1" t="s">
        <v>712</v>
      </c>
      <c r="H3967" s="1" t="s">
        <v>713</v>
      </c>
      <c r="I3967" s="1" t="s">
        <v>714</v>
      </c>
      <c r="J3967" s="1" t="s">
        <v>715</v>
      </c>
      <c r="K3967" s="1" t="s">
        <v>15926</v>
      </c>
      <c r="L3967" s="1" t="s">
        <v>1418</v>
      </c>
      <c r="M3967" s="1" t="s">
        <v>718</v>
      </c>
    </row>
    <row r="3968" customFormat="false" ht="15" hidden="false" customHeight="false" outlineLevel="0" collapsed="false">
      <c r="A3968" s="1" t="s">
        <v>429</v>
      </c>
      <c r="B3968" s="1" t="s">
        <v>1913</v>
      </c>
      <c r="C3968" s="1" t="s">
        <v>15927</v>
      </c>
      <c r="D3968" s="2" t="n">
        <v>40934</v>
      </c>
      <c r="E3968" s="1" t="s">
        <v>710</v>
      </c>
      <c r="F3968" s="1" t="s">
        <v>711</v>
      </c>
      <c r="G3968" s="1" t="s">
        <v>712</v>
      </c>
      <c r="H3968" s="1" t="s">
        <v>713</v>
      </c>
      <c r="I3968" s="1" t="s">
        <v>714</v>
      </c>
      <c r="J3968" s="1" t="s">
        <v>928</v>
      </c>
      <c r="K3968" s="1" t="s">
        <v>15928</v>
      </c>
      <c r="L3968" s="1" t="s">
        <v>1418</v>
      </c>
      <c r="M3968" s="1" t="s">
        <v>718</v>
      </c>
    </row>
    <row r="3969" customFormat="false" ht="15" hidden="false" customHeight="false" outlineLevel="0" collapsed="false">
      <c r="A3969" s="1" t="s">
        <v>438</v>
      </c>
      <c r="B3969" s="1" t="s">
        <v>15929</v>
      </c>
      <c r="C3969" s="1" t="s">
        <v>1234</v>
      </c>
      <c r="D3969" s="2" t="n">
        <v>40717</v>
      </c>
      <c r="E3969" s="1" t="s">
        <v>710</v>
      </c>
      <c r="F3969" s="1" t="s">
        <v>711</v>
      </c>
      <c r="G3969" s="1" t="s">
        <v>712</v>
      </c>
      <c r="H3969" s="1" t="s">
        <v>713</v>
      </c>
      <c r="I3969" s="1" t="s">
        <v>714</v>
      </c>
      <c r="J3969" s="1" t="s">
        <v>928</v>
      </c>
      <c r="K3969" s="1" t="s">
        <v>15930</v>
      </c>
      <c r="L3969" s="1" t="s">
        <v>1418</v>
      </c>
      <c r="M3969" s="1" t="s">
        <v>718</v>
      </c>
    </row>
    <row r="3970" customFormat="false" ht="15" hidden="false" customHeight="false" outlineLevel="0" collapsed="false">
      <c r="A3970" s="1" t="s">
        <v>395</v>
      </c>
      <c r="B3970" s="1" t="s">
        <v>15931</v>
      </c>
      <c r="C3970" s="1" t="s">
        <v>15932</v>
      </c>
      <c r="D3970" s="2" t="n">
        <v>40936</v>
      </c>
      <c r="E3970" s="1" t="s">
        <v>763</v>
      </c>
      <c r="F3970" s="1" t="s">
        <v>711</v>
      </c>
      <c r="G3970" s="1" t="s">
        <v>1220</v>
      </c>
      <c r="H3970" s="1" t="s">
        <v>713</v>
      </c>
      <c r="I3970" s="1" t="s">
        <v>714</v>
      </c>
      <c r="J3970" s="1" t="s">
        <v>1620</v>
      </c>
      <c r="K3970" s="1" t="s">
        <v>15933</v>
      </c>
      <c r="L3970" s="1" t="s">
        <v>1418</v>
      </c>
      <c r="M3970" s="1" t="s">
        <v>718</v>
      </c>
    </row>
    <row r="3971" customFormat="false" ht="15" hidden="false" customHeight="false" outlineLevel="0" collapsed="false">
      <c r="A3971" s="1" t="s">
        <v>281</v>
      </c>
      <c r="B3971" s="1" t="s">
        <v>15934</v>
      </c>
      <c r="C3971" s="1" t="s">
        <v>15935</v>
      </c>
      <c r="D3971" s="2" t="n">
        <v>40591</v>
      </c>
      <c r="E3971" s="1" t="s">
        <v>710</v>
      </c>
      <c r="F3971" s="1" t="s">
        <v>711</v>
      </c>
      <c r="G3971" s="1" t="s">
        <v>712</v>
      </c>
      <c r="H3971" s="1" t="s">
        <v>713</v>
      </c>
      <c r="I3971" s="1" t="s">
        <v>714</v>
      </c>
      <c r="J3971" s="1" t="s">
        <v>4239</v>
      </c>
      <c r="K3971" s="1" t="s">
        <v>15936</v>
      </c>
      <c r="L3971" s="1" t="s">
        <v>14610</v>
      </c>
      <c r="M3971" s="1" t="s">
        <v>718</v>
      </c>
    </row>
    <row r="3972" customFormat="false" ht="15" hidden="false" customHeight="false" outlineLevel="0" collapsed="false">
      <c r="A3972" s="1" t="s">
        <v>317</v>
      </c>
      <c r="B3972" s="1" t="s">
        <v>15937</v>
      </c>
      <c r="C3972" s="1" t="s">
        <v>8375</v>
      </c>
      <c r="D3972" s="2" t="n">
        <v>40598</v>
      </c>
      <c r="E3972" s="1" t="s">
        <v>763</v>
      </c>
      <c r="F3972" s="1" t="s">
        <v>711</v>
      </c>
      <c r="G3972" s="1" t="s">
        <v>722</v>
      </c>
      <c r="H3972" s="1" t="s">
        <v>713</v>
      </c>
      <c r="I3972" s="1" t="s">
        <v>714</v>
      </c>
      <c r="J3972" s="1" t="s">
        <v>15938</v>
      </c>
      <c r="K3972" s="1" t="s">
        <v>15939</v>
      </c>
      <c r="L3972" s="1" t="s">
        <v>1418</v>
      </c>
      <c r="M3972" s="1" t="s">
        <v>718</v>
      </c>
    </row>
    <row r="3973" customFormat="false" ht="15" hidden="false" customHeight="false" outlineLevel="0" collapsed="false">
      <c r="A3973" s="1" t="s">
        <v>15940</v>
      </c>
      <c r="B3973" s="1" t="s">
        <v>14885</v>
      </c>
      <c r="C3973" s="1" t="s">
        <v>15941</v>
      </c>
      <c r="D3973" s="2" t="n">
        <v>40585</v>
      </c>
      <c r="E3973" s="1" t="s">
        <v>763</v>
      </c>
      <c r="F3973" s="1" t="s">
        <v>711</v>
      </c>
      <c r="G3973" s="1" t="s">
        <v>712</v>
      </c>
      <c r="H3973" s="1" t="s">
        <v>713</v>
      </c>
      <c r="I3973" s="1" t="s">
        <v>714</v>
      </c>
      <c r="J3973" s="1" t="s">
        <v>902</v>
      </c>
      <c r="K3973" s="1" t="s">
        <v>15942</v>
      </c>
      <c r="L3973" s="1" t="s">
        <v>1418</v>
      </c>
      <c r="M3973" s="1" t="s">
        <v>718</v>
      </c>
    </row>
    <row r="3974" customFormat="false" ht="15" hidden="false" customHeight="false" outlineLevel="0" collapsed="false">
      <c r="A3974" s="1" t="s">
        <v>404</v>
      </c>
      <c r="B3974" s="1" t="s">
        <v>15943</v>
      </c>
      <c r="C3974" s="1" t="s">
        <v>2369</v>
      </c>
      <c r="D3974" s="2" t="n">
        <v>40549</v>
      </c>
      <c r="E3974" s="1" t="s">
        <v>763</v>
      </c>
      <c r="F3974" s="1" t="s">
        <v>711</v>
      </c>
      <c r="G3974" s="1" t="s">
        <v>712</v>
      </c>
      <c r="H3974" s="1" t="s">
        <v>713</v>
      </c>
      <c r="I3974" s="1" t="s">
        <v>714</v>
      </c>
      <c r="J3974" s="1" t="s">
        <v>1723</v>
      </c>
      <c r="K3974" s="1" t="s">
        <v>15944</v>
      </c>
      <c r="L3974" s="1" t="s">
        <v>1418</v>
      </c>
      <c r="M3974" s="1" t="s">
        <v>718</v>
      </c>
    </row>
    <row r="3975" customFormat="false" ht="15" hidden="false" customHeight="false" outlineLevel="0" collapsed="false">
      <c r="A3975" s="1" t="s">
        <v>436</v>
      </c>
      <c r="B3975" s="1" t="s">
        <v>15945</v>
      </c>
      <c r="C3975" s="1" t="s">
        <v>15946</v>
      </c>
      <c r="D3975" s="2" t="n">
        <v>40671</v>
      </c>
      <c r="E3975" s="1" t="s">
        <v>763</v>
      </c>
      <c r="F3975" s="1" t="s">
        <v>711</v>
      </c>
      <c r="G3975" s="1" t="s">
        <v>712</v>
      </c>
      <c r="H3975" s="1" t="s">
        <v>713</v>
      </c>
      <c r="I3975" s="1" t="s">
        <v>714</v>
      </c>
      <c r="J3975" s="1" t="s">
        <v>1584</v>
      </c>
      <c r="K3975" s="1" t="s">
        <v>15947</v>
      </c>
      <c r="L3975" s="1" t="s">
        <v>1418</v>
      </c>
      <c r="M3975" s="1" t="s">
        <v>718</v>
      </c>
    </row>
    <row r="3976" customFormat="false" ht="15" hidden="false" customHeight="false" outlineLevel="0" collapsed="false">
      <c r="A3976" s="1" t="s">
        <v>434</v>
      </c>
      <c r="B3976" s="1" t="s">
        <v>2553</v>
      </c>
      <c r="C3976" s="1" t="s">
        <v>13944</v>
      </c>
      <c r="D3976" s="2" t="n">
        <v>40296</v>
      </c>
      <c r="E3976" s="1" t="s">
        <v>710</v>
      </c>
      <c r="F3976" s="1" t="s">
        <v>711</v>
      </c>
      <c r="G3976" s="1" t="s">
        <v>712</v>
      </c>
      <c r="H3976" s="1" t="s">
        <v>713</v>
      </c>
      <c r="I3976" s="1" t="s">
        <v>714</v>
      </c>
      <c r="J3976" s="1" t="s">
        <v>928</v>
      </c>
      <c r="K3976" s="1" t="s">
        <v>716</v>
      </c>
      <c r="L3976" s="1" t="s">
        <v>1418</v>
      </c>
      <c r="M3976" s="1" t="s">
        <v>718</v>
      </c>
    </row>
    <row r="3977" customFormat="false" ht="15" hidden="false" customHeight="false" outlineLevel="0" collapsed="false">
      <c r="A3977" s="1" t="s">
        <v>385</v>
      </c>
      <c r="B3977" s="1" t="s">
        <v>3219</v>
      </c>
      <c r="C3977" s="1" t="s">
        <v>15948</v>
      </c>
      <c r="D3977" s="2" t="n">
        <v>40751</v>
      </c>
      <c r="E3977" s="1" t="s">
        <v>710</v>
      </c>
      <c r="F3977" s="1" t="s">
        <v>711</v>
      </c>
      <c r="G3977" s="1" t="s">
        <v>712</v>
      </c>
      <c r="H3977" s="1" t="s">
        <v>713</v>
      </c>
      <c r="I3977" s="1" t="s">
        <v>714</v>
      </c>
      <c r="J3977" s="1" t="s">
        <v>821</v>
      </c>
      <c r="K3977" s="1" t="s">
        <v>15949</v>
      </c>
      <c r="L3977" s="1" t="s">
        <v>1418</v>
      </c>
      <c r="M3977" s="1" t="s">
        <v>718</v>
      </c>
    </row>
    <row r="3978" customFormat="false" ht="15" hidden="false" customHeight="false" outlineLevel="0" collapsed="false">
      <c r="A3978" s="1" t="s">
        <v>426</v>
      </c>
      <c r="B3978" s="1" t="s">
        <v>15950</v>
      </c>
      <c r="C3978" s="1" t="s">
        <v>12806</v>
      </c>
      <c r="D3978" s="2" t="n">
        <v>40727</v>
      </c>
      <c r="E3978" s="1" t="s">
        <v>763</v>
      </c>
      <c r="F3978" s="1" t="s">
        <v>711</v>
      </c>
      <c r="G3978" s="1" t="s">
        <v>722</v>
      </c>
      <c r="H3978" s="1" t="s">
        <v>713</v>
      </c>
      <c r="I3978" s="1" t="s">
        <v>714</v>
      </c>
      <c r="J3978" s="1" t="s">
        <v>751</v>
      </c>
      <c r="K3978" s="1" t="s">
        <v>15951</v>
      </c>
      <c r="L3978" s="1" t="s">
        <v>1418</v>
      </c>
      <c r="M3978" s="1" t="s">
        <v>718</v>
      </c>
    </row>
    <row r="3979" customFormat="false" ht="15" hidden="false" customHeight="false" outlineLevel="0" collapsed="false">
      <c r="A3979" s="1" t="s">
        <v>365</v>
      </c>
      <c r="B3979" s="1" t="s">
        <v>15952</v>
      </c>
      <c r="C3979" s="1" t="s">
        <v>15953</v>
      </c>
      <c r="D3979" s="2" t="n">
        <v>40620</v>
      </c>
      <c r="E3979" s="1" t="s">
        <v>763</v>
      </c>
      <c r="F3979" s="1" t="s">
        <v>711</v>
      </c>
      <c r="G3979" s="1" t="s">
        <v>722</v>
      </c>
      <c r="H3979" s="1" t="s">
        <v>713</v>
      </c>
      <c r="I3979" s="1" t="s">
        <v>714</v>
      </c>
      <c r="J3979" s="1" t="s">
        <v>1244</v>
      </c>
      <c r="K3979" s="1" t="s">
        <v>15954</v>
      </c>
      <c r="L3979" s="1" t="s">
        <v>1418</v>
      </c>
      <c r="M3979" s="1" t="s">
        <v>718</v>
      </c>
    </row>
    <row r="3980" customFormat="false" ht="15" hidden="false" customHeight="false" outlineLevel="0" collapsed="false">
      <c r="A3980" s="1" t="s">
        <v>450</v>
      </c>
      <c r="B3980" s="1" t="s">
        <v>15955</v>
      </c>
      <c r="C3980" s="1" t="s">
        <v>15956</v>
      </c>
      <c r="D3980" s="2" t="n">
        <v>40564</v>
      </c>
      <c r="E3980" s="1" t="s">
        <v>763</v>
      </c>
      <c r="F3980" s="1" t="s">
        <v>711</v>
      </c>
      <c r="G3980" s="1" t="s">
        <v>712</v>
      </c>
      <c r="H3980" s="1" t="s">
        <v>713</v>
      </c>
      <c r="I3980" s="1" t="s">
        <v>714</v>
      </c>
      <c r="J3980" s="1" t="s">
        <v>928</v>
      </c>
      <c r="K3980" s="1" t="s">
        <v>15957</v>
      </c>
      <c r="L3980" s="1" t="s">
        <v>1418</v>
      </c>
      <c r="M3980" s="1" t="s">
        <v>718</v>
      </c>
    </row>
    <row r="3981" customFormat="false" ht="15" hidden="false" customHeight="false" outlineLevel="0" collapsed="false">
      <c r="A3981" s="1" t="s">
        <v>471</v>
      </c>
      <c r="B3981" s="1" t="s">
        <v>15958</v>
      </c>
      <c r="C3981" s="1" t="s">
        <v>11604</v>
      </c>
      <c r="D3981" s="2" t="n">
        <v>40316</v>
      </c>
      <c r="E3981" s="1" t="s">
        <v>763</v>
      </c>
      <c r="F3981" s="1" t="s">
        <v>711</v>
      </c>
      <c r="G3981" s="1" t="s">
        <v>712</v>
      </c>
      <c r="H3981" s="1" t="s">
        <v>713</v>
      </c>
      <c r="I3981" s="1" t="s">
        <v>714</v>
      </c>
      <c r="J3981" s="1" t="s">
        <v>1530</v>
      </c>
      <c r="K3981" s="1" t="s">
        <v>15959</v>
      </c>
      <c r="L3981" s="1" t="s">
        <v>1418</v>
      </c>
      <c r="M3981" s="1" t="s">
        <v>718</v>
      </c>
    </row>
    <row r="3982" customFormat="false" ht="15" hidden="false" customHeight="false" outlineLevel="0" collapsed="false">
      <c r="A3982" s="1" t="s">
        <v>451</v>
      </c>
      <c r="B3982" s="1" t="s">
        <v>15960</v>
      </c>
      <c r="C3982" s="1" t="s">
        <v>15961</v>
      </c>
      <c r="D3982" s="2" t="n">
        <v>40697</v>
      </c>
      <c r="E3982" s="1" t="s">
        <v>710</v>
      </c>
      <c r="F3982" s="1" t="s">
        <v>711</v>
      </c>
      <c r="G3982" s="1" t="s">
        <v>712</v>
      </c>
      <c r="H3982" s="1" t="s">
        <v>713</v>
      </c>
      <c r="I3982" s="1" t="s">
        <v>714</v>
      </c>
      <c r="J3982" s="1" t="s">
        <v>15962</v>
      </c>
      <c r="K3982" s="1" t="s">
        <v>15963</v>
      </c>
      <c r="L3982" s="1" t="s">
        <v>1418</v>
      </c>
      <c r="M3982" s="1" t="s">
        <v>718</v>
      </c>
    </row>
    <row r="3983" customFormat="false" ht="15" hidden="false" customHeight="false" outlineLevel="0" collapsed="false">
      <c r="A3983" s="1" t="s">
        <v>453</v>
      </c>
      <c r="B3983" s="1" t="s">
        <v>15964</v>
      </c>
      <c r="C3983" s="1" t="s">
        <v>15961</v>
      </c>
      <c r="D3983" s="2" t="n">
        <v>40697</v>
      </c>
      <c r="E3983" s="1" t="s">
        <v>710</v>
      </c>
      <c r="F3983" s="1" t="s">
        <v>711</v>
      </c>
      <c r="G3983" s="1" t="s">
        <v>712</v>
      </c>
      <c r="H3983" s="1" t="s">
        <v>713</v>
      </c>
      <c r="I3983" s="1" t="s">
        <v>714</v>
      </c>
      <c r="J3983" s="1" t="s">
        <v>1723</v>
      </c>
      <c r="K3983" s="1" t="s">
        <v>15963</v>
      </c>
      <c r="L3983" s="1" t="s">
        <v>1418</v>
      </c>
      <c r="M3983" s="1" t="s">
        <v>718</v>
      </c>
    </row>
    <row r="3984" customFormat="false" ht="15" hidden="false" customHeight="false" outlineLevel="0" collapsed="false">
      <c r="A3984" s="1" t="s">
        <v>15965</v>
      </c>
      <c r="B3984" s="1" t="s">
        <v>15966</v>
      </c>
      <c r="C3984" s="1" t="s">
        <v>15967</v>
      </c>
      <c r="D3984" s="2" t="n">
        <v>40785</v>
      </c>
      <c r="E3984" s="1" t="s">
        <v>710</v>
      </c>
      <c r="F3984" s="1" t="s">
        <v>711</v>
      </c>
      <c r="G3984" s="1" t="s">
        <v>712</v>
      </c>
      <c r="H3984" s="1" t="s">
        <v>713</v>
      </c>
      <c r="I3984" s="1" t="s">
        <v>714</v>
      </c>
      <c r="J3984" s="1" t="s">
        <v>10957</v>
      </c>
      <c r="K3984" s="1" t="s">
        <v>15968</v>
      </c>
      <c r="L3984" s="1" t="s">
        <v>1418</v>
      </c>
      <c r="M3984" s="1" t="s">
        <v>718</v>
      </c>
    </row>
    <row r="3985" customFormat="false" ht="15" hidden="false" customHeight="false" outlineLevel="0" collapsed="false">
      <c r="A3985" s="1" t="s">
        <v>447</v>
      </c>
      <c r="B3985" s="1" t="s">
        <v>15969</v>
      </c>
      <c r="C3985" s="1" t="s">
        <v>15970</v>
      </c>
      <c r="D3985" s="2" t="n">
        <v>40715</v>
      </c>
      <c r="E3985" s="1" t="s">
        <v>763</v>
      </c>
      <c r="F3985" s="1" t="s">
        <v>711</v>
      </c>
      <c r="G3985" s="1" t="s">
        <v>712</v>
      </c>
      <c r="H3985" s="1" t="s">
        <v>713</v>
      </c>
      <c r="I3985" s="1" t="s">
        <v>714</v>
      </c>
      <c r="J3985" s="1" t="s">
        <v>1723</v>
      </c>
      <c r="K3985" s="1" t="s">
        <v>15971</v>
      </c>
      <c r="L3985" s="1" t="s">
        <v>1418</v>
      </c>
      <c r="M3985" s="1" t="s">
        <v>718</v>
      </c>
    </row>
    <row r="3986" customFormat="false" ht="15" hidden="false" customHeight="false" outlineLevel="0" collapsed="false">
      <c r="A3986" s="1" t="s">
        <v>435</v>
      </c>
      <c r="B3986" s="1" t="s">
        <v>15972</v>
      </c>
      <c r="C3986" s="1" t="s">
        <v>14542</v>
      </c>
      <c r="D3986" s="2" t="n">
        <v>40774</v>
      </c>
      <c r="E3986" s="1" t="s">
        <v>710</v>
      </c>
      <c r="F3986" s="1" t="s">
        <v>711</v>
      </c>
      <c r="G3986" s="1" t="s">
        <v>712</v>
      </c>
      <c r="H3986" s="1" t="s">
        <v>713</v>
      </c>
      <c r="I3986" s="1" t="s">
        <v>714</v>
      </c>
      <c r="J3986" s="1" t="s">
        <v>832</v>
      </c>
      <c r="K3986" s="1" t="s">
        <v>14544</v>
      </c>
      <c r="L3986" s="1" t="s">
        <v>1418</v>
      </c>
      <c r="M3986" s="1" t="s">
        <v>718</v>
      </c>
    </row>
    <row r="3987" customFormat="false" ht="15" hidden="false" customHeight="false" outlineLevel="0" collapsed="false">
      <c r="A3987" s="1" t="s">
        <v>427</v>
      </c>
      <c r="B3987" s="1" t="s">
        <v>15973</v>
      </c>
      <c r="C3987" s="1" t="s">
        <v>3607</v>
      </c>
      <c r="D3987" s="2" t="n">
        <v>40841</v>
      </c>
      <c r="E3987" s="1" t="s">
        <v>710</v>
      </c>
      <c r="F3987" s="1" t="s">
        <v>711</v>
      </c>
      <c r="G3987" s="1" t="s">
        <v>712</v>
      </c>
      <c r="H3987" s="1" t="s">
        <v>713</v>
      </c>
      <c r="I3987" s="1" t="s">
        <v>714</v>
      </c>
      <c r="J3987" s="1" t="s">
        <v>1505</v>
      </c>
      <c r="K3987" s="1" t="s">
        <v>15974</v>
      </c>
      <c r="L3987" s="1" t="s">
        <v>1418</v>
      </c>
      <c r="M3987" s="1" t="s">
        <v>718</v>
      </c>
    </row>
    <row r="3988" customFormat="false" ht="15" hidden="false" customHeight="false" outlineLevel="0" collapsed="false">
      <c r="A3988" s="1" t="s">
        <v>15975</v>
      </c>
      <c r="B3988" s="1" t="s">
        <v>15976</v>
      </c>
      <c r="C3988" s="1" t="s">
        <v>15977</v>
      </c>
      <c r="D3988" s="2" t="n">
        <v>41094</v>
      </c>
      <c r="E3988" s="1" t="s">
        <v>763</v>
      </c>
      <c r="F3988" s="1" t="s">
        <v>711</v>
      </c>
      <c r="G3988" s="1" t="s">
        <v>712</v>
      </c>
      <c r="H3988" s="1" t="s">
        <v>713</v>
      </c>
      <c r="I3988" s="1" t="s">
        <v>714</v>
      </c>
      <c r="J3988" s="1" t="s">
        <v>2298</v>
      </c>
      <c r="K3988" s="1" t="s">
        <v>15978</v>
      </c>
      <c r="L3988" s="1" t="s">
        <v>15979</v>
      </c>
      <c r="M3988" s="1" t="s">
        <v>718</v>
      </c>
    </row>
    <row r="3989" customFormat="false" ht="15" hidden="false" customHeight="false" outlineLevel="0" collapsed="false">
      <c r="A3989" s="1" t="s">
        <v>444</v>
      </c>
      <c r="B3989" s="1" t="s">
        <v>15980</v>
      </c>
      <c r="C3989" s="1" t="s">
        <v>10413</v>
      </c>
      <c r="D3989" s="2" t="n">
        <v>40460</v>
      </c>
      <c r="E3989" s="1" t="s">
        <v>710</v>
      </c>
      <c r="F3989" s="1" t="s">
        <v>711</v>
      </c>
      <c r="G3989" s="1" t="s">
        <v>722</v>
      </c>
      <c r="H3989" s="1" t="s">
        <v>713</v>
      </c>
      <c r="I3989" s="1" t="s">
        <v>714</v>
      </c>
      <c r="J3989" s="1" t="s">
        <v>902</v>
      </c>
      <c r="K3989" s="1" t="s">
        <v>14369</v>
      </c>
      <c r="L3989" s="1" t="s">
        <v>1418</v>
      </c>
      <c r="M3989" s="1" t="s">
        <v>718</v>
      </c>
    </row>
    <row r="3990" customFormat="false" ht="15" hidden="false" customHeight="false" outlineLevel="0" collapsed="false">
      <c r="A3990" s="1" t="s">
        <v>15981</v>
      </c>
      <c r="B3990" s="1" t="s">
        <v>15982</v>
      </c>
      <c r="C3990" s="1" t="s">
        <v>15983</v>
      </c>
      <c r="D3990" s="2" t="n">
        <v>39633</v>
      </c>
      <c r="E3990" s="1" t="s">
        <v>763</v>
      </c>
      <c r="F3990" s="1" t="s">
        <v>711</v>
      </c>
      <c r="G3990" s="1" t="s">
        <v>712</v>
      </c>
      <c r="H3990" s="1" t="s">
        <v>713</v>
      </c>
      <c r="I3990" s="1" t="s">
        <v>714</v>
      </c>
      <c r="J3990" s="1" t="s">
        <v>13615</v>
      </c>
      <c r="K3990" s="1" t="s">
        <v>15776</v>
      </c>
      <c r="L3990" s="1" t="s">
        <v>1418</v>
      </c>
      <c r="M3990" s="1" t="s">
        <v>718</v>
      </c>
    </row>
    <row r="3991" customFormat="false" ht="15" hidden="false" customHeight="false" outlineLevel="0" collapsed="false">
      <c r="A3991" s="1" t="s">
        <v>15984</v>
      </c>
      <c r="B3991" s="1" t="s">
        <v>15985</v>
      </c>
      <c r="C3991" s="1" t="s">
        <v>15986</v>
      </c>
      <c r="D3991" s="2" t="n">
        <v>40381</v>
      </c>
      <c r="E3991" s="1" t="s">
        <v>763</v>
      </c>
      <c r="F3991" s="1" t="s">
        <v>711</v>
      </c>
      <c r="G3991" s="1" t="s">
        <v>722</v>
      </c>
      <c r="H3991" s="1" t="s">
        <v>713</v>
      </c>
      <c r="I3991" s="1" t="s">
        <v>714</v>
      </c>
      <c r="J3991" s="1" t="s">
        <v>4239</v>
      </c>
      <c r="K3991" s="1" t="s">
        <v>716</v>
      </c>
      <c r="L3991" s="1" t="s">
        <v>1418</v>
      </c>
      <c r="M3991" s="1" t="s">
        <v>718</v>
      </c>
    </row>
    <row r="3992" customFormat="false" ht="15" hidden="false" customHeight="false" outlineLevel="0" collapsed="false">
      <c r="A3992" s="1" t="s">
        <v>441</v>
      </c>
      <c r="B3992" s="1" t="s">
        <v>7453</v>
      </c>
      <c r="C3992" s="1" t="s">
        <v>15987</v>
      </c>
      <c r="D3992" s="2" t="n">
        <v>39924</v>
      </c>
      <c r="E3992" s="1" t="s">
        <v>763</v>
      </c>
      <c r="F3992" s="1" t="s">
        <v>711</v>
      </c>
      <c r="G3992" s="1" t="s">
        <v>712</v>
      </c>
      <c r="H3992" s="1" t="s">
        <v>713</v>
      </c>
      <c r="I3992" s="1" t="s">
        <v>714</v>
      </c>
      <c r="J3992" s="1" t="s">
        <v>1505</v>
      </c>
      <c r="K3992" s="1" t="s">
        <v>15988</v>
      </c>
      <c r="L3992" s="1" t="s">
        <v>1418</v>
      </c>
      <c r="M3992" s="1" t="s">
        <v>718</v>
      </c>
    </row>
    <row r="3993" customFormat="false" ht="15" hidden="false" customHeight="false" outlineLevel="0" collapsed="false">
      <c r="A3993" s="1" t="s">
        <v>15989</v>
      </c>
      <c r="B3993" s="1" t="s">
        <v>15990</v>
      </c>
      <c r="C3993" s="1" t="s">
        <v>15991</v>
      </c>
      <c r="D3993" s="2" t="n">
        <v>39537</v>
      </c>
      <c r="E3993" s="1" t="s">
        <v>763</v>
      </c>
      <c r="F3993" s="1" t="s">
        <v>711</v>
      </c>
      <c r="G3993" s="1" t="s">
        <v>712</v>
      </c>
      <c r="H3993" s="1" t="s">
        <v>713</v>
      </c>
      <c r="I3993" s="1" t="s">
        <v>714</v>
      </c>
      <c r="J3993" s="1" t="s">
        <v>1723</v>
      </c>
      <c r="K3993" s="1" t="s">
        <v>12503</v>
      </c>
      <c r="L3993" s="1" t="s">
        <v>4623</v>
      </c>
      <c r="M3993" s="1" t="s">
        <v>718</v>
      </c>
    </row>
    <row r="3994" customFormat="false" ht="15" hidden="false" customHeight="false" outlineLevel="0" collapsed="false">
      <c r="A3994" s="1" t="s">
        <v>301</v>
      </c>
      <c r="B3994" s="1" t="s">
        <v>15992</v>
      </c>
      <c r="C3994" s="1" t="s">
        <v>2948</v>
      </c>
      <c r="D3994" s="2" t="n">
        <v>40255</v>
      </c>
      <c r="E3994" s="1" t="s">
        <v>710</v>
      </c>
      <c r="F3994" s="1" t="s">
        <v>711</v>
      </c>
      <c r="G3994" s="1" t="s">
        <v>712</v>
      </c>
      <c r="H3994" s="1" t="s">
        <v>713</v>
      </c>
      <c r="I3994" s="1" t="s">
        <v>714</v>
      </c>
      <c r="J3994" s="1" t="s">
        <v>15993</v>
      </c>
      <c r="K3994" s="1" t="s">
        <v>15994</v>
      </c>
      <c r="L3994" s="1" t="s">
        <v>2950</v>
      </c>
      <c r="M3994" s="1" t="s">
        <v>718</v>
      </c>
    </row>
    <row r="3995" customFormat="false" ht="15" hidden="false" customHeight="false" outlineLevel="0" collapsed="false">
      <c r="A3995" s="1" t="s">
        <v>15995</v>
      </c>
      <c r="B3995" s="1" t="s">
        <v>15996</v>
      </c>
      <c r="C3995" s="1" t="s">
        <v>2948</v>
      </c>
      <c r="D3995" s="2" t="n">
        <v>40836</v>
      </c>
      <c r="E3995" s="1" t="s">
        <v>710</v>
      </c>
      <c r="F3995" s="1" t="s">
        <v>711</v>
      </c>
      <c r="G3995" s="1" t="s">
        <v>712</v>
      </c>
      <c r="H3995" s="1" t="s">
        <v>713</v>
      </c>
      <c r="I3995" s="1" t="s">
        <v>714</v>
      </c>
      <c r="J3995" s="1" t="s">
        <v>15993</v>
      </c>
      <c r="K3995" s="1" t="s">
        <v>15994</v>
      </c>
      <c r="L3995" s="1" t="s">
        <v>1418</v>
      </c>
      <c r="M3995" s="1" t="s">
        <v>718</v>
      </c>
    </row>
    <row r="3996" customFormat="false" ht="15" hidden="false" customHeight="false" outlineLevel="0" collapsed="false">
      <c r="A3996" s="1" t="s">
        <v>15997</v>
      </c>
      <c r="B3996" s="1" t="s">
        <v>15998</v>
      </c>
      <c r="C3996" s="1" t="s">
        <v>750</v>
      </c>
      <c r="D3996" s="2" t="n">
        <v>40302</v>
      </c>
      <c r="E3996" s="1" t="s">
        <v>763</v>
      </c>
      <c r="F3996" s="1" t="s">
        <v>711</v>
      </c>
      <c r="G3996" s="1" t="s">
        <v>722</v>
      </c>
      <c r="H3996" s="1" t="s">
        <v>713</v>
      </c>
      <c r="I3996" s="1" t="s">
        <v>714</v>
      </c>
      <c r="J3996" s="1" t="s">
        <v>751</v>
      </c>
      <c r="K3996" s="1" t="s">
        <v>15145</v>
      </c>
      <c r="L3996" s="1" t="s">
        <v>1418</v>
      </c>
      <c r="M3996" s="1" t="s">
        <v>718</v>
      </c>
    </row>
    <row r="3997" customFormat="false" ht="15" hidden="false" customHeight="false" outlineLevel="0" collapsed="false">
      <c r="A3997" s="1" t="s">
        <v>439</v>
      </c>
      <c r="B3997" s="1" t="s">
        <v>15999</v>
      </c>
      <c r="C3997" s="1" t="s">
        <v>12482</v>
      </c>
      <c r="D3997" s="2" t="n">
        <v>40756</v>
      </c>
      <c r="E3997" s="1" t="s">
        <v>710</v>
      </c>
      <c r="F3997" s="1" t="s">
        <v>711</v>
      </c>
      <c r="G3997" s="1" t="s">
        <v>722</v>
      </c>
      <c r="H3997" s="1" t="s">
        <v>713</v>
      </c>
      <c r="I3997" s="1" t="s">
        <v>714</v>
      </c>
      <c r="J3997" s="1" t="s">
        <v>1244</v>
      </c>
      <c r="K3997" s="1" t="s">
        <v>16000</v>
      </c>
      <c r="L3997" s="1" t="s">
        <v>1418</v>
      </c>
      <c r="M3997" s="1" t="s">
        <v>718</v>
      </c>
    </row>
    <row r="3998" customFormat="false" ht="15" hidden="false" customHeight="false" outlineLevel="0" collapsed="false">
      <c r="A3998" s="1" t="s">
        <v>446</v>
      </c>
      <c r="B3998" s="1" t="s">
        <v>16001</v>
      </c>
      <c r="C3998" s="1" t="s">
        <v>2462</v>
      </c>
      <c r="D3998" s="2" t="n">
        <v>40791</v>
      </c>
      <c r="E3998" s="1" t="s">
        <v>710</v>
      </c>
      <c r="F3998" s="1" t="s">
        <v>711</v>
      </c>
      <c r="G3998" s="1" t="s">
        <v>712</v>
      </c>
      <c r="H3998" s="1" t="s">
        <v>713</v>
      </c>
      <c r="I3998" s="1" t="s">
        <v>714</v>
      </c>
      <c r="J3998" s="1" t="s">
        <v>1244</v>
      </c>
      <c r="K3998" s="1" t="s">
        <v>16002</v>
      </c>
      <c r="L3998" s="1" t="s">
        <v>1418</v>
      </c>
      <c r="M3998" s="1" t="s">
        <v>718</v>
      </c>
    </row>
    <row r="3999" customFormat="false" ht="15" hidden="false" customHeight="false" outlineLevel="0" collapsed="false">
      <c r="A3999" s="1" t="s">
        <v>194</v>
      </c>
      <c r="B3999" s="1" t="s">
        <v>16003</v>
      </c>
      <c r="C3999" s="1" t="s">
        <v>9353</v>
      </c>
      <c r="D3999" s="2" t="n">
        <v>40433</v>
      </c>
      <c r="E3999" s="1" t="s">
        <v>710</v>
      </c>
      <c r="F3999" s="1" t="s">
        <v>711</v>
      </c>
      <c r="G3999" s="1" t="s">
        <v>712</v>
      </c>
      <c r="H3999" s="1" t="s">
        <v>713</v>
      </c>
      <c r="I3999" s="1" t="s">
        <v>714</v>
      </c>
      <c r="J3999" s="1" t="s">
        <v>715</v>
      </c>
      <c r="K3999" s="1" t="s">
        <v>16004</v>
      </c>
      <c r="L3999" s="1" t="s">
        <v>16005</v>
      </c>
      <c r="M3999" s="1" t="s">
        <v>718</v>
      </c>
    </row>
    <row r="4000" customFormat="false" ht="15" hidden="false" customHeight="false" outlineLevel="0" collapsed="false">
      <c r="A4000" s="1" t="s">
        <v>442</v>
      </c>
      <c r="B4000" s="1" t="s">
        <v>16006</v>
      </c>
      <c r="C4000" s="1" t="s">
        <v>16007</v>
      </c>
      <c r="D4000" s="2" t="n">
        <v>40383</v>
      </c>
      <c r="E4000" s="1" t="s">
        <v>763</v>
      </c>
      <c r="F4000" s="1" t="s">
        <v>711</v>
      </c>
      <c r="G4000" s="1" t="s">
        <v>712</v>
      </c>
      <c r="H4000" s="1" t="s">
        <v>713</v>
      </c>
      <c r="I4000" s="1" t="s">
        <v>714</v>
      </c>
      <c r="J4000" s="1" t="s">
        <v>6242</v>
      </c>
      <c r="K4000" s="1" t="s">
        <v>16008</v>
      </c>
      <c r="L4000" s="1" t="s">
        <v>1418</v>
      </c>
      <c r="M4000" s="1" t="s">
        <v>718</v>
      </c>
    </row>
    <row r="4001" customFormat="false" ht="15" hidden="false" customHeight="false" outlineLevel="0" collapsed="false">
      <c r="A4001" s="1" t="s">
        <v>420</v>
      </c>
      <c r="B4001" s="1" t="s">
        <v>16009</v>
      </c>
      <c r="C4001" s="1" t="s">
        <v>16010</v>
      </c>
      <c r="D4001" s="2" t="n">
        <v>40588</v>
      </c>
      <c r="E4001" s="1" t="s">
        <v>710</v>
      </c>
      <c r="F4001" s="1" t="s">
        <v>711</v>
      </c>
      <c r="G4001" s="1" t="s">
        <v>722</v>
      </c>
      <c r="H4001" s="1" t="s">
        <v>713</v>
      </c>
      <c r="I4001" s="1" t="s">
        <v>714</v>
      </c>
      <c r="J4001" s="1" t="s">
        <v>4239</v>
      </c>
      <c r="K4001" s="1" t="s">
        <v>16011</v>
      </c>
      <c r="L4001" s="1" t="s">
        <v>1418</v>
      </c>
      <c r="M4001" s="1" t="s">
        <v>718</v>
      </c>
    </row>
    <row r="4002" customFormat="false" ht="15" hidden="false" customHeight="false" outlineLevel="0" collapsed="false">
      <c r="A4002" s="1" t="s">
        <v>414</v>
      </c>
      <c r="B4002" s="1" t="s">
        <v>16012</v>
      </c>
      <c r="C4002" s="1" t="s">
        <v>16013</v>
      </c>
      <c r="D4002" s="2" t="n">
        <v>40453</v>
      </c>
      <c r="E4002" s="1" t="s">
        <v>763</v>
      </c>
      <c r="F4002" s="1" t="s">
        <v>711</v>
      </c>
      <c r="G4002" s="1" t="s">
        <v>712</v>
      </c>
      <c r="H4002" s="1" t="s">
        <v>713</v>
      </c>
      <c r="I4002" s="1" t="s">
        <v>714</v>
      </c>
      <c r="J4002" s="1" t="s">
        <v>1530</v>
      </c>
      <c r="K4002" s="1" t="s">
        <v>16014</v>
      </c>
      <c r="L4002" s="1" t="s">
        <v>1418</v>
      </c>
      <c r="M4002" s="1" t="s">
        <v>718</v>
      </c>
    </row>
    <row r="4003" customFormat="false" ht="15" hidden="false" customHeight="false" outlineLevel="0" collapsed="false">
      <c r="A4003" s="1" t="s">
        <v>448</v>
      </c>
      <c r="B4003" s="1" t="s">
        <v>16015</v>
      </c>
      <c r="C4003" s="1" t="s">
        <v>1772</v>
      </c>
      <c r="D4003" s="2" t="n">
        <v>40811</v>
      </c>
      <c r="E4003" s="1" t="s">
        <v>710</v>
      </c>
      <c r="F4003" s="1" t="s">
        <v>711</v>
      </c>
      <c r="G4003" s="1" t="s">
        <v>722</v>
      </c>
      <c r="H4003" s="1" t="s">
        <v>713</v>
      </c>
      <c r="I4003" s="1" t="s">
        <v>714</v>
      </c>
      <c r="J4003" s="1" t="s">
        <v>1530</v>
      </c>
      <c r="K4003" s="1" t="s">
        <v>16016</v>
      </c>
      <c r="L4003" s="1" t="s">
        <v>1418</v>
      </c>
      <c r="M4003" s="1" t="s">
        <v>718</v>
      </c>
    </row>
    <row r="4004" customFormat="false" ht="15" hidden="false" customHeight="false" outlineLevel="0" collapsed="false">
      <c r="A4004" s="1" t="s">
        <v>466</v>
      </c>
      <c r="B4004" s="1" t="s">
        <v>16017</v>
      </c>
      <c r="C4004" s="1" t="s">
        <v>15539</v>
      </c>
      <c r="D4004" s="2" t="n">
        <v>40422</v>
      </c>
      <c r="E4004" s="1" t="s">
        <v>763</v>
      </c>
      <c r="F4004" s="1" t="s">
        <v>711</v>
      </c>
      <c r="G4004" s="1" t="s">
        <v>722</v>
      </c>
      <c r="H4004" s="1" t="s">
        <v>713</v>
      </c>
      <c r="I4004" s="1" t="s">
        <v>714</v>
      </c>
      <c r="J4004" s="1" t="s">
        <v>821</v>
      </c>
      <c r="K4004" s="1" t="s">
        <v>15540</v>
      </c>
      <c r="L4004" s="1" t="s">
        <v>1418</v>
      </c>
      <c r="M4004" s="1" t="s">
        <v>718</v>
      </c>
    </row>
    <row r="4005" customFormat="false" ht="15" hidden="false" customHeight="false" outlineLevel="0" collapsed="false">
      <c r="A4005" s="1" t="s">
        <v>16018</v>
      </c>
      <c r="B4005" s="1" t="s">
        <v>4322</v>
      </c>
      <c r="C4005" s="1" t="s">
        <v>16019</v>
      </c>
      <c r="D4005" s="2" t="n">
        <v>40731</v>
      </c>
      <c r="E4005" s="1" t="s">
        <v>763</v>
      </c>
      <c r="F4005" s="1" t="s">
        <v>711</v>
      </c>
      <c r="G4005" s="1" t="s">
        <v>722</v>
      </c>
      <c r="H4005" s="1" t="s">
        <v>713</v>
      </c>
      <c r="I4005" s="1" t="s">
        <v>714</v>
      </c>
      <c r="J4005" s="1" t="s">
        <v>16020</v>
      </c>
      <c r="K4005" s="1" t="s">
        <v>16021</v>
      </c>
      <c r="L4005" s="1" t="s">
        <v>1418</v>
      </c>
      <c r="M4005" s="1" t="s">
        <v>718</v>
      </c>
    </row>
    <row r="4006" customFormat="false" ht="15" hidden="false" customHeight="false" outlineLevel="0" collapsed="false">
      <c r="A4006" s="1" t="s">
        <v>443</v>
      </c>
      <c r="B4006" s="1" t="s">
        <v>7335</v>
      </c>
      <c r="C4006" s="1" t="s">
        <v>12718</v>
      </c>
      <c r="D4006" s="2" t="n">
        <v>40428</v>
      </c>
      <c r="E4006" s="1" t="s">
        <v>710</v>
      </c>
      <c r="F4006" s="1" t="s">
        <v>711</v>
      </c>
      <c r="G4006" s="1" t="s">
        <v>722</v>
      </c>
      <c r="H4006" s="1" t="s">
        <v>713</v>
      </c>
      <c r="I4006" s="1" t="s">
        <v>714</v>
      </c>
      <c r="J4006" s="1" t="s">
        <v>805</v>
      </c>
      <c r="K4006" s="1" t="s">
        <v>16022</v>
      </c>
      <c r="L4006" s="1" t="s">
        <v>1418</v>
      </c>
      <c r="M4006" s="1" t="s">
        <v>718</v>
      </c>
    </row>
    <row r="4007" customFormat="false" ht="15" hidden="false" customHeight="false" outlineLevel="0" collapsed="false">
      <c r="A4007" s="1" t="s">
        <v>16023</v>
      </c>
      <c r="B4007" s="1" t="s">
        <v>16024</v>
      </c>
      <c r="C4007" s="1" t="s">
        <v>14310</v>
      </c>
      <c r="D4007" s="2" t="n">
        <v>40624</v>
      </c>
      <c r="E4007" s="1" t="s">
        <v>710</v>
      </c>
      <c r="F4007" s="1" t="s">
        <v>711</v>
      </c>
      <c r="G4007" s="1" t="s">
        <v>712</v>
      </c>
      <c r="H4007" s="1" t="s">
        <v>713</v>
      </c>
      <c r="I4007" s="1" t="s">
        <v>714</v>
      </c>
      <c r="J4007" s="1" t="s">
        <v>1445</v>
      </c>
      <c r="K4007" s="1" t="s">
        <v>16025</v>
      </c>
      <c r="L4007" s="1" t="s">
        <v>1418</v>
      </c>
      <c r="M4007" s="1" t="s">
        <v>718</v>
      </c>
    </row>
    <row r="4008" customFormat="false" ht="15" hidden="false" customHeight="false" outlineLevel="0" collapsed="false">
      <c r="A4008" s="1" t="s">
        <v>399</v>
      </c>
      <c r="B4008" s="1" t="s">
        <v>10227</v>
      </c>
      <c r="C4008" s="1" t="s">
        <v>1908</v>
      </c>
      <c r="D4008" s="2" t="n">
        <v>40449</v>
      </c>
      <c r="E4008" s="1" t="s">
        <v>710</v>
      </c>
      <c r="F4008" s="1" t="s">
        <v>711</v>
      </c>
      <c r="G4008" s="1" t="s">
        <v>712</v>
      </c>
      <c r="H4008" s="1" t="s">
        <v>713</v>
      </c>
      <c r="I4008" s="1" t="s">
        <v>714</v>
      </c>
      <c r="J4008" s="1" t="s">
        <v>5758</v>
      </c>
      <c r="K4008" s="1" t="s">
        <v>16026</v>
      </c>
      <c r="L4008" s="1" t="s">
        <v>1418</v>
      </c>
      <c r="M4008" s="1" t="s">
        <v>718</v>
      </c>
    </row>
    <row r="4009" customFormat="false" ht="15" hidden="false" customHeight="false" outlineLevel="0" collapsed="false">
      <c r="A4009" s="1" t="s">
        <v>422</v>
      </c>
      <c r="B4009" s="1" t="s">
        <v>16027</v>
      </c>
      <c r="C4009" s="1" t="s">
        <v>1932</v>
      </c>
      <c r="D4009" s="2" t="n">
        <v>40921</v>
      </c>
      <c r="E4009" s="1" t="s">
        <v>710</v>
      </c>
      <c r="F4009" s="1" t="s">
        <v>711</v>
      </c>
      <c r="G4009" s="1" t="s">
        <v>712</v>
      </c>
      <c r="H4009" s="1" t="s">
        <v>713</v>
      </c>
      <c r="I4009" s="1" t="s">
        <v>714</v>
      </c>
      <c r="J4009" s="1" t="s">
        <v>805</v>
      </c>
      <c r="K4009" s="1" t="s">
        <v>16028</v>
      </c>
      <c r="L4009" s="1" t="s">
        <v>1418</v>
      </c>
      <c r="M4009" s="1" t="s">
        <v>718</v>
      </c>
    </row>
    <row r="4010" customFormat="false" ht="15" hidden="false" customHeight="false" outlineLevel="0" collapsed="false">
      <c r="A4010" s="1" t="s">
        <v>394</v>
      </c>
      <c r="B4010" s="1" t="s">
        <v>16029</v>
      </c>
      <c r="C4010" s="1" t="s">
        <v>16030</v>
      </c>
      <c r="D4010" s="2" t="n">
        <v>40886</v>
      </c>
      <c r="E4010" s="1" t="s">
        <v>710</v>
      </c>
      <c r="F4010" s="1" t="s">
        <v>711</v>
      </c>
      <c r="G4010" s="1" t="s">
        <v>712</v>
      </c>
      <c r="H4010" s="1" t="s">
        <v>713</v>
      </c>
      <c r="I4010" s="1" t="s">
        <v>714</v>
      </c>
      <c r="J4010" s="1" t="s">
        <v>5362</v>
      </c>
      <c r="K4010" s="1" t="s">
        <v>14236</v>
      </c>
      <c r="L4010" s="1" t="s">
        <v>1418</v>
      </c>
      <c r="M4010" s="1" t="s">
        <v>718</v>
      </c>
    </row>
    <row r="4011" customFormat="false" ht="15" hidden="false" customHeight="false" outlineLevel="0" collapsed="false">
      <c r="A4011" s="1" t="s">
        <v>460</v>
      </c>
      <c r="B4011" s="1" t="s">
        <v>16031</v>
      </c>
      <c r="C4011" s="1" t="s">
        <v>16032</v>
      </c>
      <c r="D4011" s="2" t="n">
        <v>40756</v>
      </c>
      <c r="E4011" s="1" t="s">
        <v>710</v>
      </c>
      <c r="F4011" s="1" t="s">
        <v>711</v>
      </c>
      <c r="G4011" s="1" t="s">
        <v>712</v>
      </c>
      <c r="H4011" s="1" t="s">
        <v>713</v>
      </c>
      <c r="I4011" s="1" t="s">
        <v>714</v>
      </c>
      <c r="J4011" s="1" t="s">
        <v>928</v>
      </c>
      <c r="K4011" s="1" t="s">
        <v>16033</v>
      </c>
      <c r="L4011" s="1" t="s">
        <v>1418</v>
      </c>
      <c r="M4011" s="1" t="s">
        <v>718</v>
      </c>
    </row>
    <row r="4012" customFormat="false" ht="15" hidden="false" customHeight="false" outlineLevel="0" collapsed="false">
      <c r="A4012" s="1" t="s">
        <v>467</v>
      </c>
      <c r="B4012" s="1" t="s">
        <v>16034</v>
      </c>
      <c r="C4012" s="1" t="s">
        <v>7638</v>
      </c>
      <c r="D4012" s="2" t="n">
        <v>40697</v>
      </c>
      <c r="E4012" s="1" t="s">
        <v>710</v>
      </c>
      <c r="F4012" s="1" t="s">
        <v>711</v>
      </c>
      <c r="G4012" s="1" t="s">
        <v>712</v>
      </c>
      <c r="H4012" s="1" t="s">
        <v>713</v>
      </c>
      <c r="I4012" s="1" t="s">
        <v>714</v>
      </c>
      <c r="J4012" s="1" t="s">
        <v>832</v>
      </c>
      <c r="K4012" s="1" t="s">
        <v>16035</v>
      </c>
      <c r="L4012" s="1" t="s">
        <v>1418</v>
      </c>
      <c r="M4012" s="1" t="s">
        <v>718</v>
      </c>
    </row>
    <row r="4013" customFormat="false" ht="15" hidden="false" customHeight="false" outlineLevel="0" collapsed="false">
      <c r="A4013" s="1" t="s">
        <v>469</v>
      </c>
      <c r="B4013" s="1" t="s">
        <v>16036</v>
      </c>
      <c r="C4013" s="1" t="s">
        <v>3545</v>
      </c>
      <c r="D4013" s="2" t="n">
        <v>40610</v>
      </c>
      <c r="E4013" s="1" t="s">
        <v>763</v>
      </c>
      <c r="F4013" s="1" t="s">
        <v>711</v>
      </c>
      <c r="G4013" s="1" t="s">
        <v>712</v>
      </c>
      <c r="H4013" s="1" t="s">
        <v>713</v>
      </c>
      <c r="I4013" s="1" t="s">
        <v>714</v>
      </c>
      <c r="J4013" s="1" t="s">
        <v>16037</v>
      </c>
      <c r="K4013" s="1" t="s">
        <v>716</v>
      </c>
      <c r="L4013" s="1" t="s">
        <v>1418</v>
      </c>
      <c r="M4013" s="1" t="s">
        <v>718</v>
      </c>
    </row>
    <row r="4014" customFormat="false" ht="15" hidden="false" customHeight="false" outlineLevel="0" collapsed="false">
      <c r="A4014" s="1" t="s">
        <v>16038</v>
      </c>
      <c r="B4014" s="1" t="s">
        <v>16039</v>
      </c>
      <c r="C4014" s="1" t="s">
        <v>16040</v>
      </c>
      <c r="D4014" s="2" t="n">
        <v>40383</v>
      </c>
      <c r="E4014" s="1" t="s">
        <v>710</v>
      </c>
      <c r="F4014" s="1" t="s">
        <v>711</v>
      </c>
      <c r="G4014" s="1" t="s">
        <v>712</v>
      </c>
      <c r="H4014" s="1" t="s">
        <v>713</v>
      </c>
      <c r="I4014" s="1" t="s">
        <v>714</v>
      </c>
      <c r="J4014" s="1" t="s">
        <v>1620</v>
      </c>
      <c r="K4014" s="1" t="s">
        <v>716</v>
      </c>
      <c r="L4014" s="1" t="s">
        <v>1418</v>
      </c>
      <c r="M4014" s="1" t="s">
        <v>718</v>
      </c>
    </row>
    <row r="4015" customFormat="false" ht="15" hidden="false" customHeight="false" outlineLevel="0" collapsed="false">
      <c r="A4015" s="1" t="s">
        <v>465</v>
      </c>
      <c r="B4015" s="1" t="s">
        <v>16041</v>
      </c>
      <c r="C4015" s="1" t="s">
        <v>10918</v>
      </c>
      <c r="D4015" s="2" t="n">
        <v>40430</v>
      </c>
      <c r="E4015" s="1" t="s">
        <v>763</v>
      </c>
      <c r="F4015" s="1" t="s">
        <v>711</v>
      </c>
      <c r="G4015" s="1" t="s">
        <v>712</v>
      </c>
      <c r="H4015" s="1" t="s">
        <v>713</v>
      </c>
      <c r="I4015" s="1" t="s">
        <v>714</v>
      </c>
      <c r="J4015" s="1" t="s">
        <v>2530</v>
      </c>
      <c r="K4015" s="1" t="s">
        <v>16042</v>
      </c>
      <c r="L4015" s="1" t="s">
        <v>1418</v>
      </c>
      <c r="M4015" s="1" t="s">
        <v>718</v>
      </c>
    </row>
    <row r="4016" customFormat="false" ht="15" hidden="false" customHeight="false" outlineLevel="0" collapsed="false">
      <c r="A4016" s="1" t="s">
        <v>472</v>
      </c>
      <c r="B4016" s="1" t="s">
        <v>16043</v>
      </c>
      <c r="C4016" s="1" t="s">
        <v>16044</v>
      </c>
      <c r="D4016" s="2" t="n">
        <v>40708</v>
      </c>
      <c r="E4016" s="1" t="s">
        <v>763</v>
      </c>
      <c r="F4016" s="1" t="s">
        <v>711</v>
      </c>
      <c r="G4016" s="1" t="s">
        <v>712</v>
      </c>
      <c r="H4016" s="1" t="s">
        <v>713</v>
      </c>
      <c r="I4016" s="1" t="s">
        <v>714</v>
      </c>
      <c r="J4016" s="1" t="s">
        <v>2621</v>
      </c>
      <c r="K4016" s="1" t="s">
        <v>16045</v>
      </c>
      <c r="L4016" s="1" t="s">
        <v>1418</v>
      </c>
      <c r="M4016" s="1" t="s">
        <v>718</v>
      </c>
    </row>
    <row r="4017" customFormat="false" ht="15" hidden="false" customHeight="false" outlineLevel="0" collapsed="false">
      <c r="A4017" s="1" t="s">
        <v>168</v>
      </c>
      <c r="B4017" s="1" t="s">
        <v>16046</v>
      </c>
      <c r="C4017" s="1" t="s">
        <v>9484</v>
      </c>
      <c r="D4017" s="2" t="n">
        <v>40865</v>
      </c>
      <c r="E4017" s="1" t="s">
        <v>710</v>
      </c>
      <c r="F4017" s="1" t="s">
        <v>711</v>
      </c>
      <c r="G4017" s="1" t="s">
        <v>712</v>
      </c>
      <c r="H4017" s="1" t="s">
        <v>713</v>
      </c>
      <c r="I4017" s="1" t="s">
        <v>714</v>
      </c>
      <c r="J4017" s="1" t="s">
        <v>2117</v>
      </c>
      <c r="K4017" s="1" t="s">
        <v>16047</v>
      </c>
      <c r="L4017" s="1" t="s">
        <v>1418</v>
      </c>
      <c r="M4017" s="1" t="s">
        <v>718</v>
      </c>
    </row>
    <row r="4018" customFormat="false" ht="15" hidden="false" customHeight="false" outlineLevel="0" collapsed="false">
      <c r="A4018" s="1" t="s">
        <v>479</v>
      </c>
      <c r="B4018" s="1" t="s">
        <v>16048</v>
      </c>
      <c r="C4018" s="1" t="s">
        <v>16049</v>
      </c>
      <c r="D4018" s="2" t="n">
        <v>40680</v>
      </c>
      <c r="E4018" s="1" t="s">
        <v>763</v>
      </c>
      <c r="F4018" s="1" t="s">
        <v>711</v>
      </c>
      <c r="G4018" s="1" t="s">
        <v>712</v>
      </c>
      <c r="H4018" s="1" t="s">
        <v>713</v>
      </c>
      <c r="I4018" s="1" t="s">
        <v>714</v>
      </c>
      <c r="J4018" s="1" t="s">
        <v>1620</v>
      </c>
      <c r="K4018" s="1" t="s">
        <v>16050</v>
      </c>
      <c r="L4018" s="1" t="s">
        <v>1418</v>
      </c>
      <c r="M4018" s="1" t="s">
        <v>718</v>
      </c>
    </row>
    <row r="4019" customFormat="false" ht="15" hidden="false" customHeight="false" outlineLevel="0" collapsed="false">
      <c r="A4019" s="1" t="s">
        <v>480</v>
      </c>
      <c r="B4019" s="1" t="s">
        <v>16051</v>
      </c>
      <c r="C4019" s="1" t="s">
        <v>1940</v>
      </c>
      <c r="D4019" s="2" t="n">
        <v>40789</v>
      </c>
      <c r="E4019" s="1" t="s">
        <v>763</v>
      </c>
      <c r="F4019" s="1" t="s">
        <v>711</v>
      </c>
      <c r="G4019" s="1" t="s">
        <v>712</v>
      </c>
      <c r="H4019" s="1" t="s">
        <v>713</v>
      </c>
      <c r="I4019" s="1" t="s">
        <v>714</v>
      </c>
      <c r="J4019" s="1" t="s">
        <v>928</v>
      </c>
      <c r="K4019" s="1" t="s">
        <v>16052</v>
      </c>
      <c r="L4019" s="1" t="s">
        <v>1418</v>
      </c>
      <c r="M4019" s="1" t="s">
        <v>718</v>
      </c>
    </row>
    <row r="4020" customFormat="false" ht="15" hidden="false" customHeight="false" outlineLevel="0" collapsed="false">
      <c r="A4020" s="1" t="s">
        <v>474</v>
      </c>
      <c r="B4020" s="1" t="s">
        <v>14820</v>
      </c>
      <c r="C4020" s="1" t="s">
        <v>739</v>
      </c>
      <c r="D4020" s="2" t="n">
        <v>40826</v>
      </c>
      <c r="E4020" s="1" t="s">
        <v>710</v>
      </c>
      <c r="F4020" s="1" t="s">
        <v>711</v>
      </c>
      <c r="G4020" s="1" t="s">
        <v>712</v>
      </c>
      <c r="H4020" s="1" t="s">
        <v>713</v>
      </c>
      <c r="I4020" s="1" t="s">
        <v>714</v>
      </c>
      <c r="J4020" s="1" t="s">
        <v>832</v>
      </c>
      <c r="K4020" s="1" t="s">
        <v>16053</v>
      </c>
      <c r="L4020" s="1" t="s">
        <v>1418</v>
      </c>
      <c r="M4020" s="1" t="s">
        <v>718</v>
      </c>
    </row>
    <row r="4021" customFormat="false" ht="15" hidden="false" customHeight="false" outlineLevel="0" collapsed="false">
      <c r="A4021" s="1" t="s">
        <v>468</v>
      </c>
      <c r="B4021" s="1" t="s">
        <v>16054</v>
      </c>
      <c r="C4021" s="1" t="s">
        <v>1610</v>
      </c>
      <c r="D4021" s="2" t="n">
        <v>40848</v>
      </c>
      <c r="E4021" s="1" t="s">
        <v>710</v>
      </c>
      <c r="F4021" s="1" t="s">
        <v>711</v>
      </c>
      <c r="G4021" s="1" t="s">
        <v>722</v>
      </c>
      <c r="H4021" s="1" t="s">
        <v>713</v>
      </c>
      <c r="I4021" s="1" t="s">
        <v>714</v>
      </c>
      <c r="J4021" s="1" t="s">
        <v>1398</v>
      </c>
      <c r="K4021" s="1" t="s">
        <v>16055</v>
      </c>
      <c r="L4021" s="1" t="s">
        <v>1418</v>
      </c>
      <c r="M4021" s="1" t="s">
        <v>718</v>
      </c>
    </row>
    <row r="4022" customFormat="false" ht="15" hidden="false" customHeight="false" outlineLevel="0" collapsed="false">
      <c r="A4022" s="1" t="s">
        <v>454</v>
      </c>
      <c r="B4022" s="1" t="s">
        <v>16056</v>
      </c>
      <c r="C4022" s="1" t="s">
        <v>16057</v>
      </c>
      <c r="D4022" s="2" t="n">
        <v>40755</v>
      </c>
      <c r="E4022" s="1" t="s">
        <v>710</v>
      </c>
      <c r="F4022" s="1" t="s">
        <v>711</v>
      </c>
      <c r="G4022" s="1" t="s">
        <v>712</v>
      </c>
      <c r="H4022" s="1" t="s">
        <v>713</v>
      </c>
      <c r="I4022" s="1" t="s">
        <v>714</v>
      </c>
      <c r="J4022" s="1" t="s">
        <v>4239</v>
      </c>
      <c r="K4022" s="1" t="s">
        <v>16058</v>
      </c>
      <c r="L4022" s="1" t="s">
        <v>1418</v>
      </c>
      <c r="M4022" s="1" t="s">
        <v>718</v>
      </c>
    </row>
    <row r="4023" customFormat="false" ht="15" hidden="false" customHeight="false" outlineLevel="0" collapsed="false">
      <c r="A4023" s="1" t="s">
        <v>461</v>
      </c>
      <c r="B4023" s="1" t="s">
        <v>16059</v>
      </c>
      <c r="C4023" s="1" t="s">
        <v>1248</v>
      </c>
      <c r="D4023" s="2" t="n">
        <v>40885</v>
      </c>
      <c r="E4023" s="1" t="s">
        <v>763</v>
      </c>
      <c r="F4023" s="1" t="s">
        <v>711</v>
      </c>
      <c r="G4023" s="1" t="s">
        <v>712</v>
      </c>
      <c r="H4023" s="1" t="s">
        <v>713</v>
      </c>
      <c r="I4023" s="1" t="s">
        <v>714</v>
      </c>
      <c r="J4023" s="1" t="s">
        <v>16060</v>
      </c>
      <c r="K4023" s="1" t="s">
        <v>16061</v>
      </c>
      <c r="L4023" s="1" t="s">
        <v>1418</v>
      </c>
      <c r="M4023" s="1" t="s">
        <v>718</v>
      </c>
    </row>
    <row r="4024" customFormat="false" ht="15" hidden="false" customHeight="false" outlineLevel="0" collapsed="false">
      <c r="A4024" s="1" t="s">
        <v>338</v>
      </c>
      <c r="B4024" s="1" t="s">
        <v>7160</v>
      </c>
      <c r="C4024" s="1" t="s">
        <v>10865</v>
      </c>
      <c r="D4024" s="2" t="n">
        <v>40672</v>
      </c>
      <c r="E4024" s="1" t="s">
        <v>710</v>
      </c>
      <c r="F4024" s="1" t="s">
        <v>711</v>
      </c>
      <c r="G4024" s="1" t="s">
        <v>722</v>
      </c>
      <c r="H4024" s="1" t="s">
        <v>713</v>
      </c>
      <c r="I4024" s="1" t="s">
        <v>714</v>
      </c>
      <c r="J4024" s="1" t="s">
        <v>1723</v>
      </c>
      <c r="K4024" s="1" t="s">
        <v>16062</v>
      </c>
      <c r="L4024" s="1" t="s">
        <v>1418</v>
      </c>
      <c r="M4024" s="1" t="s">
        <v>718</v>
      </c>
    </row>
    <row r="4025" customFormat="false" ht="15" hidden="false" customHeight="false" outlineLevel="0" collapsed="false">
      <c r="A4025" s="1" t="s">
        <v>16063</v>
      </c>
      <c r="B4025" s="1" t="s">
        <v>16064</v>
      </c>
      <c r="C4025" s="1" t="s">
        <v>13274</v>
      </c>
      <c r="D4025" s="2" t="n">
        <v>40159</v>
      </c>
      <c r="E4025" s="1" t="s">
        <v>710</v>
      </c>
      <c r="F4025" s="1" t="s">
        <v>711</v>
      </c>
      <c r="G4025" s="1" t="s">
        <v>712</v>
      </c>
      <c r="H4025" s="1" t="s">
        <v>713</v>
      </c>
      <c r="I4025" s="1" t="s">
        <v>714</v>
      </c>
      <c r="J4025" s="1" t="s">
        <v>832</v>
      </c>
      <c r="K4025" s="1" t="s">
        <v>16065</v>
      </c>
      <c r="L4025" s="1" t="s">
        <v>13276</v>
      </c>
      <c r="M4025" s="1" t="s">
        <v>718</v>
      </c>
    </row>
    <row r="4026" customFormat="false" ht="15" hidden="false" customHeight="false" outlineLevel="0" collapsed="false">
      <c r="A4026" s="1" t="s">
        <v>428</v>
      </c>
      <c r="B4026" s="1" t="s">
        <v>16066</v>
      </c>
      <c r="C4026" s="1" t="s">
        <v>16067</v>
      </c>
      <c r="D4026" s="2" t="n">
        <v>40791</v>
      </c>
      <c r="E4026" s="1" t="s">
        <v>763</v>
      </c>
      <c r="F4026" s="1" t="s">
        <v>711</v>
      </c>
      <c r="G4026" s="1" t="s">
        <v>712</v>
      </c>
      <c r="H4026" s="1" t="s">
        <v>713</v>
      </c>
      <c r="I4026" s="1" t="s">
        <v>714</v>
      </c>
      <c r="J4026" s="1" t="s">
        <v>2621</v>
      </c>
      <c r="K4026" s="1" t="s">
        <v>16068</v>
      </c>
      <c r="L4026" s="1" t="s">
        <v>16069</v>
      </c>
      <c r="M4026" s="1" t="s">
        <v>718</v>
      </c>
    </row>
    <row r="4027" customFormat="false" ht="15" hidden="false" customHeight="false" outlineLevel="0" collapsed="false">
      <c r="A4027" s="1" t="s">
        <v>445</v>
      </c>
      <c r="B4027" s="1" t="s">
        <v>16070</v>
      </c>
      <c r="C4027" s="1" t="s">
        <v>1139</v>
      </c>
      <c r="D4027" s="2" t="n">
        <v>40775</v>
      </c>
      <c r="E4027" s="1" t="s">
        <v>763</v>
      </c>
      <c r="F4027" s="1" t="s">
        <v>711</v>
      </c>
      <c r="G4027" s="1" t="s">
        <v>722</v>
      </c>
      <c r="H4027" s="1" t="s">
        <v>713</v>
      </c>
      <c r="I4027" s="1" t="s">
        <v>714</v>
      </c>
      <c r="J4027" s="1" t="s">
        <v>6486</v>
      </c>
      <c r="K4027" s="1" t="s">
        <v>13885</v>
      </c>
      <c r="L4027" s="1" t="s">
        <v>13886</v>
      </c>
      <c r="M4027" s="1" t="s">
        <v>718</v>
      </c>
    </row>
    <row r="4028" customFormat="false" ht="15" hidden="false" customHeight="false" outlineLevel="0" collapsed="false">
      <c r="A4028" s="1" t="s">
        <v>16071</v>
      </c>
      <c r="B4028" s="1" t="s">
        <v>16072</v>
      </c>
      <c r="C4028" s="1" t="s">
        <v>8915</v>
      </c>
      <c r="D4028" s="2" t="n">
        <v>40327</v>
      </c>
      <c r="E4028" s="1" t="s">
        <v>710</v>
      </c>
      <c r="F4028" s="1" t="s">
        <v>711</v>
      </c>
      <c r="G4028" s="1" t="s">
        <v>722</v>
      </c>
      <c r="H4028" s="1" t="s">
        <v>713</v>
      </c>
      <c r="I4028" s="1" t="s">
        <v>714</v>
      </c>
      <c r="J4028" s="1" t="s">
        <v>1584</v>
      </c>
      <c r="K4028" s="1" t="s">
        <v>16073</v>
      </c>
      <c r="L4028" s="1" t="s">
        <v>1418</v>
      </c>
      <c r="M4028" s="1" t="s">
        <v>718</v>
      </c>
    </row>
    <row r="4029" customFormat="false" ht="15" hidden="false" customHeight="false" outlineLevel="0" collapsed="false">
      <c r="A4029" s="1" t="s">
        <v>16074</v>
      </c>
      <c r="B4029" s="1" t="s">
        <v>16075</v>
      </c>
      <c r="C4029" s="1" t="s">
        <v>16076</v>
      </c>
      <c r="D4029" s="2" t="n">
        <v>31881</v>
      </c>
      <c r="E4029" s="1" t="s">
        <v>763</v>
      </c>
      <c r="F4029" s="1" t="s">
        <v>711</v>
      </c>
      <c r="G4029" s="1" t="s">
        <v>722</v>
      </c>
      <c r="H4029" s="1" t="s">
        <v>713</v>
      </c>
      <c r="I4029" s="1" t="s">
        <v>714</v>
      </c>
      <c r="J4029" s="1" t="s">
        <v>716</v>
      </c>
      <c r="K4029" s="1" t="s">
        <v>16077</v>
      </c>
      <c r="L4029" s="1" t="s">
        <v>1894</v>
      </c>
      <c r="M4029" s="1" t="s">
        <v>718</v>
      </c>
    </row>
    <row r="4030" customFormat="false" ht="15" hidden="false" customHeight="false" outlineLevel="0" collapsed="false">
      <c r="A4030" s="1" t="s">
        <v>464</v>
      </c>
      <c r="B4030" s="1" t="s">
        <v>16078</v>
      </c>
      <c r="C4030" s="1" t="s">
        <v>16079</v>
      </c>
      <c r="D4030" s="2" t="n">
        <v>40071</v>
      </c>
      <c r="E4030" s="1" t="s">
        <v>763</v>
      </c>
      <c r="F4030" s="1" t="s">
        <v>711</v>
      </c>
      <c r="G4030" s="1" t="s">
        <v>722</v>
      </c>
      <c r="H4030" s="1" t="s">
        <v>713</v>
      </c>
      <c r="I4030" s="1" t="s">
        <v>714</v>
      </c>
      <c r="J4030" s="1" t="s">
        <v>1530</v>
      </c>
      <c r="K4030" s="1" t="s">
        <v>14143</v>
      </c>
      <c r="L4030" s="1" t="s">
        <v>16080</v>
      </c>
      <c r="M4030" s="1" t="s">
        <v>718</v>
      </c>
    </row>
    <row r="4031" customFormat="false" ht="15" hidden="false" customHeight="false" outlineLevel="0" collapsed="false">
      <c r="A4031" s="1" t="s">
        <v>330</v>
      </c>
      <c r="B4031" s="1" t="s">
        <v>16081</v>
      </c>
      <c r="C4031" s="1" t="s">
        <v>16082</v>
      </c>
      <c r="D4031" s="2" t="n">
        <v>40661</v>
      </c>
      <c r="E4031" s="1" t="s">
        <v>763</v>
      </c>
      <c r="F4031" s="1" t="s">
        <v>711</v>
      </c>
      <c r="G4031" s="1" t="s">
        <v>712</v>
      </c>
      <c r="H4031" s="1" t="s">
        <v>713</v>
      </c>
      <c r="I4031" s="1" t="s">
        <v>714</v>
      </c>
      <c r="J4031" s="1" t="s">
        <v>821</v>
      </c>
      <c r="K4031" s="1" t="s">
        <v>16083</v>
      </c>
      <c r="L4031" s="1" t="s">
        <v>16084</v>
      </c>
      <c r="M4031" s="1" t="s">
        <v>718</v>
      </c>
    </row>
    <row r="4032" customFormat="false" ht="15" hidden="false" customHeight="false" outlineLevel="0" collapsed="false">
      <c r="A4032" s="1" t="s">
        <v>16085</v>
      </c>
      <c r="B4032" s="1" t="s">
        <v>16086</v>
      </c>
      <c r="C4032" s="1" t="s">
        <v>16087</v>
      </c>
      <c r="D4032" s="2" t="n">
        <v>39612</v>
      </c>
      <c r="E4032" s="1" t="s">
        <v>763</v>
      </c>
      <c r="F4032" s="1" t="s">
        <v>711</v>
      </c>
      <c r="G4032" s="1" t="s">
        <v>712</v>
      </c>
      <c r="H4032" s="1" t="s">
        <v>713</v>
      </c>
      <c r="I4032" s="1" t="s">
        <v>714</v>
      </c>
      <c r="J4032" s="1" t="s">
        <v>1172</v>
      </c>
      <c r="K4032" s="1" t="s">
        <v>16088</v>
      </c>
      <c r="L4032" s="1" t="s">
        <v>16089</v>
      </c>
      <c r="M4032" s="1" t="s">
        <v>718</v>
      </c>
    </row>
    <row r="4033" customFormat="false" ht="15" hidden="false" customHeight="false" outlineLevel="0" collapsed="false">
      <c r="A4033" s="1" t="s">
        <v>16090</v>
      </c>
      <c r="B4033" s="1" t="s">
        <v>12942</v>
      </c>
      <c r="C4033" s="1" t="s">
        <v>16091</v>
      </c>
      <c r="D4033" s="2" t="n">
        <v>26525</v>
      </c>
      <c r="E4033" s="1" t="s">
        <v>763</v>
      </c>
      <c r="F4033" s="1" t="s">
        <v>711</v>
      </c>
      <c r="G4033" s="1" t="s">
        <v>712</v>
      </c>
      <c r="H4033" s="1" t="s">
        <v>713</v>
      </c>
      <c r="I4033" s="1" t="s">
        <v>714</v>
      </c>
      <c r="J4033" s="1" t="s">
        <v>716</v>
      </c>
      <c r="K4033" s="1" t="s">
        <v>716</v>
      </c>
      <c r="L4033" s="1" t="s">
        <v>1894</v>
      </c>
      <c r="M4033" s="1" t="s">
        <v>718</v>
      </c>
    </row>
    <row r="4034" customFormat="false" ht="15" hidden="false" customHeight="false" outlineLevel="0" collapsed="false">
      <c r="A4034" s="1" t="s">
        <v>16092</v>
      </c>
      <c r="B4034" s="1" t="s">
        <v>16093</v>
      </c>
      <c r="C4034" s="1" t="s">
        <v>16094</v>
      </c>
      <c r="D4034" s="2" t="n">
        <v>39220</v>
      </c>
      <c r="E4034" s="1" t="s">
        <v>763</v>
      </c>
      <c r="F4034" s="1" t="s">
        <v>711</v>
      </c>
      <c r="G4034" s="1" t="s">
        <v>722</v>
      </c>
      <c r="H4034" s="1" t="s">
        <v>713</v>
      </c>
      <c r="I4034" s="1" t="s">
        <v>714</v>
      </c>
      <c r="J4034" s="1" t="s">
        <v>16095</v>
      </c>
      <c r="K4034" s="1" t="s">
        <v>16096</v>
      </c>
      <c r="L4034" s="1" t="s">
        <v>7824</v>
      </c>
      <c r="M4034" s="1" t="s">
        <v>718</v>
      </c>
    </row>
    <row r="4035" customFormat="false" ht="15" hidden="false" customHeight="false" outlineLevel="0" collapsed="false">
      <c r="A4035" s="1" t="s">
        <v>406</v>
      </c>
      <c r="B4035" s="1" t="s">
        <v>16097</v>
      </c>
      <c r="C4035" s="1" t="s">
        <v>13146</v>
      </c>
      <c r="D4035" s="2" t="n">
        <v>41205</v>
      </c>
      <c r="E4035" s="1" t="s">
        <v>763</v>
      </c>
      <c r="F4035" s="1" t="s">
        <v>711</v>
      </c>
      <c r="G4035" s="1" t="s">
        <v>712</v>
      </c>
      <c r="H4035" s="1" t="s">
        <v>713</v>
      </c>
      <c r="I4035" s="1" t="s">
        <v>714</v>
      </c>
      <c r="J4035" s="1" t="s">
        <v>4239</v>
      </c>
      <c r="K4035" s="1" t="s">
        <v>716</v>
      </c>
      <c r="L4035" s="1" t="s">
        <v>16098</v>
      </c>
      <c r="M4035" s="1" t="s">
        <v>718</v>
      </c>
    </row>
    <row r="4036" customFormat="false" ht="15" hidden="false" customHeight="false" outlineLevel="0" collapsed="false">
      <c r="A4036" s="1" t="s">
        <v>16099</v>
      </c>
      <c r="B4036" s="1" t="s">
        <v>16100</v>
      </c>
      <c r="C4036" s="1" t="s">
        <v>16101</v>
      </c>
      <c r="D4036" s="2" t="n">
        <v>40142</v>
      </c>
      <c r="E4036" s="1" t="s">
        <v>763</v>
      </c>
      <c r="F4036" s="1" t="s">
        <v>711</v>
      </c>
      <c r="G4036" s="1" t="s">
        <v>712</v>
      </c>
      <c r="H4036" s="1" t="s">
        <v>713</v>
      </c>
      <c r="I4036" s="1" t="s">
        <v>714</v>
      </c>
      <c r="J4036" s="1" t="s">
        <v>1723</v>
      </c>
      <c r="K4036" s="1" t="s">
        <v>15864</v>
      </c>
      <c r="L4036" s="1" t="s">
        <v>16102</v>
      </c>
      <c r="M4036" s="1" t="s">
        <v>718</v>
      </c>
    </row>
    <row r="4037" customFormat="false" ht="15" hidden="false" customHeight="false" outlineLevel="0" collapsed="false">
      <c r="A4037" s="1" t="s">
        <v>16103</v>
      </c>
      <c r="B4037" s="1" t="s">
        <v>16104</v>
      </c>
      <c r="C4037" s="1" t="s">
        <v>11391</v>
      </c>
      <c r="D4037" s="2" t="n">
        <v>39650</v>
      </c>
      <c r="E4037" s="1" t="s">
        <v>763</v>
      </c>
      <c r="F4037" s="1" t="s">
        <v>711</v>
      </c>
      <c r="G4037" s="1" t="s">
        <v>712</v>
      </c>
      <c r="H4037" s="1" t="s">
        <v>713</v>
      </c>
      <c r="I4037" s="1" t="s">
        <v>714</v>
      </c>
      <c r="J4037" s="1" t="s">
        <v>1244</v>
      </c>
      <c r="K4037" s="1" t="s">
        <v>16105</v>
      </c>
      <c r="L4037" s="1" t="s">
        <v>11393</v>
      </c>
      <c r="M4037" s="1" t="s">
        <v>718</v>
      </c>
    </row>
    <row r="4038" customFormat="false" ht="15" hidden="false" customHeight="false" outlineLevel="0" collapsed="false">
      <c r="A4038" s="1" t="s">
        <v>16106</v>
      </c>
      <c r="B4038" s="1" t="s">
        <v>16107</v>
      </c>
      <c r="C4038" s="1" t="s">
        <v>16108</v>
      </c>
      <c r="D4038" s="2" t="n">
        <v>40633</v>
      </c>
      <c r="E4038" s="1" t="s">
        <v>710</v>
      </c>
      <c r="F4038" s="1" t="s">
        <v>711</v>
      </c>
      <c r="G4038" s="1" t="s">
        <v>712</v>
      </c>
      <c r="H4038" s="1" t="s">
        <v>713</v>
      </c>
      <c r="I4038" s="1" t="s">
        <v>714</v>
      </c>
      <c r="J4038" s="1" t="s">
        <v>16109</v>
      </c>
      <c r="K4038" s="1" t="s">
        <v>16110</v>
      </c>
      <c r="L4038" s="1" t="s">
        <v>16111</v>
      </c>
      <c r="M4038" s="1" t="s">
        <v>718</v>
      </c>
    </row>
    <row r="4039" customFormat="false" ht="15" hidden="false" customHeight="false" outlineLevel="0" collapsed="false">
      <c r="A4039" s="1" t="s">
        <v>16112</v>
      </c>
      <c r="B4039" s="1" t="s">
        <v>15701</v>
      </c>
      <c r="C4039" s="1" t="s">
        <v>16113</v>
      </c>
      <c r="D4039" s="2" t="n">
        <v>40383</v>
      </c>
      <c r="E4039" s="1" t="s">
        <v>710</v>
      </c>
      <c r="F4039" s="1" t="s">
        <v>711</v>
      </c>
      <c r="G4039" s="1" t="s">
        <v>712</v>
      </c>
      <c r="H4039" s="1" t="s">
        <v>713</v>
      </c>
      <c r="I4039" s="1" t="s">
        <v>714</v>
      </c>
      <c r="J4039" s="1" t="s">
        <v>4239</v>
      </c>
      <c r="K4039" s="1" t="s">
        <v>16114</v>
      </c>
      <c r="L4039" s="1" t="s">
        <v>16115</v>
      </c>
      <c r="M4039" s="1" t="s">
        <v>718</v>
      </c>
    </row>
    <row r="4040" s="13" customFormat="true" ht="15" hidden="false" customHeight="false" outlineLevel="0" collapsed="false">
      <c r="A4040" s="10" t="s">
        <v>390</v>
      </c>
      <c r="B4040" s="10" t="s">
        <v>16116</v>
      </c>
      <c r="C4040" s="10" t="s">
        <v>15883</v>
      </c>
      <c r="D4040" s="12" t="n">
        <v>39701</v>
      </c>
      <c r="E4040" s="10" t="s">
        <v>763</v>
      </c>
      <c r="F4040" s="10" t="s">
        <v>711</v>
      </c>
      <c r="G4040" s="10" t="s">
        <v>722</v>
      </c>
      <c r="H4040" s="10" t="s">
        <v>713</v>
      </c>
      <c r="I4040" s="10" t="s">
        <v>714</v>
      </c>
      <c r="J4040" s="10" t="s">
        <v>1898</v>
      </c>
      <c r="K4040" s="10" t="s">
        <v>16117</v>
      </c>
      <c r="L4040" s="10" t="s">
        <v>16118</v>
      </c>
      <c r="M4040" s="10" t="s">
        <v>718</v>
      </c>
      <c r="XEE4040" s="0"/>
      <c r="XEF4040" s="0"/>
      <c r="XEG4040" s="0"/>
      <c r="XEH4040" s="0"/>
      <c r="XEI4040" s="0"/>
      <c r="XEJ4040" s="0"/>
      <c r="XEK4040" s="0"/>
      <c r="XEL4040" s="0"/>
      <c r="XEM4040" s="0"/>
      <c r="XEN4040" s="0"/>
      <c r="XEO4040" s="0"/>
      <c r="XEP4040" s="0"/>
      <c r="XEQ4040" s="0"/>
      <c r="XER4040" s="0"/>
      <c r="XES4040" s="0"/>
      <c r="XET4040" s="0"/>
      <c r="XEU4040" s="0"/>
      <c r="XEV4040" s="0"/>
      <c r="XEW4040" s="0"/>
      <c r="XEX4040" s="0"/>
      <c r="XEY4040" s="0"/>
      <c r="XEZ4040" s="0"/>
      <c r="XFA4040" s="0"/>
      <c r="XFB4040" s="0"/>
      <c r="XFC4040" s="0"/>
      <c r="XFD4040" s="0"/>
    </row>
    <row r="4041" customFormat="false" ht="15" hidden="false" customHeight="false" outlineLevel="0" collapsed="false">
      <c r="A4041" s="1" t="s">
        <v>432</v>
      </c>
      <c r="B4041" s="1" t="s">
        <v>16119</v>
      </c>
      <c r="C4041" s="1" t="s">
        <v>16120</v>
      </c>
      <c r="D4041" s="2" t="n">
        <v>40598</v>
      </c>
      <c r="E4041" s="1" t="s">
        <v>710</v>
      </c>
      <c r="F4041" s="1" t="s">
        <v>711</v>
      </c>
      <c r="G4041" s="1" t="s">
        <v>14277</v>
      </c>
      <c r="H4041" s="1" t="s">
        <v>713</v>
      </c>
      <c r="I4041" s="1" t="s">
        <v>714</v>
      </c>
      <c r="J4041" s="1" t="s">
        <v>1505</v>
      </c>
      <c r="K4041" s="1" t="s">
        <v>16121</v>
      </c>
      <c r="L4041" s="1" t="s">
        <v>2366</v>
      </c>
      <c r="M4041" s="1" t="s">
        <v>718</v>
      </c>
    </row>
    <row r="4042" customFormat="false" ht="15" hidden="false" customHeight="false" outlineLevel="0" collapsed="false">
      <c r="A4042" s="1" t="s">
        <v>16122</v>
      </c>
      <c r="B4042" s="1" t="s">
        <v>16123</v>
      </c>
      <c r="C4042" s="1" t="s">
        <v>12256</v>
      </c>
      <c r="D4042" s="2" t="n">
        <v>35565</v>
      </c>
      <c r="E4042" s="1" t="s">
        <v>763</v>
      </c>
      <c r="F4042" s="1" t="s">
        <v>711</v>
      </c>
      <c r="G4042" s="1" t="s">
        <v>712</v>
      </c>
      <c r="H4042" s="1" t="s">
        <v>713</v>
      </c>
      <c r="I4042" s="1" t="s">
        <v>714</v>
      </c>
      <c r="J4042" s="1" t="s">
        <v>3260</v>
      </c>
      <c r="K4042" s="1" t="s">
        <v>716</v>
      </c>
      <c r="L4042" s="1" t="s">
        <v>1418</v>
      </c>
      <c r="M4042" s="1" t="s">
        <v>718</v>
      </c>
    </row>
    <row r="4043" customFormat="false" ht="15" hidden="false" customHeight="false" outlineLevel="0" collapsed="false">
      <c r="A4043" s="1" t="s">
        <v>16124</v>
      </c>
      <c r="B4043" s="1" t="s">
        <v>16125</v>
      </c>
      <c r="C4043" s="1" t="s">
        <v>7521</v>
      </c>
      <c r="D4043" s="2" t="n">
        <v>40583</v>
      </c>
      <c r="E4043" s="1" t="s">
        <v>710</v>
      </c>
      <c r="F4043" s="1" t="s">
        <v>711</v>
      </c>
      <c r="G4043" s="1" t="s">
        <v>712</v>
      </c>
      <c r="H4043" s="1" t="s">
        <v>713</v>
      </c>
      <c r="I4043" s="1" t="s">
        <v>714</v>
      </c>
      <c r="J4043" s="1" t="s">
        <v>1530</v>
      </c>
      <c r="K4043" s="1" t="s">
        <v>16126</v>
      </c>
      <c r="L4043" s="1" t="s">
        <v>16127</v>
      </c>
      <c r="M4043" s="1" t="s">
        <v>718</v>
      </c>
    </row>
    <row r="4044" customFormat="false" ht="15" hidden="false" customHeight="false" outlineLevel="0" collapsed="false">
      <c r="A4044" s="1" t="s">
        <v>16128</v>
      </c>
      <c r="B4044" s="1" t="s">
        <v>16129</v>
      </c>
      <c r="C4044" s="1" t="s">
        <v>15265</v>
      </c>
      <c r="D4044" s="2" t="n">
        <v>39734</v>
      </c>
      <c r="E4044" s="1" t="s">
        <v>763</v>
      </c>
      <c r="F4044" s="1" t="s">
        <v>711</v>
      </c>
      <c r="G4044" s="1" t="s">
        <v>712</v>
      </c>
      <c r="H4044" s="1" t="s">
        <v>713</v>
      </c>
      <c r="I4044" s="1" t="s">
        <v>714</v>
      </c>
      <c r="J4044" s="1" t="s">
        <v>1530</v>
      </c>
      <c r="K4044" s="1" t="s">
        <v>16126</v>
      </c>
      <c r="L4044" s="1" t="s">
        <v>16127</v>
      </c>
      <c r="M4044" s="1" t="s">
        <v>718</v>
      </c>
    </row>
    <row r="4045" customFormat="false" ht="15" hidden="false" customHeight="false" outlineLevel="0" collapsed="false">
      <c r="A4045" s="1" t="s">
        <v>393</v>
      </c>
      <c r="B4045" s="1" t="s">
        <v>16130</v>
      </c>
      <c r="C4045" s="1" t="s">
        <v>16131</v>
      </c>
      <c r="D4045" s="2" t="n">
        <v>39730</v>
      </c>
      <c r="E4045" s="1" t="s">
        <v>710</v>
      </c>
      <c r="F4045" s="1" t="s">
        <v>711</v>
      </c>
      <c r="G4045" s="1" t="s">
        <v>712</v>
      </c>
      <c r="H4045" s="1" t="s">
        <v>713</v>
      </c>
      <c r="I4045" s="1" t="s">
        <v>714</v>
      </c>
      <c r="J4045" s="1" t="s">
        <v>1530</v>
      </c>
      <c r="K4045" s="1" t="s">
        <v>16132</v>
      </c>
      <c r="L4045" s="1" t="s">
        <v>11863</v>
      </c>
      <c r="M4045" s="1" t="s">
        <v>718</v>
      </c>
    </row>
    <row r="4046" customFormat="false" ht="15" hidden="false" customHeight="false" outlineLevel="0" collapsed="false">
      <c r="A4046" s="1" t="s">
        <v>16133</v>
      </c>
      <c r="B4046" s="1" t="s">
        <v>16134</v>
      </c>
      <c r="C4046" s="1" t="s">
        <v>16135</v>
      </c>
      <c r="D4046" s="2" t="n">
        <v>40762</v>
      </c>
      <c r="E4046" s="1" t="s">
        <v>710</v>
      </c>
      <c r="F4046" s="1" t="s">
        <v>711</v>
      </c>
      <c r="G4046" s="1" t="s">
        <v>712</v>
      </c>
      <c r="H4046" s="1" t="s">
        <v>713</v>
      </c>
      <c r="I4046" s="1" t="s">
        <v>714</v>
      </c>
      <c r="J4046" s="1" t="s">
        <v>16136</v>
      </c>
      <c r="K4046" s="1" t="s">
        <v>16137</v>
      </c>
      <c r="L4046" s="1" t="s">
        <v>16138</v>
      </c>
      <c r="M4046" s="1" t="s">
        <v>718</v>
      </c>
    </row>
    <row r="4047" customFormat="false" ht="15" hidden="false" customHeight="false" outlineLevel="0" collapsed="false">
      <c r="A4047" s="1" t="s">
        <v>16139</v>
      </c>
      <c r="B4047" s="1" t="s">
        <v>16140</v>
      </c>
      <c r="C4047" s="1" t="s">
        <v>2923</v>
      </c>
      <c r="D4047" s="2" t="n">
        <v>29869</v>
      </c>
      <c r="E4047" s="1" t="s">
        <v>763</v>
      </c>
      <c r="F4047" s="1" t="s">
        <v>711</v>
      </c>
      <c r="G4047" s="1" t="s">
        <v>712</v>
      </c>
      <c r="H4047" s="1" t="s">
        <v>713</v>
      </c>
      <c r="I4047" s="1" t="s">
        <v>714</v>
      </c>
      <c r="J4047" s="1" t="s">
        <v>716</v>
      </c>
      <c r="K4047" s="1" t="s">
        <v>716</v>
      </c>
      <c r="L4047" s="1" t="s">
        <v>1418</v>
      </c>
      <c r="M4047" s="1" t="s">
        <v>718</v>
      </c>
    </row>
    <row r="4048" customFormat="false" ht="15" hidden="false" customHeight="false" outlineLevel="0" collapsed="false">
      <c r="A4048" s="1" t="s">
        <v>16141</v>
      </c>
      <c r="B4048" s="1" t="s">
        <v>16142</v>
      </c>
      <c r="C4048" s="1" t="s">
        <v>16143</v>
      </c>
      <c r="D4048" s="2" t="n">
        <v>39634</v>
      </c>
      <c r="E4048" s="1" t="s">
        <v>763</v>
      </c>
      <c r="F4048" s="1" t="s">
        <v>711</v>
      </c>
      <c r="G4048" s="1" t="s">
        <v>712</v>
      </c>
      <c r="H4048" s="1" t="s">
        <v>713</v>
      </c>
      <c r="I4048" s="1" t="s">
        <v>714</v>
      </c>
      <c r="J4048" s="1" t="s">
        <v>16144</v>
      </c>
      <c r="K4048" s="1" t="s">
        <v>716</v>
      </c>
      <c r="L4048" s="1" t="s">
        <v>16145</v>
      </c>
      <c r="M4048" s="1" t="s">
        <v>718</v>
      </c>
    </row>
    <row r="4049" customFormat="false" ht="15" hidden="false" customHeight="false" outlineLevel="0" collapsed="false">
      <c r="A4049" s="1" t="s">
        <v>16146</v>
      </c>
      <c r="B4049" s="1" t="s">
        <v>16147</v>
      </c>
      <c r="C4049" s="1" t="s">
        <v>16148</v>
      </c>
      <c r="D4049" s="2" t="n">
        <v>40358</v>
      </c>
      <c r="E4049" s="1" t="s">
        <v>763</v>
      </c>
      <c r="F4049" s="1" t="s">
        <v>711</v>
      </c>
      <c r="G4049" s="1" t="s">
        <v>7695</v>
      </c>
      <c r="H4049" s="1" t="s">
        <v>713</v>
      </c>
      <c r="I4049" s="1" t="s">
        <v>714</v>
      </c>
      <c r="J4049" s="1" t="s">
        <v>16149</v>
      </c>
      <c r="K4049" s="1" t="s">
        <v>16150</v>
      </c>
      <c r="L4049" s="1" t="s">
        <v>16151</v>
      </c>
      <c r="M4049" s="1" t="s">
        <v>718</v>
      </c>
    </row>
    <row r="4050" customFormat="false" ht="15" hidden="false" customHeight="false" outlineLevel="0" collapsed="false">
      <c r="A4050" s="1" t="s">
        <v>16152</v>
      </c>
      <c r="B4050" s="1" t="s">
        <v>3544</v>
      </c>
      <c r="C4050" s="1" t="s">
        <v>1553</v>
      </c>
      <c r="D4050" s="2" t="n">
        <v>32645</v>
      </c>
      <c r="E4050" s="1" t="s">
        <v>710</v>
      </c>
      <c r="F4050" s="1" t="s">
        <v>4714</v>
      </c>
      <c r="G4050" s="1" t="s">
        <v>712</v>
      </c>
      <c r="H4050" s="1" t="s">
        <v>713</v>
      </c>
      <c r="I4050" s="1" t="s">
        <v>714</v>
      </c>
      <c r="J4050" s="1" t="s">
        <v>716</v>
      </c>
      <c r="K4050" s="1" t="s">
        <v>716</v>
      </c>
      <c r="L4050" s="1" t="s">
        <v>1894</v>
      </c>
      <c r="M4050" s="1" t="s">
        <v>718</v>
      </c>
    </row>
    <row r="4051" customFormat="false" ht="15" hidden="false" customHeight="false" outlineLevel="0" collapsed="false">
      <c r="A4051" s="1" t="s">
        <v>16153</v>
      </c>
      <c r="B4051" s="1" t="s">
        <v>16154</v>
      </c>
      <c r="C4051" s="1" t="s">
        <v>16155</v>
      </c>
      <c r="D4051" s="2" t="n">
        <v>29893</v>
      </c>
      <c r="E4051" s="1" t="s">
        <v>763</v>
      </c>
      <c r="F4051" s="1" t="s">
        <v>711</v>
      </c>
      <c r="G4051" s="1" t="s">
        <v>712</v>
      </c>
      <c r="H4051" s="1" t="s">
        <v>713</v>
      </c>
      <c r="I4051" s="1" t="s">
        <v>714</v>
      </c>
      <c r="J4051" s="1" t="s">
        <v>716</v>
      </c>
      <c r="K4051" s="1" t="s">
        <v>16156</v>
      </c>
      <c r="L4051" s="1" t="s">
        <v>11230</v>
      </c>
      <c r="M4051" s="1" t="s">
        <v>718</v>
      </c>
    </row>
    <row r="4052" customFormat="false" ht="15" hidden="false" customHeight="false" outlineLevel="0" collapsed="false">
      <c r="A4052" s="1" t="s">
        <v>16157</v>
      </c>
      <c r="B4052" s="1" t="s">
        <v>16158</v>
      </c>
      <c r="C4052" s="1" t="s">
        <v>804</v>
      </c>
      <c r="D4052" s="2" t="n">
        <v>32448</v>
      </c>
      <c r="E4052" s="1" t="s">
        <v>763</v>
      </c>
      <c r="F4052" s="1" t="s">
        <v>711</v>
      </c>
      <c r="G4052" s="1" t="s">
        <v>712</v>
      </c>
      <c r="H4052" s="1" t="s">
        <v>713</v>
      </c>
      <c r="I4052" s="1" t="s">
        <v>714</v>
      </c>
      <c r="J4052" s="1" t="s">
        <v>16159</v>
      </c>
      <c r="K4052" s="1" t="s">
        <v>16160</v>
      </c>
      <c r="L4052" s="1" t="s">
        <v>1418</v>
      </c>
      <c r="M4052" s="1" t="s">
        <v>718</v>
      </c>
    </row>
    <row r="4053" customFormat="false" ht="15" hidden="false" customHeight="false" outlineLevel="0" collapsed="false">
      <c r="A4053" s="1" t="s">
        <v>16161</v>
      </c>
      <c r="B4053" s="1" t="s">
        <v>16162</v>
      </c>
      <c r="C4053" s="1" t="s">
        <v>2806</v>
      </c>
      <c r="D4053" s="2" t="n">
        <v>31888</v>
      </c>
      <c r="E4053" s="1" t="s">
        <v>763</v>
      </c>
      <c r="F4053" s="1" t="s">
        <v>711</v>
      </c>
      <c r="G4053" s="1" t="s">
        <v>712</v>
      </c>
      <c r="H4053" s="1" t="s">
        <v>713</v>
      </c>
      <c r="I4053" s="1" t="s">
        <v>714</v>
      </c>
      <c r="J4053" s="1" t="s">
        <v>716</v>
      </c>
      <c r="K4053" s="1" t="s">
        <v>16163</v>
      </c>
      <c r="L4053" s="1" t="s">
        <v>11230</v>
      </c>
      <c r="M4053" s="1" t="s">
        <v>718</v>
      </c>
    </row>
    <row r="4054" customFormat="false" ht="15" hidden="false" customHeight="false" outlineLevel="0" collapsed="false">
      <c r="A4054" s="1" t="s">
        <v>16164</v>
      </c>
      <c r="B4054" s="1" t="s">
        <v>13188</v>
      </c>
      <c r="C4054" s="1" t="s">
        <v>16165</v>
      </c>
      <c r="D4054" s="2" t="n">
        <v>32481</v>
      </c>
      <c r="E4054" s="1" t="s">
        <v>710</v>
      </c>
      <c r="F4054" s="1" t="s">
        <v>711</v>
      </c>
      <c r="G4054" s="1" t="s">
        <v>712</v>
      </c>
      <c r="H4054" s="1" t="s">
        <v>713</v>
      </c>
      <c r="I4054" s="1" t="s">
        <v>714</v>
      </c>
      <c r="J4054" s="1" t="s">
        <v>716</v>
      </c>
      <c r="K4054" s="1" t="s">
        <v>716</v>
      </c>
      <c r="L4054" s="1" t="s">
        <v>11230</v>
      </c>
      <c r="M4054" s="1" t="s">
        <v>718</v>
      </c>
    </row>
    <row r="4055" customFormat="false" ht="15" hidden="false" customHeight="false" outlineLevel="0" collapsed="false">
      <c r="A4055" s="1" t="s">
        <v>16166</v>
      </c>
      <c r="B4055" s="1" t="s">
        <v>16167</v>
      </c>
      <c r="C4055" s="1" t="s">
        <v>16168</v>
      </c>
      <c r="D4055" s="2" t="n">
        <v>34226</v>
      </c>
      <c r="E4055" s="1" t="s">
        <v>763</v>
      </c>
      <c r="F4055" s="1" t="s">
        <v>711</v>
      </c>
      <c r="G4055" s="1" t="s">
        <v>722</v>
      </c>
      <c r="H4055" s="1" t="s">
        <v>713</v>
      </c>
      <c r="I4055" s="1" t="s">
        <v>714</v>
      </c>
      <c r="J4055" s="1" t="s">
        <v>716</v>
      </c>
      <c r="K4055" s="1" t="s">
        <v>716</v>
      </c>
      <c r="L4055" s="1" t="s">
        <v>1418</v>
      </c>
      <c r="M4055" s="1" t="s">
        <v>718</v>
      </c>
    </row>
    <row r="4056" customFormat="false" ht="15" hidden="false" customHeight="false" outlineLevel="0" collapsed="false">
      <c r="A4056" s="1" t="s">
        <v>16169</v>
      </c>
      <c r="B4056" s="1" t="s">
        <v>16170</v>
      </c>
      <c r="C4056" s="1" t="s">
        <v>4782</v>
      </c>
      <c r="D4056" s="2" t="n">
        <v>32045</v>
      </c>
      <c r="E4056" s="1" t="s">
        <v>763</v>
      </c>
      <c r="F4056" s="1" t="s">
        <v>711</v>
      </c>
      <c r="G4056" s="1" t="s">
        <v>712</v>
      </c>
      <c r="H4056" s="1" t="s">
        <v>713</v>
      </c>
      <c r="I4056" s="1" t="s">
        <v>714</v>
      </c>
      <c r="J4056" s="1" t="s">
        <v>716</v>
      </c>
      <c r="K4056" s="1" t="s">
        <v>716</v>
      </c>
      <c r="L4056" s="1" t="s">
        <v>1418</v>
      </c>
      <c r="M4056" s="1" t="s">
        <v>718</v>
      </c>
    </row>
    <row r="4057" customFormat="false" ht="15" hidden="false" customHeight="false" outlineLevel="0" collapsed="false">
      <c r="A4057" s="1" t="s">
        <v>16171</v>
      </c>
      <c r="B4057" s="1" t="s">
        <v>16172</v>
      </c>
      <c r="C4057" s="1" t="s">
        <v>16173</v>
      </c>
      <c r="D4057" s="2" t="n">
        <v>33707</v>
      </c>
      <c r="E4057" s="1" t="s">
        <v>763</v>
      </c>
      <c r="F4057" s="1" t="s">
        <v>711</v>
      </c>
      <c r="G4057" s="1" t="s">
        <v>712</v>
      </c>
      <c r="H4057" s="1" t="s">
        <v>713</v>
      </c>
      <c r="I4057" s="1" t="s">
        <v>714</v>
      </c>
      <c r="J4057" s="1" t="s">
        <v>716</v>
      </c>
      <c r="K4057" s="1" t="s">
        <v>716</v>
      </c>
      <c r="L4057" s="1" t="s">
        <v>8387</v>
      </c>
      <c r="M4057" s="1" t="s">
        <v>718</v>
      </c>
    </row>
    <row r="4058" customFormat="false" ht="15" hidden="false" customHeight="false" outlineLevel="0" collapsed="false">
      <c r="A4058" s="1" t="s">
        <v>16174</v>
      </c>
      <c r="B4058" s="1" t="s">
        <v>16175</v>
      </c>
      <c r="C4058" s="1" t="s">
        <v>16176</v>
      </c>
      <c r="D4058" s="2" t="n">
        <v>30494</v>
      </c>
      <c r="E4058" s="1" t="s">
        <v>763</v>
      </c>
      <c r="F4058" s="1" t="s">
        <v>711</v>
      </c>
      <c r="G4058" s="1" t="s">
        <v>712</v>
      </c>
      <c r="H4058" s="1" t="s">
        <v>713</v>
      </c>
      <c r="I4058" s="1" t="s">
        <v>714</v>
      </c>
      <c r="J4058" s="1" t="s">
        <v>716</v>
      </c>
      <c r="K4058" s="1" t="s">
        <v>716</v>
      </c>
      <c r="L4058" s="1" t="s">
        <v>10572</v>
      </c>
      <c r="M4058" s="1" t="s">
        <v>718</v>
      </c>
    </row>
    <row r="4059" customFormat="false" ht="15" hidden="false" customHeight="false" outlineLevel="0" collapsed="false">
      <c r="A4059" s="1" t="s">
        <v>210</v>
      </c>
      <c r="B4059" s="1" t="s">
        <v>16177</v>
      </c>
      <c r="C4059" s="1" t="s">
        <v>12334</v>
      </c>
      <c r="D4059" s="2" t="n">
        <v>41428</v>
      </c>
      <c r="E4059" s="1" t="s">
        <v>710</v>
      </c>
      <c r="F4059" s="1" t="s">
        <v>711</v>
      </c>
      <c r="G4059" s="1" t="s">
        <v>712</v>
      </c>
      <c r="H4059" s="1" t="s">
        <v>713</v>
      </c>
      <c r="I4059" s="1" t="s">
        <v>714</v>
      </c>
      <c r="J4059" s="1" t="s">
        <v>11173</v>
      </c>
      <c r="K4059" s="1" t="s">
        <v>16178</v>
      </c>
      <c r="L4059" s="1" t="s">
        <v>16179</v>
      </c>
      <c r="M4059" s="1" t="s">
        <v>718</v>
      </c>
    </row>
    <row r="4060" customFormat="false" ht="15" hidden="false" customHeight="false" outlineLevel="0" collapsed="false">
      <c r="A4060" s="1" t="s">
        <v>226</v>
      </c>
      <c r="B4060" s="1" t="s">
        <v>16180</v>
      </c>
      <c r="C4060" s="1" t="s">
        <v>2864</v>
      </c>
      <c r="D4060" s="2" t="n">
        <v>41003</v>
      </c>
      <c r="E4060" s="1" t="s">
        <v>710</v>
      </c>
      <c r="F4060" s="1" t="s">
        <v>711</v>
      </c>
      <c r="G4060" s="1" t="s">
        <v>712</v>
      </c>
      <c r="H4060" s="1" t="s">
        <v>713</v>
      </c>
      <c r="I4060" s="1" t="s">
        <v>714</v>
      </c>
      <c r="J4060" s="1" t="s">
        <v>16181</v>
      </c>
      <c r="K4060" s="1" t="s">
        <v>16182</v>
      </c>
      <c r="L4060" s="1" t="s">
        <v>2866</v>
      </c>
      <c r="M4060" s="1" t="s">
        <v>718</v>
      </c>
    </row>
    <row r="4061" customFormat="false" ht="15" hidden="false" customHeight="false" outlineLevel="0" collapsed="false">
      <c r="A4061" s="1" t="s">
        <v>200</v>
      </c>
      <c r="B4061" s="1" t="s">
        <v>16183</v>
      </c>
      <c r="C4061" s="1" t="s">
        <v>16184</v>
      </c>
      <c r="D4061" s="2" t="n">
        <v>40964</v>
      </c>
      <c r="E4061" s="1" t="s">
        <v>710</v>
      </c>
      <c r="F4061" s="1" t="s">
        <v>711</v>
      </c>
      <c r="G4061" s="1" t="s">
        <v>712</v>
      </c>
      <c r="H4061" s="1" t="s">
        <v>713</v>
      </c>
      <c r="I4061" s="1" t="s">
        <v>714</v>
      </c>
      <c r="J4061" s="1" t="s">
        <v>16185</v>
      </c>
      <c r="K4061" s="1" t="s">
        <v>16186</v>
      </c>
      <c r="L4061" s="1" t="s">
        <v>15627</v>
      </c>
      <c r="M4061" s="1" t="s">
        <v>718</v>
      </c>
    </row>
    <row r="4062" customFormat="false" ht="15" hidden="false" customHeight="false" outlineLevel="0" collapsed="false">
      <c r="A4062" s="1" t="s">
        <v>230</v>
      </c>
      <c r="B4062" s="1" t="s">
        <v>13750</v>
      </c>
      <c r="C4062" s="1" t="s">
        <v>14368</v>
      </c>
      <c r="D4062" s="2" t="n">
        <v>41325</v>
      </c>
      <c r="E4062" s="1" t="s">
        <v>710</v>
      </c>
      <c r="F4062" s="1" t="s">
        <v>711</v>
      </c>
      <c r="G4062" s="1" t="s">
        <v>712</v>
      </c>
      <c r="H4062" s="1" t="s">
        <v>713</v>
      </c>
      <c r="I4062" s="1" t="s">
        <v>714</v>
      </c>
      <c r="J4062" s="1" t="s">
        <v>16187</v>
      </c>
      <c r="K4062" s="1" t="s">
        <v>16188</v>
      </c>
      <c r="L4062" s="1" t="s">
        <v>14370</v>
      </c>
      <c r="M4062" s="1" t="s">
        <v>718</v>
      </c>
    </row>
    <row r="4063" customFormat="false" ht="15" hidden="false" customHeight="false" outlineLevel="0" collapsed="false">
      <c r="A4063" s="1" t="s">
        <v>207</v>
      </c>
      <c r="B4063" s="1" t="s">
        <v>9782</v>
      </c>
      <c r="C4063" s="1" t="s">
        <v>10262</v>
      </c>
      <c r="D4063" s="2" t="n">
        <v>41179</v>
      </c>
      <c r="E4063" s="1" t="s">
        <v>710</v>
      </c>
      <c r="F4063" s="1" t="s">
        <v>711</v>
      </c>
      <c r="G4063" s="1" t="s">
        <v>712</v>
      </c>
      <c r="H4063" s="1" t="s">
        <v>713</v>
      </c>
      <c r="I4063" s="1" t="s">
        <v>714</v>
      </c>
      <c r="J4063" s="1" t="s">
        <v>16189</v>
      </c>
      <c r="K4063" s="1" t="s">
        <v>16190</v>
      </c>
      <c r="L4063" s="1" t="s">
        <v>8227</v>
      </c>
      <c r="M4063" s="1" t="s">
        <v>718</v>
      </c>
    </row>
    <row r="4064" customFormat="false" ht="15" hidden="false" customHeight="false" outlineLevel="0" collapsed="false">
      <c r="A4064" s="1" t="s">
        <v>224</v>
      </c>
      <c r="B4064" s="1" t="s">
        <v>16191</v>
      </c>
      <c r="C4064" s="1" t="s">
        <v>13720</v>
      </c>
      <c r="D4064" s="2" t="n">
        <v>41093</v>
      </c>
      <c r="E4064" s="1" t="s">
        <v>710</v>
      </c>
      <c r="F4064" s="1" t="s">
        <v>711</v>
      </c>
      <c r="G4064" s="1" t="s">
        <v>712</v>
      </c>
      <c r="H4064" s="1" t="s">
        <v>713</v>
      </c>
      <c r="I4064" s="1" t="s">
        <v>714</v>
      </c>
      <c r="J4064" s="1" t="s">
        <v>16192</v>
      </c>
      <c r="K4064" s="1" t="s">
        <v>16193</v>
      </c>
      <c r="L4064" s="1" t="s">
        <v>13722</v>
      </c>
      <c r="M4064" s="1" t="s">
        <v>718</v>
      </c>
    </row>
    <row r="4065" customFormat="false" ht="15" hidden="false" customHeight="false" outlineLevel="0" collapsed="false">
      <c r="A4065" s="1" t="s">
        <v>198</v>
      </c>
      <c r="B4065" s="1" t="s">
        <v>16194</v>
      </c>
      <c r="C4065" s="1" t="s">
        <v>16195</v>
      </c>
      <c r="D4065" s="2" t="n">
        <v>41334</v>
      </c>
      <c r="E4065" s="1" t="s">
        <v>710</v>
      </c>
      <c r="F4065" s="1" t="s">
        <v>711</v>
      </c>
      <c r="G4065" s="1" t="s">
        <v>722</v>
      </c>
      <c r="H4065" s="1" t="s">
        <v>713</v>
      </c>
      <c r="I4065" s="1" t="s">
        <v>714</v>
      </c>
      <c r="J4065" s="1" t="s">
        <v>16196</v>
      </c>
      <c r="K4065" s="1" t="s">
        <v>16197</v>
      </c>
      <c r="L4065" s="1" t="s">
        <v>16198</v>
      </c>
      <c r="M4065" s="1" t="s">
        <v>718</v>
      </c>
    </row>
    <row r="4066" customFormat="false" ht="15" hidden="false" customHeight="false" outlineLevel="0" collapsed="false">
      <c r="A4066" s="1" t="s">
        <v>202</v>
      </c>
      <c r="B4066" s="1" t="s">
        <v>1147</v>
      </c>
      <c r="C4066" s="1" t="s">
        <v>16199</v>
      </c>
      <c r="D4066" s="2" t="n">
        <v>41152</v>
      </c>
      <c r="E4066" s="1" t="s">
        <v>710</v>
      </c>
      <c r="F4066" s="1" t="s">
        <v>711</v>
      </c>
      <c r="G4066" s="1" t="s">
        <v>712</v>
      </c>
      <c r="H4066" s="1" t="s">
        <v>713</v>
      </c>
      <c r="I4066" s="1" t="s">
        <v>714</v>
      </c>
      <c r="J4066" s="1" t="s">
        <v>5654</v>
      </c>
      <c r="K4066" s="1" t="s">
        <v>16200</v>
      </c>
      <c r="L4066" s="1" t="s">
        <v>2604</v>
      </c>
      <c r="M4066" s="1" t="s">
        <v>718</v>
      </c>
    </row>
    <row r="4067" customFormat="false" ht="15" hidden="false" customHeight="false" outlineLevel="0" collapsed="false">
      <c r="A4067" s="1" t="s">
        <v>222</v>
      </c>
      <c r="B4067" s="1" t="s">
        <v>6767</v>
      </c>
      <c r="C4067" s="1" t="s">
        <v>1854</v>
      </c>
      <c r="D4067" s="2" t="n">
        <v>40653</v>
      </c>
      <c r="E4067" s="1" t="s">
        <v>763</v>
      </c>
      <c r="F4067" s="1" t="s">
        <v>711</v>
      </c>
      <c r="G4067" s="1" t="s">
        <v>712</v>
      </c>
      <c r="H4067" s="1" t="s">
        <v>713</v>
      </c>
      <c r="I4067" s="1" t="s">
        <v>714</v>
      </c>
      <c r="J4067" s="1" t="s">
        <v>16187</v>
      </c>
      <c r="K4067" s="1" t="s">
        <v>16201</v>
      </c>
      <c r="L4067" s="1" t="s">
        <v>15165</v>
      </c>
      <c r="M4067" s="1" t="s">
        <v>718</v>
      </c>
    </row>
    <row r="4068" customFormat="false" ht="15" hidden="false" customHeight="false" outlineLevel="0" collapsed="false">
      <c r="A4068" s="1" t="s">
        <v>193</v>
      </c>
      <c r="B4068" s="1" t="s">
        <v>16202</v>
      </c>
      <c r="C4068" s="1" t="s">
        <v>2006</v>
      </c>
      <c r="D4068" s="2" t="n">
        <v>41219</v>
      </c>
      <c r="E4068" s="1" t="s">
        <v>710</v>
      </c>
      <c r="F4068" s="1" t="s">
        <v>711</v>
      </c>
      <c r="G4068" s="1" t="s">
        <v>712</v>
      </c>
      <c r="H4068" s="1" t="s">
        <v>713</v>
      </c>
      <c r="I4068" s="1" t="s">
        <v>714</v>
      </c>
      <c r="J4068" s="1" t="s">
        <v>16203</v>
      </c>
      <c r="K4068" s="1" t="s">
        <v>16204</v>
      </c>
      <c r="L4068" s="1" t="s">
        <v>16205</v>
      </c>
      <c r="M4068" s="1" t="s">
        <v>718</v>
      </c>
    </row>
    <row r="4069" customFormat="false" ht="15" hidden="false" customHeight="false" outlineLevel="0" collapsed="false">
      <c r="A4069" s="1" t="s">
        <v>204</v>
      </c>
      <c r="B4069" s="1" t="s">
        <v>1397</v>
      </c>
      <c r="C4069" s="1" t="s">
        <v>16206</v>
      </c>
      <c r="D4069" s="2" t="n">
        <v>41068</v>
      </c>
      <c r="E4069" s="1" t="s">
        <v>710</v>
      </c>
      <c r="F4069" s="1" t="s">
        <v>711</v>
      </c>
      <c r="G4069" s="1" t="s">
        <v>712</v>
      </c>
      <c r="H4069" s="1" t="s">
        <v>713</v>
      </c>
      <c r="I4069" s="1" t="s">
        <v>714</v>
      </c>
      <c r="J4069" s="1" t="s">
        <v>15400</v>
      </c>
      <c r="K4069" s="1" t="s">
        <v>16207</v>
      </c>
      <c r="L4069" s="1" t="s">
        <v>16208</v>
      </c>
      <c r="M4069" s="1" t="s">
        <v>718</v>
      </c>
    </row>
    <row r="4070" customFormat="false" ht="15" hidden="false" customHeight="false" outlineLevel="0" collapsed="false">
      <c r="A4070" s="1" t="s">
        <v>223</v>
      </c>
      <c r="B4070" s="1" t="s">
        <v>3344</v>
      </c>
      <c r="C4070" s="1" t="s">
        <v>9360</v>
      </c>
      <c r="D4070" s="2" t="n">
        <v>41256</v>
      </c>
      <c r="E4070" s="1" t="s">
        <v>710</v>
      </c>
      <c r="F4070" s="1" t="s">
        <v>711</v>
      </c>
      <c r="G4070" s="1" t="s">
        <v>712</v>
      </c>
      <c r="H4070" s="1" t="s">
        <v>713</v>
      </c>
      <c r="I4070" s="1" t="s">
        <v>714</v>
      </c>
      <c r="J4070" s="1" t="s">
        <v>16209</v>
      </c>
      <c r="K4070" s="1" t="s">
        <v>16210</v>
      </c>
      <c r="L4070" s="1" t="s">
        <v>9362</v>
      </c>
      <c r="M4070" s="1" t="s">
        <v>718</v>
      </c>
    </row>
    <row r="4071" customFormat="false" ht="15" hidden="false" customHeight="false" outlineLevel="0" collapsed="false">
      <c r="A4071" s="1" t="s">
        <v>211</v>
      </c>
      <c r="B4071" s="1" t="s">
        <v>16211</v>
      </c>
      <c r="C4071" s="1" t="s">
        <v>16212</v>
      </c>
      <c r="D4071" s="2" t="n">
        <v>40974</v>
      </c>
      <c r="E4071" s="1" t="s">
        <v>710</v>
      </c>
      <c r="F4071" s="1" t="s">
        <v>711</v>
      </c>
      <c r="G4071" s="1" t="s">
        <v>712</v>
      </c>
      <c r="H4071" s="1" t="s">
        <v>713</v>
      </c>
      <c r="I4071" s="1" t="s">
        <v>714</v>
      </c>
      <c r="J4071" s="1" t="s">
        <v>16213</v>
      </c>
      <c r="K4071" s="1" t="s">
        <v>16214</v>
      </c>
      <c r="L4071" s="1" t="s">
        <v>16215</v>
      </c>
      <c r="M4071" s="1" t="s">
        <v>718</v>
      </c>
    </row>
    <row r="4072" customFormat="false" ht="15" hidden="false" customHeight="false" outlineLevel="0" collapsed="false">
      <c r="A4072" s="1" t="s">
        <v>209</v>
      </c>
      <c r="B4072" s="1" t="s">
        <v>16216</v>
      </c>
      <c r="C4072" s="1" t="s">
        <v>10938</v>
      </c>
      <c r="D4072" s="2" t="n">
        <v>41260</v>
      </c>
      <c r="E4072" s="1" t="s">
        <v>763</v>
      </c>
      <c r="F4072" s="1" t="s">
        <v>711</v>
      </c>
      <c r="G4072" s="1" t="s">
        <v>712</v>
      </c>
      <c r="H4072" s="1" t="s">
        <v>713</v>
      </c>
      <c r="I4072" s="1" t="s">
        <v>714</v>
      </c>
      <c r="J4072" s="1" t="s">
        <v>1055</v>
      </c>
      <c r="K4072" s="1" t="s">
        <v>16217</v>
      </c>
      <c r="L4072" s="1" t="s">
        <v>16218</v>
      </c>
      <c r="M4072" s="1" t="s">
        <v>718</v>
      </c>
    </row>
    <row r="4073" customFormat="false" ht="15" hidden="false" customHeight="false" outlineLevel="0" collapsed="false">
      <c r="A4073" s="1" t="s">
        <v>225</v>
      </c>
      <c r="B4073" s="1" t="s">
        <v>16219</v>
      </c>
      <c r="C4073" s="1" t="s">
        <v>10546</v>
      </c>
      <c r="D4073" s="2" t="n">
        <v>41117</v>
      </c>
      <c r="E4073" s="1" t="s">
        <v>710</v>
      </c>
      <c r="F4073" s="1" t="s">
        <v>711</v>
      </c>
      <c r="G4073" s="1" t="s">
        <v>712</v>
      </c>
      <c r="H4073" s="1" t="s">
        <v>713</v>
      </c>
      <c r="I4073" s="1" t="s">
        <v>714</v>
      </c>
      <c r="J4073" s="1" t="s">
        <v>4239</v>
      </c>
      <c r="K4073" s="1" t="s">
        <v>16220</v>
      </c>
      <c r="L4073" s="1" t="s">
        <v>16221</v>
      </c>
      <c r="M4073" s="1" t="s">
        <v>718</v>
      </c>
    </row>
    <row r="4074" customFormat="false" ht="15" hidden="false" customHeight="false" outlineLevel="0" collapsed="false">
      <c r="A4074" s="1" t="s">
        <v>16222</v>
      </c>
      <c r="B4074" s="1" t="s">
        <v>16223</v>
      </c>
      <c r="C4074" s="1" t="s">
        <v>7316</v>
      </c>
      <c r="D4074" s="2" t="n">
        <v>41178</v>
      </c>
      <c r="E4074" s="1" t="s">
        <v>710</v>
      </c>
      <c r="F4074" s="1" t="s">
        <v>711</v>
      </c>
      <c r="G4074" s="1" t="s">
        <v>712</v>
      </c>
      <c r="H4074" s="1" t="s">
        <v>713</v>
      </c>
      <c r="I4074" s="1" t="s">
        <v>714</v>
      </c>
      <c r="J4074" s="1" t="s">
        <v>16224</v>
      </c>
      <c r="K4074" s="1" t="s">
        <v>16225</v>
      </c>
      <c r="L4074" s="1" t="s">
        <v>16226</v>
      </c>
      <c r="M4074" s="1" t="s">
        <v>718</v>
      </c>
    </row>
    <row r="4075" customFormat="false" ht="15" hidden="false" customHeight="false" outlineLevel="0" collapsed="false">
      <c r="A4075" s="1" t="s">
        <v>214</v>
      </c>
      <c r="B4075" s="1" t="s">
        <v>16227</v>
      </c>
      <c r="C4075" s="1" t="s">
        <v>12741</v>
      </c>
      <c r="D4075" s="2" t="n">
        <v>40962</v>
      </c>
      <c r="E4075" s="1" t="s">
        <v>763</v>
      </c>
      <c r="F4075" s="1" t="s">
        <v>711</v>
      </c>
      <c r="G4075" s="1" t="s">
        <v>722</v>
      </c>
      <c r="H4075" s="1" t="s">
        <v>713</v>
      </c>
      <c r="I4075" s="1" t="s">
        <v>714</v>
      </c>
      <c r="J4075" s="1" t="s">
        <v>4239</v>
      </c>
      <c r="K4075" s="1" t="s">
        <v>16228</v>
      </c>
      <c r="L4075" s="1" t="s">
        <v>12743</v>
      </c>
      <c r="M4075" s="1" t="s">
        <v>718</v>
      </c>
    </row>
    <row r="4076" customFormat="false" ht="15" hidden="false" customHeight="false" outlineLevel="0" collapsed="false">
      <c r="A4076" s="1" t="s">
        <v>229</v>
      </c>
      <c r="B4076" s="1" t="s">
        <v>16229</v>
      </c>
      <c r="C4076" s="1" t="s">
        <v>1109</v>
      </c>
      <c r="D4076" s="2" t="n">
        <v>41040</v>
      </c>
      <c r="E4076" s="1" t="s">
        <v>763</v>
      </c>
      <c r="F4076" s="1" t="s">
        <v>711</v>
      </c>
      <c r="G4076" s="1" t="s">
        <v>712</v>
      </c>
      <c r="H4076" s="1" t="s">
        <v>713</v>
      </c>
      <c r="I4076" s="1" t="s">
        <v>714</v>
      </c>
      <c r="J4076" s="1" t="s">
        <v>16230</v>
      </c>
      <c r="K4076" s="1" t="s">
        <v>16231</v>
      </c>
      <c r="L4076" s="1" t="s">
        <v>16232</v>
      </c>
      <c r="M4076" s="1" t="s">
        <v>718</v>
      </c>
    </row>
    <row r="4077" customFormat="false" ht="15" hidden="false" customHeight="false" outlineLevel="0" collapsed="false">
      <c r="A4077" s="1" t="s">
        <v>201</v>
      </c>
      <c r="B4077" s="1" t="s">
        <v>16233</v>
      </c>
      <c r="C4077" s="1" t="s">
        <v>16234</v>
      </c>
      <c r="D4077" s="2" t="n">
        <v>41163</v>
      </c>
      <c r="E4077" s="1" t="s">
        <v>763</v>
      </c>
      <c r="F4077" s="1" t="s">
        <v>711</v>
      </c>
      <c r="G4077" s="1" t="s">
        <v>712</v>
      </c>
      <c r="H4077" s="1" t="s">
        <v>713</v>
      </c>
      <c r="I4077" s="1" t="s">
        <v>714</v>
      </c>
      <c r="J4077" s="1" t="s">
        <v>15411</v>
      </c>
      <c r="K4077" s="1" t="s">
        <v>16235</v>
      </c>
      <c r="L4077" s="1" t="s">
        <v>16236</v>
      </c>
      <c r="M4077" s="1" t="s">
        <v>718</v>
      </c>
    </row>
    <row r="4078" customFormat="false" ht="15" hidden="false" customHeight="false" outlineLevel="0" collapsed="false">
      <c r="A4078" s="1" t="s">
        <v>203</v>
      </c>
      <c r="B4078" s="1" t="s">
        <v>12532</v>
      </c>
      <c r="C4078" s="1" t="s">
        <v>13065</v>
      </c>
      <c r="D4078" s="2" t="n">
        <v>41037</v>
      </c>
      <c r="E4078" s="1" t="s">
        <v>763</v>
      </c>
      <c r="F4078" s="1" t="s">
        <v>711</v>
      </c>
      <c r="G4078" s="1" t="s">
        <v>712</v>
      </c>
      <c r="H4078" s="1" t="s">
        <v>713</v>
      </c>
      <c r="I4078" s="1" t="s">
        <v>714</v>
      </c>
      <c r="J4078" s="1" t="s">
        <v>16237</v>
      </c>
      <c r="K4078" s="1" t="s">
        <v>16238</v>
      </c>
      <c r="L4078" s="1" t="s">
        <v>16239</v>
      </c>
      <c r="M4078" s="1" t="s">
        <v>718</v>
      </c>
    </row>
    <row r="4079" customFormat="false" ht="15" hidden="false" customHeight="false" outlineLevel="0" collapsed="false">
      <c r="A4079" s="1" t="s">
        <v>228</v>
      </c>
      <c r="B4079" s="1" t="s">
        <v>16240</v>
      </c>
      <c r="C4079" s="1" t="s">
        <v>14649</v>
      </c>
      <c r="D4079" s="2" t="n">
        <v>41274</v>
      </c>
      <c r="E4079" s="1" t="s">
        <v>763</v>
      </c>
      <c r="F4079" s="1" t="s">
        <v>711</v>
      </c>
      <c r="G4079" s="1" t="s">
        <v>712</v>
      </c>
      <c r="H4079" s="1" t="s">
        <v>713</v>
      </c>
      <c r="I4079" s="1" t="s">
        <v>714</v>
      </c>
      <c r="J4079" s="1" t="s">
        <v>16241</v>
      </c>
      <c r="K4079" s="1" t="s">
        <v>16242</v>
      </c>
      <c r="L4079" s="1" t="s">
        <v>14651</v>
      </c>
      <c r="M4079" s="1" t="s">
        <v>718</v>
      </c>
    </row>
    <row r="4080" customFormat="false" ht="15" hidden="false" customHeight="false" outlineLevel="0" collapsed="false">
      <c r="A4080" s="1" t="s">
        <v>206</v>
      </c>
      <c r="B4080" s="1" t="s">
        <v>16243</v>
      </c>
      <c r="C4080" s="1" t="s">
        <v>3556</v>
      </c>
      <c r="D4080" s="2" t="n">
        <v>40928</v>
      </c>
      <c r="E4080" s="1" t="s">
        <v>763</v>
      </c>
      <c r="F4080" s="1" t="s">
        <v>711</v>
      </c>
      <c r="G4080" s="1" t="s">
        <v>712</v>
      </c>
      <c r="H4080" s="1" t="s">
        <v>713</v>
      </c>
      <c r="I4080" s="1" t="s">
        <v>714</v>
      </c>
      <c r="J4080" s="1" t="s">
        <v>1172</v>
      </c>
      <c r="K4080" s="1" t="s">
        <v>16244</v>
      </c>
      <c r="L4080" s="1" t="s">
        <v>8071</v>
      </c>
      <c r="M4080" s="1" t="s">
        <v>718</v>
      </c>
    </row>
    <row r="4081" customFormat="false" ht="15" hidden="false" customHeight="false" outlineLevel="0" collapsed="false">
      <c r="A4081" s="1" t="s">
        <v>16245</v>
      </c>
      <c r="B4081" s="1" t="s">
        <v>16246</v>
      </c>
      <c r="C4081" s="1" t="s">
        <v>16247</v>
      </c>
      <c r="D4081" s="2" t="n">
        <v>41277</v>
      </c>
      <c r="E4081" s="1" t="s">
        <v>763</v>
      </c>
      <c r="F4081" s="1" t="s">
        <v>711</v>
      </c>
      <c r="G4081" s="1" t="s">
        <v>722</v>
      </c>
      <c r="H4081" s="1" t="s">
        <v>713</v>
      </c>
      <c r="I4081" s="1" t="s">
        <v>714</v>
      </c>
      <c r="J4081" s="1" t="s">
        <v>1723</v>
      </c>
      <c r="K4081" s="1" t="s">
        <v>16248</v>
      </c>
      <c r="L4081" s="1" t="s">
        <v>16249</v>
      </c>
      <c r="M4081" s="1" t="s">
        <v>718</v>
      </c>
    </row>
    <row r="4082" customFormat="false" ht="15" hidden="false" customHeight="false" outlineLevel="0" collapsed="false">
      <c r="A4082" s="1" t="s">
        <v>213</v>
      </c>
      <c r="B4082" s="1" t="s">
        <v>16250</v>
      </c>
      <c r="C4082" s="1" t="s">
        <v>11737</v>
      </c>
      <c r="D4082" s="2" t="n">
        <v>40946</v>
      </c>
      <c r="E4082" s="1" t="s">
        <v>763</v>
      </c>
      <c r="F4082" s="1" t="s">
        <v>711</v>
      </c>
      <c r="G4082" s="1" t="s">
        <v>1220</v>
      </c>
      <c r="H4082" s="1" t="s">
        <v>713</v>
      </c>
      <c r="I4082" s="1" t="s">
        <v>714</v>
      </c>
      <c r="J4082" s="1" t="s">
        <v>16224</v>
      </c>
      <c r="K4082" s="1" t="s">
        <v>16251</v>
      </c>
      <c r="L4082" s="1" t="s">
        <v>16252</v>
      </c>
      <c r="M4082" s="1" t="s">
        <v>718</v>
      </c>
    </row>
    <row r="4083" customFormat="false" ht="15" hidden="false" customHeight="false" outlineLevel="0" collapsed="false">
      <c r="A4083" s="1" t="s">
        <v>212</v>
      </c>
      <c r="B4083" s="1" t="s">
        <v>16253</v>
      </c>
      <c r="C4083" s="1" t="s">
        <v>8397</v>
      </c>
      <c r="D4083" s="2" t="n">
        <v>40678</v>
      </c>
      <c r="E4083" s="1" t="s">
        <v>763</v>
      </c>
      <c r="F4083" s="1" t="s">
        <v>711</v>
      </c>
      <c r="G4083" s="1" t="s">
        <v>722</v>
      </c>
      <c r="H4083" s="1" t="s">
        <v>713</v>
      </c>
      <c r="I4083" s="1" t="s">
        <v>714</v>
      </c>
      <c r="J4083" s="1" t="s">
        <v>16254</v>
      </c>
      <c r="K4083" s="1" t="s">
        <v>16255</v>
      </c>
      <c r="L4083" s="1" t="s">
        <v>8400</v>
      </c>
      <c r="M4083" s="1" t="s">
        <v>718</v>
      </c>
    </row>
    <row r="4084" customFormat="false" ht="15" hidden="false" customHeight="false" outlineLevel="0" collapsed="false">
      <c r="A4084" s="1" t="s">
        <v>205</v>
      </c>
      <c r="B4084" s="1" t="s">
        <v>16256</v>
      </c>
      <c r="C4084" s="1" t="s">
        <v>3163</v>
      </c>
      <c r="D4084" s="2" t="n">
        <v>40162</v>
      </c>
      <c r="E4084" s="1" t="s">
        <v>763</v>
      </c>
      <c r="F4084" s="1" t="s">
        <v>711</v>
      </c>
      <c r="G4084" s="1" t="s">
        <v>712</v>
      </c>
      <c r="H4084" s="1" t="s">
        <v>713</v>
      </c>
      <c r="I4084" s="1" t="s">
        <v>714</v>
      </c>
      <c r="J4084" s="1" t="s">
        <v>5767</v>
      </c>
      <c r="K4084" s="1" t="s">
        <v>16257</v>
      </c>
      <c r="L4084" s="1" t="s">
        <v>12963</v>
      </c>
      <c r="M4084" s="1" t="s">
        <v>718</v>
      </c>
    </row>
    <row r="4085" customFormat="false" ht="15" hidden="false" customHeight="false" outlineLevel="0" collapsed="false">
      <c r="A4085" s="1" t="s">
        <v>221</v>
      </c>
      <c r="B4085" s="1" t="s">
        <v>16258</v>
      </c>
      <c r="C4085" s="1" t="s">
        <v>16259</v>
      </c>
      <c r="D4085" s="2" t="n">
        <v>40627</v>
      </c>
      <c r="E4085" s="1" t="s">
        <v>763</v>
      </c>
      <c r="F4085" s="1" t="s">
        <v>711</v>
      </c>
      <c r="G4085" s="1" t="s">
        <v>712</v>
      </c>
      <c r="H4085" s="1" t="s">
        <v>713</v>
      </c>
      <c r="I4085" s="1" t="s">
        <v>714</v>
      </c>
      <c r="J4085" s="1" t="s">
        <v>16260</v>
      </c>
      <c r="K4085" s="1" t="s">
        <v>16261</v>
      </c>
      <c r="L4085" s="1" t="s">
        <v>16262</v>
      </c>
      <c r="M4085" s="1" t="s">
        <v>718</v>
      </c>
    </row>
    <row r="4086" customFormat="false" ht="15" hidden="false" customHeight="false" outlineLevel="0" collapsed="false">
      <c r="A4086" s="1" t="s">
        <v>199</v>
      </c>
      <c r="B4086" s="1" t="s">
        <v>16263</v>
      </c>
      <c r="C4086" s="1" t="s">
        <v>16264</v>
      </c>
      <c r="D4086" s="2" t="n">
        <v>41156</v>
      </c>
      <c r="E4086" s="1" t="s">
        <v>763</v>
      </c>
      <c r="F4086" s="1" t="s">
        <v>711</v>
      </c>
      <c r="G4086" s="1" t="s">
        <v>712</v>
      </c>
      <c r="H4086" s="1" t="s">
        <v>713</v>
      </c>
      <c r="I4086" s="1" t="s">
        <v>714</v>
      </c>
      <c r="J4086" s="1" t="s">
        <v>16260</v>
      </c>
      <c r="K4086" s="1" t="s">
        <v>16265</v>
      </c>
      <c r="L4086" s="1" t="s">
        <v>16266</v>
      </c>
      <c r="M4086" s="1" t="s">
        <v>718</v>
      </c>
    </row>
    <row r="4087" customFormat="false" ht="15" hidden="false" customHeight="false" outlineLevel="0" collapsed="false">
      <c r="A4087" s="1" t="s">
        <v>195</v>
      </c>
      <c r="B4087" s="1" t="s">
        <v>16267</v>
      </c>
      <c r="C4087" s="1" t="s">
        <v>1743</v>
      </c>
      <c r="D4087" s="2" t="n">
        <v>40667</v>
      </c>
      <c r="E4087" s="1" t="s">
        <v>763</v>
      </c>
      <c r="F4087" s="1" t="s">
        <v>711</v>
      </c>
      <c r="G4087" s="1" t="s">
        <v>712</v>
      </c>
      <c r="H4087" s="1" t="s">
        <v>713</v>
      </c>
      <c r="I4087" s="1" t="s">
        <v>714</v>
      </c>
      <c r="J4087" s="1" t="s">
        <v>1131</v>
      </c>
      <c r="K4087" s="1" t="s">
        <v>16268</v>
      </c>
      <c r="L4087" s="1" t="s">
        <v>14475</v>
      </c>
      <c r="M4087" s="1" t="s">
        <v>718</v>
      </c>
    </row>
    <row r="4088" customFormat="false" ht="15" hidden="false" customHeight="false" outlineLevel="0" collapsed="false">
      <c r="A4088" s="1" t="s">
        <v>289</v>
      </c>
      <c r="B4088" s="1" t="s">
        <v>2548</v>
      </c>
      <c r="C4088" s="1" t="s">
        <v>14349</v>
      </c>
      <c r="D4088" s="2" t="n">
        <v>40970</v>
      </c>
      <c r="E4088" s="1" t="s">
        <v>763</v>
      </c>
      <c r="F4088" s="1" t="s">
        <v>711</v>
      </c>
      <c r="G4088" s="1" t="s">
        <v>712</v>
      </c>
      <c r="H4088" s="1" t="s">
        <v>713</v>
      </c>
      <c r="I4088" s="1" t="s">
        <v>714</v>
      </c>
      <c r="J4088" s="1" t="s">
        <v>821</v>
      </c>
      <c r="K4088" s="1" t="s">
        <v>16269</v>
      </c>
      <c r="L4088" s="1" t="s">
        <v>9522</v>
      </c>
      <c r="M4088" s="1" t="s">
        <v>718</v>
      </c>
    </row>
    <row r="4089" customFormat="false" ht="15" hidden="false" customHeight="false" outlineLevel="0" collapsed="false">
      <c r="A4089" s="1" t="s">
        <v>296</v>
      </c>
      <c r="B4089" s="1" t="s">
        <v>16270</v>
      </c>
      <c r="C4089" s="1" t="s">
        <v>3329</v>
      </c>
      <c r="D4089" s="2" t="n">
        <v>41346</v>
      </c>
      <c r="E4089" s="1" t="s">
        <v>763</v>
      </c>
      <c r="F4089" s="1" t="s">
        <v>711</v>
      </c>
      <c r="G4089" s="1" t="s">
        <v>712</v>
      </c>
      <c r="H4089" s="1" t="s">
        <v>713</v>
      </c>
      <c r="I4089" s="1" t="s">
        <v>714</v>
      </c>
      <c r="J4089" s="1" t="s">
        <v>715</v>
      </c>
      <c r="K4089" s="1" t="s">
        <v>16271</v>
      </c>
      <c r="L4089" s="1" t="s">
        <v>16272</v>
      </c>
      <c r="M4089" s="1" t="s">
        <v>718</v>
      </c>
    </row>
    <row r="4090" customFormat="false" ht="15" hidden="false" customHeight="false" outlineLevel="0" collapsed="false">
      <c r="A4090" s="1" t="s">
        <v>288</v>
      </c>
      <c r="B4090" s="1" t="s">
        <v>16273</v>
      </c>
      <c r="C4090" s="1" t="s">
        <v>14269</v>
      </c>
      <c r="D4090" s="2" t="n">
        <v>41102</v>
      </c>
      <c r="E4090" s="1" t="s">
        <v>710</v>
      </c>
      <c r="F4090" s="1" t="s">
        <v>711</v>
      </c>
      <c r="G4090" s="1" t="s">
        <v>712</v>
      </c>
      <c r="H4090" s="1" t="s">
        <v>713</v>
      </c>
      <c r="I4090" s="1" t="s">
        <v>714</v>
      </c>
      <c r="J4090" s="1" t="s">
        <v>1131</v>
      </c>
      <c r="K4090" s="1" t="s">
        <v>16274</v>
      </c>
      <c r="L4090" s="1" t="s">
        <v>14271</v>
      </c>
      <c r="M4090" s="1" t="s">
        <v>718</v>
      </c>
    </row>
    <row r="4091" customFormat="false" ht="15" hidden="false" customHeight="false" outlineLevel="0" collapsed="false">
      <c r="A4091" s="1" t="s">
        <v>277</v>
      </c>
      <c r="B4091" s="1" t="s">
        <v>16275</v>
      </c>
      <c r="C4091" s="1" t="s">
        <v>1049</v>
      </c>
      <c r="D4091" s="2" t="n">
        <v>41398</v>
      </c>
      <c r="E4091" s="1" t="s">
        <v>710</v>
      </c>
      <c r="F4091" s="1" t="s">
        <v>711</v>
      </c>
      <c r="G4091" s="1" t="s">
        <v>722</v>
      </c>
      <c r="H4091" s="1" t="s">
        <v>713</v>
      </c>
      <c r="I4091" s="1" t="s">
        <v>714</v>
      </c>
      <c r="J4091" s="1" t="s">
        <v>1131</v>
      </c>
      <c r="K4091" s="1" t="s">
        <v>16276</v>
      </c>
      <c r="L4091" s="1" t="s">
        <v>12076</v>
      </c>
      <c r="M4091" s="1" t="s">
        <v>718</v>
      </c>
    </row>
    <row r="4092" customFormat="false" ht="15" hidden="false" customHeight="false" outlineLevel="0" collapsed="false">
      <c r="A4092" s="1" t="s">
        <v>284</v>
      </c>
      <c r="B4092" s="1" t="s">
        <v>16277</v>
      </c>
      <c r="C4092" s="1" t="s">
        <v>3817</v>
      </c>
      <c r="D4092" s="2" t="n">
        <v>41178</v>
      </c>
      <c r="E4092" s="1" t="s">
        <v>710</v>
      </c>
      <c r="F4092" s="1" t="s">
        <v>711</v>
      </c>
      <c r="G4092" s="1" t="s">
        <v>712</v>
      </c>
      <c r="H4092" s="1" t="s">
        <v>713</v>
      </c>
      <c r="I4092" s="1" t="s">
        <v>714</v>
      </c>
      <c r="J4092" s="1" t="s">
        <v>1131</v>
      </c>
      <c r="K4092" s="1" t="s">
        <v>16278</v>
      </c>
      <c r="L4092" s="1" t="s">
        <v>16279</v>
      </c>
      <c r="M4092" s="1" t="s">
        <v>718</v>
      </c>
    </row>
    <row r="4093" customFormat="false" ht="15" hidden="false" customHeight="false" outlineLevel="0" collapsed="false">
      <c r="A4093" s="1" t="s">
        <v>298</v>
      </c>
      <c r="B4093" s="1" t="s">
        <v>2206</v>
      </c>
      <c r="C4093" s="1" t="s">
        <v>16280</v>
      </c>
      <c r="D4093" s="2" t="n">
        <v>41551</v>
      </c>
      <c r="E4093" s="1" t="s">
        <v>710</v>
      </c>
      <c r="F4093" s="1" t="s">
        <v>711</v>
      </c>
      <c r="G4093" s="1" t="s">
        <v>712</v>
      </c>
      <c r="H4093" s="1" t="s">
        <v>713</v>
      </c>
      <c r="I4093" s="1" t="s">
        <v>714</v>
      </c>
      <c r="J4093" s="1" t="s">
        <v>821</v>
      </c>
      <c r="K4093" s="1" t="s">
        <v>16281</v>
      </c>
      <c r="L4093" s="1" t="s">
        <v>16282</v>
      </c>
      <c r="M4093" s="1" t="s">
        <v>718</v>
      </c>
    </row>
    <row r="4094" customFormat="false" ht="15" hidden="false" customHeight="false" outlineLevel="0" collapsed="false">
      <c r="A4094" s="1" t="s">
        <v>269</v>
      </c>
      <c r="B4094" s="1" t="s">
        <v>11191</v>
      </c>
      <c r="C4094" s="1" t="s">
        <v>15179</v>
      </c>
      <c r="D4094" s="2" t="n">
        <v>41220</v>
      </c>
      <c r="E4094" s="1" t="s">
        <v>710</v>
      </c>
      <c r="F4094" s="1" t="s">
        <v>711</v>
      </c>
      <c r="G4094" s="1" t="s">
        <v>712</v>
      </c>
      <c r="H4094" s="1" t="s">
        <v>713</v>
      </c>
      <c r="I4094" s="1" t="s">
        <v>714</v>
      </c>
      <c r="J4094" s="1" t="s">
        <v>1172</v>
      </c>
      <c r="K4094" s="1" t="s">
        <v>16283</v>
      </c>
      <c r="L4094" s="1" t="s">
        <v>15181</v>
      </c>
      <c r="M4094" s="1" t="s">
        <v>718</v>
      </c>
    </row>
    <row r="4095" customFormat="false" ht="15" hidden="false" customHeight="false" outlineLevel="0" collapsed="false">
      <c r="A4095" s="1" t="s">
        <v>270</v>
      </c>
      <c r="B4095" s="1" t="s">
        <v>1668</v>
      </c>
      <c r="C4095" s="1" t="s">
        <v>16284</v>
      </c>
      <c r="D4095" s="2" t="n">
        <v>40920</v>
      </c>
      <c r="E4095" s="1" t="s">
        <v>710</v>
      </c>
      <c r="F4095" s="1" t="s">
        <v>711</v>
      </c>
      <c r="G4095" s="1" t="s">
        <v>712</v>
      </c>
      <c r="H4095" s="1" t="s">
        <v>713</v>
      </c>
      <c r="I4095" s="1" t="s">
        <v>714</v>
      </c>
      <c r="J4095" s="1" t="s">
        <v>5211</v>
      </c>
      <c r="K4095" s="1" t="s">
        <v>16285</v>
      </c>
      <c r="L4095" s="1" t="s">
        <v>16286</v>
      </c>
      <c r="M4095" s="1" t="s">
        <v>718</v>
      </c>
    </row>
    <row r="4096" customFormat="false" ht="15" hidden="false" customHeight="false" outlineLevel="0" collapsed="false">
      <c r="A4096" s="1" t="s">
        <v>286</v>
      </c>
      <c r="B4096" s="1" t="s">
        <v>16287</v>
      </c>
      <c r="C4096" s="1" t="s">
        <v>16288</v>
      </c>
      <c r="D4096" s="2" t="n">
        <v>41042</v>
      </c>
      <c r="E4096" s="1" t="s">
        <v>710</v>
      </c>
      <c r="F4096" s="1" t="s">
        <v>711</v>
      </c>
      <c r="G4096" s="1" t="s">
        <v>722</v>
      </c>
      <c r="H4096" s="1" t="s">
        <v>713</v>
      </c>
      <c r="I4096" s="1" t="s">
        <v>714</v>
      </c>
      <c r="J4096" s="1" t="s">
        <v>790</v>
      </c>
      <c r="K4096" s="1" t="s">
        <v>16289</v>
      </c>
      <c r="L4096" s="1" t="s">
        <v>16290</v>
      </c>
      <c r="M4096" s="1" t="s">
        <v>718</v>
      </c>
    </row>
    <row r="4097" customFormat="false" ht="15" hidden="false" customHeight="false" outlineLevel="0" collapsed="false">
      <c r="A4097" s="1" t="s">
        <v>267</v>
      </c>
      <c r="B4097" s="1" t="s">
        <v>16291</v>
      </c>
      <c r="C4097" s="1" t="s">
        <v>750</v>
      </c>
      <c r="D4097" s="2" t="n">
        <v>41033</v>
      </c>
      <c r="E4097" s="1" t="s">
        <v>763</v>
      </c>
      <c r="F4097" s="1" t="s">
        <v>711</v>
      </c>
      <c r="G4097" s="1" t="s">
        <v>712</v>
      </c>
      <c r="H4097" s="1" t="s">
        <v>713</v>
      </c>
      <c r="I4097" s="1" t="s">
        <v>714</v>
      </c>
      <c r="J4097" s="1" t="s">
        <v>2001</v>
      </c>
      <c r="K4097" s="1" t="s">
        <v>16292</v>
      </c>
      <c r="L4097" s="1" t="s">
        <v>6841</v>
      </c>
      <c r="M4097" s="1" t="s">
        <v>718</v>
      </c>
    </row>
    <row r="4098" customFormat="false" ht="15" hidden="false" customHeight="false" outlineLevel="0" collapsed="false">
      <c r="A4098" s="1" t="s">
        <v>299</v>
      </c>
      <c r="B4098" s="1" t="s">
        <v>16293</v>
      </c>
      <c r="C4098" s="1" t="s">
        <v>16294</v>
      </c>
      <c r="D4098" s="2" t="n">
        <v>41496</v>
      </c>
      <c r="E4098" s="1" t="s">
        <v>710</v>
      </c>
      <c r="F4098" s="1" t="s">
        <v>711</v>
      </c>
      <c r="G4098" s="1" t="s">
        <v>712</v>
      </c>
      <c r="H4098" s="1" t="s">
        <v>713</v>
      </c>
      <c r="I4098" s="1" t="s">
        <v>714</v>
      </c>
      <c r="J4098" s="1" t="s">
        <v>4239</v>
      </c>
      <c r="K4098" s="1" t="s">
        <v>16295</v>
      </c>
      <c r="L4098" s="1" t="s">
        <v>16296</v>
      </c>
      <c r="M4098" s="1" t="s">
        <v>718</v>
      </c>
    </row>
    <row r="4099" customFormat="false" ht="15" hidden="false" customHeight="false" outlineLevel="0" collapsed="false">
      <c r="A4099" s="1" t="s">
        <v>293</v>
      </c>
      <c r="B4099" s="1" t="s">
        <v>16297</v>
      </c>
      <c r="C4099" s="1" t="s">
        <v>2965</v>
      </c>
      <c r="D4099" s="2" t="n">
        <v>41128</v>
      </c>
      <c r="E4099" s="1" t="s">
        <v>763</v>
      </c>
      <c r="F4099" s="1" t="s">
        <v>711</v>
      </c>
      <c r="G4099" s="1" t="s">
        <v>712</v>
      </c>
      <c r="H4099" s="1" t="s">
        <v>713</v>
      </c>
      <c r="I4099" s="1" t="s">
        <v>714</v>
      </c>
      <c r="J4099" s="1" t="s">
        <v>1723</v>
      </c>
      <c r="K4099" s="1" t="s">
        <v>16298</v>
      </c>
      <c r="L4099" s="1" t="s">
        <v>3993</v>
      </c>
      <c r="M4099" s="1" t="s">
        <v>718</v>
      </c>
    </row>
    <row r="4100" customFormat="false" ht="15" hidden="false" customHeight="false" outlineLevel="0" collapsed="false">
      <c r="A4100" s="1" t="s">
        <v>231</v>
      </c>
      <c r="B4100" s="1" t="s">
        <v>16299</v>
      </c>
      <c r="C4100" s="1" t="s">
        <v>7807</v>
      </c>
      <c r="D4100" s="2" t="n">
        <v>40483</v>
      </c>
      <c r="E4100" s="1" t="s">
        <v>763</v>
      </c>
      <c r="F4100" s="1" t="s">
        <v>711</v>
      </c>
      <c r="G4100" s="1" t="s">
        <v>712</v>
      </c>
      <c r="H4100" s="1" t="s">
        <v>713</v>
      </c>
      <c r="I4100" s="1" t="s">
        <v>714</v>
      </c>
      <c r="J4100" s="1" t="s">
        <v>1530</v>
      </c>
      <c r="K4100" s="1" t="s">
        <v>16300</v>
      </c>
      <c r="L4100" s="1" t="s">
        <v>14975</v>
      </c>
      <c r="M4100" s="1" t="s">
        <v>718</v>
      </c>
    </row>
    <row r="4101" customFormat="false" ht="15" hidden="false" customHeight="false" outlineLevel="0" collapsed="false">
      <c r="A4101" s="1" t="s">
        <v>295</v>
      </c>
      <c r="B4101" s="1" t="s">
        <v>16301</v>
      </c>
      <c r="C4101" s="1" t="s">
        <v>16302</v>
      </c>
      <c r="D4101" s="2" t="n">
        <v>41003</v>
      </c>
      <c r="E4101" s="1" t="s">
        <v>763</v>
      </c>
      <c r="F4101" s="1" t="s">
        <v>711</v>
      </c>
      <c r="G4101" s="1" t="s">
        <v>712</v>
      </c>
      <c r="H4101" s="1" t="s">
        <v>713</v>
      </c>
      <c r="I4101" s="1" t="s">
        <v>714</v>
      </c>
      <c r="J4101" s="1" t="s">
        <v>1530</v>
      </c>
      <c r="K4101" s="1" t="s">
        <v>16303</v>
      </c>
      <c r="L4101" s="1" t="s">
        <v>16304</v>
      </c>
      <c r="M4101" s="1" t="s">
        <v>718</v>
      </c>
    </row>
    <row r="4102" customFormat="false" ht="15" hidden="false" customHeight="false" outlineLevel="0" collapsed="false">
      <c r="A4102" s="1" t="s">
        <v>294</v>
      </c>
      <c r="B4102" s="1" t="s">
        <v>16305</v>
      </c>
      <c r="C4102" s="1" t="s">
        <v>16306</v>
      </c>
      <c r="D4102" s="2" t="n">
        <v>41054</v>
      </c>
      <c r="E4102" s="1" t="s">
        <v>763</v>
      </c>
      <c r="F4102" s="1" t="s">
        <v>711</v>
      </c>
      <c r="G4102" s="1" t="s">
        <v>712</v>
      </c>
      <c r="H4102" s="1" t="s">
        <v>713</v>
      </c>
      <c r="I4102" s="1" t="s">
        <v>714</v>
      </c>
      <c r="J4102" s="1" t="s">
        <v>1390</v>
      </c>
      <c r="K4102" s="1" t="s">
        <v>16307</v>
      </c>
      <c r="L4102" s="1" t="s">
        <v>16308</v>
      </c>
      <c r="M4102" s="1" t="s">
        <v>718</v>
      </c>
    </row>
    <row r="4103" customFormat="false" ht="15" hidden="false" customHeight="false" outlineLevel="0" collapsed="false">
      <c r="A4103" s="1" t="s">
        <v>16309</v>
      </c>
      <c r="B4103" s="1" t="s">
        <v>2071</v>
      </c>
      <c r="C4103" s="1" t="s">
        <v>16310</v>
      </c>
      <c r="D4103" s="2" t="n">
        <v>40407</v>
      </c>
      <c r="E4103" s="1" t="s">
        <v>710</v>
      </c>
      <c r="F4103" s="1" t="s">
        <v>711</v>
      </c>
      <c r="G4103" s="1" t="s">
        <v>712</v>
      </c>
      <c r="H4103" s="1" t="s">
        <v>713</v>
      </c>
      <c r="I4103" s="1" t="s">
        <v>714</v>
      </c>
      <c r="J4103" s="1" t="s">
        <v>1244</v>
      </c>
      <c r="K4103" s="1" t="s">
        <v>16311</v>
      </c>
      <c r="L4103" s="1" t="s">
        <v>16312</v>
      </c>
      <c r="M4103" s="1" t="s">
        <v>718</v>
      </c>
    </row>
    <row r="4104" customFormat="false" ht="15" hidden="false" customHeight="false" outlineLevel="0" collapsed="false">
      <c r="A4104" s="1" t="s">
        <v>271</v>
      </c>
      <c r="B4104" s="1" t="s">
        <v>16313</v>
      </c>
      <c r="C4104" s="1" t="s">
        <v>16314</v>
      </c>
      <c r="D4104" s="2" t="n">
        <v>40521</v>
      </c>
      <c r="E4104" s="1" t="s">
        <v>763</v>
      </c>
      <c r="F4104" s="1" t="s">
        <v>711</v>
      </c>
      <c r="G4104" s="1" t="s">
        <v>712</v>
      </c>
      <c r="H4104" s="1" t="s">
        <v>713</v>
      </c>
      <c r="I4104" s="1" t="s">
        <v>714</v>
      </c>
      <c r="J4104" s="1" t="s">
        <v>1723</v>
      </c>
      <c r="K4104" s="1" t="s">
        <v>16315</v>
      </c>
      <c r="L4104" s="1" t="s">
        <v>16316</v>
      </c>
      <c r="M4104" s="1" t="s">
        <v>718</v>
      </c>
    </row>
    <row r="4105" customFormat="false" ht="15" hidden="false" customHeight="false" outlineLevel="0" collapsed="false">
      <c r="A4105" s="1" t="s">
        <v>291</v>
      </c>
      <c r="B4105" s="1" t="s">
        <v>16317</v>
      </c>
      <c r="C4105" s="1" t="s">
        <v>750</v>
      </c>
      <c r="D4105" s="2" t="n">
        <v>41103</v>
      </c>
      <c r="E4105" s="1" t="s">
        <v>763</v>
      </c>
      <c r="F4105" s="1" t="s">
        <v>711</v>
      </c>
      <c r="G4105" s="1" t="s">
        <v>712</v>
      </c>
      <c r="H4105" s="1" t="s">
        <v>713</v>
      </c>
      <c r="I4105" s="1" t="s">
        <v>714</v>
      </c>
      <c r="J4105" s="1" t="s">
        <v>15812</v>
      </c>
      <c r="K4105" s="1" t="s">
        <v>16318</v>
      </c>
      <c r="L4105" s="1" t="s">
        <v>16319</v>
      </c>
      <c r="M4105" s="1" t="s">
        <v>718</v>
      </c>
    </row>
    <row r="4106" customFormat="false" ht="15" hidden="false" customHeight="false" outlineLevel="0" collapsed="false">
      <c r="A4106" s="1" t="s">
        <v>285</v>
      </c>
      <c r="B4106" s="1" t="s">
        <v>16320</v>
      </c>
      <c r="C4106" s="1" t="s">
        <v>2369</v>
      </c>
      <c r="D4106" s="2" t="n">
        <v>41045</v>
      </c>
      <c r="E4106" s="1" t="s">
        <v>763</v>
      </c>
      <c r="F4106" s="1" t="s">
        <v>711</v>
      </c>
      <c r="G4106" s="1" t="s">
        <v>712</v>
      </c>
      <c r="H4106" s="1" t="s">
        <v>713</v>
      </c>
      <c r="I4106" s="1" t="s">
        <v>714</v>
      </c>
      <c r="J4106" s="1" t="s">
        <v>715</v>
      </c>
      <c r="K4106" s="1" t="s">
        <v>16321</v>
      </c>
      <c r="L4106" s="1" t="s">
        <v>11555</v>
      </c>
      <c r="M4106" s="1" t="s">
        <v>718</v>
      </c>
    </row>
    <row r="4107" customFormat="false" ht="15" hidden="false" customHeight="false" outlineLevel="0" collapsed="false">
      <c r="A4107" s="1" t="s">
        <v>290</v>
      </c>
      <c r="B4107" s="1" t="s">
        <v>16322</v>
      </c>
      <c r="C4107" s="1" t="s">
        <v>15170</v>
      </c>
      <c r="D4107" s="2" t="n">
        <v>41069</v>
      </c>
      <c r="E4107" s="1" t="s">
        <v>763</v>
      </c>
      <c r="F4107" s="1" t="s">
        <v>711</v>
      </c>
      <c r="G4107" s="1" t="s">
        <v>712</v>
      </c>
      <c r="H4107" s="1" t="s">
        <v>713</v>
      </c>
      <c r="I4107" s="1" t="s">
        <v>714</v>
      </c>
      <c r="J4107" s="1" t="s">
        <v>1114</v>
      </c>
      <c r="K4107" s="1" t="s">
        <v>16323</v>
      </c>
      <c r="L4107" s="1" t="s">
        <v>15173</v>
      </c>
      <c r="M4107" s="1" t="s">
        <v>718</v>
      </c>
    </row>
    <row r="4108" customFormat="false" ht="15" hidden="false" customHeight="false" outlineLevel="0" collapsed="false">
      <c r="A4108" s="1" t="s">
        <v>265</v>
      </c>
      <c r="B4108" s="1" t="s">
        <v>16324</v>
      </c>
      <c r="C4108" s="1" t="s">
        <v>9028</v>
      </c>
      <c r="D4108" s="2" t="n">
        <v>41080</v>
      </c>
      <c r="E4108" s="1" t="s">
        <v>710</v>
      </c>
      <c r="F4108" s="1" t="s">
        <v>711</v>
      </c>
      <c r="G4108" s="1" t="s">
        <v>14277</v>
      </c>
      <c r="H4108" s="1" t="s">
        <v>713</v>
      </c>
      <c r="I4108" s="1" t="s">
        <v>714</v>
      </c>
      <c r="J4108" s="1" t="s">
        <v>1398</v>
      </c>
      <c r="K4108" s="1" t="s">
        <v>16325</v>
      </c>
      <c r="L4108" s="1" t="s">
        <v>15652</v>
      </c>
      <c r="M4108" s="1" t="s">
        <v>718</v>
      </c>
    </row>
    <row r="4109" customFormat="false" ht="15" hidden="false" customHeight="false" outlineLevel="0" collapsed="false">
      <c r="A4109" s="1" t="s">
        <v>275</v>
      </c>
      <c r="B4109" s="1" t="s">
        <v>16326</v>
      </c>
      <c r="C4109" s="1" t="s">
        <v>750</v>
      </c>
      <c r="D4109" s="2" t="n">
        <v>41228</v>
      </c>
      <c r="E4109" s="1" t="s">
        <v>763</v>
      </c>
      <c r="F4109" s="1" t="s">
        <v>711</v>
      </c>
      <c r="G4109" s="1" t="s">
        <v>722</v>
      </c>
      <c r="H4109" s="1" t="s">
        <v>713</v>
      </c>
      <c r="I4109" s="1" t="s">
        <v>714</v>
      </c>
      <c r="J4109" s="1" t="s">
        <v>1398</v>
      </c>
      <c r="K4109" s="1" t="s">
        <v>16327</v>
      </c>
      <c r="L4109" s="1" t="s">
        <v>15793</v>
      </c>
      <c r="M4109" s="1" t="s">
        <v>718</v>
      </c>
    </row>
    <row r="4110" customFormat="false" ht="15" hidden="false" customHeight="false" outlineLevel="0" collapsed="false">
      <c r="A4110" s="1" t="s">
        <v>273</v>
      </c>
      <c r="B4110" s="1" t="s">
        <v>16328</v>
      </c>
      <c r="C4110" s="1" t="s">
        <v>1610</v>
      </c>
      <c r="D4110" s="2" t="n">
        <v>41436</v>
      </c>
      <c r="E4110" s="1" t="s">
        <v>763</v>
      </c>
      <c r="F4110" s="1" t="s">
        <v>711</v>
      </c>
      <c r="G4110" s="1" t="s">
        <v>712</v>
      </c>
      <c r="H4110" s="1" t="s">
        <v>713</v>
      </c>
      <c r="I4110" s="1" t="s">
        <v>714</v>
      </c>
      <c r="J4110" s="1" t="s">
        <v>1398</v>
      </c>
      <c r="K4110" s="1" t="s">
        <v>16327</v>
      </c>
      <c r="L4110" s="1" t="s">
        <v>15793</v>
      </c>
      <c r="M4110" s="1" t="s">
        <v>718</v>
      </c>
    </row>
    <row r="4111" customFormat="false" ht="15" hidden="false" customHeight="false" outlineLevel="0" collapsed="false">
      <c r="A4111" s="1" t="s">
        <v>297</v>
      </c>
      <c r="B4111" s="1" t="s">
        <v>7419</v>
      </c>
      <c r="C4111" s="1" t="s">
        <v>16329</v>
      </c>
      <c r="D4111" s="2" t="n">
        <v>41568</v>
      </c>
      <c r="E4111" s="1" t="s">
        <v>763</v>
      </c>
      <c r="F4111" s="1" t="s">
        <v>711</v>
      </c>
      <c r="G4111" s="1" t="s">
        <v>722</v>
      </c>
      <c r="H4111" s="1" t="s">
        <v>713</v>
      </c>
      <c r="I4111" s="1" t="s">
        <v>714</v>
      </c>
      <c r="J4111" s="1" t="s">
        <v>1398</v>
      </c>
      <c r="K4111" s="1" t="s">
        <v>16330</v>
      </c>
      <c r="L4111" s="1" t="s">
        <v>16331</v>
      </c>
      <c r="M4111" s="1" t="s">
        <v>718</v>
      </c>
    </row>
    <row r="4112" customFormat="false" ht="15" hidden="false" customHeight="false" outlineLevel="0" collapsed="false">
      <c r="A4112" s="1" t="s">
        <v>266</v>
      </c>
      <c r="B4112" s="1" t="s">
        <v>16332</v>
      </c>
      <c r="C4112" s="1" t="s">
        <v>16131</v>
      </c>
      <c r="D4112" s="2" t="n">
        <v>40743</v>
      </c>
      <c r="E4112" s="1" t="s">
        <v>763</v>
      </c>
      <c r="F4112" s="1" t="s">
        <v>711</v>
      </c>
      <c r="G4112" s="1" t="s">
        <v>712</v>
      </c>
      <c r="H4112" s="1" t="s">
        <v>713</v>
      </c>
      <c r="I4112" s="1" t="s">
        <v>714</v>
      </c>
      <c r="J4112" s="1" t="s">
        <v>1530</v>
      </c>
      <c r="K4112" s="1" t="s">
        <v>16333</v>
      </c>
      <c r="L4112" s="1" t="s">
        <v>16334</v>
      </c>
      <c r="M4112" s="1" t="s">
        <v>718</v>
      </c>
    </row>
    <row r="4113" customFormat="false" ht="15" hidden="false" customHeight="false" outlineLevel="0" collapsed="false">
      <c r="A4113" s="1" t="s">
        <v>274</v>
      </c>
      <c r="B4113" s="1" t="s">
        <v>16335</v>
      </c>
      <c r="C4113" s="1" t="s">
        <v>16336</v>
      </c>
      <c r="D4113" s="2" t="n">
        <v>41314</v>
      </c>
      <c r="E4113" s="1" t="s">
        <v>763</v>
      </c>
      <c r="F4113" s="1" t="s">
        <v>711</v>
      </c>
      <c r="G4113" s="1" t="s">
        <v>712</v>
      </c>
      <c r="H4113" s="1" t="s">
        <v>713</v>
      </c>
      <c r="I4113" s="1" t="s">
        <v>714</v>
      </c>
      <c r="J4113" s="1" t="s">
        <v>928</v>
      </c>
      <c r="K4113" s="1" t="s">
        <v>16337</v>
      </c>
      <c r="L4113" s="1" t="s">
        <v>16338</v>
      </c>
      <c r="M4113" s="1" t="s">
        <v>718</v>
      </c>
    </row>
    <row r="4114" customFormat="false" ht="15" hidden="false" customHeight="false" outlineLevel="0" collapsed="false">
      <c r="A4114" s="1" t="s">
        <v>268</v>
      </c>
      <c r="B4114" s="1" t="s">
        <v>6473</v>
      </c>
      <c r="C4114" s="1" t="s">
        <v>750</v>
      </c>
      <c r="D4114" s="2" t="n">
        <v>41013</v>
      </c>
      <c r="E4114" s="1" t="s">
        <v>710</v>
      </c>
      <c r="F4114" s="1" t="s">
        <v>711</v>
      </c>
      <c r="G4114" s="1" t="s">
        <v>712</v>
      </c>
      <c r="H4114" s="1" t="s">
        <v>713</v>
      </c>
      <c r="I4114" s="1" t="s">
        <v>714</v>
      </c>
      <c r="J4114" s="1" t="s">
        <v>1398</v>
      </c>
      <c r="K4114" s="1" t="s">
        <v>16339</v>
      </c>
      <c r="L4114" s="1" t="s">
        <v>16340</v>
      </c>
      <c r="M4114" s="1" t="s">
        <v>718</v>
      </c>
    </row>
    <row r="4115" customFormat="false" ht="15" hidden="false" customHeight="false" outlineLevel="0" collapsed="false">
      <c r="A4115" s="1" t="s">
        <v>272</v>
      </c>
      <c r="B4115" s="1" t="s">
        <v>16341</v>
      </c>
      <c r="C4115" s="1" t="s">
        <v>1610</v>
      </c>
      <c r="D4115" s="2" t="n">
        <v>41190</v>
      </c>
      <c r="E4115" s="1" t="s">
        <v>710</v>
      </c>
      <c r="F4115" s="1" t="s">
        <v>711</v>
      </c>
      <c r="G4115" s="1" t="s">
        <v>712</v>
      </c>
      <c r="H4115" s="1" t="s">
        <v>713</v>
      </c>
      <c r="I4115" s="1" t="s">
        <v>714</v>
      </c>
      <c r="J4115" s="1" t="s">
        <v>1398</v>
      </c>
      <c r="K4115" s="1" t="s">
        <v>16339</v>
      </c>
      <c r="L4115" s="1" t="s">
        <v>16342</v>
      </c>
      <c r="M4115" s="1" t="s">
        <v>718</v>
      </c>
    </row>
    <row r="4116" customFormat="false" ht="15" hidden="false" customHeight="false" outlineLevel="0" collapsed="false">
      <c r="A4116" s="1" t="s">
        <v>262</v>
      </c>
      <c r="B4116" s="1" t="s">
        <v>16343</v>
      </c>
      <c r="C4116" s="1" t="s">
        <v>16344</v>
      </c>
      <c r="D4116" s="2" t="n">
        <v>41321</v>
      </c>
      <c r="E4116" s="1" t="s">
        <v>710</v>
      </c>
      <c r="F4116" s="1" t="s">
        <v>711</v>
      </c>
      <c r="G4116" s="1" t="s">
        <v>712</v>
      </c>
      <c r="H4116" s="1" t="s">
        <v>713</v>
      </c>
      <c r="I4116" s="1" t="s">
        <v>714</v>
      </c>
      <c r="J4116" s="1" t="s">
        <v>1723</v>
      </c>
      <c r="K4116" s="1" t="s">
        <v>16345</v>
      </c>
      <c r="L4116" s="1" t="s">
        <v>16346</v>
      </c>
      <c r="M4116" s="1" t="s">
        <v>718</v>
      </c>
    </row>
    <row r="4117" customFormat="false" ht="15" hidden="false" customHeight="false" outlineLevel="0" collapsed="false">
      <c r="A4117" s="1" t="s">
        <v>255</v>
      </c>
      <c r="B4117" s="1" t="s">
        <v>862</v>
      </c>
      <c r="C4117" s="1" t="s">
        <v>16347</v>
      </c>
      <c r="D4117" s="2" t="n">
        <v>41112</v>
      </c>
      <c r="E4117" s="1" t="s">
        <v>710</v>
      </c>
      <c r="F4117" s="1" t="s">
        <v>711</v>
      </c>
      <c r="G4117" s="1" t="s">
        <v>712</v>
      </c>
      <c r="H4117" s="1" t="s">
        <v>713</v>
      </c>
      <c r="I4117" s="1" t="s">
        <v>714</v>
      </c>
      <c r="J4117" s="1" t="s">
        <v>1530</v>
      </c>
      <c r="K4117" s="1" t="s">
        <v>16348</v>
      </c>
      <c r="L4117" s="1" t="s">
        <v>16349</v>
      </c>
      <c r="M4117" s="1" t="s">
        <v>718</v>
      </c>
    </row>
    <row r="4118" customFormat="false" ht="15" hidden="false" customHeight="false" outlineLevel="0" collapsed="false">
      <c r="A4118" s="1" t="s">
        <v>242</v>
      </c>
      <c r="B4118" s="1" t="s">
        <v>16350</v>
      </c>
      <c r="C4118" s="1" t="s">
        <v>739</v>
      </c>
      <c r="D4118" s="2" t="n">
        <v>41417</v>
      </c>
      <c r="E4118" s="1" t="s">
        <v>710</v>
      </c>
      <c r="F4118" s="1" t="s">
        <v>711</v>
      </c>
      <c r="G4118" s="1" t="s">
        <v>712</v>
      </c>
      <c r="H4118" s="1" t="s">
        <v>713</v>
      </c>
      <c r="I4118" s="1" t="s">
        <v>714</v>
      </c>
      <c r="J4118" s="1" t="s">
        <v>1530</v>
      </c>
      <c r="K4118" s="1" t="s">
        <v>16351</v>
      </c>
      <c r="L4118" s="1" t="s">
        <v>16352</v>
      </c>
      <c r="M4118" s="1" t="s">
        <v>718</v>
      </c>
    </row>
    <row r="4119" customFormat="false" ht="15" hidden="false" customHeight="false" outlineLevel="0" collapsed="false">
      <c r="A4119" s="1" t="s">
        <v>237</v>
      </c>
      <c r="B4119" s="1" t="s">
        <v>16353</v>
      </c>
      <c r="C4119" s="1" t="s">
        <v>1380</v>
      </c>
      <c r="D4119" s="2" t="n">
        <v>40570</v>
      </c>
      <c r="E4119" s="1" t="s">
        <v>710</v>
      </c>
      <c r="F4119" s="1" t="s">
        <v>711</v>
      </c>
      <c r="G4119" s="1" t="s">
        <v>722</v>
      </c>
      <c r="H4119" s="1" t="s">
        <v>713</v>
      </c>
      <c r="I4119" s="1" t="s">
        <v>714</v>
      </c>
      <c r="J4119" s="1" t="s">
        <v>1172</v>
      </c>
      <c r="K4119" s="1" t="s">
        <v>16354</v>
      </c>
      <c r="L4119" s="1" t="s">
        <v>16355</v>
      </c>
      <c r="M4119" s="1" t="s">
        <v>718</v>
      </c>
    </row>
    <row r="4120" customFormat="false" ht="15" hidden="false" customHeight="false" outlineLevel="0" collapsed="false">
      <c r="A4120" s="1" t="s">
        <v>240</v>
      </c>
      <c r="B4120" s="1" t="s">
        <v>1468</v>
      </c>
      <c r="C4120" s="1" t="s">
        <v>16356</v>
      </c>
      <c r="D4120" s="2" t="n">
        <v>41266</v>
      </c>
      <c r="E4120" s="1" t="s">
        <v>710</v>
      </c>
      <c r="F4120" s="1" t="s">
        <v>711</v>
      </c>
      <c r="G4120" s="1" t="s">
        <v>712</v>
      </c>
      <c r="H4120" s="1" t="s">
        <v>713</v>
      </c>
      <c r="I4120" s="1" t="s">
        <v>714</v>
      </c>
      <c r="J4120" s="1" t="s">
        <v>9030</v>
      </c>
      <c r="K4120" s="1" t="s">
        <v>16357</v>
      </c>
      <c r="L4120" s="1" t="s">
        <v>16358</v>
      </c>
      <c r="M4120" s="1" t="s">
        <v>718</v>
      </c>
    </row>
    <row r="4121" customFormat="false" ht="15" hidden="false" customHeight="false" outlineLevel="0" collapsed="false">
      <c r="A4121" s="1" t="s">
        <v>287</v>
      </c>
      <c r="B4121" s="1" t="s">
        <v>10822</v>
      </c>
      <c r="C4121" s="1" t="s">
        <v>2558</v>
      </c>
      <c r="D4121" s="2" t="n">
        <v>41052</v>
      </c>
      <c r="E4121" s="1" t="s">
        <v>710</v>
      </c>
      <c r="F4121" s="1" t="s">
        <v>711</v>
      </c>
      <c r="G4121" s="1" t="s">
        <v>712</v>
      </c>
      <c r="H4121" s="1" t="s">
        <v>713</v>
      </c>
      <c r="I4121" s="1" t="s">
        <v>714</v>
      </c>
      <c r="J4121" s="1" t="s">
        <v>1398</v>
      </c>
      <c r="K4121" s="1" t="s">
        <v>16359</v>
      </c>
      <c r="L4121" s="1" t="s">
        <v>11111</v>
      </c>
      <c r="M4121" s="1" t="s">
        <v>718</v>
      </c>
    </row>
    <row r="4122" customFormat="false" ht="15" hidden="false" customHeight="false" outlineLevel="0" collapsed="false">
      <c r="A4122" s="1" t="s">
        <v>161</v>
      </c>
      <c r="B4122" s="1" t="s">
        <v>16360</v>
      </c>
      <c r="C4122" s="1" t="s">
        <v>16361</v>
      </c>
      <c r="D4122" s="2" t="n">
        <v>40409</v>
      </c>
      <c r="E4122" s="1" t="s">
        <v>710</v>
      </c>
      <c r="F4122" s="1" t="s">
        <v>711</v>
      </c>
      <c r="G4122" s="1" t="s">
        <v>712</v>
      </c>
      <c r="H4122" s="1" t="s">
        <v>713</v>
      </c>
      <c r="I4122" s="1" t="s">
        <v>714</v>
      </c>
      <c r="J4122" s="1" t="s">
        <v>1723</v>
      </c>
      <c r="K4122" s="1" t="s">
        <v>16362</v>
      </c>
      <c r="L4122" s="1" t="s">
        <v>16363</v>
      </c>
      <c r="M4122" s="1" t="s">
        <v>718</v>
      </c>
    </row>
    <row r="4123" customFormat="false" ht="15" hidden="false" customHeight="false" outlineLevel="0" collapsed="false">
      <c r="A4123" s="1" t="s">
        <v>241</v>
      </c>
      <c r="B4123" s="1" t="s">
        <v>3591</v>
      </c>
      <c r="C4123" s="1" t="s">
        <v>2345</v>
      </c>
      <c r="D4123" s="2" t="n">
        <v>41222</v>
      </c>
      <c r="E4123" s="1" t="s">
        <v>710</v>
      </c>
      <c r="F4123" s="1" t="s">
        <v>711</v>
      </c>
      <c r="G4123" s="1" t="s">
        <v>712</v>
      </c>
      <c r="H4123" s="1" t="s">
        <v>713</v>
      </c>
      <c r="I4123" s="1" t="s">
        <v>714</v>
      </c>
      <c r="J4123" s="1" t="s">
        <v>1505</v>
      </c>
      <c r="K4123" s="1" t="s">
        <v>16364</v>
      </c>
      <c r="L4123" s="1" t="s">
        <v>2347</v>
      </c>
      <c r="M4123" s="1" t="s">
        <v>718</v>
      </c>
    </row>
    <row r="4124" customFormat="false" ht="15" hidden="false" customHeight="false" outlineLevel="0" collapsed="false">
      <c r="A4124" s="1" t="s">
        <v>234</v>
      </c>
      <c r="B4124" s="1" t="s">
        <v>3219</v>
      </c>
      <c r="C4124" s="1" t="s">
        <v>16365</v>
      </c>
      <c r="D4124" s="2" t="n">
        <v>41028</v>
      </c>
      <c r="E4124" s="1" t="s">
        <v>710</v>
      </c>
      <c r="F4124" s="1" t="s">
        <v>711</v>
      </c>
      <c r="G4124" s="1" t="s">
        <v>712</v>
      </c>
      <c r="H4124" s="1" t="s">
        <v>713</v>
      </c>
      <c r="I4124" s="1" t="s">
        <v>714</v>
      </c>
      <c r="J4124" s="1" t="s">
        <v>1530</v>
      </c>
      <c r="K4124" s="1" t="s">
        <v>16366</v>
      </c>
      <c r="L4124" s="1" t="s">
        <v>16367</v>
      </c>
      <c r="M4124" s="1" t="s">
        <v>718</v>
      </c>
    </row>
    <row r="4125" customFormat="false" ht="15" hidden="false" customHeight="false" outlineLevel="0" collapsed="false">
      <c r="A4125" s="1" t="s">
        <v>236</v>
      </c>
      <c r="B4125" s="1" t="s">
        <v>16368</v>
      </c>
      <c r="C4125" s="1" t="s">
        <v>1908</v>
      </c>
      <c r="D4125" s="2" t="n">
        <v>40814</v>
      </c>
      <c r="E4125" s="1" t="s">
        <v>763</v>
      </c>
      <c r="F4125" s="1" t="s">
        <v>711</v>
      </c>
      <c r="G4125" s="1" t="s">
        <v>712</v>
      </c>
      <c r="H4125" s="1" t="s">
        <v>713</v>
      </c>
      <c r="I4125" s="1" t="s">
        <v>714</v>
      </c>
      <c r="J4125" s="1" t="s">
        <v>5758</v>
      </c>
      <c r="K4125" s="1" t="s">
        <v>16369</v>
      </c>
      <c r="L4125" s="1" t="s">
        <v>1911</v>
      </c>
      <c r="M4125" s="1" t="s">
        <v>718</v>
      </c>
    </row>
    <row r="4126" customFormat="false" ht="15" hidden="false" customHeight="false" outlineLevel="0" collapsed="false">
      <c r="A4126" s="1" t="s">
        <v>260</v>
      </c>
      <c r="B4126" s="1" t="s">
        <v>16370</v>
      </c>
      <c r="C4126" s="1" t="s">
        <v>3850</v>
      </c>
      <c r="D4126" s="2" t="n">
        <v>41257</v>
      </c>
      <c r="E4126" s="1" t="s">
        <v>763</v>
      </c>
      <c r="F4126" s="1" t="s">
        <v>711</v>
      </c>
      <c r="G4126" s="1" t="s">
        <v>712</v>
      </c>
      <c r="H4126" s="1" t="s">
        <v>713</v>
      </c>
      <c r="I4126" s="1" t="s">
        <v>714</v>
      </c>
      <c r="J4126" s="1" t="s">
        <v>1055</v>
      </c>
      <c r="K4126" s="1" t="s">
        <v>16371</v>
      </c>
      <c r="L4126" s="1" t="s">
        <v>16372</v>
      </c>
      <c r="M4126" s="1" t="s">
        <v>718</v>
      </c>
    </row>
    <row r="4127" customFormat="false" ht="15" hidden="false" customHeight="false" outlineLevel="0" collapsed="false">
      <c r="A4127" s="1" t="s">
        <v>256</v>
      </c>
      <c r="B4127" s="1" t="s">
        <v>16373</v>
      </c>
      <c r="C4127" s="1" t="s">
        <v>16374</v>
      </c>
      <c r="D4127" s="2" t="n">
        <v>41068</v>
      </c>
      <c r="E4127" s="1" t="s">
        <v>763</v>
      </c>
      <c r="F4127" s="1" t="s">
        <v>711</v>
      </c>
      <c r="G4127" s="1" t="s">
        <v>712</v>
      </c>
      <c r="H4127" s="1" t="s">
        <v>713</v>
      </c>
      <c r="I4127" s="1" t="s">
        <v>714</v>
      </c>
      <c r="J4127" s="1" t="s">
        <v>1055</v>
      </c>
      <c r="K4127" s="1" t="s">
        <v>13556</v>
      </c>
      <c r="L4127" s="1" t="s">
        <v>13557</v>
      </c>
      <c r="M4127" s="1" t="s">
        <v>718</v>
      </c>
    </row>
    <row r="4128" customFormat="false" ht="15" hidden="false" customHeight="false" outlineLevel="0" collapsed="false">
      <c r="A4128" s="1" t="s">
        <v>238</v>
      </c>
      <c r="B4128" s="1" t="s">
        <v>16375</v>
      </c>
      <c r="C4128" s="1" t="s">
        <v>1380</v>
      </c>
      <c r="D4128" s="2" t="n">
        <v>41242</v>
      </c>
      <c r="E4128" s="1" t="s">
        <v>763</v>
      </c>
      <c r="F4128" s="1" t="s">
        <v>711</v>
      </c>
      <c r="G4128" s="1" t="s">
        <v>712</v>
      </c>
      <c r="H4128" s="1" t="s">
        <v>713</v>
      </c>
      <c r="I4128" s="1" t="s">
        <v>714</v>
      </c>
      <c r="J4128" s="1" t="s">
        <v>16376</v>
      </c>
      <c r="K4128" s="1" t="s">
        <v>16377</v>
      </c>
      <c r="L4128" s="1" t="s">
        <v>16355</v>
      </c>
      <c r="M4128" s="1" t="s">
        <v>718</v>
      </c>
    </row>
    <row r="4129" customFormat="false" ht="15" hidden="false" customHeight="false" outlineLevel="0" collapsed="false">
      <c r="A4129" s="1" t="s">
        <v>249</v>
      </c>
      <c r="B4129" s="1" t="s">
        <v>10858</v>
      </c>
      <c r="C4129" s="1" t="s">
        <v>15883</v>
      </c>
      <c r="D4129" s="2" t="n">
        <v>40709</v>
      </c>
      <c r="E4129" s="1" t="s">
        <v>763</v>
      </c>
      <c r="F4129" s="1" t="s">
        <v>711</v>
      </c>
      <c r="G4129" s="1" t="s">
        <v>712</v>
      </c>
      <c r="H4129" s="1" t="s">
        <v>713</v>
      </c>
      <c r="I4129" s="1" t="s">
        <v>714</v>
      </c>
      <c r="J4129" s="1" t="s">
        <v>928</v>
      </c>
      <c r="K4129" s="1" t="s">
        <v>16117</v>
      </c>
      <c r="L4129" s="1" t="s">
        <v>16118</v>
      </c>
      <c r="M4129" s="1" t="s">
        <v>718</v>
      </c>
    </row>
    <row r="4130" customFormat="false" ht="15" hidden="false" customHeight="false" outlineLevel="0" collapsed="false">
      <c r="A4130" s="1" t="s">
        <v>257</v>
      </c>
      <c r="B4130" s="1" t="s">
        <v>5321</v>
      </c>
      <c r="C4130" s="1" t="s">
        <v>5055</v>
      </c>
      <c r="D4130" s="2" t="n">
        <v>40915</v>
      </c>
      <c r="E4130" s="1" t="s">
        <v>763</v>
      </c>
      <c r="F4130" s="1" t="s">
        <v>711</v>
      </c>
      <c r="G4130" s="1" t="s">
        <v>712</v>
      </c>
      <c r="H4130" s="1" t="s">
        <v>713</v>
      </c>
      <c r="I4130" s="1" t="s">
        <v>714</v>
      </c>
      <c r="J4130" s="1" t="s">
        <v>805</v>
      </c>
      <c r="K4130" s="1" t="s">
        <v>16378</v>
      </c>
      <c r="L4130" s="1" t="s">
        <v>16379</v>
      </c>
      <c r="M4130" s="1" t="s">
        <v>718</v>
      </c>
    </row>
    <row r="4131" customFormat="false" ht="15" hidden="false" customHeight="false" outlineLevel="0" collapsed="false">
      <c r="A4131" s="1" t="s">
        <v>244</v>
      </c>
      <c r="B4131" s="1" t="s">
        <v>16380</v>
      </c>
      <c r="C4131" s="1" t="s">
        <v>5322</v>
      </c>
      <c r="D4131" s="2" t="n">
        <v>41026</v>
      </c>
      <c r="E4131" s="1" t="s">
        <v>763</v>
      </c>
      <c r="F4131" s="1" t="s">
        <v>711</v>
      </c>
      <c r="G4131" s="1" t="s">
        <v>712</v>
      </c>
      <c r="H4131" s="1" t="s">
        <v>713</v>
      </c>
      <c r="I4131" s="1" t="s">
        <v>714</v>
      </c>
      <c r="J4131" s="1" t="s">
        <v>821</v>
      </c>
      <c r="K4131" s="1" t="s">
        <v>16381</v>
      </c>
      <c r="L4131" s="1" t="s">
        <v>5325</v>
      </c>
      <c r="M4131" s="1" t="s">
        <v>718</v>
      </c>
    </row>
    <row r="4132" customFormat="false" ht="15" hidden="false" customHeight="false" outlineLevel="0" collapsed="false">
      <c r="A4132" s="1" t="s">
        <v>245</v>
      </c>
      <c r="B4132" s="1" t="s">
        <v>16382</v>
      </c>
      <c r="C4132" s="1" t="s">
        <v>5322</v>
      </c>
      <c r="D4132" s="2" t="n">
        <v>41026</v>
      </c>
      <c r="E4132" s="1" t="s">
        <v>763</v>
      </c>
      <c r="F4132" s="1" t="s">
        <v>711</v>
      </c>
      <c r="G4132" s="1" t="s">
        <v>712</v>
      </c>
      <c r="H4132" s="1" t="s">
        <v>713</v>
      </c>
      <c r="I4132" s="1" t="s">
        <v>714</v>
      </c>
      <c r="J4132" s="1" t="s">
        <v>821</v>
      </c>
      <c r="K4132" s="1" t="s">
        <v>16381</v>
      </c>
      <c r="L4132" s="1" t="s">
        <v>5325</v>
      </c>
      <c r="M4132" s="1" t="s">
        <v>718</v>
      </c>
    </row>
    <row r="4133" customFormat="false" ht="15" hidden="false" customHeight="false" outlineLevel="0" collapsed="false">
      <c r="A4133" s="1" t="s">
        <v>264</v>
      </c>
      <c r="B4133" s="1" t="s">
        <v>16383</v>
      </c>
      <c r="C4133" s="1" t="s">
        <v>16384</v>
      </c>
      <c r="D4133" s="2" t="n">
        <v>41292</v>
      </c>
      <c r="E4133" s="1" t="s">
        <v>763</v>
      </c>
      <c r="F4133" s="1" t="s">
        <v>711</v>
      </c>
      <c r="G4133" s="1" t="s">
        <v>712</v>
      </c>
      <c r="H4133" s="1" t="s">
        <v>713</v>
      </c>
      <c r="I4133" s="1" t="s">
        <v>714</v>
      </c>
      <c r="J4133" s="1" t="s">
        <v>6614</v>
      </c>
      <c r="K4133" s="1" t="s">
        <v>16385</v>
      </c>
      <c r="L4133" s="1" t="s">
        <v>14149</v>
      </c>
      <c r="M4133" s="1" t="s">
        <v>718</v>
      </c>
    </row>
    <row r="4134" customFormat="false" ht="15" hidden="false" customHeight="false" outlineLevel="0" collapsed="false">
      <c r="A4134" s="1" t="s">
        <v>252</v>
      </c>
      <c r="B4134" s="1" t="s">
        <v>16386</v>
      </c>
      <c r="C4134" s="1" t="s">
        <v>16387</v>
      </c>
      <c r="D4134" s="2" t="n">
        <v>40950</v>
      </c>
      <c r="E4134" s="1" t="s">
        <v>763</v>
      </c>
      <c r="F4134" s="1" t="s">
        <v>711</v>
      </c>
      <c r="G4134" s="1" t="s">
        <v>722</v>
      </c>
      <c r="H4134" s="1" t="s">
        <v>713</v>
      </c>
      <c r="I4134" s="1" t="s">
        <v>714</v>
      </c>
      <c r="J4134" s="1" t="s">
        <v>1620</v>
      </c>
      <c r="K4134" s="1" t="s">
        <v>16388</v>
      </c>
      <c r="L4134" s="1" t="s">
        <v>16389</v>
      </c>
      <c r="M4134" s="1" t="s">
        <v>718</v>
      </c>
    </row>
    <row r="4135" customFormat="false" ht="15" hidden="false" customHeight="false" outlineLevel="0" collapsed="false">
      <c r="A4135" s="1" t="s">
        <v>246</v>
      </c>
      <c r="B4135" s="1" t="s">
        <v>16390</v>
      </c>
      <c r="C4135" s="1" t="s">
        <v>16391</v>
      </c>
      <c r="D4135" s="2" t="n">
        <v>41956</v>
      </c>
      <c r="E4135" s="1" t="s">
        <v>763</v>
      </c>
      <c r="F4135" s="1" t="s">
        <v>711</v>
      </c>
      <c r="G4135" s="1" t="s">
        <v>712</v>
      </c>
      <c r="H4135" s="1" t="s">
        <v>713</v>
      </c>
      <c r="I4135" s="1" t="s">
        <v>714</v>
      </c>
      <c r="J4135" s="1" t="s">
        <v>1530</v>
      </c>
      <c r="K4135" s="1" t="s">
        <v>16392</v>
      </c>
      <c r="L4135" s="1" t="s">
        <v>16393</v>
      </c>
      <c r="M4135" s="1" t="s">
        <v>718</v>
      </c>
    </row>
    <row r="4136" customFormat="false" ht="15" hidden="false" customHeight="false" outlineLevel="0" collapsed="false">
      <c r="A4136" s="1" t="s">
        <v>239</v>
      </c>
      <c r="B4136" s="1" t="s">
        <v>16394</v>
      </c>
      <c r="C4136" s="1" t="s">
        <v>16120</v>
      </c>
      <c r="D4136" s="2" t="n">
        <v>41176</v>
      </c>
      <c r="E4136" s="1" t="s">
        <v>763</v>
      </c>
      <c r="F4136" s="1" t="s">
        <v>711</v>
      </c>
      <c r="G4136" s="1" t="s">
        <v>722</v>
      </c>
      <c r="H4136" s="1" t="s">
        <v>713</v>
      </c>
      <c r="I4136" s="1" t="s">
        <v>714</v>
      </c>
      <c r="J4136" s="1" t="s">
        <v>1505</v>
      </c>
      <c r="K4136" s="1" t="s">
        <v>16395</v>
      </c>
      <c r="L4136" s="1" t="s">
        <v>2366</v>
      </c>
      <c r="M4136" s="1" t="s">
        <v>718</v>
      </c>
    </row>
    <row r="4137" customFormat="false" ht="15" hidden="false" customHeight="false" outlineLevel="0" collapsed="false">
      <c r="A4137" s="1" t="s">
        <v>261</v>
      </c>
      <c r="B4137" s="1" t="s">
        <v>16396</v>
      </c>
      <c r="C4137" s="1" t="s">
        <v>1109</v>
      </c>
      <c r="D4137" s="2" t="n">
        <v>41469</v>
      </c>
      <c r="E4137" s="1" t="s">
        <v>763</v>
      </c>
      <c r="F4137" s="1" t="s">
        <v>711</v>
      </c>
      <c r="G4137" s="1" t="s">
        <v>712</v>
      </c>
      <c r="H4137" s="1" t="s">
        <v>713</v>
      </c>
      <c r="I4137" s="1" t="s">
        <v>714</v>
      </c>
      <c r="J4137" s="1" t="s">
        <v>1723</v>
      </c>
      <c r="K4137" s="1" t="s">
        <v>16397</v>
      </c>
      <c r="L4137" s="1" t="s">
        <v>1110</v>
      </c>
      <c r="M4137" s="1" t="s">
        <v>718</v>
      </c>
    </row>
    <row r="4138" customFormat="false" ht="15" hidden="false" customHeight="false" outlineLevel="0" collapsed="false">
      <c r="A4138" s="1" t="s">
        <v>197</v>
      </c>
      <c r="B4138" s="1" t="s">
        <v>16398</v>
      </c>
      <c r="C4138" s="1" t="s">
        <v>13844</v>
      </c>
      <c r="D4138" s="2" t="n">
        <v>41250</v>
      </c>
      <c r="E4138" s="1" t="s">
        <v>763</v>
      </c>
      <c r="F4138" s="1" t="s">
        <v>711</v>
      </c>
      <c r="G4138" s="1" t="s">
        <v>712</v>
      </c>
      <c r="H4138" s="1" t="s">
        <v>713</v>
      </c>
      <c r="I4138" s="1" t="s">
        <v>714</v>
      </c>
      <c r="J4138" s="1" t="s">
        <v>715</v>
      </c>
      <c r="K4138" s="1" t="s">
        <v>16399</v>
      </c>
      <c r="L4138" s="1" t="s">
        <v>13846</v>
      </c>
      <c r="M4138" s="1" t="s">
        <v>718</v>
      </c>
    </row>
    <row r="4139" customFormat="false" ht="15" hidden="false" customHeight="false" outlineLevel="0" collapsed="false">
      <c r="A4139" s="1" t="s">
        <v>254</v>
      </c>
      <c r="B4139" s="1" t="s">
        <v>16400</v>
      </c>
      <c r="C4139" s="1" t="s">
        <v>1491</v>
      </c>
      <c r="D4139" s="2" t="n">
        <v>41253</v>
      </c>
      <c r="E4139" s="1" t="s">
        <v>763</v>
      </c>
      <c r="F4139" s="1" t="s">
        <v>711</v>
      </c>
      <c r="G4139" s="1" t="s">
        <v>712</v>
      </c>
      <c r="H4139" s="1" t="s">
        <v>713</v>
      </c>
      <c r="I4139" s="1" t="s">
        <v>714</v>
      </c>
      <c r="J4139" s="1" t="s">
        <v>5758</v>
      </c>
      <c r="K4139" s="1" t="s">
        <v>16401</v>
      </c>
      <c r="L4139" s="1" t="s">
        <v>3760</v>
      </c>
      <c r="M4139" s="1" t="s">
        <v>718</v>
      </c>
    </row>
    <row r="4140" customFormat="false" ht="15" hidden="false" customHeight="false" outlineLevel="0" collapsed="false">
      <c r="A4140" s="1" t="s">
        <v>235</v>
      </c>
      <c r="B4140" s="1" t="s">
        <v>16402</v>
      </c>
      <c r="C4140" s="1" t="s">
        <v>14999</v>
      </c>
      <c r="D4140" s="2" t="n">
        <v>41046</v>
      </c>
      <c r="E4140" s="1" t="s">
        <v>763</v>
      </c>
      <c r="F4140" s="1" t="s">
        <v>711</v>
      </c>
      <c r="G4140" s="1" t="s">
        <v>712</v>
      </c>
      <c r="H4140" s="1" t="s">
        <v>713</v>
      </c>
      <c r="I4140" s="1" t="s">
        <v>714</v>
      </c>
      <c r="J4140" s="1" t="s">
        <v>805</v>
      </c>
      <c r="K4140" s="1" t="s">
        <v>16403</v>
      </c>
      <c r="L4140" s="1" t="s">
        <v>15000</v>
      </c>
      <c r="M4140" s="1" t="s">
        <v>718</v>
      </c>
    </row>
    <row r="4141" customFormat="false" ht="15" hidden="false" customHeight="false" outlineLevel="0" collapsed="false">
      <c r="A4141" s="1" t="s">
        <v>259</v>
      </c>
      <c r="B4141" s="1" t="s">
        <v>16404</v>
      </c>
      <c r="C4141" s="1" t="s">
        <v>16405</v>
      </c>
      <c r="D4141" s="2" t="n">
        <v>40931</v>
      </c>
      <c r="E4141" s="1" t="s">
        <v>763</v>
      </c>
      <c r="F4141" s="1" t="s">
        <v>711</v>
      </c>
      <c r="G4141" s="1" t="s">
        <v>712</v>
      </c>
      <c r="H4141" s="1" t="s">
        <v>713</v>
      </c>
      <c r="I4141" s="1" t="s">
        <v>714</v>
      </c>
      <c r="J4141" s="1" t="s">
        <v>1131</v>
      </c>
      <c r="K4141" s="1" t="s">
        <v>16406</v>
      </c>
      <c r="L4141" s="1" t="s">
        <v>16407</v>
      </c>
      <c r="M4141" s="1" t="s">
        <v>718</v>
      </c>
    </row>
    <row r="4142" customFormat="false" ht="15" hidden="false" customHeight="false" outlineLevel="0" collapsed="false">
      <c r="A4142" s="1" t="s">
        <v>247</v>
      </c>
      <c r="B4142" s="1" t="s">
        <v>16408</v>
      </c>
      <c r="C4142" s="1" t="s">
        <v>16409</v>
      </c>
      <c r="D4142" s="2" t="n">
        <v>40946</v>
      </c>
      <c r="E4142" s="1" t="s">
        <v>763</v>
      </c>
      <c r="F4142" s="1" t="s">
        <v>711</v>
      </c>
      <c r="G4142" s="1" t="s">
        <v>712</v>
      </c>
      <c r="H4142" s="1" t="s">
        <v>713</v>
      </c>
      <c r="I4142" s="1" t="s">
        <v>714</v>
      </c>
      <c r="J4142" s="1" t="s">
        <v>805</v>
      </c>
      <c r="K4142" s="1" t="s">
        <v>16410</v>
      </c>
      <c r="L4142" s="1" t="s">
        <v>16411</v>
      </c>
      <c r="M4142" s="1" t="s">
        <v>718</v>
      </c>
    </row>
    <row r="4143" customFormat="false" ht="15" hidden="false" customHeight="false" outlineLevel="0" collapsed="false">
      <c r="A4143" s="1" t="s">
        <v>196</v>
      </c>
      <c r="B4143" s="1" t="s">
        <v>16412</v>
      </c>
      <c r="C4143" s="1" t="s">
        <v>10769</v>
      </c>
      <c r="D4143" s="2" t="n">
        <v>40958</v>
      </c>
      <c r="E4143" s="1" t="s">
        <v>763</v>
      </c>
      <c r="F4143" s="1" t="s">
        <v>711</v>
      </c>
      <c r="G4143" s="1" t="s">
        <v>712</v>
      </c>
      <c r="H4143" s="1" t="s">
        <v>713</v>
      </c>
      <c r="I4143" s="1" t="s">
        <v>714</v>
      </c>
      <c r="J4143" s="1" t="s">
        <v>6614</v>
      </c>
      <c r="K4143" s="1" t="s">
        <v>16413</v>
      </c>
      <c r="L4143" s="1" t="s">
        <v>3734</v>
      </c>
      <c r="M4143" s="1" t="s">
        <v>718</v>
      </c>
    </row>
    <row r="4144" customFormat="false" ht="15" hidden="false" customHeight="false" outlineLevel="0" collapsed="false">
      <c r="A4144" s="1" t="s">
        <v>325</v>
      </c>
      <c r="B4144" s="1" t="s">
        <v>16414</v>
      </c>
      <c r="C4144" s="1" t="s">
        <v>8591</v>
      </c>
      <c r="D4144" s="2" t="n">
        <v>41107</v>
      </c>
      <c r="E4144" s="1" t="s">
        <v>763</v>
      </c>
      <c r="F4144" s="1" t="s">
        <v>711</v>
      </c>
      <c r="G4144" s="1" t="s">
        <v>712</v>
      </c>
      <c r="H4144" s="1" t="s">
        <v>713</v>
      </c>
      <c r="I4144" s="1" t="s">
        <v>714</v>
      </c>
      <c r="J4144" s="1" t="s">
        <v>1620</v>
      </c>
      <c r="K4144" s="1" t="s">
        <v>16415</v>
      </c>
      <c r="L4144" s="1" t="s">
        <v>8593</v>
      </c>
      <c r="M4144" s="1" t="s">
        <v>718</v>
      </c>
    </row>
    <row r="4145" customFormat="false" ht="15" hidden="false" customHeight="false" outlineLevel="0" collapsed="false">
      <c r="A4145" s="1" t="s">
        <v>318</v>
      </c>
      <c r="B4145" s="1" t="s">
        <v>16416</v>
      </c>
      <c r="C4145" s="1" t="s">
        <v>16417</v>
      </c>
      <c r="D4145" s="2" t="n">
        <v>40676</v>
      </c>
      <c r="E4145" s="1" t="s">
        <v>763</v>
      </c>
      <c r="F4145" s="1" t="s">
        <v>711</v>
      </c>
      <c r="G4145" s="1" t="s">
        <v>2094</v>
      </c>
      <c r="H4145" s="1" t="s">
        <v>713</v>
      </c>
      <c r="I4145" s="1" t="s">
        <v>714</v>
      </c>
      <c r="J4145" s="1" t="s">
        <v>928</v>
      </c>
      <c r="K4145" s="1" t="s">
        <v>16418</v>
      </c>
      <c r="L4145" s="1" t="s">
        <v>16419</v>
      </c>
      <c r="M4145" s="1" t="s">
        <v>718</v>
      </c>
    </row>
    <row r="4146" customFormat="false" ht="15" hidden="false" customHeight="false" outlineLevel="0" collapsed="false">
      <c r="A4146" s="1" t="s">
        <v>302</v>
      </c>
      <c r="B4146" s="1" t="s">
        <v>16420</v>
      </c>
      <c r="C4146" s="1" t="s">
        <v>750</v>
      </c>
      <c r="D4146" s="2" t="n">
        <v>41020</v>
      </c>
      <c r="E4146" s="1" t="s">
        <v>763</v>
      </c>
      <c r="F4146" s="1" t="s">
        <v>711</v>
      </c>
      <c r="G4146" s="1" t="s">
        <v>14277</v>
      </c>
      <c r="H4146" s="1" t="s">
        <v>713</v>
      </c>
      <c r="I4146" s="1" t="s">
        <v>714</v>
      </c>
      <c r="J4146" s="1" t="s">
        <v>1398</v>
      </c>
      <c r="K4146" s="1" t="s">
        <v>16421</v>
      </c>
      <c r="L4146" s="1" t="s">
        <v>16422</v>
      </c>
      <c r="M4146" s="1" t="s">
        <v>718</v>
      </c>
    </row>
    <row r="4147" customFormat="false" ht="15" hidden="false" customHeight="false" outlineLevel="0" collapsed="false">
      <c r="A4147" s="1" t="s">
        <v>208</v>
      </c>
      <c r="B4147" s="1" t="s">
        <v>16423</v>
      </c>
      <c r="C4147" s="1" t="s">
        <v>3817</v>
      </c>
      <c r="D4147" s="2" t="n">
        <v>40579</v>
      </c>
      <c r="E4147" s="1" t="s">
        <v>763</v>
      </c>
      <c r="F4147" s="1" t="s">
        <v>711</v>
      </c>
      <c r="G4147" s="1" t="s">
        <v>712</v>
      </c>
      <c r="H4147" s="1" t="s">
        <v>713</v>
      </c>
      <c r="I4147" s="1" t="s">
        <v>714</v>
      </c>
      <c r="J4147" s="1" t="s">
        <v>1055</v>
      </c>
      <c r="K4147" s="1" t="s">
        <v>16424</v>
      </c>
      <c r="L4147" s="1" t="s">
        <v>16425</v>
      </c>
      <c r="M4147" s="1" t="s">
        <v>718</v>
      </c>
    </row>
    <row r="4148" customFormat="false" ht="15" hidden="false" customHeight="false" outlineLevel="0" collapsed="false">
      <c r="A4148" s="1" t="s">
        <v>16426</v>
      </c>
      <c r="B4148" s="1" t="s">
        <v>900</v>
      </c>
      <c r="C4148" s="1" t="s">
        <v>2470</v>
      </c>
      <c r="D4148" s="2" t="n">
        <v>41260</v>
      </c>
      <c r="E4148" s="1" t="s">
        <v>710</v>
      </c>
      <c r="F4148" s="1" t="s">
        <v>711</v>
      </c>
      <c r="G4148" s="1" t="s">
        <v>712</v>
      </c>
      <c r="H4148" s="1" t="s">
        <v>713</v>
      </c>
      <c r="I4148" s="1" t="s">
        <v>714</v>
      </c>
      <c r="J4148" s="1" t="s">
        <v>16427</v>
      </c>
      <c r="K4148" s="1" t="s">
        <v>16428</v>
      </c>
      <c r="L4148" s="1" t="s">
        <v>13143</v>
      </c>
      <c r="M4148" s="1" t="s">
        <v>718</v>
      </c>
    </row>
    <row r="4149" customFormat="false" ht="15" hidden="false" customHeight="false" outlineLevel="0" collapsed="false">
      <c r="A4149" s="1" t="s">
        <v>292</v>
      </c>
      <c r="B4149" s="1" t="s">
        <v>16429</v>
      </c>
      <c r="C4149" s="1" t="s">
        <v>14359</v>
      </c>
      <c r="D4149" s="2" t="n">
        <v>41166</v>
      </c>
      <c r="E4149" s="1" t="s">
        <v>763</v>
      </c>
      <c r="F4149" s="1" t="s">
        <v>711</v>
      </c>
      <c r="G4149" s="1" t="s">
        <v>712</v>
      </c>
      <c r="H4149" s="1" t="s">
        <v>713</v>
      </c>
      <c r="I4149" s="1" t="s">
        <v>714</v>
      </c>
      <c r="J4149" s="1" t="s">
        <v>821</v>
      </c>
      <c r="K4149" s="1" t="s">
        <v>16430</v>
      </c>
      <c r="L4149" s="1" t="s">
        <v>14360</v>
      </c>
      <c r="M4149" s="1" t="s">
        <v>718</v>
      </c>
    </row>
    <row r="4150" customFormat="false" ht="15" hidden="false" customHeight="false" outlineLevel="0" collapsed="false">
      <c r="A4150" s="1" t="s">
        <v>303</v>
      </c>
      <c r="B4150" s="1" t="s">
        <v>16431</v>
      </c>
      <c r="C4150" s="1" t="s">
        <v>16432</v>
      </c>
      <c r="D4150" s="2" t="n">
        <v>40998</v>
      </c>
      <c r="E4150" s="1" t="s">
        <v>763</v>
      </c>
      <c r="F4150" s="1" t="s">
        <v>711</v>
      </c>
      <c r="G4150" s="1" t="s">
        <v>712</v>
      </c>
      <c r="H4150" s="1" t="s">
        <v>713</v>
      </c>
      <c r="I4150" s="1" t="s">
        <v>714</v>
      </c>
      <c r="J4150" s="1" t="s">
        <v>1530</v>
      </c>
      <c r="K4150" s="1" t="s">
        <v>16433</v>
      </c>
      <c r="L4150" s="1" t="s">
        <v>11839</v>
      </c>
      <c r="M4150" s="1" t="s">
        <v>718</v>
      </c>
    </row>
    <row r="4151" customFormat="false" ht="15" hidden="false" customHeight="false" outlineLevel="0" collapsed="false">
      <c r="A4151" s="1" t="s">
        <v>16434</v>
      </c>
      <c r="B4151" s="1" t="s">
        <v>16435</v>
      </c>
      <c r="C4151" s="1" t="s">
        <v>16417</v>
      </c>
      <c r="D4151" s="2" t="n">
        <v>40057</v>
      </c>
      <c r="E4151" s="1" t="s">
        <v>763</v>
      </c>
      <c r="F4151" s="1" t="s">
        <v>711</v>
      </c>
      <c r="G4151" s="1" t="s">
        <v>2094</v>
      </c>
      <c r="H4151" s="1" t="s">
        <v>713</v>
      </c>
      <c r="I4151" s="1" t="s">
        <v>714</v>
      </c>
      <c r="J4151" s="1" t="s">
        <v>928</v>
      </c>
      <c r="K4151" s="1" t="s">
        <v>16418</v>
      </c>
      <c r="L4151" s="1" t="s">
        <v>16419</v>
      </c>
      <c r="M4151" s="1" t="s">
        <v>718</v>
      </c>
    </row>
    <row r="4152" customFormat="false" ht="15" hidden="false" customHeight="false" outlineLevel="0" collapsed="false">
      <c r="A4152" s="1" t="s">
        <v>16436</v>
      </c>
      <c r="B4152" s="1" t="s">
        <v>16437</v>
      </c>
      <c r="C4152" s="1" t="s">
        <v>16417</v>
      </c>
      <c r="D4152" s="2" t="n">
        <v>40057</v>
      </c>
      <c r="E4152" s="1" t="s">
        <v>763</v>
      </c>
      <c r="F4152" s="1" t="s">
        <v>711</v>
      </c>
      <c r="G4152" s="1" t="s">
        <v>2094</v>
      </c>
      <c r="H4152" s="1" t="s">
        <v>713</v>
      </c>
      <c r="I4152" s="1" t="s">
        <v>714</v>
      </c>
      <c r="J4152" s="1" t="s">
        <v>928</v>
      </c>
      <c r="K4152" s="1" t="s">
        <v>16418</v>
      </c>
      <c r="L4152" s="1" t="s">
        <v>16419</v>
      </c>
      <c r="M4152" s="1" t="s">
        <v>718</v>
      </c>
    </row>
    <row r="4153" customFormat="false" ht="15" hidden="false" customHeight="false" outlineLevel="0" collapsed="false">
      <c r="A4153" s="1" t="s">
        <v>306</v>
      </c>
      <c r="B4153" s="1" t="s">
        <v>16438</v>
      </c>
      <c r="C4153" s="1" t="s">
        <v>15663</v>
      </c>
      <c r="D4153" s="2" t="n">
        <v>41219</v>
      </c>
      <c r="E4153" s="1" t="s">
        <v>763</v>
      </c>
      <c r="F4153" s="1" t="s">
        <v>711</v>
      </c>
      <c r="G4153" s="1" t="s">
        <v>712</v>
      </c>
      <c r="H4153" s="1" t="s">
        <v>713</v>
      </c>
      <c r="I4153" s="1" t="s">
        <v>714</v>
      </c>
      <c r="J4153" s="1" t="s">
        <v>1723</v>
      </c>
      <c r="K4153" s="1" t="s">
        <v>16439</v>
      </c>
      <c r="L4153" s="1" t="s">
        <v>15665</v>
      </c>
      <c r="M4153" s="1" t="s">
        <v>718</v>
      </c>
    </row>
    <row r="4154" customFormat="false" ht="15" hidden="false" customHeight="false" outlineLevel="0" collapsed="false">
      <c r="A4154" s="1" t="s">
        <v>321</v>
      </c>
      <c r="B4154" s="1" t="s">
        <v>16440</v>
      </c>
      <c r="C4154" s="1" t="s">
        <v>3200</v>
      </c>
      <c r="D4154" s="2" t="n">
        <v>40984</v>
      </c>
      <c r="E4154" s="1" t="s">
        <v>763</v>
      </c>
      <c r="F4154" s="1" t="s">
        <v>711</v>
      </c>
      <c r="G4154" s="1" t="s">
        <v>712</v>
      </c>
      <c r="H4154" s="1" t="s">
        <v>713</v>
      </c>
      <c r="I4154" s="1" t="s">
        <v>714</v>
      </c>
      <c r="J4154" s="1" t="s">
        <v>751</v>
      </c>
      <c r="K4154" s="1" t="s">
        <v>16441</v>
      </c>
      <c r="L4154" s="1" t="s">
        <v>13049</v>
      </c>
      <c r="M4154" s="1" t="s">
        <v>718</v>
      </c>
    </row>
    <row r="4155" customFormat="false" ht="15" hidden="false" customHeight="false" outlineLevel="0" collapsed="false">
      <c r="A4155" s="1" t="s">
        <v>326</v>
      </c>
      <c r="B4155" s="1" t="s">
        <v>16442</v>
      </c>
      <c r="C4155" s="1" t="s">
        <v>14588</v>
      </c>
      <c r="D4155" s="2" t="n">
        <v>41352</v>
      </c>
      <c r="E4155" s="1" t="s">
        <v>710</v>
      </c>
      <c r="F4155" s="1" t="s">
        <v>711</v>
      </c>
      <c r="G4155" s="1" t="s">
        <v>712</v>
      </c>
      <c r="H4155" s="1" t="s">
        <v>713</v>
      </c>
      <c r="I4155" s="1" t="s">
        <v>714</v>
      </c>
      <c r="J4155" s="1" t="s">
        <v>1530</v>
      </c>
      <c r="K4155" s="1" t="s">
        <v>16443</v>
      </c>
      <c r="L4155" s="1" t="s">
        <v>14590</v>
      </c>
      <c r="M4155" s="1" t="s">
        <v>718</v>
      </c>
    </row>
    <row r="4156" customFormat="false" ht="15" hidden="false" customHeight="false" outlineLevel="0" collapsed="false">
      <c r="A4156" s="1" t="s">
        <v>304</v>
      </c>
      <c r="B4156" s="1" t="s">
        <v>2206</v>
      </c>
      <c r="C4156" s="1" t="s">
        <v>10346</v>
      </c>
      <c r="D4156" s="2" t="n">
        <v>40973</v>
      </c>
      <c r="E4156" s="1" t="s">
        <v>710</v>
      </c>
      <c r="F4156" s="1" t="s">
        <v>711</v>
      </c>
      <c r="G4156" s="1" t="s">
        <v>712</v>
      </c>
      <c r="H4156" s="1" t="s">
        <v>713</v>
      </c>
      <c r="I4156" s="1" t="s">
        <v>714</v>
      </c>
      <c r="J4156" s="1" t="s">
        <v>1620</v>
      </c>
      <c r="K4156" s="1" t="s">
        <v>16444</v>
      </c>
      <c r="L4156" s="1" t="s">
        <v>16445</v>
      </c>
      <c r="M4156" s="1" t="s">
        <v>718</v>
      </c>
    </row>
    <row r="4157" customFormat="false" ht="15" hidden="false" customHeight="false" outlineLevel="0" collapsed="false">
      <c r="A4157" s="1" t="s">
        <v>333</v>
      </c>
      <c r="B4157" s="1" t="s">
        <v>16446</v>
      </c>
      <c r="C4157" s="1" t="s">
        <v>16447</v>
      </c>
      <c r="D4157" s="2" t="n">
        <v>41166</v>
      </c>
      <c r="E4157" s="1" t="s">
        <v>710</v>
      </c>
      <c r="F4157" s="1" t="s">
        <v>711</v>
      </c>
      <c r="G4157" s="1" t="s">
        <v>722</v>
      </c>
      <c r="H4157" s="1" t="s">
        <v>713</v>
      </c>
      <c r="I4157" s="1" t="s">
        <v>714</v>
      </c>
      <c r="J4157" s="1" t="s">
        <v>2530</v>
      </c>
      <c r="K4157" s="1" t="s">
        <v>16448</v>
      </c>
      <c r="L4157" s="1" t="s">
        <v>16449</v>
      </c>
      <c r="M4157" s="1" t="s">
        <v>718</v>
      </c>
    </row>
    <row r="4158" customFormat="false" ht="15" hidden="false" customHeight="false" outlineLevel="0" collapsed="false">
      <c r="A4158" s="1" t="s">
        <v>308</v>
      </c>
      <c r="B4158" s="1" t="s">
        <v>16450</v>
      </c>
      <c r="C4158" s="1" t="s">
        <v>1583</v>
      </c>
      <c r="D4158" s="2" t="n">
        <v>41151</v>
      </c>
      <c r="E4158" s="1" t="s">
        <v>710</v>
      </c>
      <c r="F4158" s="1" t="s">
        <v>711</v>
      </c>
      <c r="G4158" s="1" t="s">
        <v>712</v>
      </c>
      <c r="H4158" s="1" t="s">
        <v>713</v>
      </c>
      <c r="I4158" s="1" t="s">
        <v>714</v>
      </c>
      <c r="J4158" s="1" t="s">
        <v>2298</v>
      </c>
      <c r="K4158" s="1" t="s">
        <v>16451</v>
      </c>
      <c r="L4158" s="1" t="s">
        <v>16452</v>
      </c>
      <c r="M4158" s="1" t="s">
        <v>718</v>
      </c>
    </row>
    <row r="4159" customFormat="false" ht="15" hidden="false" customHeight="false" outlineLevel="0" collapsed="false">
      <c r="A4159" s="1" t="s">
        <v>16453</v>
      </c>
      <c r="B4159" s="1" t="s">
        <v>921</v>
      </c>
      <c r="C4159" s="1" t="s">
        <v>16454</v>
      </c>
      <c r="D4159" s="2" t="n">
        <v>40546</v>
      </c>
      <c r="E4159" s="1" t="s">
        <v>710</v>
      </c>
      <c r="F4159" s="1" t="s">
        <v>711</v>
      </c>
      <c r="G4159" s="1" t="s">
        <v>712</v>
      </c>
      <c r="H4159" s="1" t="s">
        <v>713</v>
      </c>
      <c r="I4159" s="1" t="s">
        <v>714</v>
      </c>
      <c r="J4159" s="1" t="s">
        <v>1244</v>
      </c>
      <c r="K4159" s="1" t="s">
        <v>16455</v>
      </c>
      <c r="L4159" s="1" t="s">
        <v>16456</v>
      </c>
      <c r="M4159" s="1" t="s">
        <v>718</v>
      </c>
    </row>
    <row r="4160" customFormat="false" ht="15" hidden="false" customHeight="false" outlineLevel="0" collapsed="false">
      <c r="A4160" s="1" t="s">
        <v>16457</v>
      </c>
      <c r="B4160" s="1" t="s">
        <v>1687</v>
      </c>
      <c r="C4160" s="1" t="s">
        <v>16458</v>
      </c>
      <c r="D4160" s="2" t="n">
        <v>40917</v>
      </c>
      <c r="E4160" s="1" t="s">
        <v>763</v>
      </c>
      <c r="F4160" s="1" t="s">
        <v>711</v>
      </c>
      <c r="G4160" s="1" t="s">
        <v>722</v>
      </c>
      <c r="H4160" s="1" t="s">
        <v>713</v>
      </c>
      <c r="I4160" s="1" t="s">
        <v>714</v>
      </c>
      <c r="J4160" s="1" t="s">
        <v>1244</v>
      </c>
      <c r="K4160" s="1" t="s">
        <v>16459</v>
      </c>
      <c r="L4160" s="1" t="s">
        <v>14904</v>
      </c>
      <c r="M4160" s="1" t="s">
        <v>718</v>
      </c>
    </row>
    <row r="4161" customFormat="false" ht="15" hidden="false" customHeight="false" outlineLevel="0" collapsed="false">
      <c r="A4161" s="1" t="s">
        <v>276</v>
      </c>
      <c r="B4161" s="1" t="s">
        <v>2374</v>
      </c>
      <c r="C4161" s="1" t="s">
        <v>16460</v>
      </c>
      <c r="D4161" s="2" t="n">
        <v>41085</v>
      </c>
      <c r="E4161" s="1" t="s">
        <v>710</v>
      </c>
      <c r="F4161" s="1" t="s">
        <v>711</v>
      </c>
      <c r="G4161" s="1" t="s">
        <v>722</v>
      </c>
      <c r="H4161" s="1" t="s">
        <v>713</v>
      </c>
      <c r="I4161" s="1" t="s">
        <v>714</v>
      </c>
      <c r="J4161" s="1" t="s">
        <v>821</v>
      </c>
      <c r="K4161" s="1" t="s">
        <v>16461</v>
      </c>
      <c r="L4161" s="1" t="s">
        <v>16462</v>
      </c>
      <c r="M4161" s="1" t="s">
        <v>718</v>
      </c>
    </row>
    <row r="4162" customFormat="false" ht="15" hidden="false" customHeight="false" outlineLevel="0" collapsed="false">
      <c r="A4162" s="1" t="s">
        <v>353</v>
      </c>
      <c r="B4162" s="1" t="s">
        <v>2256</v>
      </c>
      <c r="C4162" s="1" t="s">
        <v>16463</v>
      </c>
      <c r="D4162" s="2" t="n">
        <v>41236</v>
      </c>
      <c r="E4162" s="1" t="s">
        <v>710</v>
      </c>
      <c r="F4162" s="1" t="s">
        <v>711</v>
      </c>
      <c r="G4162" s="1" t="s">
        <v>712</v>
      </c>
      <c r="H4162" s="1" t="s">
        <v>713</v>
      </c>
      <c r="I4162" s="1" t="s">
        <v>714</v>
      </c>
      <c r="J4162" s="1" t="s">
        <v>821</v>
      </c>
      <c r="K4162" s="1" t="s">
        <v>16464</v>
      </c>
      <c r="L4162" s="1" t="s">
        <v>14754</v>
      </c>
      <c r="M4162" s="1" t="s">
        <v>718</v>
      </c>
    </row>
    <row r="4163" customFormat="false" ht="15" hidden="false" customHeight="false" outlineLevel="0" collapsed="false">
      <c r="A4163" s="1" t="s">
        <v>258</v>
      </c>
      <c r="B4163" s="1" t="s">
        <v>16465</v>
      </c>
      <c r="C4163" s="1" t="s">
        <v>8375</v>
      </c>
      <c r="D4163" s="2" t="n">
        <v>41242</v>
      </c>
      <c r="E4163" s="1" t="s">
        <v>763</v>
      </c>
      <c r="F4163" s="1" t="s">
        <v>711</v>
      </c>
      <c r="G4163" s="1" t="s">
        <v>1220</v>
      </c>
      <c r="H4163" s="1" t="s">
        <v>713</v>
      </c>
      <c r="I4163" s="1" t="s">
        <v>714</v>
      </c>
      <c r="J4163" s="1" t="s">
        <v>16466</v>
      </c>
      <c r="K4163" s="1" t="s">
        <v>16467</v>
      </c>
      <c r="L4163" s="1" t="s">
        <v>11506</v>
      </c>
      <c r="M4163" s="1" t="s">
        <v>718</v>
      </c>
    </row>
    <row r="4164" customFormat="false" ht="15" hidden="false" customHeight="false" outlineLevel="0" collapsed="false">
      <c r="A4164" s="1" t="s">
        <v>278</v>
      </c>
      <c r="B4164" s="1" t="s">
        <v>16468</v>
      </c>
      <c r="C4164" s="1" t="s">
        <v>16469</v>
      </c>
      <c r="D4164" s="2" t="n">
        <v>41034</v>
      </c>
      <c r="E4164" s="1" t="s">
        <v>763</v>
      </c>
      <c r="F4164" s="1" t="s">
        <v>711</v>
      </c>
      <c r="G4164" s="1" t="s">
        <v>712</v>
      </c>
      <c r="H4164" s="1" t="s">
        <v>713</v>
      </c>
      <c r="I4164" s="1" t="s">
        <v>714</v>
      </c>
      <c r="J4164" s="1" t="s">
        <v>821</v>
      </c>
      <c r="K4164" s="1" t="s">
        <v>16470</v>
      </c>
      <c r="L4164" s="1" t="s">
        <v>16471</v>
      </c>
      <c r="M4164" s="1" t="s">
        <v>718</v>
      </c>
    </row>
    <row r="4165" customFormat="false" ht="15" hidden="false" customHeight="false" outlineLevel="0" collapsed="false">
      <c r="A4165" s="1" t="s">
        <v>227</v>
      </c>
      <c r="B4165" s="1" t="s">
        <v>16472</v>
      </c>
      <c r="C4165" s="1" t="s">
        <v>13608</v>
      </c>
      <c r="D4165" s="2" t="n">
        <v>41030</v>
      </c>
      <c r="E4165" s="1" t="s">
        <v>763</v>
      </c>
      <c r="F4165" s="1" t="s">
        <v>711</v>
      </c>
      <c r="G4165" s="1" t="s">
        <v>712</v>
      </c>
      <c r="H4165" s="1" t="s">
        <v>713</v>
      </c>
      <c r="I4165" s="1" t="s">
        <v>714</v>
      </c>
      <c r="J4165" s="1" t="s">
        <v>1723</v>
      </c>
      <c r="K4165" s="1" t="s">
        <v>16473</v>
      </c>
      <c r="L4165" s="1" t="s">
        <v>13609</v>
      </c>
      <c r="M4165" s="1" t="s">
        <v>718</v>
      </c>
    </row>
    <row r="4166" customFormat="false" ht="15" hidden="false" customHeight="false" outlineLevel="0" collapsed="false">
      <c r="A4166" s="1" t="s">
        <v>344</v>
      </c>
      <c r="B4166" s="1" t="s">
        <v>16474</v>
      </c>
      <c r="C4166" s="1" t="s">
        <v>750</v>
      </c>
      <c r="D4166" s="2" t="n">
        <v>41253</v>
      </c>
      <c r="E4166" s="1" t="s">
        <v>763</v>
      </c>
      <c r="F4166" s="1" t="s">
        <v>711</v>
      </c>
      <c r="G4166" s="1" t="s">
        <v>712</v>
      </c>
      <c r="H4166" s="1" t="s">
        <v>713</v>
      </c>
      <c r="I4166" s="1" t="s">
        <v>714</v>
      </c>
      <c r="J4166" s="1" t="s">
        <v>1398</v>
      </c>
      <c r="K4166" s="1" t="s">
        <v>16281</v>
      </c>
      <c r="L4166" s="1" t="s">
        <v>16475</v>
      </c>
      <c r="M4166" s="1" t="s">
        <v>718</v>
      </c>
    </row>
    <row r="4167" customFormat="false" ht="15" hidden="false" customHeight="false" outlineLevel="0" collapsed="false">
      <c r="A4167" s="1" t="s">
        <v>16476</v>
      </c>
      <c r="B4167" s="1" t="s">
        <v>16477</v>
      </c>
      <c r="C4167" s="1" t="s">
        <v>16478</v>
      </c>
      <c r="D4167" s="2" t="n">
        <v>40637</v>
      </c>
      <c r="E4167" s="1" t="s">
        <v>710</v>
      </c>
      <c r="F4167" s="1" t="s">
        <v>711</v>
      </c>
      <c r="G4167" s="1" t="s">
        <v>712</v>
      </c>
      <c r="H4167" s="1" t="s">
        <v>713</v>
      </c>
      <c r="I4167" s="1" t="s">
        <v>714</v>
      </c>
      <c r="J4167" s="1" t="s">
        <v>928</v>
      </c>
      <c r="K4167" s="1" t="s">
        <v>16479</v>
      </c>
      <c r="L4167" s="1" t="s">
        <v>16480</v>
      </c>
      <c r="M4167" s="1" t="s">
        <v>718</v>
      </c>
    </row>
    <row r="4168" customFormat="false" ht="15" hidden="false" customHeight="false" outlineLevel="0" collapsed="false">
      <c r="A4168" s="1" t="s">
        <v>340</v>
      </c>
      <c r="B4168" s="1" t="s">
        <v>16481</v>
      </c>
      <c r="C4168" s="1" t="s">
        <v>16482</v>
      </c>
      <c r="D4168" s="2" t="n">
        <v>40806</v>
      </c>
      <c r="E4168" s="1" t="s">
        <v>710</v>
      </c>
      <c r="F4168" s="1" t="s">
        <v>711</v>
      </c>
      <c r="G4168" s="1" t="s">
        <v>712</v>
      </c>
      <c r="H4168" s="1" t="s">
        <v>713</v>
      </c>
      <c r="I4168" s="1" t="s">
        <v>714</v>
      </c>
      <c r="J4168" s="1" t="s">
        <v>1445</v>
      </c>
      <c r="K4168" s="1" t="s">
        <v>16483</v>
      </c>
      <c r="L4168" s="1" t="s">
        <v>16484</v>
      </c>
      <c r="M4168" s="1" t="s">
        <v>718</v>
      </c>
    </row>
    <row r="4169" customFormat="false" ht="15" hidden="false" customHeight="false" outlineLevel="0" collapsed="false">
      <c r="A4169" s="1" t="s">
        <v>314</v>
      </c>
      <c r="B4169" s="1" t="s">
        <v>15080</v>
      </c>
      <c r="C4169" s="1" t="s">
        <v>6407</v>
      </c>
      <c r="D4169" s="2" t="n">
        <v>40695</v>
      </c>
      <c r="E4169" s="1" t="s">
        <v>710</v>
      </c>
      <c r="F4169" s="1" t="s">
        <v>711</v>
      </c>
      <c r="G4169" s="1" t="s">
        <v>712</v>
      </c>
      <c r="H4169" s="1" t="s">
        <v>713</v>
      </c>
      <c r="I4169" s="1" t="s">
        <v>714</v>
      </c>
      <c r="J4169" s="1" t="s">
        <v>1131</v>
      </c>
      <c r="K4169" s="1" t="s">
        <v>16485</v>
      </c>
      <c r="L4169" s="1" t="s">
        <v>6409</v>
      </c>
      <c r="M4169" s="1" t="s">
        <v>718</v>
      </c>
    </row>
    <row r="4170" customFormat="false" ht="15" hidden="false" customHeight="false" outlineLevel="0" collapsed="false">
      <c r="A4170" s="1" t="s">
        <v>535</v>
      </c>
      <c r="B4170" s="1" t="s">
        <v>16486</v>
      </c>
      <c r="C4170" s="1" t="s">
        <v>16487</v>
      </c>
      <c r="D4170" s="2" t="n">
        <v>40003</v>
      </c>
      <c r="E4170" s="1" t="s">
        <v>763</v>
      </c>
      <c r="F4170" s="1" t="s">
        <v>711</v>
      </c>
      <c r="G4170" s="1" t="s">
        <v>712</v>
      </c>
      <c r="H4170" s="1" t="s">
        <v>713</v>
      </c>
      <c r="I4170" s="1" t="s">
        <v>714</v>
      </c>
      <c r="J4170" s="1" t="s">
        <v>1114</v>
      </c>
      <c r="K4170" s="1" t="s">
        <v>16488</v>
      </c>
      <c r="L4170" s="1" t="s">
        <v>16489</v>
      </c>
      <c r="M4170" s="1" t="s">
        <v>718</v>
      </c>
    </row>
    <row r="4171" customFormat="false" ht="15" hidden="false" customHeight="false" outlineLevel="0" collapsed="false">
      <c r="A4171" s="1" t="s">
        <v>16490</v>
      </c>
      <c r="B4171" s="1" t="s">
        <v>16491</v>
      </c>
      <c r="C4171" s="1" t="s">
        <v>16492</v>
      </c>
      <c r="D4171" s="2" t="n">
        <v>39850</v>
      </c>
      <c r="E4171" s="1" t="s">
        <v>763</v>
      </c>
      <c r="F4171" s="1" t="s">
        <v>711</v>
      </c>
      <c r="G4171" s="1" t="s">
        <v>712</v>
      </c>
      <c r="H4171" s="1" t="s">
        <v>713</v>
      </c>
      <c r="I4171" s="1" t="s">
        <v>714</v>
      </c>
      <c r="J4171" s="1" t="s">
        <v>16493</v>
      </c>
      <c r="K4171" s="1" t="s">
        <v>16494</v>
      </c>
      <c r="L4171" s="1" t="s">
        <v>16495</v>
      </c>
      <c r="M4171" s="1" t="s">
        <v>718</v>
      </c>
    </row>
    <row r="4172" customFormat="false" ht="15" hidden="false" customHeight="false" outlineLevel="0" collapsed="false">
      <c r="A4172" s="1" t="s">
        <v>642</v>
      </c>
      <c r="B4172" s="1" t="s">
        <v>16496</v>
      </c>
      <c r="C4172" s="1" t="s">
        <v>16497</v>
      </c>
      <c r="D4172" s="2" t="n">
        <v>39314</v>
      </c>
      <c r="E4172" s="1" t="s">
        <v>763</v>
      </c>
      <c r="F4172" s="1" t="s">
        <v>711</v>
      </c>
      <c r="G4172" s="1" t="s">
        <v>712</v>
      </c>
      <c r="H4172" s="1" t="s">
        <v>713</v>
      </c>
      <c r="I4172" s="1" t="s">
        <v>714</v>
      </c>
      <c r="J4172" s="1" t="s">
        <v>1244</v>
      </c>
      <c r="K4172" s="1" t="s">
        <v>16498</v>
      </c>
      <c r="L4172" s="1" t="s">
        <v>9630</v>
      </c>
      <c r="M4172" s="1" t="s">
        <v>718</v>
      </c>
    </row>
    <row r="4173" customFormat="false" ht="15" hidden="false" customHeight="false" outlineLevel="0" collapsed="false">
      <c r="A4173" s="1" t="s">
        <v>384</v>
      </c>
      <c r="B4173" s="1" t="s">
        <v>16499</v>
      </c>
      <c r="C4173" s="1" t="s">
        <v>7193</v>
      </c>
      <c r="D4173" s="2" t="n">
        <v>40843</v>
      </c>
      <c r="E4173" s="1" t="s">
        <v>710</v>
      </c>
      <c r="F4173" s="1" t="s">
        <v>711</v>
      </c>
      <c r="G4173" s="1" t="s">
        <v>712</v>
      </c>
      <c r="H4173" s="1" t="s">
        <v>713</v>
      </c>
      <c r="I4173" s="1" t="s">
        <v>714</v>
      </c>
      <c r="J4173" s="1" t="s">
        <v>16500</v>
      </c>
      <c r="K4173" s="1" t="s">
        <v>15836</v>
      </c>
      <c r="L4173" s="1" t="s">
        <v>10572</v>
      </c>
      <c r="M4173" s="1" t="s">
        <v>718</v>
      </c>
    </row>
    <row r="4174" customFormat="false" ht="15" hidden="false" customHeight="false" outlineLevel="0" collapsed="false">
      <c r="A4174" s="1" t="s">
        <v>440</v>
      </c>
      <c r="B4174" s="1" t="s">
        <v>4501</v>
      </c>
      <c r="C4174" s="1" t="s">
        <v>16501</v>
      </c>
      <c r="D4174" s="2" t="n">
        <v>40174</v>
      </c>
      <c r="E4174" s="1" t="s">
        <v>710</v>
      </c>
      <c r="F4174" s="1" t="s">
        <v>711</v>
      </c>
      <c r="G4174" s="1" t="s">
        <v>712</v>
      </c>
      <c r="H4174" s="1" t="s">
        <v>713</v>
      </c>
      <c r="I4174" s="1" t="s">
        <v>714</v>
      </c>
      <c r="J4174" s="1" t="s">
        <v>14051</v>
      </c>
      <c r="K4174" s="1" t="s">
        <v>16502</v>
      </c>
      <c r="L4174" s="1" t="s">
        <v>13905</v>
      </c>
      <c r="M4174" s="1" t="s">
        <v>718</v>
      </c>
    </row>
    <row r="4175" customFormat="false" ht="15" hidden="false" customHeight="false" outlineLevel="0" collapsed="false">
      <c r="A4175" s="1" t="s">
        <v>16503</v>
      </c>
      <c r="B4175" s="1" t="s">
        <v>16504</v>
      </c>
      <c r="C4175" s="1" t="s">
        <v>1637</v>
      </c>
      <c r="D4175" s="2" t="n">
        <v>40597</v>
      </c>
      <c r="E4175" s="1" t="s">
        <v>763</v>
      </c>
      <c r="F4175" s="1" t="s">
        <v>711</v>
      </c>
      <c r="G4175" s="1" t="s">
        <v>712</v>
      </c>
      <c r="H4175" s="1" t="s">
        <v>713</v>
      </c>
      <c r="I4175" s="1" t="s">
        <v>714</v>
      </c>
      <c r="J4175" s="1" t="s">
        <v>16505</v>
      </c>
      <c r="K4175" s="1" t="s">
        <v>16506</v>
      </c>
      <c r="L4175" s="1" t="s">
        <v>16507</v>
      </c>
      <c r="M4175" s="1" t="s">
        <v>718</v>
      </c>
    </row>
    <row r="4176" customFormat="false" ht="15" hidden="false" customHeight="false" outlineLevel="0" collapsed="false">
      <c r="A4176" s="1" t="s">
        <v>363</v>
      </c>
      <c r="B4176" s="1" t="s">
        <v>16508</v>
      </c>
      <c r="C4176" s="1" t="s">
        <v>16509</v>
      </c>
      <c r="D4176" s="2" t="n">
        <v>40806</v>
      </c>
      <c r="E4176" s="1" t="s">
        <v>763</v>
      </c>
      <c r="F4176" s="1" t="s">
        <v>711</v>
      </c>
      <c r="G4176" s="1" t="s">
        <v>712</v>
      </c>
      <c r="H4176" s="1" t="s">
        <v>713</v>
      </c>
      <c r="I4176" s="1" t="s">
        <v>714</v>
      </c>
      <c r="J4176" s="1" t="s">
        <v>821</v>
      </c>
      <c r="K4176" s="1" t="s">
        <v>16510</v>
      </c>
      <c r="L4176" s="1" t="s">
        <v>16511</v>
      </c>
      <c r="M4176" s="1" t="s">
        <v>718</v>
      </c>
    </row>
    <row r="4177" customFormat="false" ht="15" hidden="false" customHeight="false" outlineLevel="0" collapsed="false">
      <c r="A4177" s="1" t="s">
        <v>335</v>
      </c>
      <c r="B4177" s="1" t="s">
        <v>1687</v>
      </c>
      <c r="C4177" s="1" t="s">
        <v>14903</v>
      </c>
      <c r="D4177" s="2" t="n">
        <v>40917</v>
      </c>
      <c r="E4177" s="1" t="s">
        <v>763</v>
      </c>
      <c r="F4177" s="1" t="s">
        <v>711</v>
      </c>
      <c r="G4177" s="1" t="s">
        <v>722</v>
      </c>
      <c r="H4177" s="1" t="s">
        <v>713</v>
      </c>
      <c r="I4177" s="1" t="s">
        <v>714</v>
      </c>
      <c r="J4177" s="1" t="s">
        <v>1244</v>
      </c>
      <c r="K4177" s="1" t="s">
        <v>16459</v>
      </c>
      <c r="L4177" s="1" t="s">
        <v>14904</v>
      </c>
      <c r="M4177" s="1" t="s">
        <v>718</v>
      </c>
    </row>
    <row r="4178" customFormat="false" ht="15" hidden="false" customHeight="false" outlineLevel="0" collapsed="false">
      <c r="A4178" s="1" t="s">
        <v>16512</v>
      </c>
      <c r="B4178" s="1" t="s">
        <v>16513</v>
      </c>
      <c r="C4178" s="1" t="s">
        <v>6722</v>
      </c>
      <c r="D4178" s="2" t="n">
        <v>41232</v>
      </c>
      <c r="E4178" s="1" t="s">
        <v>763</v>
      </c>
      <c r="F4178" s="1" t="s">
        <v>711</v>
      </c>
      <c r="G4178" s="1" t="s">
        <v>712</v>
      </c>
      <c r="H4178" s="1" t="s">
        <v>713</v>
      </c>
      <c r="I4178" s="1" t="s">
        <v>714</v>
      </c>
      <c r="J4178" s="1" t="s">
        <v>1390</v>
      </c>
      <c r="K4178" s="1" t="s">
        <v>16514</v>
      </c>
      <c r="L4178" s="1" t="s">
        <v>16515</v>
      </c>
      <c r="M4178" s="1" t="s">
        <v>718</v>
      </c>
    </row>
    <row r="4179" customFormat="false" ht="15" hidden="false" customHeight="false" outlineLevel="0" collapsed="false">
      <c r="A4179" s="1" t="s">
        <v>279</v>
      </c>
      <c r="B4179" s="1" t="s">
        <v>16516</v>
      </c>
      <c r="C4179" s="1" t="s">
        <v>16517</v>
      </c>
      <c r="D4179" s="2" t="n">
        <v>41074</v>
      </c>
      <c r="E4179" s="1" t="s">
        <v>763</v>
      </c>
      <c r="F4179" s="1" t="s">
        <v>711</v>
      </c>
      <c r="G4179" s="1" t="s">
        <v>722</v>
      </c>
      <c r="H4179" s="1" t="s">
        <v>713</v>
      </c>
      <c r="I4179" s="1" t="s">
        <v>714</v>
      </c>
      <c r="J4179" s="1" t="s">
        <v>821</v>
      </c>
      <c r="K4179" s="1" t="s">
        <v>16518</v>
      </c>
      <c r="L4179" s="1" t="s">
        <v>16519</v>
      </c>
      <c r="M4179" s="1" t="s">
        <v>718</v>
      </c>
    </row>
    <row r="4180" customFormat="false" ht="15" hidden="false" customHeight="false" outlineLevel="0" collapsed="false">
      <c r="A4180" s="1" t="s">
        <v>348</v>
      </c>
      <c r="B4180" s="1" t="s">
        <v>4184</v>
      </c>
      <c r="C4180" s="1" t="s">
        <v>16079</v>
      </c>
      <c r="D4180" s="2" t="n">
        <v>41225</v>
      </c>
      <c r="E4180" s="1" t="s">
        <v>763</v>
      </c>
      <c r="F4180" s="1" t="s">
        <v>711</v>
      </c>
      <c r="G4180" s="1" t="s">
        <v>722</v>
      </c>
      <c r="H4180" s="1" t="s">
        <v>713</v>
      </c>
      <c r="I4180" s="1" t="s">
        <v>714</v>
      </c>
      <c r="J4180" s="1" t="s">
        <v>1244</v>
      </c>
      <c r="K4180" s="1" t="s">
        <v>16520</v>
      </c>
      <c r="L4180" s="1" t="s">
        <v>16080</v>
      </c>
      <c r="M4180" s="1" t="s">
        <v>718</v>
      </c>
    </row>
    <row r="4181" customFormat="false" ht="15" hidden="false" customHeight="false" outlineLevel="0" collapsed="false">
      <c r="A4181" s="1" t="s">
        <v>339</v>
      </c>
      <c r="B4181" s="1" t="s">
        <v>13913</v>
      </c>
      <c r="C4181" s="1" t="s">
        <v>16079</v>
      </c>
      <c r="D4181" s="2" t="n">
        <v>40588</v>
      </c>
      <c r="E4181" s="1" t="s">
        <v>710</v>
      </c>
      <c r="F4181" s="1" t="s">
        <v>711</v>
      </c>
      <c r="G4181" s="1" t="s">
        <v>712</v>
      </c>
      <c r="H4181" s="1" t="s">
        <v>713</v>
      </c>
      <c r="I4181" s="1" t="s">
        <v>714</v>
      </c>
      <c r="J4181" s="1" t="s">
        <v>1244</v>
      </c>
      <c r="K4181" s="1" t="s">
        <v>16251</v>
      </c>
      <c r="L4181" s="1" t="s">
        <v>16080</v>
      </c>
      <c r="M4181" s="1" t="s">
        <v>718</v>
      </c>
    </row>
    <row r="4182" customFormat="false" ht="15" hidden="false" customHeight="false" outlineLevel="0" collapsed="false">
      <c r="A4182" s="1" t="s">
        <v>178</v>
      </c>
      <c r="B4182" s="1" t="s">
        <v>10922</v>
      </c>
      <c r="C4182" s="1" t="s">
        <v>16521</v>
      </c>
      <c r="D4182" s="2" t="n">
        <v>40903</v>
      </c>
      <c r="E4182" s="1" t="s">
        <v>710</v>
      </c>
      <c r="F4182" s="1" t="s">
        <v>711</v>
      </c>
      <c r="G4182" s="1" t="s">
        <v>1220</v>
      </c>
      <c r="H4182" s="1" t="s">
        <v>713</v>
      </c>
      <c r="I4182" s="1" t="s">
        <v>714</v>
      </c>
      <c r="J4182" s="1" t="s">
        <v>1445</v>
      </c>
      <c r="K4182" s="1" t="s">
        <v>16522</v>
      </c>
      <c r="L4182" s="1" t="s">
        <v>16523</v>
      </c>
      <c r="M4182" s="1" t="s">
        <v>718</v>
      </c>
    </row>
    <row r="4183" customFormat="false" ht="15" hidden="false" customHeight="false" outlineLevel="0" collapsed="false">
      <c r="A4183" s="1" t="s">
        <v>16524</v>
      </c>
      <c r="B4183" s="1" t="s">
        <v>10427</v>
      </c>
      <c r="C4183" s="1" t="s">
        <v>16525</v>
      </c>
      <c r="D4183" s="2" t="n">
        <v>40974</v>
      </c>
      <c r="E4183" s="1" t="s">
        <v>710</v>
      </c>
      <c r="F4183" s="1" t="s">
        <v>711</v>
      </c>
      <c r="G4183" s="1" t="s">
        <v>712</v>
      </c>
      <c r="H4183" s="1" t="s">
        <v>713</v>
      </c>
      <c r="I4183" s="1" t="s">
        <v>714</v>
      </c>
      <c r="J4183" s="1" t="s">
        <v>5767</v>
      </c>
      <c r="K4183" s="1" t="s">
        <v>16526</v>
      </c>
      <c r="L4183" s="1" t="s">
        <v>9423</v>
      </c>
      <c r="M4183" s="1" t="s">
        <v>718</v>
      </c>
    </row>
    <row r="4184" customFormat="false" ht="15" hidden="false" customHeight="false" outlineLevel="0" collapsed="false">
      <c r="A4184" s="1" t="s">
        <v>355</v>
      </c>
      <c r="B4184" s="1" t="s">
        <v>16527</v>
      </c>
      <c r="C4184" s="1" t="s">
        <v>16528</v>
      </c>
      <c r="D4184" s="2" t="n">
        <v>41639</v>
      </c>
      <c r="E4184" s="1" t="s">
        <v>763</v>
      </c>
      <c r="F4184" s="1" t="s">
        <v>711</v>
      </c>
      <c r="G4184" s="1" t="s">
        <v>722</v>
      </c>
      <c r="H4184" s="1" t="s">
        <v>713</v>
      </c>
      <c r="I4184" s="1" t="s">
        <v>714</v>
      </c>
      <c r="J4184" s="1" t="s">
        <v>716</v>
      </c>
      <c r="K4184" s="1" t="s">
        <v>16529</v>
      </c>
      <c r="L4184" s="1" t="s">
        <v>16530</v>
      </c>
      <c r="M4184" s="1" t="s">
        <v>718</v>
      </c>
    </row>
    <row r="4185" customFormat="false" ht="15" hidden="false" customHeight="false" outlineLevel="0" collapsed="false">
      <c r="A4185" s="1" t="s">
        <v>351</v>
      </c>
      <c r="B4185" s="1" t="s">
        <v>7577</v>
      </c>
      <c r="C4185" s="1" t="s">
        <v>16528</v>
      </c>
      <c r="D4185" s="2" t="n">
        <v>41042</v>
      </c>
      <c r="E4185" s="1" t="s">
        <v>710</v>
      </c>
      <c r="F4185" s="1" t="s">
        <v>711</v>
      </c>
      <c r="G4185" s="1" t="s">
        <v>712</v>
      </c>
      <c r="H4185" s="1" t="s">
        <v>713</v>
      </c>
      <c r="I4185" s="1" t="s">
        <v>714</v>
      </c>
      <c r="J4185" s="1" t="s">
        <v>1398</v>
      </c>
      <c r="K4185" s="1" t="s">
        <v>16531</v>
      </c>
      <c r="L4185" s="1" t="s">
        <v>16530</v>
      </c>
      <c r="M4185" s="1" t="s">
        <v>718</v>
      </c>
    </row>
    <row r="4186" customFormat="false" ht="15" hidden="false" customHeight="false" outlineLevel="0" collapsed="false">
      <c r="A4186" s="1" t="s">
        <v>347</v>
      </c>
      <c r="B4186" s="1" t="s">
        <v>16320</v>
      </c>
      <c r="C4186" s="1" t="s">
        <v>16532</v>
      </c>
      <c r="D4186" s="2" t="n">
        <v>41130</v>
      </c>
      <c r="E4186" s="1" t="s">
        <v>710</v>
      </c>
      <c r="F4186" s="1" t="s">
        <v>711</v>
      </c>
      <c r="G4186" s="1" t="s">
        <v>7695</v>
      </c>
      <c r="H4186" s="1" t="s">
        <v>713</v>
      </c>
      <c r="I4186" s="1" t="s">
        <v>714</v>
      </c>
      <c r="J4186" s="1" t="s">
        <v>1244</v>
      </c>
      <c r="K4186" s="1" t="s">
        <v>16533</v>
      </c>
      <c r="L4186" s="1" t="s">
        <v>16534</v>
      </c>
      <c r="M4186" s="1" t="s">
        <v>718</v>
      </c>
    </row>
    <row r="4187" customFormat="false" ht="15" hidden="false" customHeight="false" outlineLevel="0" collapsed="false">
      <c r="A4187" s="1" t="s">
        <v>322</v>
      </c>
      <c r="B4187" s="1" t="s">
        <v>16535</v>
      </c>
      <c r="C4187" s="1" t="s">
        <v>16536</v>
      </c>
      <c r="D4187" s="2" t="n">
        <v>41203</v>
      </c>
      <c r="E4187" s="1" t="s">
        <v>710</v>
      </c>
      <c r="F4187" s="1" t="s">
        <v>711</v>
      </c>
      <c r="G4187" s="1" t="s">
        <v>712</v>
      </c>
      <c r="H4187" s="1" t="s">
        <v>713</v>
      </c>
      <c r="I4187" s="1" t="s">
        <v>714</v>
      </c>
      <c r="J4187" s="1" t="s">
        <v>821</v>
      </c>
      <c r="K4187" s="1" t="s">
        <v>16537</v>
      </c>
      <c r="L4187" s="1" t="s">
        <v>13682</v>
      </c>
      <c r="M4187" s="1" t="s">
        <v>718</v>
      </c>
    </row>
    <row r="4188" customFormat="false" ht="15" hidden="false" customHeight="false" outlineLevel="0" collapsed="false">
      <c r="A4188" s="1" t="s">
        <v>319</v>
      </c>
      <c r="B4188" s="1" t="s">
        <v>11524</v>
      </c>
      <c r="C4188" s="1" t="s">
        <v>9461</v>
      </c>
      <c r="D4188" s="2" t="n">
        <v>40860</v>
      </c>
      <c r="E4188" s="1" t="s">
        <v>710</v>
      </c>
      <c r="F4188" s="1" t="s">
        <v>711</v>
      </c>
      <c r="G4188" s="1" t="s">
        <v>712</v>
      </c>
      <c r="H4188" s="1" t="s">
        <v>713</v>
      </c>
      <c r="I4188" s="1" t="s">
        <v>714</v>
      </c>
      <c r="J4188" s="1" t="s">
        <v>1244</v>
      </c>
      <c r="K4188" s="1" t="s">
        <v>16538</v>
      </c>
      <c r="L4188" s="1" t="s">
        <v>16539</v>
      </c>
      <c r="M4188" s="1" t="s">
        <v>718</v>
      </c>
    </row>
    <row r="4189" customFormat="false" ht="15" hidden="false" customHeight="false" outlineLevel="0" collapsed="false">
      <c r="A4189" s="1" t="s">
        <v>323</v>
      </c>
      <c r="B4189" s="1" t="s">
        <v>16540</v>
      </c>
      <c r="C4189" s="1" t="s">
        <v>16541</v>
      </c>
      <c r="D4189" s="2" t="n">
        <v>41199</v>
      </c>
      <c r="E4189" s="1" t="s">
        <v>710</v>
      </c>
      <c r="F4189" s="1" t="s">
        <v>711</v>
      </c>
      <c r="G4189" s="1" t="s">
        <v>712</v>
      </c>
      <c r="H4189" s="1" t="s">
        <v>713</v>
      </c>
      <c r="I4189" s="1" t="s">
        <v>714</v>
      </c>
      <c r="J4189" s="1" t="s">
        <v>821</v>
      </c>
      <c r="K4189" s="1" t="s">
        <v>16542</v>
      </c>
      <c r="L4189" s="1" t="s">
        <v>16543</v>
      </c>
      <c r="M4189" s="1" t="s">
        <v>718</v>
      </c>
    </row>
    <row r="4190" customFormat="false" ht="15" hidden="false" customHeight="false" outlineLevel="0" collapsed="false">
      <c r="A4190" s="1" t="s">
        <v>305</v>
      </c>
      <c r="B4190" s="1" t="s">
        <v>16544</v>
      </c>
      <c r="C4190" s="1" t="s">
        <v>9962</v>
      </c>
      <c r="D4190" s="2" t="n">
        <v>40836</v>
      </c>
      <c r="E4190" s="1" t="s">
        <v>710</v>
      </c>
      <c r="F4190" s="1" t="s">
        <v>711</v>
      </c>
      <c r="G4190" s="1" t="s">
        <v>722</v>
      </c>
      <c r="H4190" s="1" t="s">
        <v>713</v>
      </c>
      <c r="I4190" s="1" t="s">
        <v>714</v>
      </c>
      <c r="J4190" s="1" t="s">
        <v>1131</v>
      </c>
      <c r="K4190" s="1" t="s">
        <v>16545</v>
      </c>
      <c r="L4190" s="1" t="s">
        <v>16546</v>
      </c>
      <c r="M4190" s="1" t="s">
        <v>718</v>
      </c>
    </row>
    <row r="4191" customFormat="false" ht="15" hidden="false" customHeight="false" outlineLevel="0" collapsed="false">
      <c r="A4191" s="1" t="s">
        <v>300</v>
      </c>
      <c r="B4191" s="1" t="s">
        <v>15801</v>
      </c>
      <c r="C4191" s="1" t="s">
        <v>750</v>
      </c>
      <c r="D4191" s="2" t="n">
        <v>40502</v>
      </c>
      <c r="E4191" s="1" t="s">
        <v>710</v>
      </c>
      <c r="F4191" s="1" t="s">
        <v>711</v>
      </c>
      <c r="G4191" s="1" t="s">
        <v>712</v>
      </c>
      <c r="H4191" s="1" t="s">
        <v>713</v>
      </c>
      <c r="I4191" s="1" t="s">
        <v>714</v>
      </c>
      <c r="J4191" s="1" t="s">
        <v>1398</v>
      </c>
      <c r="K4191" s="1" t="s">
        <v>16421</v>
      </c>
      <c r="L4191" s="1" t="s">
        <v>16422</v>
      </c>
      <c r="M4191" s="1" t="s">
        <v>718</v>
      </c>
    </row>
    <row r="4192" customFormat="false" ht="15" hidden="false" customHeight="false" outlineLevel="0" collapsed="false">
      <c r="A4192" s="1" t="s">
        <v>320</v>
      </c>
      <c r="B4192" s="1" t="s">
        <v>16547</v>
      </c>
      <c r="C4192" s="1" t="s">
        <v>13533</v>
      </c>
      <c r="D4192" s="2" t="n">
        <v>41164</v>
      </c>
      <c r="E4192" s="1" t="s">
        <v>710</v>
      </c>
      <c r="F4192" s="1" t="s">
        <v>711</v>
      </c>
      <c r="G4192" s="1" t="s">
        <v>712</v>
      </c>
      <c r="H4192" s="1" t="s">
        <v>713</v>
      </c>
      <c r="I4192" s="1" t="s">
        <v>714</v>
      </c>
      <c r="J4192" s="1" t="s">
        <v>821</v>
      </c>
      <c r="K4192" s="1" t="s">
        <v>16548</v>
      </c>
      <c r="L4192" s="1" t="s">
        <v>13535</v>
      </c>
      <c r="M4192" s="1" t="s">
        <v>718</v>
      </c>
    </row>
    <row r="4193" customFormat="false" ht="15" hidden="false" customHeight="false" outlineLevel="0" collapsed="false">
      <c r="A4193" s="1" t="s">
        <v>311</v>
      </c>
      <c r="B4193" s="1" t="s">
        <v>16549</v>
      </c>
      <c r="C4193" s="1" t="s">
        <v>2260</v>
      </c>
      <c r="D4193" s="2" t="n">
        <v>40494</v>
      </c>
      <c r="E4193" s="1" t="s">
        <v>710</v>
      </c>
      <c r="F4193" s="1" t="s">
        <v>711</v>
      </c>
      <c r="G4193" s="1" t="s">
        <v>712</v>
      </c>
      <c r="H4193" s="1" t="s">
        <v>713</v>
      </c>
      <c r="I4193" s="1" t="s">
        <v>714</v>
      </c>
      <c r="J4193" s="1" t="s">
        <v>1244</v>
      </c>
      <c r="K4193" s="1" t="s">
        <v>16550</v>
      </c>
      <c r="L4193" s="1" t="s">
        <v>9630</v>
      </c>
      <c r="M4193" s="1" t="s">
        <v>718</v>
      </c>
    </row>
    <row r="4194" customFormat="false" ht="15" hidden="false" customHeight="false" outlineLevel="0" collapsed="false">
      <c r="A4194" s="1" t="s">
        <v>354</v>
      </c>
      <c r="B4194" s="1" t="s">
        <v>16029</v>
      </c>
      <c r="C4194" s="1" t="s">
        <v>16551</v>
      </c>
      <c r="D4194" s="2" t="n">
        <v>41021</v>
      </c>
      <c r="E4194" s="1" t="s">
        <v>710</v>
      </c>
      <c r="F4194" s="1" t="s">
        <v>711</v>
      </c>
      <c r="G4194" s="1" t="s">
        <v>712</v>
      </c>
      <c r="H4194" s="1" t="s">
        <v>713</v>
      </c>
      <c r="I4194" s="1" t="s">
        <v>714</v>
      </c>
      <c r="J4194" s="1" t="s">
        <v>2499</v>
      </c>
      <c r="K4194" s="1" t="s">
        <v>16552</v>
      </c>
      <c r="L4194" s="1" t="s">
        <v>16553</v>
      </c>
      <c r="M4194" s="1" t="s">
        <v>718</v>
      </c>
    </row>
    <row r="4195" customFormat="false" ht="15" hidden="false" customHeight="false" outlineLevel="0" collapsed="false">
      <c r="A4195" s="1" t="s">
        <v>327</v>
      </c>
      <c r="B4195" s="1" t="s">
        <v>16554</v>
      </c>
      <c r="C4195" s="1" t="s">
        <v>16555</v>
      </c>
      <c r="D4195" s="2" t="n">
        <v>41036</v>
      </c>
      <c r="E4195" s="1" t="s">
        <v>710</v>
      </c>
      <c r="F4195" s="1" t="s">
        <v>711</v>
      </c>
      <c r="G4195" s="1" t="s">
        <v>722</v>
      </c>
      <c r="H4195" s="1" t="s">
        <v>713</v>
      </c>
      <c r="I4195" s="1" t="s">
        <v>714</v>
      </c>
      <c r="J4195" s="1" t="s">
        <v>1530</v>
      </c>
      <c r="K4195" s="1" t="s">
        <v>16556</v>
      </c>
      <c r="L4195" s="1" t="s">
        <v>16557</v>
      </c>
      <c r="M4195" s="1" t="s">
        <v>718</v>
      </c>
    </row>
    <row r="4196" customFormat="false" ht="15" hidden="false" customHeight="false" outlineLevel="0" collapsed="false">
      <c r="A4196" s="1" t="s">
        <v>16558</v>
      </c>
      <c r="B4196" s="1" t="s">
        <v>7376</v>
      </c>
      <c r="C4196" s="1" t="s">
        <v>7473</v>
      </c>
      <c r="D4196" s="2" t="n">
        <v>40497</v>
      </c>
      <c r="E4196" s="1" t="s">
        <v>710</v>
      </c>
      <c r="F4196" s="1" t="s">
        <v>711</v>
      </c>
      <c r="G4196" s="1" t="s">
        <v>712</v>
      </c>
      <c r="H4196" s="1" t="s">
        <v>713</v>
      </c>
      <c r="I4196" s="1" t="s">
        <v>714</v>
      </c>
      <c r="J4196" s="1" t="s">
        <v>751</v>
      </c>
      <c r="K4196" s="1" t="s">
        <v>16559</v>
      </c>
      <c r="L4196" s="1" t="s">
        <v>11540</v>
      </c>
      <c r="M4196" s="1" t="s">
        <v>718</v>
      </c>
    </row>
    <row r="4197" customFormat="false" ht="15" hidden="false" customHeight="false" outlineLevel="0" collapsed="false">
      <c r="A4197" s="1" t="s">
        <v>309</v>
      </c>
      <c r="B4197" s="1" t="s">
        <v>16560</v>
      </c>
      <c r="C4197" s="1" t="s">
        <v>13591</v>
      </c>
      <c r="D4197" s="2" t="n">
        <v>41285</v>
      </c>
      <c r="E4197" s="1" t="s">
        <v>710</v>
      </c>
      <c r="F4197" s="1" t="s">
        <v>711</v>
      </c>
      <c r="G4197" s="1" t="s">
        <v>712</v>
      </c>
      <c r="H4197" s="1" t="s">
        <v>713</v>
      </c>
      <c r="I4197" s="1" t="s">
        <v>714</v>
      </c>
      <c r="J4197" s="1" t="s">
        <v>2298</v>
      </c>
      <c r="K4197" s="1" t="s">
        <v>16561</v>
      </c>
      <c r="L4197" s="1" t="s">
        <v>16562</v>
      </c>
      <c r="M4197" s="1" t="s">
        <v>718</v>
      </c>
    </row>
    <row r="4198" customFormat="false" ht="15" hidden="false" customHeight="false" outlineLevel="0" collapsed="false">
      <c r="A4198" s="1" t="s">
        <v>16563</v>
      </c>
      <c r="B4198" s="1" t="s">
        <v>935</v>
      </c>
      <c r="C4198" s="1" t="s">
        <v>2663</v>
      </c>
      <c r="D4198" s="2" t="n">
        <v>40205</v>
      </c>
      <c r="E4198" s="1" t="s">
        <v>710</v>
      </c>
      <c r="F4198" s="1" t="s">
        <v>711</v>
      </c>
      <c r="G4198" s="1" t="s">
        <v>712</v>
      </c>
      <c r="H4198" s="1" t="s">
        <v>713</v>
      </c>
      <c r="I4198" s="1" t="s">
        <v>714</v>
      </c>
      <c r="J4198" s="1" t="s">
        <v>2001</v>
      </c>
      <c r="K4198" s="1" t="s">
        <v>16564</v>
      </c>
      <c r="L4198" s="1" t="s">
        <v>16565</v>
      </c>
      <c r="M4198" s="1" t="s">
        <v>718</v>
      </c>
    </row>
    <row r="4199" customFormat="false" ht="15" hidden="false" customHeight="false" outlineLevel="0" collapsed="false">
      <c r="A4199" s="1" t="s">
        <v>233</v>
      </c>
      <c r="B4199" s="1" t="s">
        <v>16566</v>
      </c>
      <c r="C4199" s="1" t="s">
        <v>16567</v>
      </c>
      <c r="D4199" s="2" t="n">
        <v>41131</v>
      </c>
      <c r="E4199" s="1" t="s">
        <v>710</v>
      </c>
      <c r="F4199" s="1" t="s">
        <v>711</v>
      </c>
      <c r="G4199" s="1" t="s">
        <v>712</v>
      </c>
      <c r="H4199" s="1" t="s">
        <v>713</v>
      </c>
      <c r="I4199" s="1" t="s">
        <v>714</v>
      </c>
      <c r="J4199" s="1" t="s">
        <v>1723</v>
      </c>
      <c r="K4199" s="1" t="s">
        <v>16568</v>
      </c>
      <c r="L4199" s="1" t="s">
        <v>16569</v>
      </c>
      <c r="M4199" s="1" t="s">
        <v>718</v>
      </c>
    </row>
    <row r="4200" customFormat="false" ht="15" hidden="false" customHeight="false" outlineLevel="0" collapsed="false">
      <c r="A4200" s="1" t="s">
        <v>329</v>
      </c>
      <c r="B4200" s="1" t="s">
        <v>16570</v>
      </c>
      <c r="C4200" s="1" t="s">
        <v>1717</v>
      </c>
      <c r="D4200" s="2" t="n">
        <v>40612</v>
      </c>
      <c r="E4200" s="1" t="s">
        <v>710</v>
      </c>
      <c r="F4200" s="1" t="s">
        <v>711</v>
      </c>
      <c r="G4200" s="1" t="s">
        <v>712</v>
      </c>
      <c r="H4200" s="1" t="s">
        <v>713</v>
      </c>
      <c r="I4200" s="1" t="s">
        <v>714</v>
      </c>
      <c r="J4200" s="1" t="s">
        <v>715</v>
      </c>
      <c r="K4200" s="1" t="s">
        <v>16571</v>
      </c>
      <c r="L4200" s="1" t="s">
        <v>14379</v>
      </c>
      <c r="M4200" s="1" t="s">
        <v>718</v>
      </c>
    </row>
    <row r="4201" customFormat="false" ht="15" hidden="false" customHeight="false" outlineLevel="0" collapsed="false">
      <c r="A4201" s="1" t="s">
        <v>313</v>
      </c>
      <c r="B4201" s="1" t="s">
        <v>16572</v>
      </c>
      <c r="C4201" s="1" t="s">
        <v>16492</v>
      </c>
      <c r="D4201" s="2" t="n">
        <v>40675</v>
      </c>
      <c r="E4201" s="1" t="s">
        <v>710</v>
      </c>
      <c r="F4201" s="1" t="s">
        <v>711</v>
      </c>
      <c r="G4201" s="1" t="s">
        <v>712</v>
      </c>
      <c r="H4201" s="1" t="s">
        <v>713</v>
      </c>
      <c r="I4201" s="1" t="s">
        <v>714</v>
      </c>
      <c r="J4201" s="1" t="s">
        <v>16573</v>
      </c>
      <c r="K4201" s="1" t="s">
        <v>16574</v>
      </c>
      <c r="L4201" s="1" t="s">
        <v>16495</v>
      </c>
      <c r="M4201" s="1" t="s">
        <v>718</v>
      </c>
    </row>
    <row r="4202" customFormat="false" ht="15" hidden="false" customHeight="false" outlineLevel="0" collapsed="false">
      <c r="A4202" s="1" t="s">
        <v>349</v>
      </c>
      <c r="B4202" s="1" t="s">
        <v>16575</v>
      </c>
      <c r="C4202" s="1" t="s">
        <v>10786</v>
      </c>
      <c r="D4202" s="2" t="n">
        <v>41168</v>
      </c>
      <c r="E4202" s="1" t="s">
        <v>763</v>
      </c>
      <c r="F4202" s="1" t="s">
        <v>711</v>
      </c>
      <c r="G4202" s="1" t="s">
        <v>722</v>
      </c>
      <c r="H4202" s="1" t="s">
        <v>713</v>
      </c>
      <c r="I4202" s="1" t="s">
        <v>714</v>
      </c>
      <c r="J4202" s="1" t="s">
        <v>790</v>
      </c>
      <c r="K4202" s="1" t="s">
        <v>16576</v>
      </c>
      <c r="L4202" s="1" t="s">
        <v>16577</v>
      </c>
      <c r="M4202" s="1" t="s">
        <v>718</v>
      </c>
    </row>
    <row r="4203" customFormat="false" ht="15" hidden="false" customHeight="false" outlineLevel="0" collapsed="false">
      <c r="A4203" s="1" t="s">
        <v>337</v>
      </c>
      <c r="B4203" s="1" t="s">
        <v>16578</v>
      </c>
      <c r="C4203" s="1" t="s">
        <v>10786</v>
      </c>
      <c r="D4203" s="2" t="n">
        <v>40520</v>
      </c>
      <c r="E4203" s="1" t="s">
        <v>763</v>
      </c>
      <c r="F4203" s="1" t="s">
        <v>711</v>
      </c>
      <c r="G4203" s="1" t="s">
        <v>712</v>
      </c>
      <c r="H4203" s="1" t="s">
        <v>713</v>
      </c>
      <c r="I4203" s="1" t="s">
        <v>714</v>
      </c>
      <c r="J4203" s="1" t="s">
        <v>790</v>
      </c>
      <c r="K4203" s="1" t="s">
        <v>16576</v>
      </c>
      <c r="L4203" s="1" t="s">
        <v>10788</v>
      </c>
      <c r="M4203" s="1" t="s">
        <v>718</v>
      </c>
    </row>
    <row r="4204" customFormat="false" ht="15" hidden="false" customHeight="false" outlineLevel="0" collapsed="false">
      <c r="A4204" s="1" t="s">
        <v>350</v>
      </c>
      <c r="B4204" s="1" t="s">
        <v>16579</v>
      </c>
      <c r="C4204" s="1" t="s">
        <v>2369</v>
      </c>
      <c r="D4204" s="2" t="n">
        <v>41092</v>
      </c>
      <c r="E4204" s="1" t="s">
        <v>763</v>
      </c>
      <c r="F4204" s="1" t="s">
        <v>711</v>
      </c>
      <c r="G4204" s="1" t="s">
        <v>712</v>
      </c>
      <c r="H4204" s="1" t="s">
        <v>713</v>
      </c>
      <c r="I4204" s="1" t="s">
        <v>714</v>
      </c>
      <c r="J4204" s="1" t="s">
        <v>1244</v>
      </c>
      <c r="K4204" s="1" t="s">
        <v>16251</v>
      </c>
      <c r="L4204" s="1" t="s">
        <v>16580</v>
      </c>
      <c r="M4204" s="1" t="s">
        <v>718</v>
      </c>
    </row>
    <row r="4205" customFormat="false" ht="15" hidden="false" customHeight="false" outlineLevel="0" collapsed="false">
      <c r="A4205" s="1" t="s">
        <v>346</v>
      </c>
      <c r="B4205" s="1" t="s">
        <v>16581</v>
      </c>
      <c r="C4205" s="1" t="s">
        <v>16582</v>
      </c>
      <c r="D4205" s="2" t="n">
        <v>40987</v>
      </c>
      <c r="E4205" s="1" t="s">
        <v>763</v>
      </c>
      <c r="F4205" s="1" t="s">
        <v>711</v>
      </c>
      <c r="G4205" s="1" t="s">
        <v>712</v>
      </c>
      <c r="H4205" s="1" t="s">
        <v>713</v>
      </c>
      <c r="I4205" s="1" t="s">
        <v>714</v>
      </c>
      <c r="J4205" s="1" t="s">
        <v>1723</v>
      </c>
      <c r="K4205" s="1" t="s">
        <v>16583</v>
      </c>
      <c r="L4205" s="1" t="s">
        <v>16584</v>
      </c>
      <c r="M4205" s="1" t="s">
        <v>718</v>
      </c>
    </row>
    <row r="4206" customFormat="false" ht="15" hidden="false" customHeight="false" outlineLevel="0" collapsed="false">
      <c r="A4206" s="1" t="s">
        <v>345</v>
      </c>
      <c r="B4206" s="1" t="s">
        <v>2071</v>
      </c>
      <c r="C4206" s="1" t="s">
        <v>16585</v>
      </c>
      <c r="D4206" s="2" t="n">
        <v>40988</v>
      </c>
      <c r="E4206" s="1" t="s">
        <v>710</v>
      </c>
      <c r="F4206" s="1" t="s">
        <v>711</v>
      </c>
      <c r="G4206" s="1" t="s">
        <v>712</v>
      </c>
      <c r="H4206" s="1" t="s">
        <v>713</v>
      </c>
      <c r="I4206" s="1" t="s">
        <v>714</v>
      </c>
      <c r="J4206" s="1" t="s">
        <v>4239</v>
      </c>
      <c r="K4206" s="1" t="s">
        <v>16586</v>
      </c>
      <c r="L4206" s="1" t="s">
        <v>16587</v>
      </c>
      <c r="M4206" s="1" t="s">
        <v>718</v>
      </c>
    </row>
    <row r="4207" customFormat="false" ht="15" hidden="false" customHeight="false" outlineLevel="0" collapsed="false">
      <c r="A4207" s="1" t="s">
        <v>92</v>
      </c>
      <c r="B4207" s="1" t="s">
        <v>16588</v>
      </c>
      <c r="C4207" s="1" t="s">
        <v>16589</v>
      </c>
      <c r="D4207" s="2" t="n">
        <v>41078</v>
      </c>
      <c r="E4207" s="1" t="s">
        <v>710</v>
      </c>
      <c r="F4207" s="1" t="s">
        <v>711</v>
      </c>
      <c r="G4207" s="1" t="s">
        <v>722</v>
      </c>
      <c r="H4207" s="1" t="s">
        <v>713</v>
      </c>
      <c r="I4207" s="1" t="s">
        <v>714</v>
      </c>
      <c r="J4207" s="1" t="s">
        <v>715</v>
      </c>
      <c r="K4207" s="1" t="s">
        <v>16590</v>
      </c>
      <c r="L4207" s="1" t="s">
        <v>16591</v>
      </c>
      <c r="M4207" s="1" t="s">
        <v>718</v>
      </c>
    </row>
    <row r="4208" customFormat="false" ht="15" hidden="false" customHeight="false" outlineLevel="0" collapsed="false">
      <c r="A4208" s="1" t="s">
        <v>328</v>
      </c>
      <c r="B4208" s="1" t="s">
        <v>1416</v>
      </c>
      <c r="C4208" s="1" t="s">
        <v>13533</v>
      </c>
      <c r="D4208" s="2" t="n">
        <v>41164</v>
      </c>
      <c r="E4208" s="1" t="s">
        <v>710</v>
      </c>
      <c r="F4208" s="1" t="s">
        <v>711</v>
      </c>
      <c r="G4208" s="1" t="s">
        <v>712</v>
      </c>
      <c r="H4208" s="1" t="s">
        <v>713</v>
      </c>
      <c r="I4208" s="1" t="s">
        <v>714</v>
      </c>
      <c r="J4208" s="1" t="s">
        <v>821</v>
      </c>
      <c r="K4208" s="1" t="s">
        <v>13534</v>
      </c>
      <c r="L4208" s="1" t="s">
        <v>13535</v>
      </c>
      <c r="M4208" s="1" t="s">
        <v>718</v>
      </c>
    </row>
    <row r="4209" customFormat="false" ht="15" hidden="false" customHeight="false" outlineLevel="0" collapsed="false">
      <c r="A4209" s="1" t="s">
        <v>253</v>
      </c>
      <c r="B4209" s="1" t="s">
        <v>16592</v>
      </c>
      <c r="C4209" s="1" t="s">
        <v>8409</v>
      </c>
      <c r="D4209" s="2" t="n">
        <v>41072</v>
      </c>
      <c r="E4209" s="1" t="s">
        <v>710</v>
      </c>
      <c r="F4209" s="1" t="s">
        <v>711</v>
      </c>
      <c r="G4209" s="1" t="s">
        <v>722</v>
      </c>
      <c r="H4209" s="1" t="s">
        <v>713</v>
      </c>
      <c r="I4209" s="1" t="s">
        <v>714</v>
      </c>
      <c r="J4209" s="1" t="s">
        <v>928</v>
      </c>
      <c r="K4209" s="1" t="s">
        <v>16593</v>
      </c>
      <c r="L4209" s="1" t="s">
        <v>16594</v>
      </c>
      <c r="M4209" s="1" t="s">
        <v>718</v>
      </c>
    </row>
    <row r="4210" customFormat="false" ht="15" hidden="false" customHeight="false" outlineLevel="0" collapsed="false">
      <c r="A4210" s="1" t="s">
        <v>250</v>
      </c>
      <c r="B4210" s="1" t="s">
        <v>16595</v>
      </c>
      <c r="C4210" s="1" t="s">
        <v>15565</v>
      </c>
      <c r="D4210" s="2" t="n">
        <v>40737</v>
      </c>
      <c r="E4210" s="1" t="s">
        <v>710</v>
      </c>
      <c r="F4210" s="1" t="s">
        <v>711</v>
      </c>
      <c r="G4210" s="1" t="s">
        <v>712</v>
      </c>
      <c r="H4210" s="1" t="s">
        <v>713</v>
      </c>
      <c r="I4210" s="1" t="s">
        <v>714</v>
      </c>
      <c r="J4210" s="1" t="s">
        <v>790</v>
      </c>
      <c r="K4210" s="1" t="s">
        <v>16596</v>
      </c>
      <c r="L4210" s="1" t="s">
        <v>16597</v>
      </c>
      <c r="M4210" s="1" t="s">
        <v>718</v>
      </c>
    </row>
    <row r="4211" customFormat="false" ht="15" hidden="false" customHeight="false" outlineLevel="0" collapsed="false">
      <c r="A4211" s="1" t="s">
        <v>220</v>
      </c>
      <c r="B4211" s="1" t="s">
        <v>1538</v>
      </c>
      <c r="C4211" s="1" t="s">
        <v>16598</v>
      </c>
      <c r="D4211" s="2" t="n">
        <v>40753</v>
      </c>
      <c r="E4211" s="1" t="s">
        <v>763</v>
      </c>
      <c r="F4211" s="1" t="s">
        <v>711</v>
      </c>
      <c r="G4211" s="1" t="s">
        <v>712</v>
      </c>
      <c r="H4211" s="1" t="s">
        <v>713</v>
      </c>
      <c r="I4211" s="1" t="s">
        <v>714</v>
      </c>
      <c r="J4211" s="1" t="s">
        <v>1055</v>
      </c>
      <c r="K4211" s="1" t="s">
        <v>16599</v>
      </c>
      <c r="L4211" s="1" t="s">
        <v>16600</v>
      </c>
      <c r="M4211" s="1" t="s">
        <v>718</v>
      </c>
    </row>
    <row r="4212" customFormat="false" ht="15" hidden="false" customHeight="false" outlineLevel="0" collapsed="false">
      <c r="A4212" s="1" t="s">
        <v>283</v>
      </c>
      <c r="B4212" s="1" t="s">
        <v>16601</v>
      </c>
      <c r="C4212" s="1" t="s">
        <v>16602</v>
      </c>
      <c r="D4212" s="2" t="n">
        <v>40852</v>
      </c>
      <c r="E4212" s="1" t="s">
        <v>763</v>
      </c>
      <c r="F4212" s="1" t="s">
        <v>4714</v>
      </c>
      <c r="G4212" s="1" t="s">
        <v>16603</v>
      </c>
      <c r="H4212" s="1" t="s">
        <v>10209</v>
      </c>
      <c r="I4212" s="1" t="s">
        <v>2084</v>
      </c>
      <c r="J4212" s="1" t="s">
        <v>838</v>
      </c>
      <c r="K4212" s="1" t="s">
        <v>16604</v>
      </c>
      <c r="L4212" s="1" t="s">
        <v>16605</v>
      </c>
      <c r="M4212" s="1" t="s">
        <v>2083</v>
      </c>
    </row>
    <row r="4213" customFormat="false" ht="15" hidden="false" customHeight="false" outlineLevel="0" collapsed="false">
      <c r="A4213" s="1" t="s">
        <v>315</v>
      </c>
      <c r="B4213" s="1" t="s">
        <v>16606</v>
      </c>
      <c r="C4213" s="1" t="s">
        <v>1239</v>
      </c>
      <c r="D4213" s="2" t="n">
        <v>40587</v>
      </c>
      <c r="E4213" s="1" t="s">
        <v>710</v>
      </c>
      <c r="F4213" s="1" t="s">
        <v>711</v>
      </c>
      <c r="G4213" s="1" t="s">
        <v>712</v>
      </c>
      <c r="H4213" s="1" t="s">
        <v>713</v>
      </c>
      <c r="I4213" s="1" t="s">
        <v>714</v>
      </c>
      <c r="J4213" s="1" t="s">
        <v>790</v>
      </c>
      <c r="K4213" s="1" t="s">
        <v>16607</v>
      </c>
      <c r="L4213" s="1" t="s">
        <v>16608</v>
      </c>
      <c r="M4213" s="1" t="s">
        <v>718</v>
      </c>
    </row>
    <row r="4214" customFormat="false" ht="15" hidden="false" customHeight="false" outlineLevel="0" collapsed="false">
      <c r="A4214" s="1" t="s">
        <v>312</v>
      </c>
      <c r="B4214" s="1" t="s">
        <v>16609</v>
      </c>
      <c r="C4214" s="1" t="s">
        <v>14739</v>
      </c>
      <c r="D4214" s="2" t="n">
        <v>40405</v>
      </c>
      <c r="E4214" s="1" t="s">
        <v>710</v>
      </c>
      <c r="F4214" s="1" t="s">
        <v>711</v>
      </c>
      <c r="G4214" s="1" t="s">
        <v>712</v>
      </c>
      <c r="H4214" s="1" t="s">
        <v>713</v>
      </c>
      <c r="I4214" s="1" t="s">
        <v>714</v>
      </c>
      <c r="J4214" s="1" t="s">
        <v>1530</v>
      </c>
      <c r="K4214" s="1" t="s">
        <v>16610</v>
      </c>
      <c r="L4214" s="1" t="s">
        <v>2342</v>
      </c>
      <c r="M4214" s="1" t="s">
        <v>718</v>
      </c>
    </row>
    <row r="4215" customFormat="false" ht="15" hidden="false" customHeight="false" outlineLevel="0" collapsed="false">
      <c r="A4215" s="1" t="s">
        <v>263</v>
      </c>
      <c r="B4215" s="1" t="s">
        <v>16611</v>
      </c>
      <c r="C4215" s="1" t="s">
        <v>16612</v>
      </c>
      <c r="D4215" s="2" t="n">
        <v>41293</v>
      </c>
      <c r="E4215" s="1" t="s">
        <v>763</v>
      </c>
      <c r="F4215" s="1" t="s">
        <v>711</v>
      </c>
      <c r="G4215" s="1" t="s">
        <v>712</v>
      </c>
      <c r="H4215" s="1" t="s">
        <v>713</v>
      </c>
      <c r="I4215" s="1" t="s">
        <v>714</v>
      </c>
      <c r="J4215" s="1" t="s">
        <v>4756</v>
      </c>
      <c r="K4215" s="1" t="s">
        <v>16613</v>
      </c>
      <c r="L4215" s="1" t="s">
        <v>10889</v>
      </c>
      <c r="M4215" s="1" t="s">
        <v>718</v>
      </c>
    </row>
    <row r="4216" customFormat="false" ht="15" hidden="false" customHeight="false" outlineLevel="0" collapsed="false">
      <c r="A4216" s="1" t="s">
        <v>341</v>
      </c>
      <c r="B4216" s="1" t="s">
        <v>16614</v>
      </c>
      <c r="C4216" s="1" t="s">
        <v>16615</v>
      </c>
      <c r="D4216" s="2" t="n">
        <v>41226</v>
      </c>
      <c r="E4216" s="1" t="s">
        <v>763</v>
      </c>
      <c r="F4216" s="1" t="s">
        <v>711</v>
      </c>
      <c r="G4216" s="1" t="s">
        <v>722</v>
      </c>
      <c r="H4216" s="1" t="s">
        <v>713</v>
      </c>
      <c r="I4216" s="1" t="s">
        <v>714</v>
      </c>
      <c r="J4216" s="1" t="s">
        <v>790</v>
      </c>
      <c r="K4216" s="1" t="s">
        <v>16616</v>
      </c>
      <c r="L4216" s="1" t="s">
        <v>16617</v>
      </c>
      <c r="M4216" s="1" t="s">
        <v>718</v>
      </c>
    </row>
    <row r="4217" customFormat="false" ht="15" hidden="false" customHeight="false" outlineLevel="0" collapsed="false">
      <c r="A4217" s="1" t="s">
        <v>343</v>
      </c>
      <c r="B4217" s="1" t="s">
        <v>3194</v>
      </c>
      <c r="C4217" s="1" t="s">
        <v>16618</v>
      </c>
      <c r="D4217" s="2" t="n">
        <v>40997</v>
      </c>
      <c r="E4217" s="1" t="s">
        <v>710</v>
      </c>
      <c r="F4217" s="1" t="s">
        <v>711</v>
      </c>
      <c r="G4217" s="1" t="s">
        <v>712</v>
      </c>
      <c r="H4217" s="1" t="s">
        <v>713</v>
      </c>
      <c r="I4217" s="1" t="s">
        <v>714</v>
      </c>
      <c r="J4217" s="1" t="s">
        <v>1244</v>
      </c>
      <c r="K4217" s="1" t="s">
        <v>16619</v>
      </c>
      <c r="L4217" s="1" t="s">
        <v>7824</v>
      </c>
      <c r="M4217" s="1" t="s">
        <v>718</v>
      </c>
    </row>
    <row r="4218" customFormat="false" ht="15" hidden="false" customHeight="false" outlineLevel="0" collapsed="false">
      <c r="A4218" s="1" t="s">
        <v>219</v>
      </c>
      <c r="B4218" s="1" t="s">
        <v>16620</v>
      </c>
      <c r="C4218" s="1" t="s">
        <v>14921</v>
      </c>
      <c r="D4218" s="2" t="n">
        <v>40790</v>
      </c>
      <c r="E4218" s="1" t="s">
        <v>710</v>
      </c>
      <c r="F4218" s="1" t="s">
        <v>711</v>
      </c>
      <c r="G4218" s="1" t="s">
        <v>722</v>
      </c>
      <c r="H4218" s="1" t="s">
        <v>713</v>
      </c>
      <c r="I4218" s="1" t="s">
        <v>714</v>
      </c>
      <c r="J4218" s="1" t="s">
        <v>1445</v>
      </c>
      <c r="K4218" s="1" t="s">
        <v>16621</v>
      </c>
      <c r="L4218" s="1" t="s">
        <v>14923</v>
      </c>
      <c r="M4218" s="1" t="s">
        <v>718</v>
      </c>
    </row>
    <row r="4219" customFormat="false" ht="15" hidden="false" customHeight="false" outlineLevel="0" collapsed="false">
      <c r="A4219" s="1" t="s">
        <v>331</v>
      </c>
      <c r="B4219" s="1" t="s">
        <v>16622</v>
      </c>
      <c r="C4219" s="1" t="s">
        <v>750</v>
      </c>
      <c r="D4219" s="2" t="n">
        <v>41164</v>
      </c>
      <c r="E4219" s="1" t="s">
        <v>763</v>
      </c>
      <c r="F4219" s="1" t="s">
        <v>711</v>
      </c>
      <c r="G4219" s="1" t="s">
        <v>712</v>
      </c>
      <c r="H4219" s="1" t="s">
        <v>713</v>
      </c>
      <c r="I4219" s="1" t="s">
        <v>714</v>
      </c>
      <c r="J4219" s="1" t="s">
        <v>1055</v>
      </c>
      <c r="K4219" s="1" t="s">
        <v>16623</v>
      </c>
      <c r="L4219" s="1" t="s">
        <v>4942</v>
      </c>
      <c r="M4219" s="1" t="s">
        <v>718</v>
      </c>
    </row>
    <row r="4220" customFormat="false" ht="15" hidden="false" customHeight="false" outlineLevel="0" collapsed="false">
      <c r="A4220" s="1" t="s">
        <v>16624</v>
      </c>
      <c r="B4220" s="1" t="s">
        <v>16625</v>
      </c>
      <c r="C4220" s="1" t="s">
        <v>16626</v>
      </c>
      <c r="D4220" s="2" t="n">
        <v>40478</v>
      </c>
      <c r="E4220" s="1" t="s">
        <v>763</v>
      </c>
      <c r="F4220" s="1" t="s">
        <v>711</v>
      </c>
      <c r="G4220" s="1" t="s">
        <v>722</v>
      </c>
      <c r="H4220" s="1" t="s">
        <v>713</v>
      </c>
      <c r="I4220" s="1" t="s">
        <v>714</v>
      </c>
      <c r="J4220" s="1" t="s">
        <v>838</v>
      </c>
      <c r="K4220" s="1" t="s">
        <v>16627</v>
      </c>
      <c r="L4220" s="1" t="s">
        <v>16628</v>
      </c>
      <c r="M4220" s="1" t="s">
        <v>718</v>
      </c>
    </row>
    <row r="4221" customFormat="false" ht="15" hidden="false" customHeight="false" outlineLevel="0" collapsed="false">
      <c r="A4221" s="1" t="s">
        <v>352</v>
      </c>
      <c r="B4221" s="1" t="s">
        <v>16629</v>
      </c>
      <c r="C4221" s="1" t="s">
        <v>16630</v>
      </c>
      <c r="D4221" s="2" t="n">
        <v>40960</v>
      </c>
      <c r="E4221" s="1" t="s">
        <v>710</v>
      </c>
      <c r="F4221" s="1" t="s">
        <v>711</v>
      </c>
      <c r="G4221" s="1" t="s">
        <v>712</v>
      </c>
      <c r="H4221" s="1" t="s">
        <v>713</v>
      </c>
      <c r="I4221" s="1" t="s">
        <v>714</v>
      </c>
      <c r="J4221" s="1" t="s">
        <v>928</v>
      </c>
      <c r="K4221" s="1" t="s">
        <v>16631</v>
      </c>
      <c r="L4221" s="1" t="s">
        <v>16632</v>
      </c>
      <c r="M4221" s="1" t="s">
        <v>718</v>
      </c>
    </row>
    <row r="4222" customFormat="false" ht="15" hidden="false" customHeight="false" outlineLevel="0" collapsed="false">
      <c r="A4222" s="1" t="s">
        <v>16633</v>
      </c>
      <c r="B4222" s="1" t="s">
        <v>16634</v>
      </c>
      <c r="C4222" s="1" t="s">
        <v>7181</v>
      </c>
      <c r="D4222" s="2" t="n">
        <v>40527</v>
      </c>
      <c r="E4222" s="1" t="s">
        <v>763</v>
      </c>
      <c r="F4222" s="1" t="s">
        <v>711</v>
      </c>
      <c r="G4222" s="1" t="s">
        <v>712</v>
      </c>
      <c r="H4222" s="1" t="s">
        <v>713</v>
      </c>
      <c r="I4222" s="1" t="s">
        <v>714</v>
      </c>
      <c r="J4222" s="1" t="s">
        <v>13822</v>
      </c>
      <c r="K4222" s="1" t="s">
        <v>16635</v>
      </c>
      <c r="L4222" s="1" t="s">
        <v>16636</v>
      </c>
      <c r="M4222" s="1" t="s">
        <v>718</v>
      </c>
    </row>
    <row r="4223" customFormat="false" ht="15" hidden="false" customHeight="false" outlineLevel="0" collapsed="false">
      <c r="A4223" s="1" t="s">
        <v>342</v>
      </c>
      <c r="B4223" s="1" t="s">
        <v>16637</v>
      </c>
      <c r="C4223" s="1" t="s">
        <v>8730</v>
      </c>
      <c r="D4223" s="2" t="n">
        <v>41160</v>
      </c>
      <c r="E4223" s="1" t="s">
        <v>763</v>
      </c>
      <c r="F4223" s="1" t="s">
        <v>711</v>
      </c>
      <c r="G4223" s="1" t="s">
        <v>712</v>
      </c>
      <c r="H4223" s="1" t="s">
        <v>713</v>
      </c>
      <c r="I4223" s="1" t="s">
        <v>714</v>
      </c>
      <c r="J4223" s="1" t="s">
        <v>12242</v>
      </c>
      <c r="K4223" s="1" t="s">
        <v>16638</v>
      </c>
      <c r="L4223" s="1" t="s">
        <v>8733</v>
      </c>
      <c r="M4223" s="1" t="s">
        <v>718</v>
      </c>
    </row>
    <row r="4224" customFormat="false" ht="15" hidden="false" customHeight="false" outlineLevel="0" collapsed="false">
      <c r="A4224" s="1" t="s">
        <v>16639</v>
      </c>
      <c r="B4224" s="1" t="s">
        <v>16640</v>
      </c>
      <c r="C4224" s="1" t="s">
        <v>10546</v>
      </c>
      <c r="D4224" s="2" t="n">
        <v>40478</v>
      </c>
      <c r="E4224" s="1" t="s">
        <v>763</v>
      </c>
      <c r="F4224" s="1" t="s">
        <v>711</v>
      </c>
      <c r="G4224" s="1" t="s">
        <v>722</v>
      </c>
      <c r="H4224" s="1" t="s">
        <v>713</v>
      </c>
      <c r="I4224" s="1" t="s">
        <v>714</v>
      </c>
      <c r="J4224" s="1" t="s">
        <v>1244</v>
      </c>
      <c r="K4224" s="1" t="s">
        <v>16641</v>
      </c>
      <c r="L4224" s="1" t="s">
        <v>6180</v>
      </c>
      <c r="M4224" s="1" t="s">
        <v>718</v>
      </c>
    </row>
    <row r="4225" customFormat="false" ht="15" hidden="false" customHeight="false" outlineLevel="0" collapsed="false">
      <c r="A4225" s="1" t="s">
        <v>336</v>
      </c>
      <c r="B4225" s="1" t="s">
        <v>16642</v>
      </c>
      <c r="C4225" s="1" t="s">
        <v>16643</v>
      </c>
      <c r="D4225" s="2" t="n">
        <v>40406</v>
      </c>
      <c r="E4225" s="1" t="s">
        <v>710</v>
      </c>
      <c r="F4225" s="1" t="s">
        <v>711</v>
      </c>
      <c r="G4225" s="1" t="s">
        <v>712</v>
      </c>
      <c r="H4225" s="1" t="s">
        <v>713</v>
      </c>
      <c r="I4225" s="1" t="s">
        <v>714</v>
      </c>
      <c r="J4225" s="1" t="s">
        <v>1584</v>
      </c>
      <c r="K4225" s="1" t="s">
        <v>16644</v>
      </c>
      <c r="L4225" s="1" t="s">
        <v>16645</v>
      </c>
      <c r="M4225" s="1" t="s">
        <v>718</v>
      </c>
    </row>
    <row r="4226" customFormat="false" ht="15" hidden="false" customHeight="false" outlineLevel="0" collapsed="false">
      <c r="A4226" s="1" t="s">
        <v>218</v>
      </c>
      <c r="B4226" s="1" t="s">
        <v>12647</v>
      </c>
      <c r="C4226" s="1" t="s">
        <v>16646</v>
      </c>
      <c r="D4226" s="2" t="n">
        <v>40715</v>
      </c>
      <c r="E4226" s="1" t="s">
        <v>763</v>
      </c>
      <c r="F4226" s="1" t="s">
        <v>711</v>
      </c>
      <c r="G4226" s="1" t="s">
        <v>712</v>
      </c>
      <c r="H4226" s="1" t="s">
        <v>713</v>
      </c>
      <c r="I4226" s="1" t="s">
        <v>714</v>
      </c>
      <c r="J4226" s="1" t="s">
        <v>838</v>
      </c>
      <c r="K4226" s="1" t="s">
        <v>16647</v>
      </c>
      <c r="L4226" s="1" t="s">
        <v>10596</v>
      </c>
      <c r="M4226" s="1" t="s">
        <v>718</v>
      </c>
    </row>
    <row r="4227" customFormat="false" ht="15" hidden="false" customHeight="false" outlineLevel="0" collapsed="false">
      <c r="A4227" s="1" t="s">
        <v>16648</v>
      </c>
      <c r="B4227" s="1" t="s">
        <v>16649</v>
      </c>
      <c r="C4227" s="1" t="s">
        <v>2643</v>
      </c>
      <c r="D4227" s="2" t="n">
        <v>40058</v>
      </c>
      <c r="E4227" s="1" t="s">
        <v>763</v>
      </c>
      <c r="F4227" s="1" t="s">
        <v>711</v>
      </c>
      <c r="G4227" s="1" t="s">
        <v>712</v>
      </c>
      <c r="H4227" s="1" t="s">
        <v>713</v>
      </c>
      <c r="I4227" s="1" t="s">
        <v>714</v>
      </c>
      <c r="J4227" s="1" t="s">
        <v>716</v>
      </c>
      <c r="K4227" s="1" t="s">
        <v>16647</v>
      </c>
      <c r="L4227" s="1" t="s">
        <v>10596</v>
      </c>
      <c r="M4227" s="1" t="s">
        <v>718</v>
      </c>
    </row>
    <row r="4228" customFormat="false" ht="15" hidden="false" customHeight="false" outlineLevel="0" collapsed="false">
      <c r="A4228" s="1" t="s">
        <v>628</v>
      </c>
      <c r="B4228" s="1" t="s">
        <v>16650</v>
      </c>
      <c r="C4228" s="1" t="s">
        <v>4403</v>
      </c>
      <c r="D4228" s="2" t="n">
        <v>40019</v>
      </c>
      <c r="E4228" s="1" t="s">
        <v>763</v>
      </c>
      <c r="F4228" s="1" t="s">
        <v>711</v>
      </c>
      <c r="G4228" s="1" t="s">
        <v>712</v>
      </c>
      <c r="H4228" s="1" t="s">
        <v>713</v>
      </c>
      <c r="I4228" s="1" t="s">
        <v>714</v>
      </c>
      <c r="J4228" s="1" t="s">
        <v>1131</v>
      </c>
      <c r="K4228" s="1" t="s">
        <v>16651</v>
      </c>
      <c r="L4228" s="1" t="s">
        <v>16652</v>
      </c>
      <c r="M4228" s="1" t="s">
        <v>718</v>
      </c>
    </row>
    <row r="4229" customFormat="false" ht="15" hidden="false" customHeight="false" outlineLevel="0" collapsed="false">
      <c r="A4229" s="1" t="s">
        <v>16653</v>
      </c>
      <c r="B4229" s="1" t="s">
        <v>16654</v>
      </c>
      <c r="C4229" s="1" t="s">
        <v>16655</v>
      </c>
      <c r="D4229" s="2" t="n">
        <v>32457</v>
      </c>
      <c r="E4229" s="1" t="s">
        <v>763</v>
      </c>
      <c r="F4229" s="1" t="s">
        <v>711</v>
      </c>
      <c r="G4229" s="1" t="s">
        <v>722</v>
      </c>
      <c r="H4229" s="1" t="s">
        <v>713</v>
      </c>
      <c r="I4229" s="1" t="s">
        <v>714</v>
      </c>
      <c r="J4229" s="1" t="s">
        <v>4239</v>
      </c>
      <c r="K4229" s="1" t="s">
        <v>14220</v>
      </c>
      <c r="L4229" s="1" t="s">
        <v>11230</v>
      </c>
      <c r="M4229" s="1" t="s">
        <v>718</v>
      </c>
    </row>
    <row r="4230" customFormat="false" ht="15" hidden="false" customHeight="false" outlineLevel="0" collapsed="false">
      <c r="A4230" s="1" t="s">
        <v>334</v>
      </c>
      <c r="B4230" s="1" t="s">
        <v>16656</v>
      </c>
      <c r="C4230" s="1" t="s">
        <v>16657</v>
      </c>
      <c r="D4230" s="2" t="n">
        <v>40915</v>
      </c>
      <c r="E4230" s="1" t="s">
        <v>763</v>
      </c>
      <c r="F4230" s="1" t="s">
        <v>711</v>
      </c>
      <c r="G4230" s="1" t="s">
        <v>722</v>
      </c>
      <c r="H4230" s="1" t="s">
        <v>713</v>
      </c>
      <c r="I4230" s="1" t="s">
        <v>714</v>
      </c>
      <c r="J4230" s="1" t="s">
        <v>16658</v>
      </c>
      <c r="K4230" s="1" t="s">
        <v>13785</v>
      </c>
      <c r="L4230" s="1" t="s">
        <v>16659</v>
      </c>
      <c r="M4230" s="1" t="s">
        <v>718</v>
      </c>
    </row>
    <row r="4231" customFormat="false" ht="15" hidden="false" customHeight="false" outlineLevel="0" collapsed="false">
      <c r="A4231" s="1" t="s">
        <v>307</v>
      </c>
      <c r="B4231" s="1" t="s">
        <v>14578</v>
      </c>
      <c r="C4231" s="1" t="s">
        <v>750</v>
      </c>
      <c r="D4231" s="2" t="n">
        <v>41170</v>
      </c>
      <c r="E4231" s="1" t="s">
        <v>710</v>
      </c>
      <c r="F4231" s="1" t="s">
        <v>711</v>
      </c>
      <c r="G4231" s="1" t="s">
        <v>712</v>
      </c>
      <c r="H4231" s="1" t="s">
        <v>713</v>
      </c>
      <c r="I4231" s="1" t="s">
        <v>714</v>
      </c>
      <c r="J4231" s="1" t="s">
        <v>16660</v>
      </c>
      <c r="K4231" s="1" t="s">
        <v>16661</v>
      </c>
      <c r="L4231" s="1" t="s">
        <v>9815</v>
      </c>
      <c r="M4231" s="1" t="s">
        <v>718</v>
      </c>
    </row>
    <row r="4232" customFormat="false" ht="15" hidden="false" customHeight="false" outlineLevel="0" collapsed="false">
      <c r="A4232" s="1" t="s">
        <v>16662</v>
      </c>
      <c r="B4232" s="1" t="s">
        <v>16663</v>
      </c>
      <c r="C4232" s="1" t="s">
        <v>12820</v>
      </c>
      <c r="D4232" s="2" t="n">
        <v>40191</v>
      </c>
      <c r="E4232" s="1" t="s">
        <v>710</v>
      </c>
      <c r="F4232" s="1" t="s">
        <v>711</v>
      </c>
      <c r="G4232" s="1" t="s">
        <v>712</v>
      </c>
      <c r="H4232" s="1" t="s">
        <v>713</v>
      </c>
      <c r="I4232" s="1" t="s">
        <v>714</v>
      </c>
      <c r="J4232" s="1" t="s">
        <v>715</v>
      </c>
      <c r="K4232" s="1" t="s">
        <v>16664</v>
      </c>
      <c r="L4232" s="1" t="s">
        <v>16665</v>
      </c>
      <c r="M4232" s="1" t="s">
        <v>718</v>
      </c>
    </row>
    <row r="4233" customFormat="false" ht="15" hidden="false" customHeight="false" outlineLevel="0" collapsed="false">
      <c r="A4233" s="1" t="s">
        <v>251</v>
      </c>
      <c r="B4233" s="1" t="s">
        <v>16666</v>
      </c>
      <c r="C4233" s="1" t="s">
        <v>16667</v>
      </c>
      <c r="D4233" s="2" t="n">
        <v>40936</v>
      </c>
      <c r="E4233" s="1" t="s">
        <v>763</v>
      </c>
      <c r="F4233" s="1" t="s">
        <v>711</v>
      </c>
      <c r="G4233" s="1" t="s">
        <v>712</v>
      </c>
      <c r="H4233" s="1" t="s">
        <v>713</v>
      </c>
      <c r="I4233" s="1" t="s">
        <v>714</v>
      </c>
      <c r="J4233" s="1" t="s">
        <v>928</v>
      </c>
      <c r="K4233" s="1" t="s">
        <v>16668</v>
      </c>
      <c r="L4233" s="1" t="s">
        <v>8598</v>
      </c>
      <c r="M4233" s="1" t="s">
        <v>718</v>
      </c>
    </row>
    <row r="4234" customFormat="false" ht="15" hidden="false" customHeight="false" outlineLevel="0" collapsed="false">
      <c r="A4234" s="1" t="s">
        <v>449</v>
      </c>
      <c r="B4234" s="1" t="s">
        <v>16669</v>
      </c>
      <c r="C4234" s="1" t="s">
        <v>16670</v>
      </c>
      <c r="D4234" s="2" t="n">
        <v>40728</v>
      </c>
      <c r="E4234" s="1" t="s">
        <v>710</v>
      </c>
      <c r="F4234" s="1" t="s">
        <v>711</v>
      </c>
      <c r="G4234" s="1" t="s">
        <v>712</v>
      </c>
      <c r="H4234" s="1" t="s">
        <v>713</v>
      </c>
      <c r="I4234" s="1" t="s">
        <v>714</v>
      </c>
      <c r="J4234" s="1" t="s">
        <v>2664</v>
      </c>
      <c r="K4234" s="1" t="s">
        <v>16671</v>
      </c>
      <c r="L4234" s="1" t="s">
        <v>6346</v>
      </c>
      <c r="M4234" s="1" t="s">
        <v>718</v>
      </c>
    </row>
    <row r="4235" customFormat="false" ht="15" hidden="false" customHeight="false" outlineLevel="0" collapsed="false">
      <c r="A4235" s="1" t="s">
        <v>16672</v>
      </c>
      <c r="B4235" s="1" t="s">
        <v>16673</v>
      </c>
      <c r="C4235" s="1" t="s">
        <v>16674</v>
      </c>
      <c r="D4235" s="2" t="n">
        <v>40102</v>
      </c>
      <c r="E4235" s="1" t="s">
        <v>710</v>
      </c>
      <c r="F4235" s="1" t="s">
        <v>711</v>
      </c>
      <c r="G4235" s="1" t="s">
        <v>712</v>
      </c>
      <c r="H4235" s="1" t="s">
        <v>713</v>
      </c>
      <c r="I4235" s="1" t="s">
        <v>714</v>
      </c>
      <c r="J4235" s="1" t="s">
        <v>8314</v>
      </c>
      <c r="K4235" s="1" t="s">
        <v>14220</v>
      </c>
      <c r="L4235" s="1" t="s">
        <v>16675</v>
      </c>
      <c r="M4235" s="1" t="s">
        <v>718</v>
      </c>
    </row>
    <row r="4236" customFormat="false" ht="15" hidden="false" customHeight="false" outlineLevel="0" collapsed="false">
      <c r="A4236" s="1" t="s">
        <v>622</v>
      </c>
      <c r="B4236" s="1" t="s">
        <v>16676</v>
      </c>
      <c r="C4236" s="1" t="s">
        <v>16646</v>
      </c>
      <c r="D4236" s="2" t="n">
        <v>39312</v>
      </c>
      <c r="E4236" s="1" t="s">
        <v>763</v>
      </c>
      <c r="F4236" s="1" t="s">
        <v>711</v>
      </c>
      <c r="G4236" s="1" t="s">
        <v>712</v>
      </c>
      <c r="H4236" s="1" t="s">
        <v>713</v>
      </c>
      <c r="I4236" s="1" t="s">
        <v>714</v>
      </c>
      <c r="J4236" s="1" t="s">
        <v>13757</v>
      </c>
      <c r="K4236" s="1" t="s">
        <v>16677</v>
      </c>
      <c r="L4236" s="1" t="s">
        <v>10596</v>
      </c>
      <c r="M4236" s="1" t="s">
        <v>718</v>
      </c>
    </row>
    <row r="4237" customFormat="false" ht="15" hidden="false" customHeight="false" outlineLevel="0" collapsed="false">
      <c r="A4237" s="1" t="s">
        <v>16678</v>
      </c>
      <c r="B4237" s="1" t="s">
        <v>16679</v>
      </c>
      <c r="C4237" s="1" t="s">
        <v>16680</v>
      </c>
      <c r="D4237" s="2" t="n">
        <v>39378</v>
      </c>
      <c r="E4237" s="1" t="s">
        <v>763</v>
      </c>
      <c r="F4237" s="1" t="s">
        <v>711</v>
      </c>
      <c r="G4237" s="1" t="s">
        <v>722</v>
      </c>
      <c r="H4237" s="1" t="s">
        <v>713</v>
      </c>
      <c r="I4237" s="1" t="s">
        <v>714</v>
      </c>
      <c r="J4237" s="1" t="s">
        <v>16681</v>
      </c>
      <c r="K4237" s="1" t="s">
        <v>16682</v>
      </c>
      <c r="L4237" s="1" t="s">
        <v>10073</v>
      </c>
      <c r="M4237" s="1" t="s">
        <v>718</v>
      </c>
    </row>
    <row r="4238" customFormat="false" ht="15" hidden="false" customHeight="false" outlineLevel="0" collapsed="false">
      <c r="A4238" s="1" t="s">
        <v>16683</v>
      </c>
      <c r="B4238" s="1" t="s">
        <v>2071</v>
      </c>
      <c r="C4238" s="1" t="s">
        <v>1465</v>
      </c>
      <c r="D4238" s="2" t="n">
        <v>40473</v>
      </c>
      <c r="E4238" s="1" t="s">
        <v>710</v>
      </c>
      <c r="F4238" s="1" t="s">
        <v>711</v>
      </c>
      <c r="G4238" s="1" t="s">
        <v>712</v>
      </c>
      <c r="H4238" s="1" t="s">
        <v>713</v>
      </c>
      <c r="I4238" s="1" t="s">
        <v>714</v>
      </c>
      <c r="J4238" s="1" t="s">
        <v>1723</v>
      </c>
      <c r="K4238" s="1" t="s">
        <v>16684</v>
      </c>
      <c r="L4238" s="1" t="s">
        <v>1466</v>
      </c>
      <c r="M4238" s="1" t="s">
        <v>718</v>
      </c>
    </row>
    <row r="4239" customFormat="false" ht="15" hidden="false" customHeight="false" outlineLevel="0" collapsed="false">
      <c r="A4239" s="1" t="s">
        <v>16685</v>
      </c>
      <c r="B4239" s="1" t="s">
        <v>16686</v>
      </c>
      <c r="C4239" s="1" t="s">
        <v>16687</v>
      </c>
      <c r="D4239" s="2" t="n">
        <v>40622</v>
      </c>
      <c r="E4239" s="1" t="s">
        <v>710</v>
      </c>
      <c r="F4239" s="1" t="s">
        <v>711</v>
      </c>
      <c r="G4239" s="1" t="s">
        <v>712</v>
      </c>
      <c r="H4239" s="1" t="s">
        <v>713</v>
      </c>
      <c r="I4239" s="1" t="s">
        <v>714</v>
      </c>
      <c r="J4239" s="1" t="s">
        <v>928</v>
      </c>
      <c r="K4239" s="1" t="s">
        <v>16688</v>
      </c>
      <c r="L4239" s="1" t="s">
        <v>4602</v>
      </c>
      <c r="M4239" s="1" t="s">
        <v>718</v>
      </c>
    </row>
    <row r="4240" customFormat="false" ht="15" hidden="false" customHeight="false" outlineLevel="0" collapsed="false">
      <c r="A4240" s="1" t="s">
        <v>16689</v>
      </c>
      <c r="B4240" s="1" t="s">
        <v>16690</v>
      </c>
      <c r="C4240" s="1" t="s">
        <v>10902</v>
      </c>
      <c r="D4240" s="2" t="n">
        <v>40196</v>
      </c>
      <c r="E4240" s="1" t="s">
        <v>710</v>
      </c>
      <c r="F4240" s="1" t="s">
        <v>711</v>
      </c>
      <c r="G4240" s="1" t="s">
        <v>712</v>
      </c>
      <c r="H4240" s="1" t="s">
        <v>713</v>
      </c>
      <c r="I4240" s="1" t="s">
        <v>714</v>
      </c>
      <c r="J4240" s="1" t="s">
        <v>1445</v>
      </c>
      <c r="K4240" s="1" t="s">
        <v>16691</v>
      </c>
      <c r="L4240" s="1" t="s">
        <v>10904</v>
      </c>
      <c r="M4240" s="1" t="s">
        <v>718</v>
      </c>
    </row>
    <row r="4241" customFormat="false" ht="15" hidden="false" customHeight="false" outlineLevel="0" collapsed="false">
      <c r="A4241" s="1" t="s">
        <v>324</v>
      </c>
      <c r="B4241" s="1" t="s">
        <v>6896</v>
      </c>
      <c r="C4241" s="1" t="s">
        <v>16692</v>
      </c>
      <c r="D4241" s="2" t="n">
        <v>41212</v>
      </c>
      <c r="E4241" s="1" t="s">
        <v>763</v>
      </c>
      <c r="F4241" s="1" t="s">
        <v>711</v>
      </c>
      <c r="G4241" s="1" t="s">
        <v>712</v>
      </c>
      <c r="H4241" s="1" t="s">
        <v>713</v>
      </c>
      <c r="I4241" s="1" t="s">
        <v>714</v>
      </c>
      <c r="J4241" s="1" t="s">
        <v>13628</v>
      </c>
      <c r="K4241" s="1" t="s">
        <v>16693</v>
      </c>
      <c r="L4241" s="1" t="s">
        <v>5108</v>
      </c>
      <c r="M4241" s="1" t="s">
        <v>718</v>
      </c>
    </row>
    <row r="4242" customFormat="false" ht="15" hidden="false" customHeight="false" outlineLevel="0" collapsed="false">
      <c r="A4242" s="1" t="s">
        <v>412</v>
      </c>
      <c r="B4242" s="1" t="s">
        <v>16694</v>
      </c>
      <c r="C4242" s="1" t="s">
        <v>16695</v>
      </c>
      <c r="D4242" s="2" t="n">
        <v>40625</v>
      </c>
      <c r="E4242" s="1" t="s">
        <v>763</v>
      </c>
      <c r="F4242" s="1" t="s">
        <v>711</v>
      </c>
      <c r="G4242" s="1" t="s">
        <v>722</v>
      </c>
      <c r="H4242" s="1" t="s">
        <v>713</v>
      </c>
      <c r="I4242" s="1" t="s">
        <v>714</v>
      </c>
      <c r="J4242" s="1" t="s">
        <v>821</v>
      </c>
      <c r="K4242" s="1" t="s">
        <v>16696</v>
      </c>
      <c r="L4242" s="1" t="s">
        <v>2030</v>
      </c>
      <c r="M4242" s="1" t="s">
        <v>718</v>
      </c>
    </row>
    <row r="4243" customFormat="false" ht="15" hidden="false" customHeight="false" outlineLevel="0" collapsed="false">
      <c r="A4243" s="1" t="s">
        <v>16697</v>
      </c>
      <c r="B4243" s="1" t="s">
        <v>4924</v>
      </c>
      <c r="C4243" s="1" t="s">
        <v>16698</v>
      </c>
      <c r="D4243" s="2" t="n">
        <v>40274</v>
      </c>
      <c r="E4243" s="1" t="s">
        <v>710</v>
      </c>
      <c r="F4243" s="1" t="s">
        <v>711</v>
      </c>
      <c r="G4243" s="1" t="s">
        <v>712</v>
      </c>
      <c r="H4243" s="1" t="s">
        <v>713</v>
      </c>
      <c r="I4243" s="1" t="s">
        <v>714</v>
      </c>
      <c r="J4243" s="1" t="s">
        <v>16699</v>
      </c>
      <c r="K4243" s="1" t="s">
        <v>16700</v>
      </c>
      <c r="L4243" s="1" t="s">
        <v>12300</v>
      </c>
      <c r="M4243" s="1" t="s">
        <v>718</v>
      </c>
    </row>
    <row r="4244" customFormat="false" ht="15" hidden="false" customHeight="false" outlineLevel="0" collapsed="false">
      <c r="A4244" s="1" t="s">
        <v>509</v>
      </c>
      <c r="B4244" s="1" t="s">
        <v>16701</v>
      </c>
      <c r="C4244" s="1" t="s">
        <v>958</v>
      </c>
      <c r="D4244" s="2" t="n">
        <v>40535</v>
      </c>
      <c r="E4244" s="1" t="s">
        <v>763</v>
      </c>
      <c r="F4244" s="1" t="s">
        <v>711</v>
      </c>
      <c r="G4244" s="1" t="s">
        <v>712</v>
      </c>
      <c r="H4244" s="1" t="s">
        <v>713</v>
      </c>
      <c r="I4244" s="1" t="s">
        <v>714</v>
      </c>
      <c r="J4244" s="1" t="s">
        <v>16702</v>
      </c>
      <c r="K4244" s="1" t="s">
        <v>16703</v>
      </c>
      <c r="L4244" s="1" t="s">
        <v>16704</v>
      </c>
      <c r="M4244" s="1" t="s">
        <v>718</v>
      </c>
    </row>
    <row r="4245" customFormat="false" ht="15" hidden="false" customHeight="false" outlineLevel="0" collapsed="false">
      <c r="A4245" s="1" t="s">
        <v>332</v>
      </c>
      <c r="B4245" s="1" t="s">
        <v>16705</v>
      </c>
      <c r="C4245" s="1" t="s">
        <v>16706</v>
      </c>
      <c r="D4245" s="2" t="n">
        <v>40864</v>
      </c>
      <c r="E4245" s="1" t="s">
        <v>710</v>
      </c>
      <c r="F4245" s="1" t="s">
        <v>711</v>
      </c>
      <c r="G4245" s="1" t="s">
        <v>712</v>
      </c>
      <c r="H4245" s="1" t="s">
        <v>713</v>
      </c>
      <c r="I4245" s="1" t="s">
        <v>714</v>
      </c>
      <c r="J4245" s="1" t="s">
        <v>1445</v>
      </c>
      <c r="K4245" s="1" t="s">
        <v>16707</v>
      </c>
      <c r="L4245" s="1" t="s">
        <v>16708</v>
      </c>
      <c r="M4245" s="1" t="s">
        <v>718</v>
      </c>
    </row>
    <row r="4246" customFormat="false" ht="15" hidden="false" customHeight="false" outlineLevel="0" collapsed="false">
      <c r="A4246" s="1" t="s">
        <v>16709</v>
      </c>
      <c r="B4246" s="1" t="s">
        <v>16710</v>
      </c>
      <c r="C4246" s="1" t="s">
        <v>16711</v>
      </c>
      <c r="D4246" s="2" t="n">
        <v>40068</v>
      </c>
      <c r="E4246" s="1" t="s">
        <v>763</v>
      </c>
      <c r="F4246" s="1" t="s">
        <v>711</v>
      </c>
      <c r="G4246" s="1" t="s">
        <v>712</v>
      </c>
      <c r="H4246" s="1" t="s">
        <v>713</v>
      </c>
      <c r="I4246" s="1" t="s">
        <v>714</v>
      </c>
      <c r="J4246" s="1" t="s">
        <v>16712</v>
      </c>
      <c r="K4246" s="1" t="s">
        <v>16713</v>
      </c>
      <c r="L4246" s="1" t="s">
        <v>16714</v>
      </c>
      <c r="M4246" s="1" t="s">
        <v>718</v>
      </c>
    </row>
    <row r="4247" customFormat="false" ht="15" hidden="false" customHeight="false" outlineLevel="0" collapsed="false">
      <c r="A4247" s="1" t="s">
        <v>624</v>
      </c>
      <c r="B4247" s="1" t="s">
        <v>16715</v>
      </c>
      <c r="C4247" s="1" t="s">
        <v>13044</v>
      </c>
      <c r="D4247" s="2" t="n">
        <v>40036</v>
      </c>
      <c r="E4247" s="1" t="s">
        <v>763</v>
      </c>
      <c r="F4247" s="1" t="s">
        <v>711</v>
      </c>
      <c r="G4247" s="1" t="s">
        <v>712</v>
      </c>
      <c r="H4247" s="1" t="s">
        <v>713</v>
      </c>
      <c r="I4247" s="1" t="s">
        <v>714</v>
      </c>
      <c r="J4247" s="1" t="s">
        <v>1131</v>
      </c>
      <c r="K4247" s="1" t="s">
        <v>716</v>
      </c>
      <c r="L4247" s="1" t="s">
        <v>5930</v>
      </c>
      <c r="M4247" s="1" t="s">
        <v>718</v>
      </c>
    </row>
    <row r="4248" customFormat="false" ht="15" hidden="false" customHeight="false" outlineLevel="0" collapsed="false">
      <c r="A4248" s="1" t="s">
        <v>582</v>
      </c>
      <c r="B4248" s="1" t="s">
        <v>16716</v>
      </c>
      <c r="C4248" s="1" t="s">
        <v>1610</v>
      </c>
      <c r="D4248" s="2" t="n">
        <v>40808</v>
      </c>
      <c r="E4248" s="1" t="s">
        <v>763</v>
      </c>
      <c r="F4248" s="1" t="s">
        <v>711</v>
      </c>
      <c r="G4248" s="1" t="s">
        <v>712</v>
      </c>
      <c r="H4248" s="1" t="s">
        <v>713</v>
      </c>
      <c r="I4248" s="1" t="s">
        <v>714</v>
      </c>
      <c r="J4248" s="1" t="s">
        <v>1398</v>
      </c>
      <c r="K4248" s="1" t="s">
        <v>16717</v>
      </c>
      <c r="L4248" s="1" t="s">
        <v>16718</v>
      </c>
      <c r="M4248" s="1" t="s">
        <v>718</v>
      </c>
    </row>
    <row r="4249" customFormat="false" ht="15" hidden="false" customHeight="false" outlineLevel="0" collapsed="false">
      <c r="A4249" s="1" t="s">
        <v>16719</v>
      </c>
      <c r="B4249" s="1" t="s">
        <v>16720</v>
      </c>
      <c r="C4249" s="1" t="s">
        <v>14786</v>
      </c>
      <c r="D4249" s="2" t="n">
        <v>32335</v>
      </c>
      <c r="E4249" s="1" t="s">
        <v>763</v>
      </c>
      <c r="F4249" s="1" t="s">
        <v>711</v>
      </c>
      <c r="G4249" s="1" t="s">
        <v>722</v>
      </c>
      <c r="H4249" s="1" t="s">
        <v>713</v>
      </c>
      <c r="I4249" s="1" t="s">
        <v>714</v>
      </c>
      <c r="J4249" s="1" t="s">
        <v>716</v>
      </c>
      <c r="K4249" s="1" t="s">
        <v>716</v>
      </c>
      <c r="L4249" s="1" t="s">
        <v>1418</v>
      </c>
      <c r="M4249" s="1" t="s">
        <v>718</v>
      </c>
    </row>
    <row r="4250" customFormat="false" ht="15" hidden="false" customHeight="false" outlineLevel="0" collapsed="false">
      <c r="A4250" s="1" t="s">
        <v>378</v>
      </c>
      <c r="B4250" s="1" t="s">
        <v>16721</v>
      </c>
      <c r="C4250" s="1" t="s">
        <v>16722</v>
      </c>
      <c r="D4250" s="2" t="n">
        <v>40307</v>
      </c>
      <c r="E4250" s="1" t="s">
        <v>710</v>
      </c>
      <c r="F4250" s="1" t="s">
        <v>711</v>
      </c>
      <c r="G4250" s="1" t="s">
        <v>712</v>
      </c>
      <c r="H4250" s="1" t="s">
        <v>713</v>
      </c>
      <c r="I4250" s="1" t="s">
        <v>714</v>
      </c>
      <c r="J4250" s="1" t="s">
        <v>8879</v>
      </c>
      <c r="K4250" s="1" t="s">
        <v>16723</v>
      </c>
      <c r="L4250" s="1" t="s">
        <v>9409</v>
      </c>
      <c r="M4250" s="1" t="s">
        <v>718</v>
      </c>
    </row>
    <row r="4251" customFormat="false" ht="15" hidden="false" customHeight="false" outlineLevel="0" collapsed="false">
      <c r="A4251" s="1" t="s">
        <v>391</v>
      </c>
      <c r="B4251" s="1" t="s">
        <v>16724</v>
      </c>
      <c r="C4251" s="1" t="s">
        <v>16725</v>
      </c>
      <c r="D4251" s="2" t="n">
        <v>40104</v>
      </c>
      <c r="E4251" s="1" t="s">
        <v>710</v>
      </c>
      <c r="F4251" s="1" t="s">
        <v>711</v>
      </c>
      <c r="G4251" s="1" t="s">
        <v>712</v>
      </c>
      <c r="H4251" s="1" t="s">
        <v>713</v>
      </c>
      <c r="I4251" s="1" t="s">
        <v>714</v>
      </c>
      <c r="J4251" s="1" t="s">
        <v>1584</v>
      </c>
      <c r="K4251" s="1" t="s">
        <v>16726</v>
      </c>
      <c r="L4251" s="1" t="s">
        <v>16727</v>
      </c>
      <c r="M4251" s="1" t="s">
        <v>718</v>
      </c>
    </row>
    <row r="4252" customFormat="false" ht="15" hidden="false" customHeight="false" outlineLevel="0" collapsed="false">
      <c r="A4252" s="1" t="s">
        <v>280</v>
      </c>
      <c r="B4252" s="1" t="s">
        <v>16728</v>
      </c>
      <c r="C4252" s="1" t="s">
        <v>16725</v>
      </c>
      <c r="D4252" s="2" t="n">
        <v>41196</v>
      </c>
      <c r="E4252" s="1" t="s">
        <v>710</v>
      </c>
      <c r="F4252" s="1" t="s">
        <v>711</v>
      </c>
      <c r="G4252" s="1" t="s">
        <v>712</v>
      </c>
      <c r="H4252" s="1" t="s">
        <v>713</v>
      </c>
      <c r="I4252" s="1" t="s">
        <v>714</v>
      </c>
      <c r="J4252" s="1" t="s">
        <v>1584</v>
      </c>
      <c r="K4252" s="1" t="s">
        <v>16726</v>
      </c>
      <c r="L4252" s="1" t="s">
        <v>16727</v>
      </c>
      <c r="M4252" s="1" t="s">
        <v>718</v>
      </c>
    </row>
    <row r="4253" customFormat="false" ht="15" hidden="false" customHeight="false" outlineLevel="0" collapsed="false">
      <c r="A4253" s="1" t="s">
        <v>216</v>
      </c>
      <c r="B4253" s="1" t="s">
        <v>16729</v>
      </c>
      <c r="C4253" s="1" t="s">
        <v>16730</v>
      </c>
      <c r="D4253" s="2" t="n">
        <v>41690</v>
      </c>
      <c r="E4253" s="1" t="s">
        <v>763</v>
      </c>
      <c r="F4253" s="1" t="s">
        <v>711</v>
      </c>
      <c r="G4253" s="1" t="s">
        <v>712</v>
      </c>
      <c r="H4253" s="1" t="s">
        <v>713</v>
      </c>
      <c r="I4253" s="1" t="s">
        <v>714</v>
      </c>
      <c r="J4253" s="1" t="s">
        <v>16731</v>
      </c>
      <c r="K4253" s="1" t="s">
        <v>16732</v>
      </c>
      <c r="L4253" s="1" t="s">
        <v>16733</v>
      </c>
      <c r="M4253" s="1" t="s">
        <v>718</v>
      </c>
    </row>
    <row r="4254" customFormat="false" ht="15" hidden="false" customHeight="false" outlineLevel="0" collapsed="false">
      <c r="A4254" s="1" t="s">
        <v>248</v>
      </c>
      <c r="B4254" s="1" t="s">
        <v>16734</v>
      </c>
      <c r="C4254" s="1" t="s">
        <v>4197</v>
      </c>
      <c r="D4254" s="2" t="n">
        <v>40403</v>
      </c>
      <c r="E4254" s="1" t="s">
        <v>710</v>
      </c>
      <c r="F4254" s="1" t="s">
        <v>711</v>
      </c>
      <c r="G4254" s="1" t="s">
        <v>712</v>
      </c>
      <c r="H4254" s="1" t="s">
        <v>713</v>
      </c>
      <c r="I4254" s="1" t="s">
        <v>714</v>
      </c>
      <c r="J4254" s="1" t="s">
        <v>16735</v>
      </c>
      <c r="K4254" s="1" t="s">
        <v>16726</v>
      </c>
      <c r="L4254" s="1" t="s">
        <v>16727</v>
      </c>
      <c r="M4254" s="1" t="s">
        <v>718</v>
      </c>
    </row>
    <row r="4255" customFormat="false" ht="15" hidden="false" customHeight="false" outlineLevel="0" collapsed="false">
      <c r="A4255" s="1" t="s">
        <v>16736</v>
      </c>
      <c r="B4255" s="1" t="s">
        <v>16737</v>
      </c>
      <c r="C4255" s="1" t="s">
        <v>10274</v>
      </c>
      <c r="D4255" s="2" t="n">
        <v>25917</v>
      </c>
      <c r="E4255" s="1" t="s">
        <v>763</v>
      </c>
      <c r="F4255" s="1" t="s">
        <v>711</v>
      </c>
      <c r="G4255" s="1" t="s">
        <v>712</v>
      </c>
      <c r="H4255" s="1" t="s">
        <v>713</v>
      </c>
      <c r="I4255" s="1" t="s">
        <v>714</v>
      </c>
      <c r="J4255" s="1" t="s">
        <v>716</v>
      </c>
      <c r="K4255" s="1" t="s">
        <v>716</v>
      </c>
      <c r="L4255" s="1" t="s">
        <v>11230</v>
      </c>
      <c r="M4255" s="1" t="s">
        <v>718</v>
      </c>
    </row>
    <row r="4256" customFormat="false" ht="15" hidden="false" customHeight="false" outlineLevel="0" collapsed="false">
      <c r="A4256" s="1" t="s">
        <v>16738</v>
      </c>
      <c r="B4256" s="1" t="s">
        <v>15985</v>
      </c>
      <c r="C4256" s="1" t="s">
        <v>2488</v>
      </c>
      <c r="D4256" s="2" t="n">
        <v>39467</v>
      </c>
      <c r="E4256" s="1" t="s">
        <v>763</v>
      </c>
      <c r="F4256" s="1" t="s">
        <v>711</v>
      </c>
      <c r="G4256" s="1" t="s">
        <v>712</v>
      </c>
      <c r="H4256" s="1" t="s">
        <v>713</v>
      </c>
      <c r="I4256" s="1" t="s">
        <v>714</v>
      </c>
      <c r="J4256" s="1" t="s">
        <v>1398</v>
      </c>
      <c r="K4256" s="1" t="s">
        <v>16739</v>
      </c>
      <c r="L4256" s="1" t="s">
        <v>16740</v>
      </c>
      <c r="M4256" s="1" t="s">
        <v>718</v>
      </c>
    </row>
    <row r="4257" customFormat="false" ht="15" hidden="false" customHeight="false" outlineLevel="0" collapsed="false">
      <c r="A4257" s="1" t="s">
        <v>16741</v>
      </c>
      <c r="B4257" s="1" t="s">
        <v>16742</v>
      </c>
      <c r="C4257" s="1" t="s">
        <v>16743</v>
      </c>
      <c r="D4257" s="2" t="n">
        <v>40484</v>
      </c>
      <c r="E4257" s="1" t="s">
        <v>763</v>
      </c>
      <c r="F4257" s="1" t="s">
        <v>711</v>
      </c>
      <c r="G4257" s="1" t="s">
        <v>1220</v>
      </c>
      <c r="H4257" s="1" t="s">
        <v>713</v>
      </c>
      <c r="I4257" s="1" t="s">
        <v>714</v>
      </c>
      <c r="J4257" s="1" t="s">
        <v>11149</v>
      </c>
      <c r="K4257" s="1" t="s">
        <v>16744</v>
      </c>
      <c r="L4257" s="1" t="s">
        <v>16745</v>
      </c>
      <c r="M4257" s="1" t="s">
        <v>718</v>
      </c>
    </row>
    <row r="4258" customFormat="false" ht="15" hidden="false" customHeight="false" outlineLevel="0" collapsed="false">
      <c r="A4258" s="1" t="s">
        <v>16746</v>
      </c>
      <c r="B4258" s="1" t="s">
        <v>16747</v>
      </c>
      <c r="C4258" s="1" t="s">
        <v>1606</v>
      </c>
      <c r="D4258" s="2" t="n">
        <v>34442</v>
      </c>
      <c r="E4258" s="1" t="s">
        <v>763</v>
      </c>
      <c r="F4258" s="1" t="s">
        <v>711</v>
      </c>
      <c r="G4258" s="1" t="s">
        <v>712</v>
      </c>
      <c r="H4258" s="1" t="s">
        <v>713</v>
      </c>
      <c r="I4258" s="1" t="s">
        <v>714</v>
      </c>
      <c r="J4258" s="1" t="s">
        <v>4239</v>
      </c>
      <c r="K4258" s="1" t="s">
        <v>716</v>
      </c>
      <c r="L4258" s="1" t="s">
        <v>16748</v>
      </c>
      <c r="M4258" s="1" t="s">
        <v>718</v>
      </c>
    </row>
    <row r="4259" customFormat="false" ht="15" hidden="false" customHeight="false" outlineLevel="0" collapsed="false">
      <c r="A4259" s="1" t="s">
        <v>16749</v>
      </c>
      <c r="B4259" s="1" t="s">
        <v>16750</v>
      </c>
      <c r="C4259" s="1" t="s">
        <v>16751</v>
      </c>
      <c r="D4259" s="2" t="n">
        <v>36564</v>
      </c>
      <c r="E4259" s="1" t="s">
        <v>763</v>
      </c>
      <c r="F4259" s="1" t="s">
        <v>711</v>
      </c>
      <c r="G4259" s="1" t="s">
        <v>1450</v>
      </c>
      <c r="H4259" s="1" t="s">
        <v>713</v>
      </c>
      <c r="I4259" s="1" t="s">
        <v>714</v>
      </c>
      <c r="J4259" s="1" t="s">
        <v>4239</v>
      </c>
      <c r="K4259" s="1" t="s">
        <v>716</v>
      </c>
      <c r="L4259" s="1" t="s">
        <v>8387</v>
      </c>
      <c r="M4259" s="1" t="s">
        <v>718</v>
      </c>
    </row>
    <row r="4260" customFormat="false" ht="15" hidden="false" customHeight="false" outlineLevel="0" collapsed="false">
      <c r="A4260" s="1" t="s">
        <v>16752</v>
      </c>
      <c r="B4260" s="1" t="s">
        <v>16753</v>
      </c>
      <c r="C4260" s="1" t="s">
        <v>4648</v>
      </c>
      <c r="D4260" s="2" t="n">
        <v>28631</v>
      </c>
      <c r="E4260" s="1" t="s">
        <v>763</v>
      </c>
      <c r="F4260" s="1" t="s">
        <v>711</v>
      </c>
      <c r="G4260" s="1" t="s">
        <v>722</v>
      </c>
      <c r="H4260" s="1" t="s">
        <v>713</v>
      </c>
      <c r="I4260" s="1" t="s">
        <v>714</v>
      </c>
      <c r="J4260" s="1" t="s">
        <v>4239</v>
      </c>
      <c r="K4260" s="1" t="s">
        <v>716</v>
      </c>
      <c r="L4260" s="1" t="s">
        <v>8387</v>
      </c>
      <c r="M4260" s="1" t="s">
        <v>718</v>
      </c>
    </row>
    <row r="4261" customFormat="false" ht="15" hidden="false" customHeight="false" outlineLevel="0" collapsed="false">
      <c r="A4261" s="1" t="s">
        <v>282</v>
      </c>
      <c r="B4261" s="1" t="s">
        <v>16754</v>
      </c>
      <c r="C4261" s="1" t="s">
        <v>14588</v>
      </c>
      <c r="D4261" s="2" t="n">
        <v>40327</v>
      </c>
      <c r="E4261" s="1" t="s">
        <v>710</v>
      </c>
      <c r="F4261" s="1" t="s">
        <v>711</v>
      </c>
      <c r="G4261" s="1" t="s">
        <v>712</v>
      </c>
      <c r="H4261" s="1" t="s">
        <v>713</v>
      </c>
      <c r="I4261" s="1" t="s">
        <v>714</v>
      </c>
      <c r="J4261" s="1" t="s">
        <v>1244</v>
      </c>
      <c r="K4261" s="1" t="s">
        <v>16755</v>
      </c>
      <c r="L4261" s="1" t="s">
        <v>16675</v>
      </c>
      <c r="M4261" s="1" t="s">
        <v>718</v>
      </c>
    </row>
    <row r="4262" customFormat="false" ht="15" hidden="false" customHeight="false" outlineLevel="0" collapsed="false">
      <c r="A4262" s="1" t="s">
        <v>16756</v>
      </c>
      <c r="B4262" s="1" t="s">
        <v>16757</v>
      </c>
      <c r="C4262" s="1" t="s">
        <v>16758</v>
      </c>
      <c r="D4262" s="2" t="n">
        <v>33543</v>
      </c>
      <c r="E4262" s="1" t="s">
        <v>763</v>
      </c>
      <c r="F4262" s="1" t="s">
        <v>711</v>
      </c>
      <c r="G4262" s="1" t="s">
        <v>712</v>
      </c>
      <c r="H4262" s="1" t="s">
        <v>713</v>
      </c>
      <c r="I4262" s="1" t="s">
        <v>714</v>
      </c>
      <c r="J4262" s="1" t="s">
        <v>8879</v>
      </c>
      <c r="K4262" s="1" t="s">
        <v>14220</v>
      </c>
      <c r="L4262" s="1" t="s">
        <v>1418</v>
      </c>
      <c r="M4262" s="1" t="s">
        <v>718</v>
      </c>
    </row>
    <row r="4263" customFormat="false" ht="15" hidden="false" customHeight="false" outlineLevel="0" collapsed="false">
      <c r="A4263" s="1" t="s">
        <v>16759</v>
      </c>
      <c r="B4263" s="1" t="s">
        <v>16760</v>
      </c>
      <c r="C4263" s="1" t="s">
        <v>16761</v>
      </c>
      <c r="D4263" s="2" t="n">
        <v>32012</v>
      </c>
      <c r="E4263" s="1" t="s">
        <v>763</v>
      </c>
      <c r="F4263" s="1" t="s">
        <v>711</v>
      </c>
      <c r="G4263" s="1" t="s">
        <v>722</v>
      </c>
      <c r="H4263" s="1" t="s">
        <v>713</v>
      </c>
      <c r="I4263" s="1" t="s">
        <v>714</v>
      </c>
      <c r="J4263" s="1" t="s">
        <v>1530</v>
      </c>
      <c r="K4263" s="1" t="s">
        <v>16762</v>
      </c>
      <c r="L4263" s="1" t="s">
        <v>8387</v>
      </c>
      <c r="M4263" s="1" t="s">
        <v>718</v>
      </c>
    </row>
    <row r="4264" customFormat="false" ht="15" hidden="false" customHeight="false" outlineLevel="0" collapsed="false">
      <c r="A4264" s="1" t="s">
        <v>16763</v>
      </c>
      <c r="B4264" s="1" t="s">
        <v>16764</v>
      </c>
      <c r="C4264" s="1" t="s">
        <v>2965</v>
      </c>
      <c r="D4264" s="2" t="n">
        <v>34164</v>
      </c>
      <c r="E4264" s="1" t="s">
        <v>710</v>
      </c>
      <c r="F4264" s="1" t="s">
        <v>711</v>
      </c>
      <c r="G4264" s="1" t="s">
        <v>712</v>
      </c>
      <c r="H4264" s="1" t="s">
        <v>713</v>
      </c>
      <c r="I4264" s="1" t="s">
        <v>714</v>
      </c>
      <c r="J4264" s="1" t="s">
        <v>4239</v>
      </c>
      <c r="K4264" s="1" t="s">
        <v>16765</v>
      </c>
      <c r="L4264" s="1" t="s">
        <v>8387</v>
      </c>
      <c r="M4264" s="1" t="s">
        <v>718</v>
      </c>
    </row>
    <row r="4265" customFormat="false" ht="15" hidden="false" customHeight="false" outlineLevel="0" collapsed="false">
      <c r="A4265" s="1" t="s">
        <v>16766</v>
      </c>
      <c r="B4265" s="1" t="s">
        <v>7553</v>
      </c>
      <c r="C4265" s="1" t="s">
        <v>16767</v>
      </c>
      <c r="D4265" s="2" t="n">
        <v>34531</v>
      </c>
      <c r="E4265" s="1" t="s">
        <v>763</v>
      </c>
      <c r="F4265" s="1" t="s">
        <v>711</v>
      </c>
      <c r="G4265" s="1" t="s">
        <v>722</v>
      </c>
      <c r="H4265" s="1" t="s">
        <v>713</v>
      </c>
      <c r="I4265" s="1" t="s">
        <v>714</v>
      </c>
      <c r="J4265" s="1" t="s">
        <v>11345</v>
      </c>
      <c r="K4265" s="1" t="s">
        <v>10321</v>
      </c>
      <c r="L4265" s="1" t="s">
        <v>10321</v>
      </c>
      <c r="M4265" s="1" t="s">
        <v>718</v>
      </c>
    </row>
    <row r="4266" customFormat="false" ht="15" hidden="false" customHeight="false" outlineLevel="0" collapsed="false">
      <c r="A4266" s="1" t="s">
        <v>16768</v>
      </c>
      <c r="B4266" s="1" t="s">
        <v>1481</v>
      </c>
      <c r="C4266" s="1" t="s">
        <v>16769</v>
      </c>
      <c r="D4266" s="2" t="n">
        <v>32504</v>
      </c>
      <c r="E4266" s="1" t="s">
        <v>710</v>
      </c>
      <c r="F4266" s="1" t="s">
        <v>711</v>
      </c>
      <c r="G4266" s="1" t="s">
        <v>712</v>
      </c>
      <c r="H4266" s="1" t="s">
        <v>713</v>
      </c>
      <c r="I4266" s="1" t="s">
        <v>714</v>
      </c>
      <c r="J4266" s="1" t="s">
        <v>716</v>
      </c>
      <c r="K4266" s="1" t="s">
        <v>716</v>
      </c>
      <c r="L4266" s="1" t="s">
        <v>8387</v>
      </c>
      <c r="M4266" s="1" t="s">
        <v>718</v>
      </c>
    </row>
    <row r="4267" customFormat="false" ht="15" hidden="false" customHeight="false" outlineLevel="0" collapsed="false">
      <c r="A4267" s="1" t="s">
        <v>23</v>
      </c>
      <c r="B4267" s="1" t="s">
        <v>16770</v>
      </c>
      <c r="C4267" s="1" t="s">
        <v>16771</v>
      </c>
      <c r="D4267" s="2" t="n">
        <v>41524</v>
      </c>
      <c r="E4267" s="1" t="s">
        <v>763</v>
      </c>
      <c r="F4267" s="1" t="s">
        <v>711</v>
      </c>
      <c r="G4267" s="1" t="s">
        <v>712</v>
      </c>
      <c r="H4267" s="1" t="s">
        <v>713</v>
      </c>
      <c r="I4267" s="1" t="s">
        <v>714</v>
      </c>
      <c r="J4267" s="1" t="s">
        <v>16772</v>
      </c>
      <c r="K4267" s="1" t="s">
        <v>16773</v>
      </c>
      <c r="L4267" s="1" t="s">
        <v>7972</v>
      </c>
      <c r="M4267" s="1" t="s">
        <v>718</v>
      </c>
    </row>
    <row r="4268" customFormat="false" ht="15" hidden="false" customHeight="false" outlineLevel="0" collapsed="false">
      <c r="A4268" s="1" t="s">
        <v>21</v>
      </c>
      <c r="B4268" s="1" t="s">
        <v>1397</v>
      </c>
      <c r="C4268" s="1" t="s">
        <v>756</v>
      </c>
      <c r="D4268" s="2" t="n">
        <v>41491</v>
      </c>
      <c r="E4268" s="1" t="s">
        <v>763</v>
      </c>
      <c r="F4268" s="1" t="s">
        <v>711</v>
      </c>
      <c r="G4268" s="1" t="s">
        <v>712</v>
      </c>
      <c r="H4268" s="1" t="s">
        <v>713</v>
      </c>
      <c r="I4268" s="1" t="s">
        <v>714</v>
      </c>
      <c r="J4268" s="1" t="s">
        <v>9030</v>
      </c>
      <c r="K4268" s="1" t="s">
        <v>16774</v>
      </c>
      <c r="L4268" s="1" t="s">
        <v>759</v>
      </c>
      <c r="M4268" s="1" t="s">
        <v>718</v>
      </c>
    </row>
    <row r="4269" customFormat="false" ht="15" hidden="false" customHeight="false" outlineLevel="0" collapsed="false">
      <c r="A4269" s="1" t="s">
        <v>22</v>
      </c>
      <c r="B4269" s="1" t="s">
        <v>16775</v>
      </c>
      <c r="C4269" s="1" t="s">
        <v>16776</v>
      </c>
      <c r="D4269" s="2" t="n">
        <v>41529</v>
      </c>
      <c r="E4269" s="1" t="s">
        <v>763</v>
      </c>
      <c r="F4269" s="1" t="s">
        <v>711</v>
      </c>
      <c r="G4269" s="1" t="s">
        <v>712</v>
      </c>
      <c r="H4269" s="1" t="s">
        <v>713</v>
      </c>
      <c r="I4269" s="1" t="s">
        <v>714</v>
      </c>
      <c r="J4269" s="1" t="s">
        <v>1390</v>
      </c>
      <c r="K4269" s="1" t="s">
        <v>16777</v>
      </c>
      <c r="L4269" s="1" t="s">
        <v>16778</v>
      </c>
      <c r="M4269" s="1" t="s">
        <v>718</v>
      </c>
    </row>
    <row r="4270" customFormat="false" ht="15" hidden="false" customHeight="false" outlineLevel="0" collapsed="false">
      <c r="A4270" s="1" t="s">
        <v>32</v>
      </c>
      <c r="B4270" s="1" t="s">
        <v>4924</v>
      </c>
      <c r="C4270" s="1" t="s">
        <v>9741</v>
      </c>
      <c r="D4270" s="2" t="n">
        <v>41563</v>
      </c>
      <c r="E4270" s="1" t="s">
        <v>710</v>
      </c>
      <c r="F4270" s="1" t="s">
        <v>711</v>
      </c>
      <c r="G4270" s="1" t="s">
        <v>722</v>
      </c>
      <c r="H4270" s="1" t="s">
        <v>713</v>
      </c>
      <c r="I4270" s="1" t="s">
        <v>714</v>
      </c>
      <c r="J4270" s="1" t="s">
        <v>805</v>
      </c>
      <c r="K4270" s="1" t="s">
        <v>15874</v>
      </c>
      <c r="L4270" s="1" t="s">
        <v>16779</v>
      </c>
      <c r="M4270" s="1" t="s">
        <v>718</v>
      </c>
    </row>
    <row r="4271" customFormat="false" ht="15" hidden="false" customHeight="false" outlineLevel="0" collapsed="false">
      <c r="A4271" s="1" t="s">
        <v>30</v>
      </c>
      <c r="B4271" s="1" t="s">
        <v>1668</v>
      </c>
      <c r="C4271" s="1" t="s">
        <v>16780</v>
      </c>
      <c r="D4271" s="2" t="n">
        <v>41646</v>
      </c>
      <c r="E4271" s="1" t="s">
        <v>710</v>
      </c>
      <c r="F4271" s="1" t="s">
        <v>711</v>
      </c>
      <c r="G4271" s="1" t="s">
        <v>712</v>
      </c>
      <c r="H4271" s="1" t="s">
        <v>713</v>
      </c>
      <c r="I4271" s="1" t="s">
        <v>714</v>
      </c>
      <c r="J4271" s="1" t="s">
        <v>16781</v>
      </c>
      <c r="K4271" s="1" t="s">
        <v>16782</v>
      </c>
      <c r="L4271" s="1" t="s">
        <v>14948</v>
      </c>
      <c r="M4271" s="1" t="s">
        <v>718</v>
      </c>
    </row>
    <row r="4272" customFormat="false" ht="15" hidden="false" customHeight="false" outlineLevel="0" collapsed="false">
      <c r="A4272" s="1" t="s">
        <v>31</v>
      </c>
      <c r="B4272" s="1" t="s">
        <v>16783</v>
      </c>
      <c r="C4272" s="1" t="s">
        <v>14946</v>
      </c>
      <c r="D4272" s="2" t="n">
        <v>41026</v>
      </c>
      <c r="E4272" s="1" t="s">
        <v>710</v>
      </c>
      <c r="F4272" s="1" t="s">
        <v>711</v>
      </c>
      <c r="G4272" s="1" t="s">
        <v>712</v>
      </c>
      <c r="H4272" s="1" t="s">
        <v>713</v>
      </c>
      <c r="I4272" s="1" t="s">
        <v>714</v>
      </c>
      <c r="J4272" s="1" t="s">
        <v>16781</v>
      </c>
      <c r="K4272" s="1" t="s">
        <v>16782</v>
      </c>
      <c r="L4272" s="1" t="s">
        <v>14948</v>
      </c>
      <c r="M4272" s="1" t="s">
        <v>718</v>
      </c>
    </row>
    <row r="4273" customFormat="false" ht="15" hidden="false" customHeight="false" outlineLevel="0" collapsed="false">
      <c r="A4273" s="1" t="s">
        <v>40</v>
      </c>
      <c r="B4273" s="1" t="s">
        <v>16784</v>
      </c>
      <c r="C4273" s="1" t="s">
        <v>16785</v>
      </c>
      <c r="D4273" s="2" t="n">
        <v>41512</v>
      </c>
      <c r="E4273" s="1" t="s">
        <v>763</v>
      </c>
      <c r="F4273" s="1" t="s">
        <v>711</v>
      </c>
      <c r="G4273" s="1" t="s">
        <v>775</v>
      </c>
      <c r="H4273" s="1" t="s">
        <v>713</v>
      </c>
      <c r="I4273" s="1" t="s">
        <v>714</v>
      </c>
      <c r="J4273" s="1" t="s">
        <v>821</v>
      </c>
      <c r="K4273" s="1" t="s">
        <v>16786</v>
      </c>
      <c r="L4273" s="1" t="s">
        <v>16787</v>
      </c>
      <c r="M4273" s="1" t="s">
        <v>718</v>
      </c>
    </row>
    <row r="4274" customFormat="false" ht="15" hidden="false" customHeight="false" outlineLevel="0" collapsed="false">
      <c r="A4274" s="1" t="s">
        <v>35</v>
      </c>
      <c r="B4274" s="1" t="s">
        <v>10189</v>
      </c>
      <c r="C4274" s="1" t="s">
        <v>14588</v>
      </c>
      <c r="D4274" s="2" t="n">
        <v>41925</v>
      </c>
      <c r="E4274" s="1" t="s">
        <v>710</v>
      </c>
      <c r="F4274" s="1" t="s">
        <v>711</v>
      </c>
      <c r="G4274" s="1" t="s">
        <v>712</v>
      </c>
      <c r="H4274" s="1" t="s">
        <v>713</v>
      </c>
      <c r="I4274" s="1" t="s">
        <v>714</v>
      </c>
      <c r="J4274" s="1" t="s">
        <v>838</v>
      </c>
      <c r="K4274" s="1" t="s">
        <v>16788</v>
      </c>
      <c r="L4274" s="1" t="s">
        <v>16789</v>
      </c>
      <c r="M4274" s="1" t="s">
        <v>718</v>
      </c>
    </row>
    <row r="4275" customFormat="false" ht="15" hidden="false" customHeight="false" outlineLevel="0" collapsed="false">
      <c r="A4275" s="1" t="s">
        <v>43</v>
      </c>
      <c r="B4275" s="1" t="s">
        <v>16790</v>
      </c>
      <c r="C4275" s="1" t="s">
        <v>12903</v>
      </c>
      <c r="D4275" s="2" t="n">
        <v>41626</v>
      </c>
      <c r="E4275" s="1" t="s">
        <v>763</v>
      </c>
      <c r="F4275" s="1" t="s">
        <v>711</v>
      </c>
      <c r="G4275" s="1" t="s">
        <v>712</v>
      </c>
      <c r="H4275" s="1" t="s">
        <v>713</v>
      </c>
      <c r="I4275" s="1" t="s">
        <v>714</v>
      </c>
      <c r="J4275" s="1" t="s">
        <v>1584</v>
      </c>
      <c r="K4275" s="1" t="s">
        <v>16791</v>
      </c>
      <c r="L4275" s="1" t="s">
        <v>8010</v>
      </c>
      <c r="M4275" s="1" t="s">
        <v>718</v>
      </c>
    </row>
    <row r="4276" customFormat="false" ht="15" hidden="false" customHeight="false" outlineLevel="0" collapsed="false">
      <c r="A4276" s="1" t="s">
        <v>47</v>
      </c>
      <c r="B4276" s="1" t="s">
        <v>16792</v>
      </c>
      <c r="C4276" s="1" t="s">
        <v>16432</v>
      </c>
      <c r="D4276" s="2" t="n">
        <v>41478</v>
      </c>
      <c r="E4276" s="1" t="s">
        <v>710</v>
      </c>
      <c r="F4276" s="1" t="s">
        <v>711</v>
      </c>
      <c r="G4276" s="1" t="s">
        <v>712</v>
      </c>
      <c r="H4276" s="1" t="s">
        <v>713</v>
      </c>
      <c r="I4276" s="1" t="s">
        <v>714</v>
      </c>
      <c r="J4276" s="1" t="s">
        <v>1530</v>
      </c>
      <c r="K4276" s="1" t="s">
        <v>16793</v>
      </c>
      <c r="L4276" s="1" t="s">
        <v>11839</v>
      </c>
      <c r="M4276" s="1" t="s">
        <v>718</v>
      </c>
    </row>
    <row r="4277" customFormat="false" ht="15" hidden="false" customHeight="false" outlineLevel="0" collapsed="false">
      <c r="A4277" s="1" t="s">
        <v>51</v>
      </c>
      <c r="B4277" s="1" t="s">
        <v>16794</v>
      </c>
      <c r="C4277" s="1" t="s">
        <v>15524</v>
      </c>
      <c r="D4277" s="2" t="n">
        <v>41926</v>
      </c>
      <c r="E4277" s="1" t="s">
        <v>763</v>
      </c>
      <c r="F4277" s="1" t="s">
        <v>711</v>
      </c>
      <c r="G4277" s="1" t="s">
        <v>712</v>
      </c>
      <c r="H4277" s="1" t="s">
        <v>713</v>
      </c>
      <c r="I4277" s="1" t="s">
        <v>714</v>
      </c>
      <c r="J4277" s="1" t="s">
        <v>6614</v>
      </c>
      <c r="K4277" s="1" t="s">
        <v>16795</v>
      </c>
      <c r="L4277" s="1" t="s">
        <v>16796</v>
      </c>
      <c r="M4277" s="1" t="s">
        <v>718</v>
      </c>
    </row>
    <row r="4278" customFormat="false" ht="15" hidden="false" customHeight="false" outlineLevel="0" collapsed="false">
      <c r="A4278" s="1" t="s">
        <v>24</v>
      </c>
      <c r="B4278" s="1" t="s">
        <v>16797</v>
      </c>
      <c r="C4278" s="1" t="s">
        <v>16212</v>
      </c>
      <c r="D4278" s="2" t="n">
        <v>41349</v>
      </c>
      <c r="E4278" s="1" t="s">
        <v>763</v>
      </c>
      <c r="F4278" s="1" t="s">
        <v>711</v>
      </c>
      <c r="G4278" s="1" t="s">
        <v>712</v>
      </c>
      <c r="H4278" s="1" t="s">
        <v>713</v>
      </c>
      <c r="I4278" s="1" t="s">
        <v>714</v>
      </c>
      <c r="J4278" s="1" t="s">
        <v>16798</v>
      </c>
      <c r="K4278" s="1" t="s">
        <v>16799</v>
      </c>
      <c r="L4278" s="1" t="s">
        <v>16215</v>
      </c>
      <c r="M4278" s="1" t="s">
        <v>718</v>
      </c>
    </row>
    <row r="4279" customFormat="false" ht="15" hidden="false" customHeight="false" outlineLevel="0" collapsed="false">
      <c r="A4279" s="1" t="s">
        <v>36</v>
      </c>
      <c r="B4279" s="1" t="s">
        <v>16800</v>
      </c>
      <c r="C4279" s="1" t="s">
        <v>1615</v>
      </c>
      <c r="D4279" s="2" t="n">
        <v>40595</v>
      </c>
      <c r="E4279" s="1" t="s">
        <v>763</v>
      </c>
      <c r="F4279" s="1" t="s">
        <v>711</v>
      </c>
      <c r="G4279" s="1" t="s">
        <v>712</v>
      </c>
      <c r="H4279" s="1" t="s">
        <v>713</v>
      </c>
      <c r="I4279" s="1" t="s">
        <v>714</v>
      </c>
      <c r="J4279" s="1" t="s">
        <v>751</v>
      </c>
      <c r="K4279" s="1" t="s">
        <v>16801</v>
      </c>
      <c r="L4279" s="1" t="s">
        <v>16802</v>
      </c>
      <c r="M4279" s="1" t="s">
        <v>718</v>
      </c>
    </row>
    <row r="4280" customFormat="false" ht="15" hidden="false" customHeight="false" outlineLevel="0" collapsed="false">
      <c r="A4280" s="1" t="s">
        <v>20</v>
      </c>
      <c r="B4280" s="1" t="s">
        <v>16803</v>
      </c>
      <c r="C4280" s="1" t="s">
        <v>11307</v>
      </c>
      <c r="D4280" s="2" t="n">
        <v>41492</v>
      </c>
      <c r="E4280" s="1" t="s">
        <v>710</v>
      </c>
      <c r="F4280" s="1" t="s">
        <v>711</v>
      </c>
      <c r="G4280" s="1" t="s">
        <v>712</v>
      </c>
      <c r="H4280" s="1" t="s">
        <v>713</v>
      </c>
      <c r="I4280" s="1" t="s">
        <v>714</v>
      </c>
      <c r="J4280" s="1" t="s">
        <v>1131</v>
      </c>
      <c r="K4280" s="1" t="s">
        <v>10770</v>
      </c>
      <c r="L4280" s="1" t="s">
        <v>16804</v>
      </c>
      <c r="M4280" s="1" t="s">
        <v>718</v>
      </c>
    </row>
    <row r="4281" customFormat="false" ht="15" hidden="false" customHeight="false" outlineLevel="0" collapsed="false">
      <c r="A4281" s="1" t="s">
        <v>49</v>
      </c>
      <c r="B4281" s="1" t="s">
        <v>9660</v>
      </c>
      <c r="C4281" s="1" t="s">
        <v>16805</v>
      </c>
      <c r="D4281" s="2" t="n">
        <v>41372</v>
      </c>
      <c r="E4281" s="1" t="s">
        <v>710</v>
      </c>
      <c r="F4281" s="1" t="s">
        <v>711</v>
      </c>
      <c r="G4281" s="1" t="s">
        <v>712</v>
      </c>
      <c r="H4281" s="1" t="s">
        <v>713</v>
      </c>
      <c r="I4281" s="1" t="s">
        <v>714</v>
      </c>
      <c r="J4281" s="1" t="s">
        <v>9451</v>
      </c>
      <c r="K4281" s="1" t="s">
        <v>16806</v>
      </c>
      <c r="L4281" s="1" t="s">
        <v>16807</v>
      </c>
      <c r="M4281" s="1" t="s">
        <v>718</v>
      </c>
    </row>
    <row r="4282" customFormat="false" ht="15" hidden="false" customHeight="false" outlineLevel="0" collapsed="false">
      <c r="A4282" s="1" t="s">
        <v>39</v>
      </c>
      <c r="B4282" s="1" t="s">
        <v>16808</v>
      </c>
      <c r="C4282" s="1" t="s">
        <v>16809</v>
      </c>
      <c r="D4282" s="2" t="n">
        <v>41549</v>
      </c>
      <c r="E4282" s="1" t="s">
        <v>710</v>
      </c>
      <c r="F4282" s="1" t="s">
        <v>711</v>
      </c>
      <c r="G4282" s="1" t="s">
        <v>712</v>
      </c>
      <c r="H4282" s="1" t="s">
        <v>713</v>
      </c>
      <c r="I4282" s="1" t="s">
        <v>714</v>
      </c>
      <c r="J4282" s="1" t="s">
        <v>16810</v>
      </c>
      <c r="K4282" s="1" t="s">
        <v>16811</v>
      </c>
      <c r="L4282" s="1" t="s">
        <v>16812</v>
      </c>
      <c r="M4282" s="1" t="s">
        <v>718</v>
      </c>
    </row>
    <row r="4283" customFormat="false" ht="15" hidden="false" customHeight="false" outlineLevel="0" collapsed="false">
      <c r="A4283" s="1" t="s">
        <v>27</v>
      </c>
      <c r="B4283" s="1" t="s">
        <v>16813</v>
      </c>
      <c r="C4283" s="1" t="s">
        <v>16814</v>
      </c>
      <c r="D4283" s="2" t="n">
        <v>41498</v>
      </c>
      <c r="E4283" s="1" t="s">
        <v>710</v>
      </c>
      <c r="F4283" s="1" t="s">
        <v>711</v>
      </c>
      <c r="G4283" s="1" t="s">
        <v>712</v>
      </c>
      <c r="H4283" s="1" t="s">
        <v>713</v>
      </c>
      <c r="I4283" s="1" t="s">
        <v>714</v>
      </c>
      <c r="J4283" s="1" t="s">
        <v>1114</v>
      </c>
      <c r="K4283" s="1" t="s">
        <v>16815</v>
      </c>
      <c r="L4283" s="1" t="s">
        <v>16816</v>
      </c>
      <c r="M4283" s="1" t="s">
        <v>718</v>
      </c>
    </row>
    <row r="4284" customFormat="false" ht="15" hidden="false" customHeight="false" outlineLevel="0" collapsed="false">
      <c r="A4284" s="1" t="s">
        <v>29</v>
      </c>
      <c r="B4284" s="1" t="s">
        <v>9606</v>
      </c>
      <c r="C4284" s="1" t="s">
        <v>16817</v>
      </c>
      <c r="D4284" s="2" t="n">
        <v>41503</v>
      </c>
      <c r="E4284" s="1" t="s">
        <v>710</v>
      </c>
      <c r="F4284" s="1" t="s">
        <v>711</v>
      </c>
      <c r="G4284" s="1" t="s">
        <v>712</v>
      </c>
      <c r="H4284" s="1" t="s">
        <v>713</v>
      </c>
      <c r="I4284" s="1" t="s">
        <v>714</v>
      </c>
      <c r="J4284" s="1" t="s">
        <v>16818</v>
      </c>
      <c r="K4284" s="1" t="s">
        <v>16819</v>
      </c>
      <c r="L4284" s="1" t="s">
        <v>16820</v>
      </c>
      <c r="M4284" s="1" t="s">
        <v>718</v>
      </c>
    </row>
    <row r="4285" customFormat="false" ht="15" hidden="false" customHeight="false" outlineLevel="0" collapsed="false">
      <c r="A4285" s="1" t="s">
        <v>37</v>
      </c>
      <c r="B4285" s="1" t="s">
        <v>16821</v>
      </c>
      <c r="C4285" s="1" t="s">
        <v>16822</v>
      </c>
      <c r="D4285" s="2" t="n">
        <v>41201</v>
      </c>
      <c r="E4285" s="1" t="s">
        <v>710</v>
      </c>
      <c r="F4285" s="1" t="s">
        <v>711</v>
      </c>
      <c r="G4285" s="1" t="s">
        <v>16823</v>
      </c>
      <c r="H4285" s="1" t="s">
        <v>713</v>
      </c>
      <c r="I4285" s="1" t="s">
        <v>714</v>
      </c>
      <c r="J4285" s="1" t="s">
        <v>16824</v>
      </c>
      <c r="K4285" s="1" t="s">
        <v>16825</v>
      </c>
      <c r="L4285" s="1" t="s">
        <v>4396</v>
      </c>
      <c r="M4285" s="1" t="s">
        <v>718</v>
      </c>
    </row>
    <row r="4286" customFormat="false" ht="15" hidden="false" customHeight="false" outlineLevel="0" collapsed="false">
      <c r="A4286" s="1" t="s">
        <v>46</v>
      </c>
      <c r="B4286" s="1" t="s">
        <v>13964</v>
      </c>
      <c r="C4286" s="1" t="s">
        <v>16826</v>
      </c>
      <c r="D4286" s="2" t="n">
        <v>41311</v>
      </c>
      <c r="E4286" s="1" t="s">
        <v>710</v>
      </c>
      <c r="F4286" s="1" t="s">
        <v>711</v>
      </c>
      <c r="G4286" s="1" t="s">
        <v>712</v>
      </c>
      <c r="H4286" s="1" t="s">
        <v>713</v>
      </c>
      <c r="I4286" s="1" t="s">
        <v>714</v>
      </c>
      <c r="J4286" s="1" t="s">
        <v>16827</v>
      </c>
      <c r="K4286" s="1" t="s">
        <v>16828</v>
      </c>
      <c r="L4286" s="1" t="s">
        <v>16829</v>
      </c>
      <c r="M4286" s="1" t="s">
        <v>718</v>
      </c>
    </row>
    <row r="4287" customFormat="false" ht="15" hidden="false" customHeight="false" outlineLevel="0" collapsed="false">
      <c r="A4287" s="1" t="s">
        <v>26</v>
      </c>
      <c r="B4287" s="1" t="s">
        <v>16830</v>
      </c>
      <c r="C4287" s="1" t="s">
        <v>1271</v>
      </c>
      <c r="D4287" s="2" t="n">
        <v>41614</v>
      </c>
      <c r="E4287" s="1" t="s">
        <v>763</v>
      </c>
      <c r="F4287" s="1" t="s">
        <v>711</v>
      </c>
      <c r="G4287" s="1" t="s">
        <v>712</v>
      </c>
      <c r="H4287" s="1" t="s">
        <v>713</v>
      </c>
      <c r="I4287" s="1" t="s">
        <v>714</v>
      </c>
      <c r="J4287" s="1" t="s">
        <v>3893</v>
      </c>
      <c r="K4287" s="1" t="s">
        <v>16831</v>
      </c>
      <c r="L4287" s="1" t="s">
        <v>1274</v>
      </c>
      <c r="M4287" s="1" t="s">
        <v>718</v>
      </c>
    </row>
    <row r="4288" customFormat="false" ht="15" hidden="false" customHeight="false" outlineLevel="0" collapsed="false">
      <c r="A4288" s="1" t="s">
        <v>33</v>
      </c>
      <c r="B4288" s="1" t="s">
        <v>16832</v>
      </c>
      <c r="C4288" s="1" t="s">
        <v>16833</v>
      </c>
      <c r="D4288" s="2" t="n">
        <v>41949</v>
      </c>
      <c r="E4288" s="1" t="s">
        <v>763</v>
      </c>
      <c r="F4288" s="1" t="s">
        <v>711</v>
      </c>
      <c r="G4288" s="1" t="s">
        <v>712</v>
      </c>
      <c r="H4288" s="1" t="s">
        <v>713</v>
      </c>
      <c r="I4288" s="1" t="s">
        <v>714</v>
      </c>
      <c r="J4288" s="1" t="s">
        <v>928</v>
      </c>
      <c r="K4288" s="1" t="s">
        <v>16834</v>
      </c>
      <c r="L4288" s="1" t="s">
        <v>1418</v>
      </c>
      <c r="M4288" s="1" t="s">
        <v>718</v>
      </c>
    </row>
    <row r="4289" customFormat="false" ht="15" hidden="false" customHeight="false" outlineLevel="0" collapsed="false">
      <c r="A4289" s="1" t="s">
        <v>48</v>
      </c>
      <c r="B4289" s="1" t="s">
        <v>862</v>
      </c>
      <c r="C4289" s="1" t="s">
        <v>820</v>
      </c>
      <c r="D4289" s="2" t="n">
        <v>41556</v>
      </c>
      <c r="E4289" s="1" t="s">
        <v>710</v>
      </c>
      <c r="F4289" s="1" t="s">
        <v>711</v>
      </c>
      <c r="G4289" s="1" t="s">
        <v>712</v>
      </c>
      <c r="H4289" s="1" t="s">
        <v>713</v>
      </c>
      <c r="I4289" s="1" t="s">
        <v>714</v>
      </c>
      <c r="J4289" s="1" t="s">
        <v>2621</v>
      </c>
      <c r="K4289" s="1" t="s">
        <v>716</v>
      </c>
      <c r="L4289" s="1" t="s">
        <v>822</v>
      </c>
      <c r="M4289" s="1" t="s">
        <v>718</v>
      </c>
    </row>
    <row r="4290" customFormat="false" ht="15" hidden="false" customHeight="false" outlineLevel="0" collapsed="false">
      <c r="A4290" s="1" t="s">
        <v>25</v>
      </c>
      <c r="B4290" s="1" t="s">
        <v>16835</v>
      </c>
      <c r="C4290" s="1" t="s">
        <v>13399</v>
      </c>
      <c r="D4290" s="2" t="n">
        <v>41332</v>
      </c>
      <c r="E4290" s="1" t="s">
        <v>763</v>
      </c>
      <c r="F4290" s="1" t="s">
        <v>711</v>
      </c>
      <c r="G4290" s="1" t="s">
        <v>712</v>
      </c>
      <c r="H4290" s="1" t="s">
        <v>713</v>
      </c>
      <c r="I4290" s="1" t="s">
        <v>714</v>
      </c>
      <c r="J4290" s="1" t="s">
        <v>4756</v>
      </c>
      <c r="K4290" s="1" t="s">
        <v>16836</v>
      </c>
      <c r="L4290" s="1" t="s">
        <v>16837</v>
      </c>
      <c r="M4290" s="1" t="s">
        <v>718</v>
      </c>
    </row>
    <row r="4291" customFormat="false" ht="15" hidden="false" customHeight="false" outlineLevel="0" collapsed="false">
      <c r="A4291" s="1" t="s">
        <v>34</v>
      </c>
      <c r="B4291" s="1" t="s">
        <v>2374</v>
      </c>
      <c r="C4291" s="1" t="s">
        <v>4197</v>
      </c>
      <c r="D4291" s="2" t="n">
        <v>41488</v>
      </c>
      <c r="E4291" s="1" t="s">
        <v>710</v>
      </c>
      <c r="F4291" s="1" t="s">
        <v>711</v>
      </c>
      <c r="G4291" s="1" t="s">
        <v>712</v>
      </c>
      <c r="H4291" s="1" t="s">
        <v>713</v>
      </c>
      <c r="I4291" s="1" t="s">
        <v>714</v>
      </c>
      <c r="J4291" s="1" t="s">
        <v>4756</v>
      </c>
      <c r="K4291" s="1" t="s">
        <v>16838</v>
      </c>
      <c r="L4291" s="1" t="s">
        <v>14862</v>
      </c>
      <c r="M4291" s="1" t="s">
        <v>718</v>
      </c>
    </row>
    <row r="4292" customFormat="false" ht="15" hidden="false" customHeight="false" outlineLevel="0" collapsed="false">
      <c r="A4292" s="1" t="s">
        <v>42</v>
      </c>
      <c r="B4292" s="1" t="s">
        <v>16839</v>
      </c>
      <c r="C4292" s="1" t="s">
        <v>16840</v>
      </c>
      <c r="D4292" s="2" t="n">
        <v>41317</v>
      </c>
      <c r="E4292" s="1" t="s">
        <v>763</v>
      </c>
      <c r="F4292" s="1" t="s">
        <v>711</v>
      </c>
      <c r="G4292" s="1" t="s">
        <v>712</v>
      </c>
      <c r="H4292" s="1" t="s">
        <v>713</v>
      </c>
      <c r="I4292" s="1" t="s">
        <v>714</v>
      </c>
      <c r="J4292" s="1" t="s">
        <v>1584</v>
      </c>
      <c r="K4292" s="1" t="s">
        <v>16841</v>
      </c>
      <c r="L4292" s="1" t="s">
        <v>8235</v>
      </c>
      <c r="M4292" s="1" t="s">
        <v>718</v>
      </c>
    </row>
    <row r="4293" s="13" customFormat="true" ht="15" hidden="false" customHeight="false" outlineLevel="0" collapsed="false">
      <c r="A4293" s="10" t="s">
        <v>18</v>
      </c>
      <c r="B4293" s="10" t="s">
        <v>16842</v>
      </c>
      <c r="C4293" s="10" t="s">
        <v>10632</v>
      </c>
      <c r="D4293" s="12" t="n">
        <v>41539</v>
      </c>
      <c r="E4293" s="10" t="s">
        <v>763</v>
      </c>
      <c r="F4293" s="10" t="s">
        <v>711</v>
      </c>
      <c r="G4293" s="10" t="s">
        <v>712</v>
      </c>
      <c r="H4293" s="10" t="s">
        <v>713</v>
      </c>
      <c r="I4293" s="10" t="s">
        <v>714</v>
      </c>
      <c r="J4293" s="10" t="s">
        <v>16843</v>
      </c>
      <c r="K4293" s="10" t="s">
        <v>16844</v>
      </c>
      <c r="L4293" s="10" t="s">
        <v>16845</v>
      </c>
      <c r="M4293" s="10" t="s">
        <v>718</v>
      </c>
      <c r="XEE4293" s="0"/>
      <c r="XEF4293" s="0"/>
      <c r="XEG4293" s="0"/>
      <c r="XEH4293" s="0"/>
      <c r="XEI4293" s="0"/>
      <c r="XEJ4293" s="0"/>
      <c r="XEK4293" s="0"/>
      <c r="XEL4293" s="0"/>
      <c r="XEM4293" s="0"/>
      <c r="XEN4293" s="0"/>
      <c r="XEO4293" s="0"/>
      <c r="XEP4293" s="0"/>
      <c r="XEQ4293" s="0"/>
      <c r="XER4293" s="0"/>
      <c r="XES4293" s="0"/>
      <c r="XET4293" s="0"/>
      <c r="XEU4293" s="0"/>
      <c r="XEV4293" s="0"/>
      <c r="XEW4293" s="0"/>
      <c r="XEX4293" s="0"/>
      <c r="XEY4293" s="0"/>
      <c r="XEZ4293" s="0"/>
      <c r="XFA4293" s="0"/>
      <c r="XFB4293" s="0"/>
      <c r="XFC4293" s="0"/>
      <c r="XFD4293" s="0"/>
    </row>
    <row r="4294" customFormat="false" ht="15" hidden="false" customHeight="false" outlineLevel="0" collapsed="false">
      <c r="A4294" s="1" t="s">
        <v>41</v>
      </c>
      <c r="B4294" s="1" t="s">
        <v>935</v>
      </c>
      <c r="C4294" s="1" t="s">
        <v>14940</v>
      </c>
      <c r="D4294" s="2" t="n">
        <v>41542</v>
      </c>
      <c r="E4294" s="1" t="s">
        <v>710</v>
      </c>
      <c r="F4294" s="1" t="s">
        <v>711</v>
      </c>
      <c r="G4294" s="1" t="s">
        <v>712</v>
      </c>
      <c r="H4294" s="1" t="s">
        <v>713</v>
      </c>
      <c r="I4294" s="1" t="s">
        <v>714</v>
      </c>
      <c r="J4294" s="1" t="s">
        <v>1723</v>
      </c>
      <c r="K4294" s="1" t="s">
        <v>16846</v>
      </c>
      <c r="L4294" s="1" t="s">
        <v>14942</v>
      </c>
      <c r="M4294" s="1" t="s">
        <v>718</v>
      </c>
    </row>
    <row r="4295" customFormat="false" ht="15" hidden="false" customHeight="false" outlineLevel="0" collapsed="false">
      <c r="A4295" s="1" t="s">
        <v>19</v>
      </c>
      <c r="B4295" s="1" t="s">
        <v>16847</v>
      </c>
      <c r="C4295" s="1" t="s">
        <v>11328</v>
      </c>
      <c r="D4295" s="2" t="n">
        <v>41413</v>
      </c>
      <c r="E4295" s="1" t="s">
        <v>763</v>
      </c>
      <c r="F4295" s="1" t="s">
        <v>711</v>
      </c>
      <c r="G4295" s="1" t="s">
        <v>712</v>
      </c>
      <c r="H4295" s="1" t="s">
        <v>713</v>
      </c>
      <c r="I4295" s="1" t="s">
        <v>714</v>
      </c>
      <c r="J4295" s="1" t="s">
        <v>1530</v>
      </c>
      <c r="K4295" s="1" t="s">
        <v>16848</v>
      </c>
      <c r="L4295" s="1" t="s">
        <v>16849</v>
      </c>
      <c r="M4295" s="1" t="s">
        <v>718</v>
      </c>
    </row>
    <row r="4296" customFormat="false" ht="15" hidden="false" customHeight="false" outlineLevel="0" collapsed="false">
      <c r="A4296" s="1" t="s">
        <v>52</v>
      </c>
      <c r="B4296" s="1" t="s">
        <v>16850</v>
      </c>
      <c r="C4296" s="1" t="s">
        <v>16851</v>
      </c>
      <c r="D4296" s="2" t="n">
        <v>42030</v>
      </c>
      <c r="E4296" s="1" t="s">
        <v>710</v>
      </c>
      <c r="F4296" s="1" t="s">
        <v>711</v>
      </c>
      <c r="G4296" s="1" t="s">
        <v>712</v>
      </c>
      <c r="H4296" s="1" t="s">
        <v>713</v>
      </c>
      <c r="I4296" s="1" t="s">
        <v>714</v>
      </c>
      <c r="J4296" s="1" t="s">
        <v>1530</v>
      </c>
      <c r="K4296" s="1" t="s">
        <v>10770</v>
      </c>
      <c r="L4296" s="1" t="s">
        <v>16852</v>
      </c>
      <c r="M4296" s="1" t="s">
        <v>718</v>
      </c>
    </row>
    <row r="4297" customFormat="false" ht="15" hidden="false" customHeight="false" outlineLevel="0" collapsed="false">
      <c r="A4297" s="1" t="s">
        <v>44</v>
      </c>
      <c r="B4297" s="1" t="s">
        <v>16853</v>
      </c>
      <c r="C4297" s="1" t="s">
        <v>11090</v>
      </c>
      <c r="D4297" s="2" t="n">
        <v>41376</v>
      </c>
      <c r="E4297" s="1" t="s">
        <v>763</v>
      </c>
      <c r="F4297" s="1" t="s">
        <v>711</v>
      </c>
      <c r="G4297" s="1" t="s">
        <v>712</v>
      </c>
      <c r="H4297" s="1" t="s">
        <v>713</v>
      </c>
      <c r="I4297" s="1" t="s">
        <v>714</v>
      </c>
      <c r="J4297" s="1" t="s">
        <v>1131</v>
      </c>
      <c r="K4297" s="1" t="s">
        <v>16854</v>
      </c>
      <c r="L4297" s="1" t="s">
        <v>11093</v>
      </c>
      <c r="M4297" s="1" t="s">
        <v>718</v>
      </c>
    </row>
    <row r="4298" customFormat="false" ht="15" hidden="false" customHeight="false" outlineLevel="0" collapsed="false">
      <c r="A4298" s="1" t="s">
        <v>28</v>
      </c>
      <c r="B4298" s="1" t="s">
        <v>16855</v>
      </c>
      <c r="C4298" s="1" t="s">
        <v>15752</v>
      </c>
      <c r="D4298" s="2" t="n">
        <v>41811</v>
      </c>
      <c r="E4298" s="1" t="s">
        <v>763</v>
      </c>
      <c r="F4298" s="1" t="s">
        <v>711</v>
      </c>
      <c r="G4298" s="1" t="s">
        <v>712</v>
      </c>
      <c r="H4298" s="1" t="s">
        <v>713</v>
      </c>
      <c r="I4298" s="1" t="s">
        <v>714</v>
      </c>
      <c r="J4298" s="1" t="s">
        <v>832</v>
      </c>
      <c r="K4298" s="1" t="s">
        <v>15754</v>
      </c>
      <c r="L4298" s="1" t="s">
        <v>15755</v>
      </c>
      <c r="M4298" s="1" t="s">
        <v>718</v>
      </c>
    </row>
    <row r="4299" customFormat="false" ht="15" hidden="false" customHeight="false" outlineLevel="0" collapsed="false">
      <c r="A4299" s="1" t="s">
        <v>50</v>
      </c>
      <c r="B4299" s="1" t="s">
        <v>16856</v>
      </c>
      <c r="C4299" s="1" t="s">
        <v>5548</v>
      </c>
      <c r="D4299" s="2" t="n">
        <v>41658</v>
      </c>
      <c r="E4299" s="1" t="s">
        <v>763</v>
      </c>
      <c r="F4299" s="1" t="s">
        <v>711</v>
      </c>
      <c r="G4299" s="1" t="s">
        <v>712</v>
      </c>
      <c r="H4299" s="1" t="s">
        <v>713</v>
      </c>
      <c r="I4299" s="1" t="s">
        <v>714</v>
      </c>
      <c r="J4299" s="1" t="s">
        <v>1723</v>
      </c>
      <c r="K4299" s="1" t="s">
        <v>16857</v>
      </c>
      <c r="L4299" s="1" t="s">
        <v>6123</v>
      </c>
      <c r="M4299" s="1" t="s">
        <v>718</v>
      </c>
    </row>
    <row r="4300" customFormat="false" ht="15" hidden="false" customHeight="false" outlineLevel="0" collapsed="false">
      <c r="A4300" s="1" t="s">
        <v>73</v>
      </c>
      <c r="B4300" s="1" t="s">
        <v>16858</v>
      </c>
      <c r="C4300" s="1" t="s">
        <v>16859</v>
      </c>
      <c r="D4300" s="2" t="n">
        <v>41958</v>
      </c>
      <c r="E4300" s="1" t="s">
        <v>710</v>
      </c>
      <c r="F4300" s="1" t="s">
        <v>711</v>
      </c>
      <c r="G4300" s="1" t="s">
        <v>712</v>
      </c>
      <c r="H4300" s="1" t="s">
        <v>713</v>
      </c>
      <c r="I4300" s="1" t="s">
        <v>714</v>
      </c>
      <c r="J4300" s="1" t="s">
        <v>1530</v>
      </c>
      <c r="K4300" s="1" t="s">
        <v>16860</v>
      </c>
      <c r="L4300" s="1" t="s">
        <v>16861</v>
      </c>
      <c r="M4300" s="1" t="s">
        <v>718</v>
      </c>
    </row>
    <row r="4301" customFormat="false" ht="15" hidden="false" customHeight="false" outlineLevel="0" collapsed="false">
      <c r="A4301" s="1" t="s">
        <v>74</v>
      </c>
      <c r="B4301" s="1" t="s">
        <v>16862</v>
      </c>
      <c r="C4301" s="1" t="s">
        <v>4626</v>
      </c>
      <c r="D4301" s="2" t="n">
        <v>41302</v>
      </c>
      <c r="E4301" s="1" t="s">
        <v>763</v>
      </c>
      <c r="F4301" s="1" t="s">
        <v>711</v>
      </c>
      <c r="G4301" s="1" t="s">
        <v>712</v>
      </c>
      <c r="H4301" s="1" t="s">
        <v>713</v>
      </c>
      <c r="I4301" s="1" t="s">
        <v>714</v>
      </c>
      <c r="J4301" s="1" t="s">
        <v>1530</v>
      </c>
      <c r="K4301" s="1" t="s">
        <v>16863</v>
      </c>
      <c r="L4301" s="1" t="s">
        <v>16864</v>
      </c>
      <c r="M4301" s="1" t="s">
        <v>718</v>
      </c>
    </row>
    <row r="4302" customFormat="false" ht="15" hidden="false" customHeight="false" outlineLevel="0" collapsed="false">
      <c r="A4302" s="1" t="s">
        <v>65</v>
      </c>
      <c r="B4302" s="1" t="s">
        <v>16865</v>
      </c>
      <c r="C4302" s="1" t="s">
        <v>15101</v>
      </c>
      <c r="D4302" s="2" t="n">
        <v>41495</v>
      </c>
      <c r="E4302" s="1" t="s">
        <v>763</v>
      </c>
      <c r="F4302" s="1" t="s">
        <v>711</v>
      </c>
      <c r="G4302" s="1" t="s">
        <v>712</v>
      </c>
      <c r="H4302" s="1" t="s">
        <v>713</v>
      </c>
      <c r="I4302" s="1" t="s">
        <v>714</v>
      </c>
      <c r="J4302" s="1" t="s">
        <v>16866</v>
      </c>
      <c r="K4302" s="1" t="s">
        <v>16867</v>
      </c>
      <c r="L4302" s="1" t="s">
        <v>15102</v>
      </c>
      <c r="M4302" s="1" t="s">
        <v>718</v>
      </c>
    </row>
    <row r="4303" customFormat="false" ht="15" hidden="false" customHeight="false" outlineLevel="0" collapsed="false">
      <c r="A4303" s="1" t="s">
        <v>64</v>
      </c>
      <c r="B4303" s="1" t="s">
        <v>16868</v>
      </c>
      <c r="C4303" s="1" t="s">
        <v>15101</v>
      </c>
      <c r="D4303" s="2" t="n">
        <v>41495</v>
      </c>
      <c r="E4303" s="1" t="s">
        <v>763</v>
      </c>
      <c r="F4303" s="1" t="s">
        <v>711</v>
      </c>
      <c r="G4303" s="1" t="s">
        <v>712</v>
      </c>
      <c r="H4303" s="1" t="s">
        <v>713</v>
      </c>
      <c r="I4303" s="1" t="s">
        <v>714</v>
      </c>
      <c r="J4303" s="1" t="s">
        <v>16869</v>
      </c>
      <c r="K4303" s="1" t="s">
        <v>16867</v>
      </c>
      <c r="L4303" s="1" t="s">
        <v>15102</v>
      </c>
      <c r="M4303" s="1" t="s">
        <v>718</v>
      </c>
    </row>
    <row r="4304" customFormat="false" ht="15" hidden="false" customHeight="false" outlineLevel="0" collapsed="false">
      <c r="A4304" s="1" t="s">
        <v>67</v>
      </c>
      <c r="B4304" s="1" t="s">
        <v>16855</v>
      </c>
      <c r="C4304" s="1" t="s">
        <v>16870</v>
      </c>
      <c r="D4304" s="2" t="n">
        <v>41124</v>
      </c>
      <c r="E4304" s="1" t="s">
        <v>763</v>
      </c>
      <c r="F4304" s="1" t="s">
        <v>711</v>
      </c>
      <c r="G4304" s="1" t="s">
        <v>712</v>
      </c>
      <c r="H4304" s="1" t="s">
        <v>713</v>
      </c>
      <c r="I4304" s="1" t="s">
        <v>714</v>
      </c>
      <c r="J4304" s="1" t="s">
        <v>16871</v>
      </c>
      <c r="K4304" s="1" t="s">
        <v>14405</v>
      </c>
      <c r="L4304" s="1" t="s">
        <v>16872</v>
      </c>
      <c r="M4304" s="1" t="s">
        <v>718</v>
      </c>
    </row>
    <row r="4305" customFormat="false" ht="15" hidden="false" customHeight="false" outlineLevel="0" collapsed="false">
      <c r="A4305" s="1" t="s">
        <v>69</v>
      </c>
      <c r="B4305" s="1" t="s">
        <v>6502</v>
      </c>
      <c r="C4305" s="1" t="s">
        <v>16873</v>
      </c>
      <c r="D4305" s="2" t="n">
        <v>41228</v>
      </c>
      <c r="E4305" s="1" t="s">
        <v>763</v>
      </c>
      <c r="F4305" s="1" t="s">
        <v>711</v>
      </c>
      <c r="G4305" s="1" t="s">
        <v>712</v>
      </c>
      <c r="H4305" s="1" t="s">
        <v>713</v>
      </c>
      <c r="I4305" s="1" t="s">
        <v>714</v>
      </c>
      <c r="J4305" s="1" t="s">
        <v>1114</v>
      </c>
      <c r="K4305" s="1" t="s">
        <v>16874</v>
      </c>
      <c r="L4305" s="1" t="s">
        <v>16875</v>
      </c>
      <c r="M4305" s="1" t="s">
        <v>718</v>
      </c>
    </row>
    <row r="4306" customFormat="false" ht="15" hidden="false" customHeight="false" outlineLevel="0" collapsed="false">
      <c r="A4306" s="1" t="s">
        <v>72</v>
      </c>
      <c r="B4306" s="1" t="s">
        <v>7110</v>
      </c>
      <c r="C4306" s="1" t="s">
        <v>16876</v>
      </c>
      <c r="D4306" s="2" t="n">
        <v>41653</v>
      </c>
      <c r="E4306" s="1" t="s">
        <v>710</v>
      </c>
      <c r="F4306" s="1" t="s">
        <v>711</v>
      </c>
      <c r="G4306" s="1" t="s">
        <v>712</v>
      </c>
      <c r="H4306" s="1" t="s">
        <v>713</v>
      </c>
      <c r="I4306" s="1" t="s">
        <v>714</v>
      </c>
      <c r="J4306" s="1" t="s">
        <v>1114</v>
      </c>
      <c r="K4306" s="1" t="s">
        <v>16877</v>
      </c>
      <c r="L4306" s="1" t="s">
        <v>16878</v>
      </c>
      <c r="M4306" s="1" t="s">
        <v>718</v>
      </c>
    </row>
    <row r="4307" customFormat="false" ht="15" hidden="false" customHeight="false" outlineLevel="0" collapsed="false">
      <c r="A4307" s="1" t="s">
        <v>55</v>
      </c>
      <c r="B4307" s="1" t="s">
        <v>2441</v>
      </c>
      <c r="C4307" s="1" t="s">
        <v>13568</v>
      </c>
      <c r="D4307" s="2" t="n">
        <v>40504</v>
      </c>
      <c r="E4307" s="1" t="s">
        <v>763</v>
      </c>
      <c r="F4307" s="1" t="s">
        <v>711</v>
      </c>
      <c r="G4307" s="1" t="s">
        <v>722</v>
      </c>
      <c r="H4307" s="1" t="s">
        <v>713</v>
      </c>
      <c r="I4307" s="1" t="s">
        <v>714</v>
      </c>
      <c r="J4307" s="1" t="s">
        <v>1584</v>
      </c>
      <c r="K4307" s="1" t="s">
        <v>16879</v>
      </c>
      <c r="L4307" s="1" t="s">
        <v>16880</v>
      </c>
      <c r="M4307" s="1" t="s">
        <v>718</v>
      </c>
    </row>
    <row r="4308" customFormat="false" ht="15" hidden="false" customHeight="false" outlineLevel="0" collapsed="false">
      <c r="A4308" s="1" t="s">
        <v>84</v>
      </c>
      <c r="B4308" s="1" t="s">
        <v>16881</v>
      </c>
      <c r="C4308" s="1" t="s">
        <v>1610</v>
      </c>
      <c r="D4308" s="2" t="n">
        <v>41669</v>
      </c>
      <c r="E4308" s="1" t="s">
        <v>763</v>
      </c>
      <c r="F4308" s="1" t="s">
        <v>711</v>
      </c>
      <c r="G4308" s="1" t="s">
        <v>722</v>
      </c>
      <c r="H4308" s="1" t="s">
        <v>713</v>
      </c>
      <c r="I4308" s="1" t="s">
        <v>714</v>
      </c>
      <c r="J4308" s="1" t="s">
        <v>14988</v>
      </c>
      <c r="K4308" s="1" t="s">
        <v>716</v>
      </c>
      <c r="L4308" s="1" t="s">
        <v>15513</v>
      </c>
      <c r="M4308" s="1" t="s">
        <v>718</v>
      </c>
    </row>
    <row r="4309" customFormat="false" ht="15" hidden="false" customHeight="false" outlineLevel="0" collapsed="false">
      <c r="A4309" s="1" t="s">
        <v>85</v>
      </c>
      <c r="B4309" s="1" t="s">
        <v>16882</v>
      </c>
      <c r="C4309" s="1" t="s">
        <v>6972</v>
      </c>
      <c r="D4309" s="2" t="n">
        <v>41678</v>
      </c>
      <c r="E4309" s="1" t="s">
        <v>763</v>
      </c>
      <c r="F4309" s="1" t="s">
        <v>711</v>
      </c>
      <c r="G4309" s="1" t="s">
        <v>712</v>
      </c>
      <c r="H4309" s="1" t="s">
        <v>713</v>
      </c>
      <c r="I4309" s="1" t="s">
        <v>714</v>
      </c>
      <c r="J4309" s="1" t="s">
        <v>16883</v>
      </c>
      <c r="K4309" s="1" t="s">
        <v>16884</v>
      </c>
      <c r="L4309" s="1" t="s">
        <v>12658</v>
      </c>
      <c r="M4309" s="1" t="s">
        <v>718</v>
      </c>
    </row>
    <row r="4310" customFormat="false" ht="15" hidden="false" customHeight="false" outlineLevel="0" collapsed="false">
      <c r="A4310" s="1" t="s">
        <v>66</v>
      </c>
      <c r="B4310" s="1" t="s">
        <v>16885</v>
      </c>
      <c r="C4310" s="1" t="s">
        <v>15002</v>
      </c>
      <c r="D4310" s="2" t="n">
        <v>41795</v>
      </c>
      <c r="E4310" s="1" t="s">
        <v>763</v>
      </c>
      <c r="F4310" s="1" t="s">
        <v>711</v>
      </c>
      <c r="G4310" s="1" t="s">
        <v>712</v>
      </c>
      <c r="H4310" s="1" t="s">
        <v>713</v>
      </c>
      <c r="I4310" s="1" t="s">
        <v>714</v>
      </c>
      <c r="J4310" s="1" t="s">
        <v>16886</v>
      </c>
      <c r="K4310" s="1" t="s">
        <v>15003</v>
      </c>
      <c r="L4310" s="1" t="s">
        <v>15004</v>
      </c>
      <c r="M4310" s="1" t="s">
        <v>718</v>
      </c>
    </row>
    <row r="4311" customFormat="false" ht="15" hidden="false" customHeight="false" outlineLevel="0" collapsed="false">
      <c r="A4311" s="1" t="s">
        <v>61</v>
      </c>
      <c r="B4311" s="1" t="s">
        <v>16887</v>
      </c>
      <c r="C4311" s="1" t="s">
        <v>1403</v>
      </c>
      <c r="D4311" s="2" t="n">
        <v>41780</v>
      </c>
      <c r="E4311" s="1" t="s">
        <v>763</v>
      </c>
      <c r="F4311" s="1" t="s">
        <v>711</v>
      </c>
      <c r="G4311" s="1" t="s">
        <v>722</v>
      </c>
      <c r="H4311" s="1" t="s">
        <v>713</v>
      </c>
      <c r="I4311" s="1" t="s">
        <v>714</v>
      </c>
      <c r="J4311" s="1" t="s">
        <v>1723</v>
      </c>
      <c r="K4311" s="1" t="s">
        <v>16888</v>
      </c>
      <c r="L4311" s="1" t="s">
        <v>2476</v>
      </c>
      <c r="M4311" s="1" t="s">
        <v>718</v>
      </c>
    </row>
    <row r="4312" customFormat="false" ht="15" hidden="false" customHeight="false" outlineLevel="0" collapsed="false">
      <c r="A4312" s="1" t="s">
        <v>80</v>
      </c>
      <c r="B4312" s="1" t="s">
        <v>16889</v>
      </c>
      <c r="C4312" s="1" t="s">
        <v>16890</v>
      </c>
      <c r="D4312" s="2" t="n">
        <v>41544</v>
      </c>
      <c r="E4312" s="1" t="s">
        <v>763</v>
      </c>
      <c r="F4312" s="1" t="s">
        <v>711</v>
      </c>
      <c r="G4312" s="1" t="s">
        <v>712</v>
      </c>
      <c r="H4312" s="1" t="s">
        <v>713</v>
      </c>
      <c r="I4312" s="1" t="s">
        <v>714</v>
      </c>
      <c r="J4312" s="1" t="s">
        <v>1172</v>
      </c>
      <c r="K4312" s="1" t="s">
        <v>16891</v>
      </c>
      <c r="L4312" s="1" t="s">
        <v>16892</v>
      </c>
      <c r="M4312" s="1" t="s">
        <v>718</v>
      </c>
    </row>
    <row r="4313" customFormat="false" ht="15" hidden="false" customHeight="false" outlineLevel="0" collapsed="false">
      <c r="A4313" s="1" t="s">
        <v>77</v>
      </c>
      <c r="B4313" s="1" t="s">
        <v>1538</v>
      </c>
      <c r="C4313" s="1" t="s">
        <v>13274</v>
      </c>
      <c r="D4313" s="2" t="n">
        <v>41698</v>
      </c>
      <c r="E4313" s="1" t="s">
        <v>763</v>
      </c>
      <c r="F4313" s="1" t="s">
        <v>711</v>
      </c>
      <c r="G4313" s="1" t="s">
        <v>712</v>
      </c>
      <c r="H4313" s="1" t="s">
        <v>713</v>
      </c>
      <c r="I4313" s="1" t="s">
        <v>714</v>
      </c>
      <c r="J4313" s="1" t="s">
        <v>6740</v>
      </c>
      <c r="K4313" s="1" t="s">
        <v>16065</v>
      </c>
      <c r="L4313" s="1" t="s">
        <v>13276</v>
      </c>
      <c r="M4313" s="1" t="s">
        <v>718</v>
      </c>
    </row>
    <row r="4314" customFormat="false" ht="15" hidden="false" customHeight="false" outlineLevel="0" collapsed="false">
      <c r="A4314" s="1" t="s">
        <v>16893</v>
      </c>
      <c r="B4314" s="1" t="s">
        <v>16894</v>
      </c>
      <c r="C4314" s="1" t="s">
        <v>9807</v>
      </c>
      <c r="D4314" s="2" t="n">
        <v>40514</v>
      </c>
      <c r="E4314" s="1" t="s">
        <v>763</v>
      </c>
      <c r="F4314" s="1" t="s">
        <v>711</v>
      </c>
      <c r="G4314" s="1" t="s">
        <v>712</v>
      </c>
      <c r="H4314" s="1" t="s">
        <v>713</v>
      </c>
      <c r="I4314" s="1" t="s">
        <v>714</v>
      </c>
      <c r="J4314" s="1" t="s">
        <v>16895</v>
      </c>
      <c r="K4314" s="1" t="s">
        <v>16896</v>
      </c>
      <c r="L4314" s="1" t="s">
        <v>6180</v>
      </c>
      <c r="M4314" s="1" t="s">
        <v>718</v>
      </c>
    </row>
    <row r="4315" customFormat="false" ht="15" hidden="false" customHeight="false" outlineLevel="0" collapsed="false">
      <c r="A4315" s="1" t="s">
        <v>57</v>
      </c>
      <c r="B4315" s="1" t="s">
        <v>16897</v>
      </c>
      <c r="C4315" s="1" t="s">
        <v>3123</v>
      </c>
      <c r="D4315" s="2" t="n">
        <v>41287</v>
      </c>
      <c r="E4315" s="1" t="s">
        <v>763</v>
      </c>
      <c r="F4315" s="1" t="s">
        <v>711</v>
      </c>
      <c r="G4315" s="1" t="s">
        <v>722</v>
      </c>
      <c r="H4315" s="1" t="s">
        <v>713</v>
      </c>
      <c r="I4315" s="1" t="s">
        <v>714</v>
      </c>
      <c r="J4315" s="1" t="s">
        <v>5313</v>
      </c>
      <c r="K4315" s="1" t="s">
        <v>716</v>
      </c>
      <c r="L4315" s="1" t="s">
        <v>2337</v>
      </c>
      <c r="M4315" s="1" t="s">
        <v>718</v>
      </c>
    </row>
    <row r="4316" customFormat="false" ht="15" hidden="false" customHeight="false" outlineLevel="0" collapsed="false">
      <c r="A4316" s="1" t="s">
        <v>59</v>
      </c>
      <c r="B4316" s="1" t="s">
        <v>16898</v>
      </c>
      <c r="C4316" s="1" t="s">
        <v>12039</v>
      </c>
      <c r="D4316" s="2" t="n">
        <v>41559</v>
      </c>
      <c r="E4316" s="1" t="s">
        <v>763</v>
      </c>
      <c r="F4316" s="1" t="s">
        <v>711</v>
      </c>
      <c r="G4316" s="1" t="s">
        <v>712</v>
      </c>
      <c r="H4316" s="1" t="s">
        <v>713</v>
      </c>
      <c r="I4316" s="1" t="s">
        <v>714</v>
      </c>
      <c r="J4316" s="1" t="s">
        <v>16899</v>
      </c>
      <c r="K4316" s="1" t="s">
        <v>16900</v>
      </c>
      <c r="L4316" s="1" t="s">
        <v>16901</v>
      </c>
      <c r="M4316" s="1" t="s">
        <v>718</v>
      </c>
    </row>
    <row r="4317" customFormat="false" ht="15" hidden="false" customHeight="false" outlineLevel="0" collapsed="false">
      <c r="A4317" s="1" t="s">
        <v>76</v>
      </c>
      <c r="B4317" s="1" t="s">
        <v>16902</v>
      </c>
      <c r="C4317" s="1" t="s">
        <v>15228</v>
      </c>
      <c r="D4317" s="2" t="n">
        <v>41475</v>
      </c>
      <c r="E4317" s="1" t="s">
        <v>763</v>
      </c>
      <c r="F4317" s="1" t="s">
        <v>711</v>
      </c>
      <c r="G4317" s="1" t="s">
        <v>712</v>
      </c>
      <c r="H4317" s="1" t="s">
        <v>713</v>
      </c>
      <c r="I4317" s="1" t="s">
        <v>714</v>
      </c>
      <c r="J4317" s="1" t="s">
        <v>9030</v>
      </c>
      <c r="K4317" s="1" t="s">
        <v>16903</v>
      </c>
      <c r="L4317" s="1" t="s">
        <v>15230</v>
      </c>
      <c r="M4317" s="1" t="s">
        <v>718</v>
      </c>
    </row>
    <row r="4318" customFormat="false" ht="15" hidden="false" customHeight="false" outlineLevel="0" collapsed="false">
      <c r="A4318" s="1" t="s">
        <v>75</v>
      </c>
      <c r="B4318" s="1" t="s">
        <v>16904</v>
      </c>
      <c r="C4318" s="1" t="s">
        <v>15873</v>
      </c>
      <c r="D4318" s="2" t="n">
        <v>41548</v>
      </c>
      <c r="E4318" s="1" t="s">
        <v>763</v>
      </c>
      <c r="F4318" s="1" t="s">
        <v>711</v>
      </c>
      <c r="G4318" s="1" t="s">
        <v>722</v>
      </c>
      <c r="H4318" s="1" t="s">
        <v>713</v>
      </c>
      <c r="I4318" s="1" t="s">
        <v>714</v>
      </c>
      <c r="J4318" s="1" t="s">
        <v>1584</v>
      </c>
      <c r="K4318" s="1" t="s">
        <v>16905</v>
      </c>
      <c r="L4318" s="1" t="s">
        <v>10816</v>
      </c>
      <c r="M4318" s="1" t="s">
        <v>718</v>
      </c>
    </row>
    <row r="4319" customFormat="false" ht="15" hidden="false" customHeight="false" outlineLevel="0" collapsed="false">
      <c r="A4319" s="1" t="s">
        <v>62</v>
      </c>
      <c r="B4319" s="1" t="s">
        <v>16906</v>
      </c>
      <c r="C4319" s="1" t="s">
        <v>10599</v>
      </c>
      <c r="D4319" s="2" t="n">
        <v>41562</v>
      </c>
      <c r="E4319" s="1" t="s">
        <v>763</v>
      </c>
      <c r="F4319" s="1" t="s">
        <v>711</v>
      </c>
      <c r="G4319" s="1" t="s">
        <v>712</v>
      </c>
      <c r="H4319" s="1" t="s">
        <v>713</v>
      </c>
      <c r="I4319" s="1" t="s">
        <v>714</v>
      </c>
      <c r="J4319" s="1" t="s">
        <v>838</v>
      </c>
      <c r="K4319" s="1" t="s">
        <v>13056</v>
      </c>
      <c r="L4319" s="1" t="s">
        <v>16907</v>
      </c>
      <c r="M4319" s="1" t="s">
        <v>718</v>
      </c>
    </row>
    <row r="4320" customFormat="false" ht="15" hidden="false" customHeight="false" outlineLevel="0" collapsed="false">
      <c r="A4320" s="1" t="s">
        <v>87</v>
      </c>
      <c r="B4320" s="1" t="s">
        <v>16908</v>
      </c>
      <c r="C4320" s="1" t="s">
        <v>16909</v>
      </c>
      <c r="D4320" s="2" t="n">
        <v>42114</v>
      </c>
      <c r="E4320" s="1" t="s">
        <v>763</v>
      </c>
      <c r="F4320" s="1" t="s">
        <v>711</v>
      </c>
      <c r="G4320" s="1" t="s">
        <v>722</v>
      </c>
      <c r="H4320" s="1" t="s">
        <v>713</v>
      </c>
      <c r="I4320" s="1" t="s">
        <v>714</v>
      </c>
      <c r="J4320" s="1" t="s">
        <v>9030</v>
      </c>
      <c r="K4320" s="1" t="s">
        <v>16910</v>
      </c>
      <c r="L4320" s="1" t="s">
        <v>16358</v>
      </c>
      <c r="M4320" s="1" t="s">
        <v>718</v>
      </c>
    </row>
    <row r="4321" customFormat="false" ht="15" hidden="false" customHeight="false" outlineLevel="0" collapsed="false">
      <c r="A4321" s="1" t="s">
        <v>68</v>
      </c>
      <c r="B4321" s="1" t="s">
        <v>16911</v>
      </c>
      <c r="C4321" s="1" t="s">
        <v>16912</v>
      </c>
      <c r="D4321" s="2" t="n">
        <v>41427</v>
      </c>
      <c r="E4321" s="1" t="s">
        <v>763</v>
      </c>
      <c r="F4321" s="1" t="s">
        <v>711</v>
      </c>
      <c r="G4321" s="1" t="s">
        <v>712</v>
      </c>
      <c r="H4321" s="1" t="s">
        <v>713</v>
      </c>
      <c r="I4321" s="1" t="s">
        <v>714</v>
      </c>
      <c r="J4321" s="1" t="s">
        <v>1723</v>
      </c>
      <c r="K4321" s="1" t="s">
        <v>12087</v>
      </c>
      <c r="L4321" s="1" t="s">
        <v>6703</v>
      </c>
      <c r="M4321" s="1" t="s">
        <v>718</v>
      </c>
    </row>
    <row r="4322" customFormat="false" ht="15" hidden="false" customHeight="false" outlineLevel="0" collapsed="false">
      <c r="A4322" s="1" t="s">
        <v>54</v>
      </c>
      <c r="B4322" s="1" t="s">
        <v>16913</v>
      </c>
      <c r="C4322" s="1" t="s">
        <v>739</v>
      </c>
      <c r="D4322" s="2" t="n">
        <v>40953</v>
      </c>
      <c r="E4322" s="1" t="s">
        <v>710</v>
      </c>
      <c r="F4322" s="1" t="s">
        <v>711</v>
      </c>
      <c r="G4322" s="1" t="s">
        <v>712</v>
      </c>
      <c r="H4322" s="1" t="s">
        <v>713</v>
      </c>
      <c r="I4322" s="1" t="s">
        <v>714</v>
      </c>
      <c r="J4322" s="1" t="s">
        <v>821</v>
      </c>
      <c r="K4322" s="1" t="s">
        <v>16914</v>
      </c>
      <c r="L4322" s="1" t="s">
        <v>10871</v>
      </c>
      <c r="M4322" s="1" t="s">
        <v>718</v>
      </c>
    </row>
    <row r="4323" customFormat="false" ht="15" hidden="false" customHeight="false" outlineLevel="0" collapsed="false">
      <c r="A4323" s="1" t="s">
        <v>56</v>
      </c>
      <c r="B4323" s="1" t="s">
        <v>16915</v>
      </c>
      <c r="C4323" s="1" t="s">
        <v>16916</v>
      </c>
      <c r="D4323" s="2" t="n">
        <v>41372</v>
      </c>
      <c r="E4323" s="1" t="s">
        <v>710</v>
      </c>
      <c r="F4323" s="1" t="s">
        <v>711</v>
      </c>
      <c r="G4323" s="1" t="s">
        <v>712</v>
      </c>
      <c r="H4323" s="1" t="s">
        <v>713</v>
      </c>
      <c r="I4323" s="1" t="s">
        <v>714</v>
      </c>
      <c r="J4323" s="1" t="s">
        <v>1530</v>
      </c>
      <c r="K4323" s="1" t="s">
        <v>16917</v>
      </c>
      <c r="L4323" s="1" t="s">
        <v>16918</v>
      </c>
      <c r="M4323" s="1" t="s">
        <v>718</v>
      </c>
    </row>
    <row r="4324" customFormat="false" ht="15" hidden="false" customHeight="false" outlineLevel="0" collapsed="false">
      <c r="A4324" s="1" t="s">
        <v>60</v>
      </c>
      <c r="B4324" s="1" t="s">
        <v>16919</v>
      </c>
      <c r="C4324" s="1" t="s">
        <v>15815</v>
      </c>
      <c r="D4324" s="2" t="n">
        <v>41663</v>
      </c>
      <c r="E4324" s="1" t="s">
        <v>710</v>
      </c>
      <c r="F4324" s="1" t="s">
        <v>711</v>
      </c>
      <c r="G4324" s="1" t="s">
        <v>712</v>
      </c>
      <c r="H4324" s="1" t="s">
        <v>713</v>
      </c>
      <c r="I4324" s="1" t="s">
        <v>714</v>
      </c>
      <c r="J4324" s="1" t="s">
        <v>16920</v>
      </c>
      <c r="K4324" s="1" t="s">
        <v>15817</v>
      </c>
      <c r="L4324" s="1" t="s">
        <v>16921</v>
      </c>
      <c r="M4324" s="1" t="s">
        <v>718</v>
      </c>
    </row>
    <row r="4325" customFormat="false" ht="15" hidden="false" customHeight="false" outlineLevel="0" collapsed="false">
      <c r="A4325" s="1" t="s">
        <v>78</v>
      </c>
      <c r="B4325" s="1" t="s">
        <v>16922</v>
      </c>
      <c r="C4325" s="1" t="s">
        <v>2753</v>
      </c>
      <c r="D4325" s="2" t="n">
        <v>41129</v>
      </c>
      <c r="E4325" s="1" t="s">
        <v>710</v>
      </c>
      <c r="F4325" s="1" t="s">
        <v>711</v>
      </c>
      <c r="G4325" s="1" t="s">
        <v>712</v>
      </c>
      <c r="H4325" s="1" t="s">
        <v>713</v>
      </c>
      <c r="I4325" s="1" t="s">
        <v>714</v>
      </c>
      <c r="J4325" s="1" t="s">
        <v>16923</v>
      </c>
      <c r="K4325" s="1" t="s">
        <v>16924</v>
      </c>
      <c r="L4325" s="1" t="s">
        <v>16925</v>
      </c>
      <c r="M4325" s="1" t="s">
        <v>718</v>
      </c>
    </row>
    <row r="4326" customFormat="false" ht="15" hidden="false" customHeight="false" outlineLevel="0" collapsed="false">
      <c r="A4326" s="1" t="s">
        <v>79</v>
      </c>
      <c r="B4326" s="1" t="s">
        <v>16926</v>
      </c>
      <c r="C4326" s="1" t="s">
        <v>7363</v>
      </c>
      <c r="D4326" s="2" t="n">
        <v>41578</v>
      </c>
      <c r="E4326" s="1" t="s">
        <v>763</v>
      </c>
      <c r="F4326" s="1" t="s">
        <v>711</v>
      </c>
      <c r="G4326" s="1" t="s">
        <v>712</v>
      </c>
      <c r="H4326" s="1" t="s">
        <v>713</v>
      </c>
      <c r="I4326" s="1" t="s">
        <v>714</v>
      </c>
      <c r="J4326" s="1" t="s">
        <v>1723</v>
      </c>
      <c r="K4326" s="1" t="s">
        <v>16927</v>
      </c>
      <c r="L4326" s="1" t="s">
        <v>10791</v>
      </c>
      <c r="M4326" s="1" t="s">
        <v>718</v>
      </c>
    </row>
    <row r="4327" customFormat="false" ht="15" hidden="false" customHeight="false" outlineLevel="0" collapsed="false">
      <c r="A4327" s="1" t="s">
        <v>86</v>
      </c>
      <c r="B4327" s="1" t="s">
        <v>16928</v>
      </c>
      <c r="C4327" s="1" t="s">
        <v>16929</v>
      </c>
      <c r="D4327" s="2" t="n">
        <v>41723</v>
      </c>
      <c r="E4327" s="1" t="s">
        <v>763</v>
      </c>
      <c r="F4327" s="1" t="s">
        <v>711</v>
      </c>
      <c r="G4327" s="1" t="s">
        <v>712</v>
      </c>
      <c r="H4327" s="1" t="s">
        <v>713</v>
      </c>
      <c r="I4327" s="1" t="s">
        <v>714</v>
      </c>
      <c r="J4327" s="1" t="s">
        <v>715</v>
      </c>
      <c r="K4327" s="1" t="s">
        <v>716</v>
      </c>
      <c r="L4327" s="1" t="s">
        <v>16930</v>
      </c>
      <c r="M4327" s="1" t="s">
        <v>718</v>
      </c>
    </row>
    <row r="4328" customFormat="false" ht="15" hidden="false" customHeight="false" outlineLevel="0" collapsed="false">
      <c r="A4328" s="1" t="s">
        <v>71</v>
      </c>
      <c r="B4328" s="1" t="s">
        <v>13262</v>
      </c>
      <c r="C4328" s="1" t="s">
        <v>739</v>
      </c>
      <c r="D4328" s="2" t="n">
        <v>41548</v>
      </c>
      <c r="E4328" s="1" t="s">
        <v>710</v>
      </c>
      <c r="F4328" s="1" t="s">
        <v>711</v>
      </c>
      <c r="G4328" s="1" t="s">
        <v>712</v>
      </c>
      <c r="H4328" s="1" t="s">
        <v>713</v>
      </c>
      <c r="I4328" s="1" t="s">
        <v>714</v>
      </c>
      <c r="J4328" s="1" t="s">
        <v>928</v>
      </c>
      <c r="K4328" s="1" t="s">
        <v>716</v>
      </c>
      <c r="L4328" s="1" t="s">
        <v>16931</v>
      </c>
      <c r="M4328" s="1" t="s">
        <v>718</v>
      </c>
    </row>
    <row r="4329" customFormat="false" ht="15" hidden="false" customHeight="false" outlineLevel="0" collapsed="false">
      <c r="A4329" s="1" t="s">
        <v>58</v>
      </c>
      <c r="B4329" s="1" t="s">
        <v>6262</v>
      </c>
      <c r="C4329" s="1" t="s">
        <v>13365</v>
      </c>
      <c r="D4329" s="2" t="n">
        <v>41147</v>
      </c>
      <c r="E4329" s="1" t="s">
        <v>710</v>
      </c>
      <c r="F4329" s="1" t="s">
        <v>711</v>
      </c>
      <c r="G4329" s="1" t="s">
        <v>722</v>
      </c>
      <c r="H4329" s="1" t="s">
        <v>713</v>
      </c>
      <c r="I4329" s="1" t="s">
        <v>714</v>
      </c>
      <c r="J4329" s="1" t="s">
        <v>16932</v>
      </c>
      <c r="K4329" s="1" t="s">
        <v>16933</v>
      </c>
      <c r="L4329" s="1" t="s">
        <v>13366</v>
      </c>
      <c r="M4329" s="1" t="s">
        <v>718</v>
      </c>
    </row>
    <row r="4330" customFormat="false" ht="15" hidden="false" customHeight="false" outlineLevel="0" collapsed="false">
      <c r="A4330" s="1" t="s">
        <v>83</v>
      </c>
      <c r="B4330" s="1" t="s">
        <v>16934</v>
      </c>
      <c r="C4330" s="1" t="s">
        <v>16935</v>
      </c>
      <c r="D4330" s="2" t="n">
        <v>41513</v>
      </c>
      <c r="E4330" s="1" t="s">
        <v>763</v>
      </c>
      <c r="F4330" s="1" t="s">
        <v>711</v>
      </c>
      <c r="G4330" s="1" t="s">
        <v>712</v>
      </c>
      <c r="H4330" s="1" t="s">
        <v>713</v>
      </c>
      <c r="I4330" s="1" t="s">
        <v>714</v>
      </c>
      <c r="J4330" s="1" t="s">
        <v>2117</v>
      </c>
      <c r="K4330" s="1" t="s">
        <v>16936</v>
      </c>
      <c r="L4330" s="1" t="s">
        <v>16937</v>
      </c>
      <c r="M4330" s="1" t="s">
        <v>718</v>
      </c>
    </row>
    <row r="4331" customFormat="false" ht="15" hidden="false" customHeight="false" outlineLevel="0" collapsed="false">
      <c r="A4331" s="1" t="s">
        <v>63</v>
      </c>
      <c r="B4331" s="1" t="s">
        <v>1397</v>
      </c>
      <c r="C4331" s="1" t="s">
        <v>16938</v>
      </c>
      <c r="D4331" s="2" t="n">
        <v>41740</v>
      </c>
      <c r="E4331" s="1" t="s">
        <v>710</v>
      </c>
      <c r="F4331" s="1" t="s">
        <v>711</v>
      </c>
      <c r="G4331" s="1" t="s">
        <v>712</v>
      </c>
      <c r="H4331" s="1" t="s">
        <v>713</v>
      </c>
      <c r="I4331" s="1" t="s">
        <v>714</v>
      </c>
      <c r="J4331" s="1" t="s">
        <v>1244</v>
      </c>
      <c r="K4331" s="1" t="s">
        <v>16939</v>
      </c>
      <c r="L4331" s="1" t="s">
        <v>16940</v>
      </c>
      <c r="M4331" s="1" t="s">
        <v>718</v>
      </c>
    </row>
    <row r="4332" customFormat="false" ht="15" hidden="false" customHeight="false" outlineLevel="0" collapsed="false">
      <c r="A4332" s="1" t="s">
        <v>38</v>
      </c>
      <c r="B4332" s="1" t="s">
        <v>16941</v>
      </c>
      <c r="C4332" s="1" t="s">
        <v>16942</v>
      </c>
      <c r="D4332" s="2" t="n">
        <v>41208</v>
      </c>
      <c r="E4332" s="1" t="s">
        <v>763</v>
      </c>
      <c r="F4332" s="1" t="s">
        <v>711</v>
      </c>
      <c r="G4332" s="1" t="s">
        <v>712</v>
      </c>
      <c r="H4332" s="1" t="s">
        <v>713</v>
      </c>
      <c r="I4332" s="1" t="s">
        <v>714</v>
      </c>
      <c r="J4332" s="1" t="s">
        <v>4811</v>
      </c>
      <c r="K4332" s="1" t="s">
        <v>16943</v>
      </c>
      <c r="L4332" s="1" t="s">
        <v>16944</v>
      </c>
      <c r="M4332" s="1" t="s">
        <v>718</v>
      </c>
    </row>
    <row r="4333" customFormat="false" ht="15" hidden="false" customHeight="false" outlineLevel="0" collapsed="false">
      <c r="A4333" s="1" t="s">
        <v>243</v>
      </c>
      <c r="B4333" s="1" t="s">
        <v>16945</v>
      </c>
      <c r="C4333" s="1" t="s">
        <v>16946</v>
      </c>
      <c r="D4333" s="2" t="n">
        <v>41172</v>
      </c>
      <c r="E4333" s="1" t="s">
        <v>710</v>
      </c>
      <c r="F4333" s="1" t="s">
        <v>711</v>
      </c>
      <c r="G4333" s="1" t="s">
        <v>1979</v>
      </c>
      <c r="H4333" s="1" t="s">
        <v>1980</v>
      </c>
      <c r="I4333" s="1" t="s">
        <v>1981</v>
      </c>
      <c r="J4333" s="1" t="s">
        <v>13421</v>
      </c>
      <c r="K4333" s="1" t="s">
        <v>16947</v>
      </c>
      <c r="L4333" s="1" t="s">
        <v>16948</v>
      </c>
      <c r="M4333" s="1" t="s">
        <v>718</v>
      </c>
    </row>
    <row r="4334" customFormat="false" ht="15" hidden="false" customHeight="false" outlineLevel="0" collapsed="false">
      <c r="A4334" s="1" t="s">
        <v>96</v>
      </c>
      <c r="B4334" s="1" t="s">
        <v>16949</v>
      </c>
      <c r="C4334" s="1" t="s">
        <v>16950</v>
      </c>
      <c r="D4334" s="2" t="n">
        <v>41517</v>
      </c>
      <c r="E4334" s="1" t="s">
        <v>763</v>
      </c>
      <c r="F4334" s="1" t="s">
        <v>711</v>
      </c>
      <c r="G4334" s="1" t="s">
        <v>712</v>
      </c>
      <c r="H4334" s="1" t="s">
        <v>713</v>
      </c>
      <c r="I4334" s="1" t="s">
        <v>714</v>
      </c>
      <c r="J4334" s="1" t="s">
        <v>13730</v>
      </c>
      <c r="K4334" s="1" t="s">
        <v>16951</v>
      </c>
      <c r="L4334" s="1" t="s">
        <v>13731</v>
      </c>
      <c r="M4334" s="1" t="s">
        <v>718</v>
      </c>
    </row>
    <row r="4335" customFormat="false" ht="15" hidden="false" customHeight="false" outlineLevel="0" collapsed="false">
      <c r="A4335" s="1" t="s">
        <v>120</v>
      </c>
      <c r="B4335" s="1" t="s">
        <v>16952</v>
      </c>
      <c r="C4335" s="1" t="s">
        <v>16953</v>
      </c>
      <c r="D4335" s="2" t="n">
        <v>41507</v>
      </c>
      <c r="E4335" s="1" t="s">
        <v>763</v>
      </c>
      <c r="F4335" s="1" t="s">
        <v>711</v>
      </c>
      <c r="G4335" s="1" t="s">
        <v>712</v>
      </c>
      <c r="H4335" s="1" t="s">
        <v>713</v>
      </c>
      <c r="I4335" s="1" t="s">
        <v>714</v>
      </c>
      <c r="J4335" s="1" t="s">
        <v>15126</v>
      </c>
      <c r="K4335" s="1" t="s">
        <v>16954</v>
      </c>
      <c r="L4335" s="1" t="s">
        <v>16955</v>
      </c>
      <c r="M4335" s="1" t="s">
        <v>718</v>
      </c>
    </row>
    <row r="4336" customFormat="false" ht="15" hidden="false" customHeight="false" outlineLevel="0" collapsed="false">
      <c r="A4336" s="1" t="s">
        <v>121</v>
      </c>
      <c r="B4336" s="1" t="s">
        <v>16956</v>
      </c>
      <c r="C4336" s="1" t="s">
        <v>16957</v>
      </c>
      <c r="D4336" s="2" t="n">
        <v>41280</v>
      </c>
      <c r="E4336" s="1" t="s">
        <v>763</v>
      </c>
      <c r="F4336" s="1" t="s">
        <v>711</v>
      </c>
      <c r="G4336" s="1" t="s">
        <v>712</v>
      </c>
      <c r="H4336" s="1" t="s">
        <v>713</v>
      </c>
      <c r="I4336" s="1" t="s">
        <v>714</v>
      </c>
      <c r="J4336" s="1" t="s">
        <v>15131</v>
      </c>
      <c r="K4336" s="1" t="s">
        <v>16958</v>
      </c>
      <c r="L4336" s="1" t="s">
        <v>16959</v>
      </c>
      <c r="M4336" s="1" t="s">
        <v>718</v>
      </c>
    </row>
    <row r="4337" customFormat="false" ht="15" hidden="false" customHeight="false" outlineLevel="0" collapsed="false">
      <c r="A4337" s="1" t="s">
        <v>122</v>
      </c>
      <c r="B4337" s="1" t="s">
        <v>14299</v>
      </c>
      <c r="C4337" s="1" t="s">
        <v>16960</v>
      </c>
      <c r="D4337" s="2" t="n">
        <v>41380</v>
      </c>
      <c r="E4337" s="1" t="s">
        <v>763</v>
      </c>
      <c r="F4337" s="1" t="s">
        <v>711</v>
      </c>
      <c r="G4337" s="1" t="s">
        <v>712</v>
      </c>
      <c r="H4337" s="1" t="s">
        <v>713</v>
      </c>
      <c r="I4337" s="1" t="s">
        <v>714</v>
      </c>
      <c r="J4337" s="1" t="s">
        <v>16961</v>
      </c>
      <c r="K4337" s="1" t="s">
        <v>16962</v>
      </c>
      <c r="L4337" s="1" t="s">
        <v>16963</v>
      </c>
      <c r="M4337" s="1" t="s">
        <v>718</v>
      </c>
    </row>
    <row r="4338" customFormat="false" ht="15" hidden="false" customHeight="false" outlineLevel="0" collapsed="false">
      <c r="A4338" s="1" t="s">
        <v>112</v>
      </c>
      <c r="B4338" s="1" t="s">
        <v>4594</v>
      </c>
      <c r="C4338" s="1" t="s">
        <v>2632</v>
      </c>
      <c r="D4338" s="2" t="n">
        <v>41615</v>
      </c>
      <c r="E4338" s="1" t="s">
        <v>710</v>
      </c>
      <c r="F4338" s="1" t="s">
        <v>711</v>
      </c>
      <c r="G4338" s="1" t="s">
        <v>712</v>
      </c>
      <c r="H4338" s="1" t="s">
        <v>713</v>
      </c>
      <c r="I4338" s="1" t="s">
        <v>714</v>
      </c>
      <c r="J4338" s="1" t="s">
        <v>16961</v>
      </c>
      <c r="K4338" s="1" t="s">
        <v>16964</v>
      </c>
      <c r="L4338" s="1" t="s">
        <v>2656</v>
      </c>
      <c r="M4338" s="1" t="s">
        <v>718</v>
      </c>
    </row>
    <row r="4339" customFormat="false" ht="15" hidden="false" customHeight="false" outlineLevel="0" collapsed="false">
      <c r="A4339" s="1" t="s">
        <v>126</v>
      </c>
      <c r="B4339" s="1" t="s">
        <v>16965</v>
      </c>
      <c r="C4339" s="1" t="s">
        <v>14259</v>
      </c>
      <c r="D4339" s="2" t="n">
        <v>41674</v>
      </c>
      <c r="E4339" s="1" t="s">
        <v>763</v>
      </c>
      <c r="F4339" s="1" t="s">
        <v>711</v>
      </c>
      <c r="G4339" s="1" t="s">
        <v>722</v>
      </c>
      <c r="H4339" s="1" t="s">
        <v>713</v>
      </c>
      <c r="I4339" s="1" t="s">
        <v>714</v>
      </c>
      <c r="J4339" s="1" t="s">
        <v>13710</v>
      </c>
      <c r="K4339" s="1" t="s">
        <v>11345</v>
      </c>
      <c r="L4339" s="1" t="s">
        <v>14261</v>
      </c>
      <c r="M4339" s="1" t="s">
        <v>718</v>
      </c>
    </row>
    <row r="4340" customFormat="false" ht="15" hidden="false" customHeight="false" outlineLevel="0" collapsed="false">
      <c r="A4340" s="1" t="s">
        <v>114</v>
      </c>
      <c r="B4340" s="1" t="s">
        <v>16966</v>
      </c>
      <c r="C4340" s="1" t="s">
        <v>15515</v>
      </c>
      <c r="D4340" s="2" t="n">
        <v>41470</v>
      </c>
      <c r="E4340" s="1" t="s">
        <v>763</v>
      </c>
      <c r="F4340" s="1" t="s">
        <v>711</v>
      </c>
      <c r="G4340" s="1" t="s">
        <v>712</v>
      </c>
      <c r="H4340" s="1" t="s">
        <v>713</v>
      </c>
      <c r="I4340" s="1" t="s">
        <v>714</v>
      </c>
      <c r="J4340" s="1" t="s">
        <v>805</v>
      </c>
      <c r="K4340" s="1" t="s">
        <v>10321</v>
      </c>
      <c r="L4340" s="1" t="s">
        <v>14261</v>
      </c>
      <c r="M4340" s="1" t="s">
        <v>718</v>
      </c>
    </row>
    <row r="4341" customFormat="false" ht="15" hidden="false" customHeight="false" outlineLevel="0" collapsed="false">
      <c r="A4341" s="1" t="s">
        <v>106</v>
      </c>
      <c r="B4341" s="1" t="s">
        <v>16967</v>
      </c>
      <c r="C4341" s="1" t="s">
        <v>3354</v>
      </c>
      <c r="D4341" s="2" t="n">
        <v>41619</v>
      </c>
      <c r="E4341" s="1" t="s">
        <v>763</v>
      </c>
      <c r="F4341" s="1" t="s">
        <v>711</v>
      </c>
      <c r="G4341" s="1" t="s">
        <v>712</v>
      </c>
      <c r="H4341" s="1" t="s">
        <v>713</v>
      </c>
      <c r="I4341" s="1" t="s">
        <v>714</v>
      </c>
      <c r="J4341" s="1" t="s">
        <v>1055</v>
      </c>
      <c r="K4341" s="1" t="s">
        <v>16968</v>
      </c>
      <c r="L4341" s="1" t="s">
        <v>16969</v>
      </c>
      <c r="M4341" s="1" t="s">
        <v>718</v>
      </c>
    </row>
    <row r="4342" customFormat="false" ht="15" hidden="false" customHeight="false" outlineLevel="0" collapsed="false">
      <c r="A4342" s="1" t="s">
        <v>127</v>
      </c>
      <c r="B4342" s="1" t="s">
        <v>16970</v>
      </c>
      <c r="C4342" s="1" t="s">
        <v>13084</v>
      </c>
      <c r="D4342" s="2" t="n">
        <v>41976</v>
      </c>
      <c r="E4342" s="1" t="s">
        <v>763</v>
      </c>
      <c r="F4342" s="1" t="s">
        <v>711</v>
      </c>
      <c r="G4342" s="1" t="s">
        <v>1220</v>
      </c>
      <c r="H4342" s="1" t="s">
        <v>713</v>
      </c>
      <c r="I4342" s="1" t="s">
        <v>714</v>
      </c>
      <c r="J4342" s="1" t="s">
        <v>16971</v>
      </c>
      <c r="K4342" s="1" t="s">
        <v>16972</v>
      </c>
      <c r="L4342" s="1" t="s">
        <v>1944</v>
      </c>
      <c r="M4342" s="1" t="s">
        <v>718</v>
      </c>
    </row>
    <row r="4343" customFormat="false" ht="15" hidden="false" customHeight="false" outlineLevel="0" collapsed="false">
      <c r="A4343" s="1" t="s">
        <v>154</v>
      </c>
      <c r="B4343" s="1" t="s">
        <v>16973</v>
      </c>
      <c r="C4343" s="1" t="s">
        <v>14359</v>
      </c>
      <c r="D4343" s="2" t="n">
        <v>41499</v>
      </c>
      <c r="E4343" s="1" t="s">
        <v>763</v>
      </c>
      <c r="F4343" s="1" t="s">
        <v>711</v>
      </c>
      <c r="G4343" s="1" t="s">
        <v>712</v>
      </c>
      <c r="H4343" s="1" t="s">
        <v>713</v>
      </c>
      <c r="I4343" s="1" t="s">
        <v>714</v>
      </c>
      <c r="J4343" s="1" t="s">
        <v>10504</v>
      </c>
      <c r="K4343" s="1" t="s">
        <v>16974</v>
      </c>
      <c r="L4343" s="1" t="s">
        <v>14360</v>
      </c>
      <c r="M4343" s="1" t="s">
        <v>718</v>
      </c>
    </row>
    <row r="4344" customFormat="false" ht="15" hidden="false" customHeight="false" outlineLevel="0" collapsed="false">
      <c r="A4344" s="1" t="s">
        <v>153</v>
      </c>
      <c r="B4344" s="1" t="s">
        <v>16975</v>
      </c>
      <c r="C4344" s="1" t="s">
        <v>14937</v>
      </c>
      <c r="D4344" s="2" t="n">
        <v>41499</v>
      </c>
      <c r="E4344" s="1" t="s">
        <v>710</v>
      </c>
      <c r="F4344" s="1" t="s">
        <v>711</v>
      </c>
      <c r="G4344" s="1" t="s">
        <v>712</v>
      </c>
      <c r="H4344" s="1" t="s">
        <v>713</v>
      </c>
      <c r="I4344" s="1" t="s">
        <v>714</v>
      </c>
      <c r="J4344" s="1" t="s">
        <v>8879</v>
      </c>
      <c r="K4344" s="1" t="s">
        <v>16976</v>
      </c>
      <c r="L4344" s="1" t="s">
        <v>13258</v>
      </c>
      <c r="M4344" s="1" t="s">
        <v>718</v>
      </c>
    </row>
    <row r="4345" customFormat="false" ht="15" hidden="false" customHeight="false" outlineLevel="0" collapsed="false">
      <c r="A4345" s="1" t="s">
        <v>131</v>
      </c>
      <c r="B4345" s="1" t="s">
        <v>16977</v>
      </c>
      <c r="C4345" s="1" t="s">
        <v>16067</v>
      </c>
      <c r="D4345" s="2" t="n">
        <v>41393</v>
      </c>
      <c r="E4345" s="1" t="s">
        <v>763</v>
      </c>
      <c r="F4345" s="1" t="s">
        <v>711</v>
      </c>
      <c r="G4345" s="1" t="s">
        <v>712</v>
      </c>
      <c r="H4345" s="1" t="s">
        <v>713</v>
      </c>
      <c r="I4345" s="1" t="s">
        <v>714</v>
      </c>
      <c r="J4345" s="1" t="s">
        <v>16660</v>
      </c>
      <c r="K4345" s="1" t="s">
        <v>16978</v>
      </c>
      <c r="L4345" s="1" t="s">
        <v>16069</v>
      </c>
      <c r="M4345" s="1" t="s">
        <v>718</v>
      </c>
    </row>
    <row r="4346" customFormat="false" ht="15" hidden="false" customHeight="false" outlineLevel="0" collapsed="false">
      <c r="A4346" s="1" t="s">
        <v>141</v>
      </c>
      <c r="B4346" s="1" t="s">
        <v>16979</v>
      </c>
      <c r="C4346" s="1" t="s">
        <v>9693</v>
      </c>
      <c r="D4346" s="2" t="n">
        <v>41612</v>
      </c>
      <c r="E4346" s="1" t="s">
        <v>763</v>
      </c>
      <c r="F4346" s="1" t="s">
        <v>711</v>
      </c>
      <c r="G4346" s="1" t="s">
        <v>722</v>
      </c>
      <c r="H4346" s="1" t="s">
        <v>713</v>
      </c>
      <c r="I4346" s="1" t="s">
        <v>714</v>
      </c>
      <c r="J4346" s="1" t="s">
        <v>13628</v>
      </c>
      <c r="K4346" s="1" t="s">
        <v>16978</v>
      </c>
      <c r="L4346" s="1" t="s">
        <v>16069</v>
      </c>
      <c r="M4346" s="1" t="s">
        <v>718</v>
      </c>
    </row>
    <row r="4347" customFormat="false" ht="15" hidden="false" customHeight="false" outlineLevel="0" collapsed="false">
      <c r="A4347" s="1" t="s">
        <v>88</v>
      </c>
      <c r="B4347" s="1" t="s">
        <v>16980</v>
      </c>
      <c r="C4347" s="1" t="s">
        <v>1610</v>
      </c>
      <c r="D4347" s="2" t="n">
        <v>42050</v>
      </c>
      <c r="E4347" s="1" t="s">
        <v>763</v>
      </c>
      <c r="F4347" s="1" t="s">
        <v>711</v>
      </c>
      <c r="G4347" s="1" t="s">
        <v>712</v>
      </c>
      <c r="H4347" s="1" t="s">
        <v>713</v>
      </c>
      <c r="I4347" s="1" t="s">
        <v>714</v>
      </c>
      <c r="J4347" s="1" t="s">
        <v>8293</v>
      </c>
      <c r="K4347" s="1" t="s">
        <v>16981</v>
      </c>
      <c r="L4347" s="1" t="s">
        <v>16982</v>
      </c>
      <c r="M4347" s="1" t="s">
        <v>718</v>
      </c>
    </row>
    <row r="4348" customFormat="false" ht="15" hidden="false" customHeight="false" outlineLevel="0" collapsed="false">
      <c r="A4348" s="1" t="s">
        <v>130</v>
      </c>
      <c r="B4348" s="1" t="s">
        <v>4294</v>
      </c>
      <c r="C4348" s="1" t="s">
        <v>16983</v>
      </c>
      <c r="D4348" s="2" t="n">
        <v>40785</v>
      </c>
      <c r="E4348" s="1" t="s">
        <v>710</v>
      </c>
      <c r="F4348" s="1" t="s">
        <v>711</v>
      </c>
      <c r="G4348" s="1" t="s">
        <v>712</v>
      </c>
      <c r="H4348" s="1" t="s">
        <v>713</v>
      </c>
      <c r="I4348" s="1" t="s">
        <v>714</v>
      </c>
      <c r="J4348" s="1" t="s">
        <v>8314</v>
      </c>
      <c r="K4348" s="1" t="s">
        <v>16974</v>
      </c>
      <c r="L4348" s="1" t="s">
        <v>11230</v>
      </c>
      <c r="M4348" s="1" t="s">
        <v>718</v>
      </c>
    </row>
    <row r="4349" customFormat="false" ht="15" hidden="false" customHeight="false" outlineLevel="0" collapsed="false">
      <c r="A4349" s="1" t="s">
        <v>145</v>
      </c>
      <c r="B4349" s="1" t="s">
        <v>16984</v>
      </c>
      <c r="C4349" s="1" t="s">
        <v>16985</v>
      </c>
      <c r="D4349" s="2" t="n">
        <v>41418</v>
      </c>
      <c r="E4349" s="1" t="s">
        <v>763</v>
      </c>
      <c r="F4349" s="1" t="s">
        <v>711</v>
      </c>
      <c r="G4349" s="1" t="s">
        <v>712</v>
      </c>
      <c r="H4349" s="1" t="s">
        <v>713</v>
      </c>
      <c r="I4349" s="1" t="s">
        <v>714</v>
      </c>
      <c r="J4349" s="1" t="s">
        <v>16986</v>
      </c>
      <c r="K4349" s="1" t="s">
        <v>16987</v>
      </c>
      <c r="L4349" s="1" t="s">
        <v>16988</v>
      </c>
      <c r="M4349" s="1" t="s">
        <v>718</v>
      </c>
    </row>
    <row r="4350" customFormat="false" ht="15" hidden="false" customHeight="false" outlineLevel="0" collapsed="false">
      <c r="A4350" s="1" t="s">
        <v>147</v>
      </c>
      <c r="B4350" s="1" t="s">
        <v>16989</v>
      </c>
      <c r="C4350" s="1" t="s">
        <v>16990</v>
      </c>
      <c r="D4350" s="2" t="n">
        <v>40163</v>
      </c>
      <c r="E4350" s="1" t="s">
        <v>763</v>
      </c>
      <c r="F4350" s="1" t="s">
        <v>711</v>
      </c>
      <c r="G4350" s="1" t="s">
        <v>712</v>
      </c>
      <c r="H4350" s="1" t="s">
        <v>713</v>
      </c>
      <c r="I4350" s="1" t="s">
        <v>714</v>
      </c>
      <c r="J4350" s="1" t="s">
        <v>13628</v>
      </c>
      <c r="K4350" s="1" t="s">
        <v>16991</v>
      </c>
      <c r="L4350" s="1" t="s">
        <v>16992</v>
      </c>
      <c r="M4350" s="1" t="s">
        <v>718</v>
      </c>
    </row>
    <row r="4351" customFormat="false" ht="15" hidden="false" customHeight="false" outlineLevel="0" collapsed="false">
      <c r="A4351" s="1" t="s">
        <v>171</v>
      </c>
      <c r="B4351" s="1" t="s">
        <v>16993</v>
      </c>
      <c r="C4351" s="1" t="s">
        <v>2558</v>
      </c>
      <c r="D4351" s="2" t="n">
        <v>40814</v>
      </c>
      <c r="E4351" s="1" t="s">
        <v>763</v>
      </c>
      <c r="F4351" s="1" t="s">
        <v>711</v>
      </c>
      <c r="G4351" s="1" t="s">
        <v>775</v>
      </c>
      <c r="H4351" s="1" t="s">
        <v>713</v>
      </c>
      <c r="I4351" s="1" t="s">
        <v>714</v>
      </c>
      <c r="J4351" s="1" t="s">
        <v>14873</v>
      </c>
      <c r="K4351" s="1" t="s">
        <v>16994</v>
      </c>
      <c r="L4351" s="1" t="s">
        <v>16995</v>
      </c>
      <c r="M4351" s="1" t="s">
        <v>718</v>
      </c>
    </row>
    <row r="4352" customFormat="false" ht="15" hidden="false" customHeight="false" outlineLevel="0" collapsed="false">
      <c r="A4352" s="1" t="s">
        <v>158</v>
      </c>
      <c r="B4352" s="1" t="s">
        <v>16595</v>
      </c>
      <c r="C4352" s="1" t="s">
        <v>16996</v>
      </c>
      <c r="D4352" s="2" t="n">
        <v>41830</v>
      </c>
      <c r="E4352" s="1" t="s">
        <v>710</v>
      </c>
      <c r="F4352" s="1" t="s">
        <v>711</v>
      </c>
      <c r="G4352" s="1" t="s">
        <v>712</v>
      </c>
      <c r="H4352" s="1" t="s">
        <v>713</v>
      </c>
      <c r="I4352" s="1" t="s">
        <v>714</v>
      </c>
      <c r="J4352" s="1" t="s">
        <v>8879</v>
      </c>
      <c r="K4352" s="1" t="s">
        <v>16997</v>
      </c>
      <c r="L4352" s="1" t="s">
        <v>16998</v>
      </c>
      <c r="M4352" s="1" t="s">
        <v>718</v>
      </c>
    </row>
    <row r="4353" customFormat="false" ht="15" hidden="false" customHeight="false" outlineLevel="0" collapsed="false">
      <c r="A4353" s="1" t="s">
        <v>152</v>
      </c>
      <c r="B4353" s="1" t="s">
        <v>12000</v>
      </c>
      <c r="C4353" s="1" t="s">
        <v>12681</v>
      </c>
      <c r="D4353" s="2" t="n">
        <v>41339</v>
      </c>
      <c r="E4353" s="1" t="s">
        <v>710</v>
      </c>
      <c r="F4353" s="1" t="s">
        <v>711</v>
      </c>
      <c r="G4353" s="1" t="s">
        <v>712</v>
      </c>
      <c r="H4353" s="1" t="s">
        <v>713</v>
      </c>
      <c r="I4353" s="1" t="s">
        <v>714</v>
      </c>
      <c r="J4353" s="1" t="s">
        <v>8366</v>
      </c>
      <c r="K4353" s="1" t="s">
        <v>16999</v>
      </c>
      <c r="L4353" s="1" t="s">
        <v>12683</v>
      </c>
      <c r="M4353" s="1" t="s">
        <v>718</v>
      </c>
    </row>
    <row r="4354" customFormat="false" ht="15" hidden="false" customHeight="false" outlineLevel="0" collapsed="false">
      <c r="A4354" s="1" t="s">
        <v>107</v>
      </c>
      <c r="B4354" s="1" t="s">
        <v>17000</v>
      </c>
      <c r="C4354" s="1" t="s">
        <v>17001</v>
      </c>
      <c r="D4354" s="2" t="n">
        <v>41159</v>
      </c>
      <c r="E4354" s="1" t="s">
        <v>763</v>
      </c>
      <c r="F4354" s="1" t="s">
        <v>711</v>
      </c>
      <c r="G4354" s="1" t="s">
        <v>712</v>
      </c>
      <c r="H4354" s="1" t="s">
        <v>713</v>
      </c>
      <c r="I4354" s="1" t="s">
        <v>714</v>
      </c>
      <c r="J4354" s="1" t="s">
        <v>1584</v>
      </c>
      <c r="K4354" s="1" t="s">
        <v>17002</v>
      </c>
      <c r="L4354" s="1" t="s">
        <v>11230</v>
      </c>
      <c r="M4354" s="1" t="s">
        <v>718</v>
      </c>
    </row>
    <row r="4355" customFormat="false" ht="15" hidden="false" customHeight="false" outlineLevel="0" collapsed="false">
      <c r="A4355" s="1" t="s">
        <v>105</v>
      </c>
      <c r="B4355" s="1" t="s">
        <v>17003</v>
      </c>
      <c r="C4355" s="1" t="s">
        <v>3656</v>
      </c>
      <c r="D4355" s="2" t="n">
        <v>42034</v>
      </c>
      <c r="E4355" s="1" t="s">
        <v>763</v>
      </c>
      <c r="F4355" s="1" t="s">
        <v>711</v>
      </c>
      <c r="G4355" s="1" t="s">
        <v>712</v>
      </c>
      <c r="H4355" s="1" t="s">
        <v>713</v>
      </c>
      <c r="I4355" s="1" t="s">
        <v>714</v>
      </c>
      <c r="J4355" s="1" t="s">
        <v>1244</v>
      </c>
      <c r="K4355" s="1" t="s">
        <v>14479</v>
      </c>
      <c r="L4355" s="1" t="s">
        <v>14480</v>
      </c>
      <c r="M4355" s="1" t="s">
        <v>718</v>
      </c>
    </row>
    <row r="4356" customFormat="false" ht="15" hidden="false" customHeight="false" outlineLevel="0" collapsed="false">
      <c r="A4356" s="1" t="s">
        <v>103</v>
      </c>
      <c r="B4356" s="1" t="s">
        <v>17004</v>
      </c>
      <c r="C4356" s="1" t="s">
        <v>17005</v>
      </c>
      <c r="D4356" s="2" t="n">
        <v>41693</v>
      </c>
      <c r="E4356" s="1" t="s">
        <v>710</v>
      </c>
      <c r="F4356" s="1" t="s">
        <v>711</v>
      </c>
      <c r="G4356" s="1" t="s">
        <v>712</v>
      </c>
      <c r="H4356" s="1" t="s">
        <v>713</v>
      </c>
      <c r="I4356" s="1" t="s">
        <v>714</v>
      </c>
      <c r="J4356" s="1" t="s">
        <v>805</v>
      </c>
      <c r="K4356" s="1" t="s">
        <v>17006</v>
      </c>
      <c r="L4356" s="1" t="s">
        <v>17007</v>
      </c>
      <c r="M4356" s="1" t="s">
        <v>718</v>
      </c>
    </row>
    <row r="4357" customFormat="false" ht="15" hidden="false" customHeight="false" outlineLevel="0" collapsed="false">
      <c r="A4357" s="1" t="s">
        <v>104</v>
      </c>
      <c r="B4357" s="1" t="s">
        <v>17008</v>
      </c>
      <c r="C4357" s="1" t="s">
        <v>17005</v>
      </c>
      <c r="D4357" s="2" t="n">
        <v>41693</v>
      </c>
      <c r="E4357" s="1" t="s">
        <v>763</v>
      </c>
      <c r="F4357" s="1" t="s">
        <v>711</v>
      </c>
      <c r="G4357" s="1" t="s">
        <v>712</v>
      </c>
      <c r="H4357" s="1" t="s">
        <v>713</v>
      </c>
      <c r="I4357" s="1" t="s">
        <v>714</v>
      </c>
      <c r="J4357" s="1" t="s">
        <v>805</v>
      </c>
      <c r="K4357" s="1" t="s">
        <v>17006</v>
      </c>
      <c r="L4357" s="1" t="s">
        <v>17007</v>
      </c>
      <c r="M4357" s="1" t="s">
        <v>718</v>
      </c>
    </row>
    <row r="4358" customFormat="false" ht="15" hidden="false" customHeight="false" outlineLevel="0" collapsed="false">
      <c r="A4358" s="1" t="s">
        <v>99</v>
      </c>
      <c r="B4358" s="1" t="s">
        <v>17009</v>
      </c>
      <c r="C4358" s="1" t="s">
        <v>7960</v>
      </c>
      <c r="D4358" s="2" t="n">
        <v>41298</v>
      </c>
      <c r="E4358" s="1" t="s">
        <v>763</v>
      </c>
      <c r="F4358" s="1" t="s">
        <v>711</v>
      </c>
      <c r="G4358" s="1" t="s">
        <v>712</v>
      </c>
      <c r="H4358" s="1" t="s">
        <v>713</v>
      </c>
      <c r="I4358" s="1" t="s">
        <v>714</v>
      </c>
      <c r="J4358" s="1" t="s">
        <v>805</v>
      </c>
      <c r="K4358" s="1" t="s">
        <v>17010</v>
      </c>
      <c r="L4358" s="1" t="s">
        <v>14114</v>
      </c>
      <c r="M4358" s="1" t="s">
        <v>718</v>
      </c>
    </row>
    <row r="4359" customFormat="false" ht="15" hidden="false" customHeight="false" outlineLevel="0" collapsed="false">
      <c r="A4359" s="1" t="s">
        <v>119</v>
      </c>
      <c r="B4359" s="1" t="s">
        <v>17011</v>
      </c>
      <c r="C4359" s="1" t="s">
        <v>14112</v>
      </c>
      <c r="D4359" s="2" t="n">
        <v>41609</v>
      </c>
      <c r="E4359" s="1" t="s">
        <v>710</v>
      </c>
      <c r="F4359" s="1" t="s">
        <v>711</v>
      </c>
      <c r="G4359" s="1" t="s">
        <v>722</v>
      </c>
      <c r="H4359" s="1" t="s">
        <v>713</v>
      </c>
      <c r="I4359" s="1" t="s">
        <v>714</v>
      </c>
      <c r="J4359" s="1" t="s">
        <v>1723</v>
      </c>
      <c r="K4359" s="1" t="s">
        <v>17010</v>
      </c>
      <c r="L4359" s="1" t="s">
        <v>14114</v>
      </c>
      <c r="M4359" s="1" t="s">
        <v>718</v>
      </c>
    </row>
    <row r="4360" customFormat="false" ht="15" hidden="false" customHeight="false" outlineLevel="0" collapsed="false">
      <c r="A4360" s="1" t="s">
        <v>113</v>
      </c>
      <c r="B4360" s="1" t="s">
        <v>17012</v>
      </c>
      <c r="C4360" s="1" t="s">
        <v>12806</v>
      </c>
      <c r="D4360" s="2" t="n">
        <v>41498</v>
      </c>
      <c r="E4360" s="1" t="s">
        <v>763</v>
      </c>
      <c r="F4360" s="1" t="s">
        <v>711</v>
      </c>
      <c r="G4360" s="1" t="s">
        <v>722</v>
      </c>
      <c r="H4360" s="1" t="s">
        <v>713</v>
      </c>
      <c r="I4360" s="1" t="s">
        <v>714</v>
      </c>
      <c r="J4360" s="1" t="s">
        <v>16932</v>
      </c>
      <c r="K4360" s="1" t="s">
        <v>17013</v>
      </c>
      <c r="L4360" s="1" t="s">
        <v>12808</v>
      </c>
      <c r="M4360" s="1" t="s">
        <v>718</v>
      </c>
    </row>
    <row r="4361" customFormat="false" ht="15" hidden="false" customHeight="false" outlineLevel="0" collapsed="false">
      <c r="A4361" s="1" t="s">
        <v>101</v>
      </c>
      <c r="B4361" s="1" t="s">
        <v>17014</v>
      </c>
      <c r="C4361" s="1" t="s">
        <v>6596</v>
      </c>
      <c r="D4361" s="2" t="n">
        <v>41449</v>
      </c>
      <c r="E4361" s="1" t="s">
        <v>763</v>
      </c>
      <c r="F4361" s="1" t="s">
        <v>711</v>
      </c>
      <c r="G4361" s="1" t="s">
        <v>712</v>
      </c>
      <c r="H4361" s="1" t="s">
        <v>713</v>
      </c>
      <c r="I4361" s="1" t="s">
        <v>714</v>
      </c>
      <c r="J4361" s="1" t="s">
        <v>1584</v>
      </c>
      <c r="K4361" s="1" t="s">
        <v>17015</v>
      </c>
      <c r="L4361" s="1" t="s">
        <v>13754</v>
      </c>
      <c r="M4361" s="1" t="s">
        <v>718</v>
      </c>
    </row>
    <row r="4362" customFormat="false" ht="15" hidden="false" customHeight="false" outlineLevel="0" collapsed="false">
      <c r="A4362" s="1" t="s">
        <v>110</v>
      </c>
      <c r="B4362" s="1" t="s">
        <v>17016</v>
      </c>
      <c r="C4362" s="1" t="s">
        <v>17017</v>
      </c>
      <c r="D4362" s="2" t="n">
        <v>41224</v>
      </c>
      <c r="E4362" s="1" t="s">
        <v>763</v>
      </c>
      <c r="F4362" s="1" t="s">
        <v>711</v>
      </c>
      <c r="G4362" s="1" t="s">
        <v>712</v>
      </c>
      <c r="H4362" s="1" t="s">
        <v>713</v>
      </c>
      <c r="I4362" s="1" t="s">
        <v>714</v>
      </c>
      <c r="J4362" s="1" t="s">
        <v>805</v>
      </c>
      <c r="K4362" s="1" t="s">
        <v>17018</v>
      </c>
      <c r="L4362" s="1" t="s">
        <v>17019</v>
      </c>
      <c r="M4362" s="1" t="s">
        <v>718</v>
      </c>
    </row>
    <row r="4363" customFormat="false" ht="15" hidden="false" customHeight="false" outlineLevel="0" collapsed="false">
      <c r="A4363" s="1" t="s">
        <v>93</v>
      </c>
      <c r="B4363" s="1" t="s">
        <v>16622</v>
      </c>
      <c r="C4363" s="1" t="s">
        <v>17020</v>
      </c>
      <c r="D4363" s="2" t="n">
        <v>41453</v>
      </c>
      <c r="E4363" s="1" t="s">
        <v>763</v>
      </c>
      <c r="F4363" s="1" t="s">
        <v>711</v>
      </c>
      <c r="G4363" s="1" t="s">
        <v>712</v>
      </c>
      <c r="H4363" s="1" t="s">
        <v>713</v>
      </c>
      <c r="I4363" s="1" t="s">
        <v>714</v>
      </c>
      <c r="J4363" s="1" t="s">
        <v>928</v>
      </c>
      <c r="K4363" s="1" t="s">
        <v>17021</v>
      </c>
      <c r="L4363" s="1" t="s">
        <v>7130</v>
      </c>
      <c r="M4363" s="1" t="s">
        <v>718</v>
      </c>
    </row>
    <row r="4364" customFormat="false" ht="15" hidden="false" customHeight="false" outlineLevel="0" collapsed="false">
      <c r="A4364" s="1" t="s">
        <v>117</v>
      </c>
      <c r="B4364" s="1" t="s">
        <v>16332</v>
      </c>
      <c r="C4364" s="1" t="s">
        <v>750</v>
      </c>
      <c r="D4364" s="2" t="n">
        <v>41317</v>
      </c>
      <c r="E4364" s="1" t="s">
        <v>763</v>
      </c>
      <c r="F4364" s="1" t="s">
        <v>711</v>
      </c>
      <c r="G4364" s="1" t="s">
        <v>722</v>
      </c>
      <c r="H4364" s="1" t="s">
        <v>713</v>
      </c>
      <c r="I4364" s="1" t="s">
        <v>714</v>
      </c>
      <c r="J4364" s="1" t="s">
        <v>6242</v>
      </c>
      <c r="K4364" s="1" t="s">
        <v>17022</v>
      </c>
      <c r="L4364" s="1" t="s">
        <v>15525</v>
      </c>
      <c r="M4364" s="1" t="s">
        <v>718</v>
      </c>
    </row>
    <row r="4365" customFormat="false" ht="15" hidden="false" customHeight="false" outlineLevel="0" collapsed="false">
      <c r="A4365" s="1" t="s">
        <v>17023</v>
      </c>
      <c r="B4365" s="1" t="s">
        <v>17024</v>
      </c>
      <c r="C4365" s="1" t="s">
        <v>5835</v>
      </c>
      <c r="D4365" s="2" t="n">
        <v>29480</v>
      </c>
      <c r="E4365" s="1" t="s">
        <v>763</v>
      </c>
      <c r="F4365" s="1" t="s">
        <v>711</v>
      </c>
      <c r="G4365" s="1" t="s">
        <v>712</v>
      </c>
      <c r="H4365" s="1" t="s">
        <v>713</v>
      </c>
      <c r="I4365" s="1" t="s">
        <v>714</v>
      </c>
      <c r="J4365" s="1" t="s">
        <v>10321</v>
      </c>
      <c r="K4365" s="1" t="s">
        <v>10321</v>
      </c>
      <c r="L4365" s="1" t="s">
        <v>1418</v>
      </c>
      <c r="M4365" s="1" t="s">
        <v>718</v>
      </c>
    </row>
    <row r="4366" customFormat="false" ht="15" hidden="false" customHeight="false" outlineLevel="0" collapsed="false">
      <c r="A4366" s="1" t="s">
        <v>17025</v>
      </c>
      <c r="B4366" s="1" t="s">
        <v>17026</v>
      </c>
      <c r="C4366" s="1" t="s">
        <v>5933</v>
      </c>
      <c r="D4366" s="2" t="n">
        <v>34254</v>
      </c>
      <c r="E4366" s="1" t="s">
        <v>763</v>
      </c>
      <c r="F4366" s="1" t="s">
        <v>711</v>
      </c>
      <c r="G4366" s="1" t="s">
        <v>712</v>
      </c>
      <c r="H4366" s="1" t="s">
        <v>713</v>
      </c>
      <c r="I4366" s="1" t="s">
        <v>714</v>
      </c>
      <c r="J4366" s="1" t="s">
        <v>10321</v>
      </c>
      <c r="K4366" s="1" t="s">
        <v>10321</v>
      </c>
      <c r="L4366" s="1" t="s">
        <v>1418</v>
      </c>
      <c r="M4366" s="1" t="s">
        <v>718</v>
      </c>
    </row>
    <row r="4367" customFormat="false" ht="15" hidden="false" customHeight="false" outlineLevel="0" collapsed="false">
      <c r="A4367" s="1" t="s">
        <v>159</v>
      </c>
      <c r="B4367" s="1" t="s">
        <v>17027</v>
      </c>
      <c r="C4367" s="1" t="s">
        <v>17028</v>
      </c>
      <c r="D4367" s="2" t="n">
        <v>42083</v>
      </c>
      <c r="E4367" s="1" t="s">
        <v>763</v>
      </c>
      <c r="F4367" s="1" t="s">
        <v>711</v>
      </c>
      <c r="G4367" s="1" t="s">
        <v>712</v>
      </c>
      <c r="H4367" s="1" t="s">
        <v>713</v>
      </c>
      <c r="I4367" s="1" t="s">
        <v>714</v>
      </c>
      <c r="J4367" s="1" t="s">
        <v>8301</v>
      </c>
      <c r="K4367" s="1" t="s">
        <v>17029</v>
      </c>
      <c r="L4367" s="1" t="s">
        <v>17030</v>
      </c>
      <c r="M4367" s="1" t="s">
        <v>718</v>
      </c>
    </row>
    <row r="4368" customFormat="false" ht="15" hidden="false" customHeight="false" outlineLevel="0" collapsed="false">
      <c r="A4368" s="1" t="s">
        <v>133</v>
      </c>
      <c r="B4368" s="1" t="s">
        <v>17031</v>
      </c>
      <c r="C4368" s="1" t="s">
        <v>16454</v>
      </c>
      <c r="D4368" s="2" t="n">
        <v>41519</v>
      </c>
      <c r="E4368" s="1" t="s">
        <v>763</v>
      </c>
      <c r="F4368" s="1" t="s">
        <v>711</v>
      </c>
      <c r="G4368" s="1" t="s">
        <v>712</v>
      </c>
      <c r="H4368" s="1" t="s">
        <v>713</v>
      </c>
      <c r="I4368" s="1" t="s">
        <v>714</v>
      </c>
      <c r="J4368" s="1" t="s">
        <v>8314</v>
      </c>
      <c r="K4368" s="1" t="s">
        <v>17032</v>
      </c>
      <c r="L4368" s="1" t="s">
        <v>16456</v>
      </c>
      <c r="M4368" s="1" t="s">
        <v>718</v>
      </c>
    </row>
    <row r="4369" customFormat="false" ht="15" hidden="false" customHeight="false" outlineLevel="0" collapsed="false">
      <c r="A4369" s="1" t="s">
        <v>91</v>
      </c>
      <c r="B4369" s="1" t="s">
        <v>17033</v>
      </c>
      <c r="C4369" s="1" t="s">
        <v>12762</v>
      </c>
      <c r="D4369" s="2" t="n">
        <v>40843</v>
      </c>
      <c r="E4369" s="1" t="s">
        <v>763</v>
      </c>
      <c r="F4369" s="1" t="s">
        <v>711</v>
      </c>
      <c r="G4369" s="1" t="s">
        <v>712</v>
      </c>
      <c r="H4369" s="1" t="s">
        <v>713</v>
      </c>
      <c r="I4369" s="1" t="s">
        <v>714</v>
      </c>
      <c r="J4369" s="1" t="s">
        <v>1530</v>
      </c>
      <c r="K4369" s="1" t="s">
        <v>17034</v>
      </c>
      <c r="L4369" s="1" t="s">
        <v>12764</v>
      </c>
      <c r="M4369" s="1" t="s">
        <v>718</v>
      </c>
    </row>
    <row r="4370" customFormat="false" ht="15" hidden="false" customHeight="false" outlineLevel="0" collapsed="false">
      <c r="A4370" s="1" t="s">
        <v>94</v>
      </c>
      <c r="B4370" s="1" t="s">
        <v>17035</v>
      </c>
      <c r="C4370" s="1" t="s">
        <v>17036</v>
      </c>
      <c r="D4370" s="2" t="n">
        <v>41424</v>
      </c>
      <c r="E4370" s="1" t="s">
        <v>763</v>
      </c>
      <c r="F4370" s="1" t="s">
        <v>711</v>
      </c>
      <c r="G4370" s="1" t="s">
        <v>712</v>
      </c>
      <c r="H4370" s="1" t="s">
        <v>713</v>
      </c>
      <c r="I4370" s="1" t="s">
        <v>714</v>
      </c>
      <c r="J4370" s="1" t="s">
        <v>17037</v>
      </c>
      <c r="K4370" s="1" t="s">
        <v>10321</v>
      </c>
      <c r="L4370" s="1" t="s">
        <v>17038</v>
      </c>
      <c r="M4370" s="1" t="s">
        <v>718</v>
      </c>
    </row>
    <row r="4371" customFormat="false" ht="15" hidden="false" customHeight="false" outlineLevel="0" collapsed="false">
      <c r="A4371" s="1" t="s">
        <v>100</v>
      </c>
      <c r="B4371" s="1" t="s">
        <v>17039</v>
      </c>
      <c r="C4371" s="1" t="s">
        <v>1772</v>
      </c>
      <c r="D4371" s="2" t="n">
        <v>41277</v>
      </c>
      <c r="E4371" s="1" t="s">
        <v>710</v>
      </c>
      <c r="F4371" s="1" t="s">
        <v>711</v>
      </c>
      <c r="G4371" s="1" t="s">
        <v>722</v>
      </c>
      <c r="H4371" s="1" t="s">
        <v>713</v>
      </c>
      <c r="I4371" s="1" t="s">
        <v>714</v>
      </c>
      <c r="J4371" s="1" t="s">
        <v>8314</v>
      </c>
      <c r="K4371" s="1" t="s">
        <v>16016</v>
      </c>
      <c r="L4371" s="1" t="s">
        <v>17040</v>
      </c>
      <c r="M4371" s="1" t="s">
        <v>718</v>
      </c>
    </row>
    <row r="4372" customFormat="false" ht="15" hidden="false" customHeight="false" outlineLevel="0" collapsed="false">
      <c r="A4372" s="1" t="s">
        <v>115</v>
      </c>
      <c r="B4372" s="1" t="s">
        <v>17041</v>
      </c>
      <c r="C4372" s="1" t="s">
        <v>17042</v>
      </c>
      <c r="D4372" s="2" t="n">
        <v>41375</v>
      </c>
      <c r="E4372" s="1" t="s">
        <v>763</v>
      </c>
      <c r="F4372" s="1" t="s">
        <v>711</v>
      </c>
      <c r="G4372" s="1" t="s">
        <v>712</v>
      </c>
      <c r="H4372" s="1" t="s">
        <v>713</v>
      </c>
      <c r="I4372" s="1" t="s">
        <v>714</v>
      </c>
      <c r="J4372" s="1" t="s">
        <v>16961</v>
      </c>
      <c r="K4372" s="1" t="s">
        <v>16042</v>
      </c>
      <c r="L4372" s="1" t="s">
        <v>17043</v>
      </c>
      <c r="M4372" s="1" t="s">
        <v>718</v>
      </c>
    </row>
    <row r="4373" customFormat="false" ht="15" hidden="false" customHeight="false" outlineLevel="0" collapsed="false">
      <c r="A4373" s="1" t="s">
        <v>123</v>
      </c>
      <c r="B4373" s="1" t="s">
        <v>17044</v>
      </c>
      <c r="C4373" s="1" t="s">
        <v>17045</v>
      </c>
      <c r="D4373" s="2" t="n">
        <v>41461</v>
      </c>
      <c r="E4373" s="1" t="s">
        <v>763</v>
      </c>
      <c r="F4373" s="1" t="s">
        <v>711</v>
      </c>
      <c r="G4373" s="1" t="s">
        <v>712</v>
      </c>
      <c r="H4373" s="1" t="s">
        <v>713</v>
      </c>
      <c r="I4373" s="1" t="s">
        <v>714</v>
      </c>
      <c r="J4373" s="1" t="s">
        <v>16961</v>
      </c>
      <c r="K4373" s="1" t="s">
        <v>17046</v>
      </c>
      <c r="L4373" s="1" t="s">
        <v>17047</v>
      </c>
      <c r="M4373" s="1" t="s">
        <v>718</v>
      </c>
    </row>
    <row r="4374" customFormat="false" ht="15" hidden="false" customHeight="false" outlineLevel="0" collapsed="false">
      <c r="A4374" s="1" t="s">
        <v>116</v>
      </c>
      <c r="B4374" s="1" t="s">
        <v>17048</v>
      </c>
      <c r="C4374" s="1" t="s">
        <v>17049</v>
      </c>
      <c r="D4374" s="2" t="n">
        <v>41309</v>
      </c>
      <c r="E4374" s="1" t="s">
        <v>763</v>
      </c>
      <c r="F4374" s="1" t="s">
        <v>711</v>
      </c>
      <c r="G4374" s="1" t="s">
        <v>712</v>
      </c>
      <c r="H4374" s="1" t="s">
        <v>713</v>
      </c>
      <c r="I4374" s="1" t="s">
        <v>714</v>
      </c>
      <c r="J4374" s="1" t="s">
        <v>1723</v>
      </c>
      <c r="K4374" s="1" t="s">
        <v>17050</v>
      </c>
      <c r="L4374" s="1" t="s">
        <v>17051</v>
      </c>
      <c r="M4374" s="1" t="s">
        <v>718</v>
      </c>
    </row>
    <row r="4375" customFormat="false" ht="15" hidden="false" customHeight="false" outlineLevel="0" collapsed="false">
      <c r="A4375" s="1" t="s">
        <v>95</v>
      </c>
      <c r="B4375" s="1" t="s">
        <v>16595</v>
      </c>
      <c r="C4375" s="1" t="s">
        <v>2509</v>
      </c>
      <c r="D4375" s="2" t="n">
        <v>41277</v>
      </c>
      <c r="E4375" s="1" t="s">
        <v>710</v>
      </c>
      <c r="F4375" s="1" t="s">
        <v>711</v>
      </c>
      <c r="G4375" s="1" t="s">
        <v>712</v>
      </c>
      <c r="H4375" s="1" t="s">
        <v>713</v>
      </c>
      <c r="I4375" s="1" t="s">
        <v>714</v>
      </c>
      <c r="J4375" s="1" t="s">
        <v>928</v>
      </c>
      <c r="K4375" s="1" t="s">
        <v>17052</v>
      </c>
      <c r="L4375" s="1" t="s">
        <v>2511</v>
      </c>
      <c r="M4375" s="1" t="s">
        <v>718</v>
      </c>
    </row>
    <row r="4376" customFormat="false" ht="15" hidden="false" customHeight="false" outlineLevel="0" collapsed="false">
      <c r="A4376" s="1" t="s">
        <v>124</v>
      </c>
      <c r="B4376" s="1" t="s">
        <v>17053</v>
      </c>
      <c r="C4376" s="1" t="s">
        <v>9151</v>
      </c>
      <c r="D4376" s="2" t="n">
        <v>41709</v>
      </c>
      <c r="E4376" s="1" t="s">
        <v>763</v>
      </c>
      <c r="F4376" s="1" t="s">
        <v>711</v>
      </c>
      <c r="G4376" s="1" t="s">
        <v>712</v>
      </c>
      <c r="H4376" s="1" t="s">
        <v>713</v>
      </c>
      <c r="I4376" s="1" t="s">
        <v>714</v>
      </c>
      <c r="J4376" s="1" t="s">
        <v>1172</v>
      </c>
      <c r="K4376" s="1" t="s">
        <v>10321</v>
      </c>
      <c r="L4376" s="1" t="s">
        <v>17054</v>
      </c>
      <c r="M4376" s="1" t="s">
        <v>718</v>
      </c>
    </row>
    <row r="4377" customFormat="false" ht="15" hidden="false" customHeight="false" outlineLevel="0" collapsed="false">
      <c r="A4377" s="1" t="s">
        <v>90</v>
      </c>
      <c r="B4377" s="1" t="s">
        <v>10822</v>
      </c>
      <c r="C4377" s="1" t="s">
        <v>17055</v>
      </c>
      <c r="D4377" s="2" t="n">
        <v>41327</v>
      </c>
      <c r="E4377" s="1" t="s">
        <v>710</v>
      </c>
      <c r="F4377" s="1" t="s">
        <v>711</v>
      </c>
      <c r="G4377" s="1" t="s">
        <v>712</v>
      </c>
      <c r="H4377" s="1" t="s">
        <v>713</v>
      </c>
      <c r="I4377" s="1" t="s">
        <v>714</v>
      </c>
      <c r="J4377" s="1" t="s">
        <v>1584</v>
      </c>
      <c r="K4377" s="1" t="s">
        <v>17056</v>
      </c>
      <c r="L4377" s="1" t="s">
        <v>12642</v>
      </c>
      <c r="M4377" s="1" t="s">
        <v>718</v>
      </c>
    </row>
    <row r="4378" customFormat="false" ht="15" hidden="false" customHeight="false" outlineLevel="0" collapsed="false">
      <c r="A4378" s="1" t="s">
        <v>97</v>
      </c>
      <c r="B4378" s="1" t="s">
        <v>17057</v>
      </c>
      <c r="C4378" s="1" t="s">
        <v>2558</v>
      </c>
      <c r="D4378" s="2" t="n">
        <v>41954</v>
      </c>
      <c r="E4378" s="1" t="s">
        <v>763</v>
      </c>
      <c r="F4378" s="1" t="s">
        <v>711</v>
      </c>
      <c r="G4378" s="1" t="s">
        <v>712</v>
      </c>
      <c r="H4378" s="1" t="s">
        <v>713</v>
      </c>
      <c r="I4378" s="1" t="s">
        <v>714</v>
      </c>
      <c r="J4378" s="1" t="s">
        <v>1398</v>
      </c>
      <c r="K4378" s="1" t="s">
        <v>17058</v>
      </c>
      <c r="L4378" s="1" t="s">
        <v>1521</v>
      </c>
      <c r="M4378" s="1" t="s">
        <v>718</v>
      </c>
    </row>
    <row r="4379" customFormat="false" ht="15" hidden="false" customHeight="false" outlineLevel="0" collapsed="false">
      <c r="A4379" s="1" t="s">
        <v>111</v>
      </c>
      <c r="B4379" s="1" t="s">
        <v>17059</v>
      </c>
      <c r="C4379" s="1" t="s">
        <v>2965</v>
      </c>
      <c r="D4379" s="2" t="n">
        <v>41466</v>
      </c>
      <c r="E4379" s="1" t="s">
        <v>763</v>
      </c>
      <c r="F4379" s="1" t="s">
        <v>711</v>
      </c>
      <c r="G4379" s="1" t="s">
        <v>712</v>
      </c>
      <c r="H4379" s="1" t="s">
        <v>713</v>
      </c>
      <c r="I4379" s="1" t="s">
        <v>714</v>
      </c>
      <c r="J4379" s="1" t="s">
        <v>928</v>
      </c>
      <c r="K4379" s="1" t="s">
        <v>17060</v>
      </c>
      <c r="L4379" s="1" t="s">
        <v>17061</v>
      </c>
      <c r="M4379" s="1" t="s">
        <v>718</v>
      </c>
    </row>
    <row r="4380" customFormat="false" ht="15" hidden="false" customHeight="false" outlineLevel="0" collapsed="false">
      <c r="A4380" s="1" t="s">
        <v>125</v>
      </c>
      <c r="B4380" s="1" t="s">
        <v>17062</v>
      </c>
      <c r="C4380" s="1" t="s">
        <v>17063</v>
      </c>
      <c r="D4380" s="2" t="n">
        <v>41696</v>
      </c>
      <c r="E4380" s="1" t="s">
        <v>763</v>
      </c>
      <c r="F4380" s="1" t="s">
        <v>711</v>
      </c>
      <c r="G4380" s="1" t="s">
        <v>712</v>
      </c>
      <c r="H4380" s="1" t="s">
        <v>713</v>
      </c>
      <c r="I4380" s="1" t="s">
        <v>714</v>
      </c>
      <c r="J4380" s="1" t="s">
        <v>15055</v>
      </c>
      <c r="K4380" s="1" t="s">
        <v>17064</v>
      </c>
      <c r="L4380" s="1" t="s">
        <v>17065</v>
      </c>
      <c r="M4380" s="1" t="s">
        <v>718</v>
      </c>
    </row>
    <row r="4381" customFormat="false" ht="15" hidden="false" customHeight="false" outlineLevel="0" collapsed="false">
      <c r="A4381" s="1" t="s">
        <v>109</v>
      </c>
      <c r="B4381" s="1" t="s">
        <v>17066</v>
      </c>
      <c r="C4381" s="1" t="s">
        <v>739</v>
      </c>
      <c r="D4381" s="2" t="n">
        <v>41235</v>
      </c>
      <c r="E4381" s="1" t="s">
        <v>763</v>
      </c>
      <c r="F4381" s="1" t="s">
        <v>711</v>
      </c>
      <c r="G4381" s="1" t="s">
        <v>712</v>
      </c>
      <c r="H4381" s="1" t="s">
        <v>713</v>
      </c>
      <c r="I4381" s="1" t="s">
        <v>714</v>
      </c>
      <c r="J4381" s="1" t="s">
        <v>821</v>
      </c>
      <c r="K4381" s="1" t="s">
        <v>17067</v>
      </c>
      <c r="L4381" s="1" t="s">
        <v>15668</v>
      </c>
      <c r="M4381" s="1" t="s">
        <v>718</v>
      </c>
    </row>
    <row r="4382" customFormat="false" ht="15" hidden="false" customHeight="false" outlineLevel="0" collapsed="false">
      <c r="A4382" s="1" t="s">
        <v>128</v>
      </c>
      <c r="B4382" s="1" t="s">
        <v>4924</v>
      </c>
      <c r="C4382" s="1" t="s">
        <v>11776</v>
      </c>
      <c r="D4382" s="2" t="n">
        <v>41651</v>
      </c>
      <c r="E4382" s="1" t="s">
        <v>710</v>
      </c>
      <c r="F4382" s="1" t="s">
        <v>711</v>
      </c>
      <c r="G4382" s="1" t="s">
        <v>712</v>
      </c>
      <c r="H4382" s="1" t="s">
        <v>713</v>
      </c>
      <c r="I4382" s="1" t="s">
        <v>714</v>
      </c>
      <c r="J4382" s="1" t="s">
        <v>1530</v>
      </c>
      <c r="K4382" s="1" t="s">
        <v>9977</v>
      </c>
      <c r="L4382" s="1" t="s">
        <v>3357</v>
      </c>
      <c r="M4382" s="1" t="s">
        <v>718</v>
      </c>
    </row>
    <row r="4383" customFormat="false" ht="15" hidden="false" customHeight="false" outlineLevel="0" collapsed="false">
      <c r="A4383" s="1" t="s">
        <v>108</v>
      </c>
      <c r="B4383" s="1" t="s">
        <v>17068</v>
      </c>
      <c r="C4383" s="1" t="s">
        <v>14765</v>
      </c>
      <c r="D4383" s="2" t="n">
        <v>41102</v>
      </c>
      <c r="E4383" s="1" t="s">
        <v>710</v>
      </c>
      <c r="F4383" s="1" t="s">
        <v>711</v>
      </c>
      <c r="G4383" s="1" t="s">
        <v>712</v>
      </c>
      <c r="H4383" s="1" t="s">
        <v>713</v>
      </c>
      <c r="I4383" s="1" t="s">
        <v>714</v>
      </c>
      <c r="J4383" s="1" t="s">
        <v>1530</v>
      </c>
      <c r="K4383" s="1" t="s">
        <v>17069</v>
      </c>
      <c r="L4383" s="1" t="s">
        <v>14767</v>
      </c>
      <c r="M4383" s="1" t="s">
        <v>718</v>
      </c>
    </row>
    <row r="4384" customFormat="false" ht="15" hidden="false" customHeight="false" outlineLevel="0" collapsed="false">
      <c r="A4384" s="1" t="s">
        <v>45</v>
      </c>
      <c r="B4384" s="1" t="s">
        <v>17070</v>
      </c>
      <c r="C4384" s="1" t="s">
        <v>1253</v>
      </c>
      <c r="D4384" s="2" t="n">
        <v>41307</v>
      </c>
      <c r="E4384" s="1" t="s">
        <v>763</v>
      </c>
      <c r="F4384" s="1" t="s">
        <v>711</v>
      </c>
      <c r="G4384" s="1" t="s">
        <v>712</v>
      </c>
      <c r="H4384" s="1" t="s">
        <v>713</v>
      </c>
      <c r="I4384" s="1" t="s">
        <v>17071</v>
      </c>
      <c r="J4384" s="1" t="s">
        <v>821</v>
      </c>
      <c r="K4384" s="1" t="s">
        <v>17072</v>
      </c>
      <c r="L4384" s="1" t="s">
        <v>17073</v>
      </c>
      <c r="M4384" s="1" t="s">
        <v>718</v>
      </c>
    </row>
    <row r="4385" customFormat="false" ht="15" hidden="false" customHeight="false" outlineLevel="0" collapsed="false">
      <c r="A4385" s="1" t="s">
        <v>70</v>
      </c>
      <c r="B4385" s="1" t="s">
        <v>17074</v>
      </c>
      <c r="C4385" s="1" t="s">
        <v>17075</v>
      </c>
      <c r="D4385" s="2" t="n">
        <v>41913</v>
      </c>
      <c r="E4385" s="1" t="s">
        <v>710</v>
      </c>
      <c r="F4385" s="1" t="s">
        <v>711</v>
      </c>
      <c r="G4385" s="1" t="s">
        <v>712</v>
      </c>
      <c r="H4385" s="1" t="s">
        <v>713</v>
      </c>
      <c r="I4385" s="1" t="s">
        <v>714</v>
      </c>
      <c r="J4385" s="1" t="s">
        <v>17076</v>
      </c>
      <c r="K4385" s="1" t="s">
        <v>17077</v>
      </c>
      <c r="L4385" s="1" t="s">
        <v>17078</v>
      </c>
      <c r="M4385" s="1" t="s">
        <v>718</v>
      </c>
    </row>
    <row r="4386" customFormat="false" ht="15" hidden="false" customHeight="false" outlineLevel="0" collapsed="false">
      <c r="A4386" s="1" t="s">
        <v>217</v>
      </c>
      <c r="B4386" s="1" t="s">
        <v>11215</v>
      </c>
      <c r="C4386" s="1" t="s">
        <v>16173</v>
      </c>
      <c r="D4386" s="2" t="n">
        <v>40924</v>
      </c>
      <c r="E4386" s="1" t="s">
        <v>710</v>
      </c>
      <c r="F4386" s="1" t="s">
        <v>711</v>
      </c>
      <c r="G4386" s="1" t="s">
        <v>712</v>
      </c>
      <c r="H4386" s="1" t="s">
        <v>713</v>
      </c>
      <c r="I4386" s="1" t="s">
        <v>714</v>
      </c>
      <c r="J4386" s="1" t="s">
        <v>821</v>
      </c>
      <c r="K4386" s="1" t="s">
        <v>17079</v>
      </c>
      <c r="L4386" s="1" t="s">
        <v>17080</v>
      </c>
      <c r="M4386" s="1" t="s">
        <v>718</v>
      </c>
    </row>
    <row r="4387" customFormat="false" ht="15" hidden="false" customHeight="false" outlineLevel="0" collapsed="false">
      <c r="A4387" s="1" t="s">
        <v>181</v>
      </c>
      <c r="B4387" s="1" t="s">
        <v>5009</v>
      </c>
      <c r="C4387" s="1" t="s">
        <v>1897</v>
      </c>
      <c r="D4387" s="2" t="n">
        <v>41177</v>
      </c>
      <c r="E4387" s="1" t="s">
        <v>710</v>
      </c>
      <c r="F4387" s="1" t="s">
        <v>711</v>
      </c>
      <c r="G4387" s="1" t="s">
        <v>712</v>
      </c>
      <c r="H4387" s="1" t="s">
        <v>713</v>
      </c>
      <c r="I4387" s="1" t="s">
        <v>714</v>
      </c>
      <c r="J4387" s="1" t="s">
        <v>17081</v>
      </c>
      <c r="K4387" s="1" t="s">
        <v>17082</v>
      </c>
      <c r="L4387" s="1" t="s">
        <v>5957</v>
      </c>
      <c r="M4387" s="1" t="s">
        <v>718</v>
      </c>
    </row>
    <row r="4388" customFormat="false" ht="15" hidden="false" customHeight="false" outlineLevel="0" collapsed="false">
      <c r="A4388" s="1" t="s">
        <v>187</v>
      </c>
      <c r="B4388" s="1" t="s">
        <v>17083</v>
      </c>
      <c r="C4388" s="1" t="s">
        <v>17084</v>
      </c>
      <c r="D4388" s="2" t="n">
        <v>41374</v>
      </c>
      <c r="E4388" s="1" t="s">
        <v>763</v>
      </c>
      <c r="F4388" s="1" t="s">
        <v>711</v>
      </c>
      <c r="G4388" s="1" t="s">
        <v>712</v>
      </c>
      <c r="H4388" s="1" t="s">
        <v>713</v>
      </c>
      <c r="I4388" s="1" t="s">
        <v>714</v>
      </c>
      <c r="J4388" s="1" t="s">
        <v>17085</v>
      </c>
      <c r="K4388" s="1" t="s">
        <v>17086</v>
      </c>
      <c r="L4388" s="1" t="s">
        <v>15012</v>
      </c>
      <c r="M4388" s="1" t="s">
        <v>718</v>
      </c>
    </row>
    <row r="4389" customFormat="false" ht="15" hidden="false" customHeight="false" outlineLevel="0" collapsed="false">
      <c r="A4389" s="1" t="s">
        <v>142</v>
      </c>
      <c r="B4389" s="1" t="s">
        <v>17087</v>
      </c>
      <c r="C4389" s="1" t="s">
        <v>17088</v>
      </c>
      <c r="D4389" s="2" t="n">
        <v>41947</v>
      </c>
      <c r="E4389" s="1" t="s">
        <v>763</v>
      </c>
      <c r="F4389" s="1" t="s">
        <v>711</v>
      </c>
      <c r="G4389" s="1" t="s">
        <v>712</v>
      </c>
      <c r="H4389" s="1" t="s">
        <v>713</v>
      </c>
      <c r="I4389" s="1" t="s">
        <v>714</v>
      </c>
      <c r="J4389" s="1" t="s">
        <v>16192</v>
      </c>
      <c r="K4389" s="1" t="s">
        <v>17089</v>
      </c>
      <c r="L4389" s="1" t="s">
        <v>17090</v>
      </c>
      <c r="M4389" s="1" t="s">
        <v>718</v>
      </c>
    </row>
    <row r="4390" customFormat="false" ht="15" hidden="false" customHeight="false" outlineLevel="0" collapsed="false">
      <c r="A4390" s="1" t="s">
        <v>136</v>
      </c>
      <c r="B4390" s="1" t="s">
        <v>17091</v>
      </c>
      <c r="C4390" s="1" t="s">
        <v>17092</v>
      </c>
      <c r="D4390" s="2" t="n">
        <v>41302</v>
      </c>
      <c r="E4390" s="1" t="s">
        <v>763</v>
      </c>
      <c r="F4390" s="1" t="s">
        <v>711</v>
      </c>
      <c r="G4390" s="1" t="s">
        <v>722</v>
      </c>
      <c r="H4390" s="1" t="s">
        <v>713</v>
      </c>
      <c r="I4390" s="1" t="s">
        <v>714</v>
      </c>
      <c r="J4390" s="1" t="s">
        <v>5211</v>
      </c>
      <c r="K4390" s="1" t="s">
        <v>17093</v>
      </c>
      <c r="L4390" s="1" t="s">
        <v>17094</v>
      </c>
      <c r="M4390" s="1" t="s">
        <v>718</v>
      </c>
    </row>
    <row r="4391" customFormat="false" ht="15" hidden="false" customHeight="false" outlineLevel="0" collapsed="false">
      <c r="A4391" s="1" t="s">
        <v>156</v>
      </c>
      <c r="B4391" s="1" t="s">
        <v>17095</v>
      </c>
      <c r="C4391" s="1" t="s">
        <v>17096</v>
      </c>
      <c r="D4391" s="2" t="n">
        <v>41722</v>
      </c>
      <c r="E4391" s="1" t="s">
        <v>710</v>
      </c>
      <c r="F4391" s="1" t="s">
        <v>711</v>
      </c>
      <c r="G4391" s="1" t="s">
        <v>17097</v>
      </c>
      <c r="H4391" s="1" t="s">
        <v>713</v>
      </c>
      <c r="I4391" s="1" t="s">
        <v>714</v>
      </c>
      <c r="J4391" s="1" t="s">
        <v>17098</v>
      </c>
      <c r="K4391" s="1" t="s">
        <v>17099</v>
      </c>
      <c r="L4391" s="1" t="s">
        <v>17030</v>
      </c>
      <c r="M4391" s="1" t="s">
        <v>718</v>
      </c>
    </row>
    <row r="4392" customFormat="false" ht="15" hidden="false" customHeight="false" outlineLevel="0" collapsed="false">
      <c r="A4392" s="1" t="s">
        <v>175</v>
      </c>
      <c r="B4392" s="1" t="s">
        <v>17100</v>
      </c>
      <c r="C4392" s="1" t="s">
        <v>17101</v>
      </c>
      <c r="D4392" s="2" t="n">
        <v>41680</v>
      </c>
      <c r="E4392" s="1" t="s">
        <v>763</v>
      </c>
      <c r="F4392" s="1" t="s">
        <v>711</v>
      </c>
      <c r="G4392" s="1" t="s">
        <v>722</v>
      </c>
      <c r="H4392" s="1" t="s">
        <v>713</v>
      </c>
      <c r="I4392" s="1" t="s">
        <v>714</v>
      </c>
      <c r="J4392" s="1" t="s">
        <v>928</v>
      </c>
      <c r="K4392" s="1" t="s">
        <v>17102</v>
      </c>
      <c r="L4392" s="1" t="s">
        <v>11912</v>
      </c>
      <c r="M4392" s="1" t="s">
        <v>718</v>
      </c>
    </row>
    <row r="4393" customFormat="false" ht="15" hidden="false" customHeight="false" outlineLevel="0" collapsed="false">
      <c r="A4393" s="1" t="s">
        <v>189</v>
      </c>
      <c r="B4393" s="1" t="s">
        <v>17103</v>
      </c>
      <c r="C4393" s="1" t="s">
        <v>4468</v>
      </c>
      <c r="D4393" s="2" t="n">
        <v>41326</v>
      </c>
      <c r="E4393" s="1" t="s">
        <v>763</v>
      </c>
      <c r="F4393" s="1" t="s">
        <v>711</v>
      </c>
      <c r="G4393" s="1" t="s">
        <v>712</v>
      </c>
      <c r="H4393" s="1" t="s">
        <v>713</v>
      </c>
      <c r="I4393" s="1" t="s">
        <v>714</v>
      </c>
      <c r="J4393" s="1" t="s">
        <v>2621</v>
      </c>
      <c r="K4393" s="1" t="s">
        <v>10321</v>
      </c>
      <c r="L4393" s="1" t="s">
        <v>17104</v>
      </c>
      <c r="M4393" s="1" t="s">
        <v>718</v>
      </c>
    </row>
    <row r="4394" customFormat="false" ht="15" hidden="false" customHeight="false" outlineLevel="0" collapsed="false">
      <c r="A4394" s="1" t="s">
        <v>177</v>
      </c>
      <c r="B4394" s="1" t="s">
        <v>4289</v>
      </c>
      <c r="C4394" s="1" t="s">
        <v>17105</v>
      </c>
      <c r="D4394" s="2" t="n">
        <v>40597</v>
      </c>
      <c r="E4394" s="1" t="s">
        <v>710</v>
      </c>
      <c r="F4394" s="1" t="s">
        <v>711</v>
      </c>
      <c r="G4394" s="1" t="s">
        <v>712</v>
      </c>
      <c r="H4394" s="1" t="s">
        <v>713</v>
      </c>
      <c r="I4394" s="1" t="s">
        <v>714</v>
      </c>
      <c r="J4394" s="1" t="s">
        <v>1530</v>
      </c>
      <c r="K4394" s="1" t="s">
        <v>17106</v>
      </c>
      <c r="L4394" s="1" t="s">
        <v>17107</v>
      </c>
      <c r="M4394" s="1" t="s">
        <v>718</v>
      </c>
    </row>
    <row r="4395" customFormat="false" ht="15" hidden="false" customHeight="false" outlineLevel="0" collapsed="false">
      <c r="A4395" s="1" t="s">
        <v>182</v>
      </c>
      <c r="B4395" s="1" t="s">
        <v>17108</v>
      </c>
      <c r="C4395" s="1" t="s">
        <v>7003</v>
      </c>
      <c r="D4395" s="2" t="n">
        <v>41276</v>
      </c>
      <c r="E4395" s="1" t="s">
        <v>763</v>
      </c>
      <c r="F4395" s="1" t="s">
        <v>711</v>
      </c>
      <c r="G4395" s="1" t="s">
        <v>712</v>
      </c>
      <c r="H4395" s="1" t="s">
        <v>713</v>
      </c>
      <c r="I4395" s="1" t="s">
        <v>714</v>
      </c>
      <c r="J4395" s="1" t="s">
        <v>17109</v>
      </c>
      <c r="K4395" s="1" t="s">
        <v>17110</v>
      </c>
      <c r="L4395" s="1" t="s">
        <v>11958</v>
      </c>
      <c r="M4395" s="1" t="s">
        <v>718</v>
      </c>
    </row>
    <row r="4396" customFormat="false" ht="15" hidden="false" customHeight="false" outlineLevel="0" collapsed="false">
      <c r="A4396" s="1" t="s">
        <v>188</v>
      </c>
      <c r="B4396" s="1" t="s">
        <v>17111</v>
      </c>
      <c r="C4396" s="1" t="s">
        <v>17112</v>
      </c>
      <c r="D4396" s="2" t="n">
        <v>41488</v>
      </c>
      <c r="E4396" s="1" t="s">
        <v>710</v>
      </c>
      <c r="F4396" s="1" t="s">
        <v>711</v>
      </c>
      <c r="G4396" s="1" t="s">
        <v>712</v>
      </c>
      <c r="H4396" s="1" t="s">
        <v>713</v>
      </c>
      <c r="I4396" s="1" t="s">
        <v>714</v>
      </c>
      <c r="J4396" s="1" t="s">
        <v>1131</v>
      </c>
      <c r="K4396" s="1" t="s">
        <v>17110</v>
      </c>
      <c r="L4396" s="1" t="s">
        <v>17113</v>
      </c>
      <c r="M4396" s="1" t="s">
        <v>718</v>
      </c>
    </row>
    <row r="4397" customFormat="false" ht="15" hidden="false" customHeight="false" outlineLevel="0" collapsed="false">
      <c r="A4397" s="1" t="s">
        <v>173</v>
      </c>
      <c r="B4397" s="1" t="s">
        <v>17114</v>
      </c>
      <c r="C4397" s="1" t="s">
        <v>9699</v>
      </c>
      <c r="D4397" s="2" t="n">
        <v>41598</v>
      </c>
      <c r="E4397" s="1" t="s">
        <v>763</v>
      </c>
      <c r="F4397" s="1" t="s">
        <v>711</v>
      </c>
      <c r="G4397" s="1" t="s">
        <v>712</v>
      </c>
      <c r="H4397" s="1" t="s">
        <v>713</v>
      </c>
      <c r="I4397" s="1" t="s">
        <v>714</v>
      </c>
      <c r="J4397" s="1" t="s">
        <v>1530</v>
      </c>
      <c r="K4397" s="1" t="s">
        <v>10321</v>
      </c>
      <c r="L4397" s="1" t="s">
        <v>9701</v>
      </c>
      <c r="M4397" s="1" t="s">
        <v>718</v>
      </c>
    </row>
    <row r="4398" customFormat="false" ht="15" hidden="false" customHeight="false" outlineLevel="0" collapsed="false">
      <c r="A4398" s="1" t="s">
        <v>180</v>
      </c>
      <c r="B4398" s="1" t="s">
        <v>8259</v>
      </c>
      <c r="C4398" s="1" t="s">
        <v>17115</v>
      </c>
      <c r="D4398" s="2" t="n">
        <v>40938</v>
      </c>
      <c r="E4398" s="1" t="s">
        <v>710</v>
      </c>
      <c r="F4398" s="1" t="s">
        <v>711</v>
      </c>
      <c r="G4398" s="1" t="s">
        <v>722</v>
      </c>
      <c r="H4398" s="1" t="s">
        <v>713</v>
      </c>
      <c r="I4398" s="1" t="s">
        <v>714</v>
      </c>
      <c r="J4398" s="1" t="s">
        <v>1530</v>
      </c>
      <c r="K4398" s="1" t="s">
        <v>17116</v>
      </c>
      <c r="L4398" s="1" t="s">
        <v>17117</v>
      </c>
      <c r="M4398" s="1" t="s">
        <v>718</v>
      </c>
    </row>
    <row r="4399" customFormat="false" ht="15" hidden="false" customHeight="false" outlineLevel="0" collapsed="false">
      <c r="A4399" s="1" t="s">
        <v>190</v>
      </c>
      <c r="B4399" s="1" t="s">
        <v>17118</v>
      </c>
      <c r="C4399" s="1" t="s">
        <v>17119</v>
      </c>
      <c r="D4399" s="2" t="n">
        <v>41432</v>
      </c>
      <c r="E4399" s="1" t="s">
        <v>710</v>
      </c>
      <c r="F4399" s="1" t="s">
        <v>711</v>
      </c>
      <c r="G4399" s="1" t="s">
        <v>712</v>
      </c>
      <c r="H4399" s="1" t="s">
        <v>713</v>
      </c>
      <c r="I4399" s="1" t="s">
        <v>714</v>
      </c>
      <c r="J4399" s="1" t="s">
        <v>928</v>
      </c>
      <c r="K4399" s="1" t="s">
        <v>17120</v>
      </c>
      <c r="L4399" s="1" t="s">
        <v>17121</v>
      </c>
      <c r="M4399" s="1" t="s">
        <v>718</v>
      </c>
    </row>
    <row r="4400" customFormat="false" ht="15" hidden="false" customHeight="false" outlineLevel="0" collapsed="false">
      <c r="A4400" s="1" t="s">
        <v>186</v>
      </c>
      <c r="B4400" s="1" t="s">
        <v>17122</v>
      </c>
      <c r="C4400" s="1" t="s">
        <v>16555</v>
      </c>
      <c r="D4400" s="2" t="n">
        <v>41398</v>
      </c>
      <c r="E4400" s="1" t="s">
        <v>763</v>
      </c>
      <c r="F4400" s="1" t="s">
        <v>711</v>
      </c>
      <c r="G4400" s="1" t="s">
        <v>17123</v>
      </c>
      <c r="H4400" s="1" t="s">
        <v>713</v>
      </c>
      <c r="I4400" s="1" t="s">
        <v>714</v>
      </c>
      <c r="J4400" s="1" t="s">
        <v>1530</v>
      </c>
      <c r="K4400" s="1" t="s">
        <v>16556</v>
      </c>
      <c r="L4400" s="1" t="s">
        <v>16557</v>
      </c>
      <c r="M4400" s="1" t="s">
        <v>718</v>
      </c>
    </row>
    <row r="4401" customFormat="false" ht="15" hidden="false" customHeight="false" outlineLevel="0" collapsed="false">
      <c r="A4401" s="1" t="s">
        <v>162</v>
      </c>
      <c r="B4401" s="1" t="s">
        <v>17124</v>
      </c>
      <c r="C4401" s="1" t="s">
        <v>15576</v>
      </c>
      <c r="D4401" s="2" t="n">
        <v>41166</v>
      </c>
      <c r="E4401" s="1" t="s">
        <v>710</v>
      </c>
      <c r="F4401" s="1" t="s">
        <v>711</v>
      </c>
      <c r="G4401" s="1" t="s">
        <v>722</v>
      </c>
      <c r="H4401" s="1" t="s">
        <v>713</v>
      </c>
      <c r="I4401" s="1" t="s">
        <v>714</v>
      </c>
      <c r="J4401" s="1" t="s">
        <v>715</v>
      </c>
      <c r="K4401" s="1" t="s">
        <v>10321</v>
      </c>
      <c r="L4401" s="1" t="s">
        <v>15578</v>
      </c>
      <c r="M4401" s="1" t="s">
        <v>718</v>
      </c>
    </row>
    <row r="4402" customFormat="false" ht="15" hidden="false" customHeight="false" outlineLevel="0" collapsed="false">
      <c r="A4402" s="1" t="s">
        <v>166</v>
      </c>
      <c r="B4402" s="1" t="s">
        <v>1121</v>
      </c>
      <c r="C4402" s="1" t="s">
        <v>7015</v>
      </c>
      <c r="D4402" s="2" t="n">
        <v>41256</v>
      </c>
      <c r="E4402" s="1" t="s">
        <v>710</v>
      </c>
      <c r="F4402" s="1" t="s">
        <v>711</v>
      </c>
      <c r="G4402" s="1" t="s">
        <v>712</v>
      </c>
      <c r="H4402" s="1" t="s">
        <v>713</v>
      </c>
      <c r="I4402" s="1" t="s">
        <v>714</v>
      </c>
      <c r="J4402" s="1" t="s">
        <v>1723</v>
      </c>
      <c r="K4402" s="1" t="s">
        <v>17125</v>
      </c>
      <c r="L4402" s="1" t="s">
        <v>7017</v>
      </c>
      <c r="M4402" s="1" t="s">
        <v>718</v>
      </c>
    </row>
    <row r="4403" customFormat="false" ht="15" hidden="false" customHeight="false" outlineLevel="0" collapsed="false">
      <c r="A4403" s="1" t="s">
        <v>184</v>
      </c>
      <c r="B4403" s="1" t="s">
        <v>2206</v>
      </c>
      <c r="C4403" s="1" t="s">
        <v>1349</v>
      </c>
      <c r="D4403" s="2" t="n">
        <v>41517</v>
      </c>
      <c r="E4403" s="1" t="s">
        <v>710</v>
      </c>
      <c r="F4403" s="1" t="s">
        <v>711</v>
      </c>
      <c r="G4403" s="1" t="s">
        <v>712</v>
      </c>
      <c r="H4403" s="1" t="s">
        <v>713</v>
      </c>
      <c r="I4403" s="1" t="s">
        <v>714</v>
      </c>
      <c r="J4403" s="1" t="s">
        <v>1620</v>
      </c>
      <c r="K4403" s="1" t="s">
        <v>17126</v>
      </c>
      <c r="L4403" s="1" t="s">
        <v>17127</v>
      </c>
      <c r="M4403" s="1" t="s">
        <v>718</v>
      </c>
    </row>
    <row r="4404" customFormat="false" ht="15" hidden="false" customHeight="false" outlineLevel="0" collapsed="false">
      <c r="A4404" s="1" t="s">
        <v>163</v>
      </c>
      <c r="B4404" s="1" t="s">
        <v>17128</v>
      </c>
      <c r="C4404" s="1" t="s">
        <v>2006</v>
      </c>
      <c r="D4404" s="2" t="n">
        <v>41593</v>
      </c>
      <c r="E4404" s="1" t="s">
        <v>710</v>
      </c>
      <c r="F4404" s="1" t="s">
        <v>711</v>
      </c>
      <c r="G4404" s="1" t="s">
        <v>712</v>
      </c>
      <c r="H4404" s="1" t="s">
        <v>713</v>
      </c>
      <c r="I4404" s="1" t="s">
        <v>714</v>
      </c>
      <c r="J4404" s="1" t="s">
        <v>9030</v>
      </c>
      <c r="K4404" s="1" t="s">
        <v>17129</v>
      </c>
      <c r="L4404" s="1" t="s">
        <v>5135</v>
      </c>
      <c r="M4404" s="1" t="s">
        <v>718</v>
      </c>
    </row>
    <row r="4405" customFormat="false" ht="15" hidden="false" customHeight="false" outlineLevel="0" collapsed="false">
      <c r="A4405" s="1" t="s">
        <v>169</v>
      </c>
      <c r="B4405" s="1" t="s">
        <v>17130</v>
      </c>
      <c r="C4405" s="1" t="s">
        <v>17131</v>
      </c>
      <c r="D4405" s="2" t="n">
        <v>41499</v>
      </c>
      <c r="E4405" s="1" t="s">
        <v>763</v>
      </c>
      <c r="F4405" s="1" t="s">
        <v>711</v>
      </c>
      <c r="G4405" s="1" t="s">
        <v>712</v>
      </c>
      <c r="H4405" s="1" t="s">
        <v>713</v>
      </c>
      <c r="I4405" s="1" t="s">
        <v>714</v>
      </c>
      <c r="J4405" s="1" t="s">
        <v>1172</v>
      </c>
      <c r="K4405" s="1" t="s">
        <v>17132</v>
      </c>
      <c r="L4405" s="1" t="s">
        <v>17133</v>
      </c>
      <c r="M4405" s="1" t="s">
        <v>718</v>
      </c>
    </row>
    <row r="4406" customFormat="false" ht="15" hidden="false" customHeight="false" outlineLevel="0" collapsed="false">
      <c r="A4406" s="1" t="s">
        <v>167</v>
      </c>
      <c r="B4406" s="1" t="s">
        <v>17134</v>
      </c>
      <c r="C4406" s="1" t="s">
        <v>1258</v>
      </c>
      <c r="D4406" s="2" t="n">
        <v>41236</v>
      </c>
      <c r="E4406" s="1" t="s">
        <v>710</v>
      </c>
      <c r="F4406" s="1" t="s">
        <v>711</v>
      </c>
      <c r="G4406" s="1" t="s">
        <v>722</v>
      </c>
      <c r="H4406" s="1" t="s">
        <v>713</v>
      </c>
      <c r="I4406" s="1" t="s">
        <v>714</v>
      </c>
      <c r="J4406" s="1" t="s">
        <v>1723</v>
      </c>
      <c r="K4406" s="1" t="s">
        <v>17135</v>
      </c>
      <c r="L4406" s="1" t="s">
        <v>1259</v>
      </c>
      <c r="M4406" s="1" t="s">
        <v>718</v>
      </c>
    </row>
    <row r="4407" customFormat="false" ht="15" hidden="false" customHeight="false" outlineLevel="0" collapsed="false">
      <c r="A4407" s="1" t="s">
        <v>183</v>
      </c>
      <c r="B4407" s="1" t="s">
        <v>17136</v>
      </c>
      <c r="C4407" s="1" t="s">
        <v>14131</v>
      </c>
      <c r="D4407" s="2" t="n">
        <v>41620</v>
      </c>
      <c r="E4407" s="1" t="s">
        <v>710</v>
      </c>
      <c r="F4407" s="1" t="s">
        <v>711</v>
      </c>
      <c r="G4407" s="1" t="s">
        <v>712</v>
      </c>
      <c r="H4407" s="1" t="s">
        <v>713</v>
      </c>
      <c r="I4407" s="1" t="s">
        <v>714</v>
      </c>
      <c r="J4407" s="1" t="s">
        <v>1172</v>
      </c>
      <c r="K4407" s="1" t="s">
        <v>17137</v>
      </c>
      <c r="L4407" s="1" t="s">
        <v>14133</v>
      </c>
      <c r="M4407" s="1" t="s">
        <v>718</v>
      </c>
    </row>
    <row r="4408" customFormat="false" ht="15" hidden="false" customHeight="false" outlineLevel="0" collapsed="false">
      <c r="A4408" s="1" t="s">
        <v>185</v>
      </c>
      <c r="B4408" s="1" t="s">
        <v>17138</v>
      </c>
      <c r="C4408" s="1" t="s">
        <v>11416</v>
      </c>
      <c r="D4408" s="2" t="n">
        <v>41502</v>
      </c>
      <c r="E4408" s="1" t="s">
        <v>763</v>
      </c>
      <c r="F4408" s="1" t="s">
        <v>711</v>
      </c>
      <c r="G4408" s="1" t="s">
        <v>17123</v>
      </c>
      <c r="H4408" s="1" t="s">
        <v>713</v>
      </c>
      <c r="I4408" s="1" t="s">
        <v>714</v>
      </c>
      <c r="J4408" s="1" t="s">
        <v>1723</v>
      </c>
      <c r="K4408" s="1" t="s">
        <v>17139</v>
      </c>
      <c r="L4408" s="1" t="s">
        <v>17140</v>
      </c>
      <c r="M4408" s="1" t="s">
        <v>718</v>
      </c>
    </row>
    <row r="4409" customFormat="false" ht="15" hidden="false" customHeight="false" outlineLevel="0" collapsed="false">
      <c r="A4409" s="1" t="s">
        <v>170</v>
      </c>
      <c r="B4409" s="1" t="s">
        <v>9638</v>
      </c>
      <c r="C4409" s="1" t="s">
        <v>9028</v>
      </c>
      <c r="D4409" s="2" t="n">
        <v>41424</v>
      </c>
      <c r="E4409" s="1" t="s">
        <v>710</v>
      </c>
      <c r="F4409" s="1" t="s">
        <v>711</v>
      </c>
      <c r="G4409" s="1" t="s">
        <v>712</v>
      </c>
      <c r="H4409" s="1" t="s">
        <v>713</v>
      </c>
      <c r="I4409" s="1" t="s">
        <v>714</v>
      </c>
      <c r="J4409" s="1" t="s">
        <v>821</v>
      </c>
      <c r="K4409" s="1" t="s">
        <v>17141</v>
      </c>
      <c r="L4409" s="1" t="s">
        <v>13434</v>
      </c>
      <c r="M4409" s="1" t="s">
        <v>718</v>
      </c>
    </row>
    <row r="4410" customFormat="false" ht="15" hidden="false" customHeight="false" outlineLevel="0" collapsed="false">
      <c r="A4410" s="1" t="s">
        <v>191</v>
      </c>
      <c r="B4410" s="1" t="s">
        <v>17142</v>
      </c>
      <c r="C4410" s="1" t="s">
        <v>986</v>
      </c>
      <c r="D4410" s="2" t="n">
        <v>41560</v>
      </c>
      <c r="E4410" s="1" t="s">
        <v>763</v>
      </c>
      <c r="F4410" s="1" t="s">
        <v>711</v>
      </c>
      <c r="G4410" s="1" t="s">
        <v>712</v>
      </c>
      <c r="H4410" s="1" t="s">
        <v>713</v>
      </c>
      <c r="I4410" s="1" t="s">
        <v>714</v>
      </c>
      <c r="J4410" s="1" t="s">
        <v>4239</v>
      </c>
      <c r="K4410" s="1" t="s">
        <v>17143</v>
      </c>
      <c r="L4410" s="1" t="s">
        <v>17144</v>
      </c>
      <c r="M4410" s="1" t="s">
        <v>718</v>
      </c>
    </row>
    <row r="4411" customFormat="false" ht="15" hidden="false" customHeight="false" outlineLevel="0" collapsed="false">
      <c r="A4411" s="1" t="s">
        <v>172</v>
      </c>
      <c r="B4411" s="1" t="s">
        <v>17145</v>
      </c>
      <c r="C4411" s="1" t="s">
        <v>10918</v>
      </c>
      <c r="D4411" s="2" t="n">
        <v>41144</v>
      </c>
      <c r="E4411" s="1" t="s">
        <v>763</v>
      </c>
      <c r="F4411" s="1" t="s">
        <v>711</v>
      </c>
      <c r="G4411" s="1" t="s">
        <v>775</v>
      </c>
      <c r="H4411" s="1" t="s">
        <v>713</v>
      </c>
      <c r="I4411" s="1" t="s">
        <v>714</v>
      </c>
      <c r="J4411" s="1" t="s">
        <v>2530</v>
      </c>
      <c r="K4411" s="1" t="s">
        <v>17146</v>
      </c>
      <c r="L4411" s="1" t="s">
        <v>17147</v>
      </c>
      <c r="M4411" s="1" t="s">
        <v>718</v>
      </c>
    </row>
    <row r="4412" customFormat="false" ht="15" hidden="false" customHeight="false" outlineLevel="0" collapsed="false">
      <c r="A4412" s="1" t="s">
        <v>379</v>
      </c>
      <c r="B4412" s="1" t="s">
        <v>13806</v>
      </c>
      <c r="C4412" s="1" t="s">
        <v>17148</v>
      </c>
      <c r="D4412" s="2" t="n">
        <v>40427</v>
      </c>
      <c r="E4412" s="1" t="s">
        <v>710</v>
      </c>
      <c r="F4412" s="1" t="s">
        <v>711</v>
      </c>
      <c r="G4412" s="1" t="s">
        <v>712</v>
      </c>
      <c r="H4412" s="1" t="s">
        <v>713</v>
      </c>
      <c r="I4412" s="1" t="s">
        <v>714</v>
      </c>
      <c r="J4412" s="1" t="s">
        <v>1723</v>
      </c>
      <c r="K4412" s="1" t="s">
        <v>17149</v>
      </c>
      <c r="L4412" s="1" t="s">
        <v>5257</v>
      </c>
      <c r="M4412" s="1" t="s">
        <v>718</v>
      </c>
    </row>
    <row r="4413" customFormat="false" ht="15" hidden="false" customHeight="false" outlineLevel="0" collapsed="false">
      <c r="A4413" s="1" t="s">
        <v>164</v>
      </c>
      <c r="B4413" s="1" t="s">
        <v>17150</v>
      </c>
      <c r="C4413" s="1" t="s">
        <v>17151</v>
      </c>
      <c r="D4413" s="2" t="n">
        <v>40480</v>
      </c>
      <c r="E4413" s="1" t="s">
        <v>710</v>
      </c>
      <c r="F4413" s="1" t="s">
        <v>711</v>
      </c>
      <c r="G4413" s="1" t="s">
        <v>722</v>
      </c>
      <c r="H4413" s="1" t="s">
        <v>713</v>
      </c>
      <c r="I4413" s="1" t="s">
        <v>714</v>
      </c>
      <c r="J4413" s="1" t="s">
        <v>716</v>
      </c>
      <c r="K4413" s="1" t="s">
        <v>17152</v>
      </c>
      <c r="L4413" s="1" t="s">
        <v>17153</v>
      </c>
      <c r="M4413" s="1" t="s">
        <v>718</v>
      </c>
    </row>
    <row r="4414" customFormat="false" ht="15" hidden="false" customHeight="false" outlineLevel="0" collapsed="false">
      <c r="A4414" s="1" t="s">
        <v>530</v>
      </c>
      <c r="B4414" s="1" t="s">
        <v>17154</v>
      </c>
      <c r="C4414" s="1" t="s">
        <v>739</v>
      </c>
      <c r="D4414" s="2" t="n">
        <v>40865</v>
      </c>
      <c r="E4414" s="1" t="s">
        <v>763</v>
      </c>
      <c r="F4414" s="1" t="s">
        <v>711</v>
      </c>
      <c r="G4414" s="1" t="s">
        <v>712</v>
      </c>
      <c r="H4414" s="1" t="s">
        <v>713</v>
      </c>
      <c r="I4414" s="1" t="s">
        <v>714</v>
      </c>
      <c r="J4414" s="1" t="s">
        <v>17155</v>
      </c>
      <c r="K4414" s="1" t="s">
        <v>17156</v>
      </c>
      <c r="L4414" s="1" t="s">
        <v>2541</v>
      </c>
      <c r="M4414" s="1" t="s">
        <v>718</v>
      </c>
    </row>
    <row r="4415" customFormat="false" ht="15" hidden="false" customHeight="false" outlineLevel="0" collapsed="false">
      <c r="A4415" s="1" t="s">
        <v>462</v>
      </c>
      <c r="B4415" s="1" t="s">
        <v>17157</v>
      </c>
      <c r="C4415" s="1" t="s">
        <v>14609</v>
      </c>
      <c r="D4415" s="2" t="n">
        <v>40637</v>
      </c>
      <c r="E4415" s="1" t="s">
        <v>763</v>
      </c>
      <c r="F4415" s="1" t="s">
        <v>711</v>
      </c>
      <c r="G4415" s="1" t="s">
        <v>17158</v>
      </c>
      <c r="H4415" s="1" t="s">
        <v>2387</v>
      </c>
      <c r="I4415" s="1" t="s">
        <v>2388</v>
      </c>
      <c r="J4415" s="1" t="s">
        <v>17159</v>
      </c>
      <c r="K4415" s="1" t="s">
        <v>17160</v>
      </c>
      <c r="L4415" s="1" t="s">
        <v>14610</v>
      </c>
      <c r="M4415" s="1" t="s">
        <v>718</v>
      </c>
    </row>
    <row r="4416" customFormat="false" ht="15" hidden="false" customHeight="false" outlineLevel="0" collapsed="false">
      <c r="A4416" s="1" t="s">
        <v>17161</v>
      </c>
      <c r="B4416" s="1" t="s">
        <v>2071</v>
      </c>
      <c r="C4416" s="1" t="s">
        <v>17162</v>
      </c>
      <c r="D4416" s="2" t="n">
        <v>31398</v>
      </c>
      <c r="E4416" s="1" t="s">
        <v>710</v>
      </c>
      <c r="F4416" s="1" t="s">
        <v>711</v>
      </c>
      <c r="G4416" s="1" t="s">
        <v>722</v>
      </c>
      <c r="H4416" s="1" t="s">
        <v>713</v>
      </c>
      <c r="I4416" s="1" t="s">
        <v>714</v>
      </c>
      <c r="J4416" s="1" t="s">
        <v>10321</v>
      </c>
      <c r="K4416" s="1" t="s">
        <v>10321</v>
      </c>
      <c r="L4416" s="1" t="s">
        <v>8387</v>
      </c>
      <c r="M4416" s="1" t="s">
        <v>718</v>
      </c>
    </row>
    <row r="4417" customFormat="false" ht="15" hidden="false" customHeight="false" outlineLevel="0" collapsed="false">
      <c r="A4417" s="1" t="s">
        <v>17163</v>
      </c>
      <c r="B4417" s="1" t="s">
        <v>17164</v>
      </c>
      <c r="C4417" s="1" t="s">
        <v>17165</v>
      </c>
      <c r="D4417" s="2" t="n">
        <v>31894</v>
      </c>
      <c r="E4417" s="1" t="s">
        <v>710</v>
      </c>
      <c r="F4417" s="1" t="s">
        <v>711</v>
      </c>
      <c r="G4417" s="1" t="s">
        <v>712</v>
      </c>
      <c r="H4417" s="1" t="s">
        <v>713</v>
      </c>
      <c r="I4417" s="1" t="s">
        <v>714</v>
      </c>
      <c r="J4417" s="1" t="s">
        <v>17166</v>
      </c>
      <c r="K4417" s="1" t="s">
        <v>10321</v>
      </c>
      <c r="L4417" s="1" t="s">
        <v>8387</v>
      </c>
      <c r="M4417" s="1" t="s">
        <v>718</v>
      </c>
    </row>
    <row r="4418" customFormat="false" ht="15" hidden="false" customHeight="false" outlineLevel="0" collapsed="false">
      <c r="A4418" s="1" t="s">
        <v>179</v>
      </c>
      <c r="B4418" s="1" t="s">
        <v>17167</v>
      </c>
      <c r="C4418" s="1" t="s">
        <v>3253</v>
      </c>
      <c r="D4418" s="2" t="n">
        <v>41218</v>
      </c>
      <c r="E4418" s="1" t="s">
        <v>763</v>
      </c>
      <c r="F4418" s="1" t="s">
        <v>711</v>
      </c>
      <c r="G4418" s="1" t="s">
        <v>775</v>
      </c>
      <c r="H4418" s="1" t="s">
        <v>713</v>
      </c>
      <c r="I4418" s="1" t="s">
        <v>714</v>
      </c>
      <c r="J4418" s="1" t="s">
        <v>715</v>
      </c>
      <c r="K4418" s="1" t="s">
        <v>17168</v>
      </c>
      <c r="L4418" s="1" t="s">
        <v>14379</v>
      </c>
      <c r="M4418" s="1" t="s">
        <v>718</v>
      </c>
    </row>
    <row r="4419" customFormat="false" ht="15" hidden="false" customHeight="false" outlineLevel="0" collapsed="false">
      <c r="A4419" s="1" t="s">
        <v>17169</v>
      </c>
      <c r="B4419" s="1" t="s">
        <v>17170</v>
      </c>
      <c r="C4419" s="1" t="s">
        <v>1143</v>
      </c>
      <c r="D4419" s="2" t="n">
        <v>32707</v>
      </c>
      <c r="E4419" s="1" t="s">
        <v>763</v>
      </c>
      <c r="F4419" s="1" t="s">
        <v>711</v>
      </c>
      <c r="G4419" s="1" t="s">
        <v>17171</v>
      </c>
      <c r="H4419" s="1" t="s">
        <v>713</v>
      </c>
      <c r="I4419" s="1" t="s">
        <v>714</v>
      </c>
      <c r="J4419" s="1" t="s">
        <v>11383</v>
      </c>
      <c r="K4419" s="1" t="s">
        <v>10321</v>
      </c>
      <c r="L4419" s="1" t="s">
        <v>1418</v>
      </c>
      <c r="M4419" s="1" t="s">
        <v>718</v>
      </c>
    </row>
    <row r="4420" customFormat="false" ht="15" hidden="false" customHeight="false" outlineLevel="0" collapsed="false">
      <c r="A4420" s="1" t="s">
        <v>138</v>
      </c>
      <c r="B4420" s="1" t="s">
        <v>17172</v>
      </c>
      <c r="C4420" s="1" t="s">
        <v>17173</v>
      </c>
      <c r="D4420" s="2" t="n">
        <v>41451</v>
      </c>
      <c r="E4420" s="1" t="s">
        <v>763</v>
      </c>
      <c r="F4420" s="1" t="s">
        <v>711</v>
      </c>
      <c r="G4420" s="1" t="s">
        <v>712</v>
      </c>
      <c r="H4420" s="1" t="s">
        <v>713</v>
      </c>
      <c r="I4420" s="1" t="s">
        <v>714</v>
      </c>
      <c r="J4420" s="1" t="s">
        <v>17085</v>
      </c>
      <c r="K4420" s="1" t="s">
        <v>17086</v>
      </c>
      <c r="L4420" s="1" t="s">
        <v>15012</v>
      </c>
      <c r="M4420" s="1" t="s">
        <v>718</v>
      </c>
    </row>
    <row r="4421" customFormat="false" ht="15" hidden="false" customHeight="false" outlineLevel="0" collapsed="false">
      <c r="A4421" s="1" t="s">
        <v>144</v>
      </c>
      <c r="B4421" s="1" t="s">
        <v>17174</v>
      </c>
      <c r="C4421" s="1" t="s">
        <v>15437</v>
      </c>
      <c r="D4421" s="2" t="n">
        <v>41689</v>
      </c>
      <c r="E4421" s="1" t="s">
        <v>763</v>
      </c>
      <c r="F4421" s="1" t="s">
        <v>711</v>
      </c>
      <c r="G4421" s="1" t="s">
        <v>722</v>
      </c>
      <c r="H4421" s="1" t="s">
        <v>713</v>
      </c>
      <c r="I4421" s="1" t="s">
        <v>714</v>
      </c>
      <c r="J4421" s="1" t="s">
        <v>15400</v>
      </c>
      <c r="K4421" s="1" t="s">
        <v>17175</v>
      </c>
      <c r="L4421" s="1" t="s">
        <v>15627</v>
      </c>
      <c r="M4421" s="1" t="s">
        <v>718</v>
      </c>
    </row>
    <row r="4422" customFormat="false" ht="15" hidden="false" customHeight="false" outlineLevel="0" collapsed="false">
      <c r="A4422" s="1" t="s">
        <v>139</v>
      </c>
      <c r="B4422" s="1" t="s">
        <v>11443</v>
      </c>
      <c r="C4422" s="1" t="s">
        <v>17176</v>
      </c>
      <c r="D4422" s="2" t="n">
        <v>41207</v>
      </c>
      <c r="E4422" s="1" t="s">
        <v>763</v>
      </c>
      <c r="F4422" s="1" t="s">
        <v>711</v>
      </c>
      <c r="G4422" s="1" t="s">
        <v>712</v>
      </c>
      <c r="H4422" s="1" t="s">
        <v>713</v>
      </c>
      <c r="I4422" s="1" t="s">
        <v>714</v>
      </c>
      <c r="J4422" s="1" t="s">
        <v>17177</v>
      </c>
      <c r="K4422" s="1" t="s">
        <v>17178</v>
      </c>
      <c r="L4422" s="1" t="s">
        <v>17179</v>
      </c>
      <c r="M4422" s="1" t="s">
        <v>718</v>
      </c>
    </row>
    <row r="4423" customFormat="false" ht="15" hidden="false" customHeight="false" outlineLevel="0" collapsed="false">
      <c r="A4423" s="1" t="s">
        <v>150</v>
      </c>
      <c r="B4423" s="1" t="s">
        <v>13375</v>
      </c>
      <c r="C4423" s="1" t="s">
        <v>13687</v>
      </c>
      <c r="D4423" s="2" t="n">
        <v>41198</v>
      </c>
      <c r="E4423" s="1" t="s">
        <v>710</v>
      </c>
      <c r="F4423" s="1" t="s">
        <v>711</v>
      </c>
      <c r="G4423" s="1" t="s">
        <v>712</v>
      </c>
      <c r="H4423" s="1" t="s">
        <v>713</v>
      </c>
      <c r="I4423" s="1" t="s">
        <v>714</v>
      </c>
      <c r="J4423" s="1" t="s">
        <v>1131</v>
      </c>
      <c r="K4423" s="1" t="s">
        <v>10321</v>
      </c>
      <c r="L4423" s="1" t="s">
        <v>13690</v>
      </c>
      <c r="M4423" s="1" t="s">
        <v>718</v>
      </c>
    </row>
    <row r="4424" customFormat="false" ht="15" hidden="false" customHeight="false" outlineLevel="0" collapsed="false">
      <c r="A4424" s="1" t="s">
        <v>132</v>
      </c>
      <c r="B4424" s="1" t="s">
        <v>17180</v>
      </c>
      <c r="C4424" s="1" t="s">
        <v>7496</v>
      </c>
      <c r="D4424" s="2" t="n">
        <v>41203</v>
      </c>
      <c r="E4424" s="1" t="s">
        <v>763</v>
      </c>
      <c r="F4424" s="1" t="s">
        <v>711</v>
      </c>
      <c r="G4424" s="1" t="s">
        <v>1220</v>
      </c>
      <c r="H4424" s="1" t="s">
        <v>713</v>
      </c>
      <c r="I4424" s="1" t="s">
        <v>714</v>
      </c>
      <c r="J4424" s="1" t="s">
        <v>17085</v>
      </c>
      <c r="K4424" s="1" t="s">
        <v>17181</v>
      </c>
      <c r="L4424" s="1" t="s">
        <v>8306</v>
      </c>
      <c r="M4424" s="1" t="s">
        <v>718</v>
      </c>
    </row>
    <row r="4425" customFormat="false" ht="15" hidden="false" customHeight="false" outlineLevel="0" collapsed="false">
      <c r="A4425" s="1" t="s">
        <v>137</v>
      </c>
      <c r="B4425" s="1" t="s">
        <v>17182</v>
      </c>
      <c r="C4425" s="1" t="s">
        <v>11391</v>
      </c>
      <c r="D4425" s="2" t="n">
        <v>41728</v>
      </c>
      <c r="E4425" s="1" t="s">
        <v>763</v>
      </c>
      <c r="F4425" s="1" t="s">
        <v>711</v>
      </c>
      <c r="G4425" s="1" t="s">
        <v>712</v>
      </c>
      <c r="H4425" s="1" t="s">
        <v>713</v>
      </c>
      <c r="I4425" s="1" t="s">
        <v>714</v>
      </c>
      <c r="J4425" s="1" t="s">
        <v>17183</v>
      </c>
      <c r="K4425" s="1" t="s">
        <v>10321</v>
      </c>
      <c r="L4425" s="1" t="s">
        <v>11393</v>
      </c>
      <c r="M4425" s="1" t="s">
        <v>718</v>
      </c>
    </row>
    <row r="4426" customFormat="false" ht="15" hidden="false" customHeight="false" outlineLevel="0" collapsed="false">
      <c r="A4426" s="1" t="s">
        <v>157</v>
      </c>
      <c r="B4426" s="1" t="s">
        <v>17184</v>
      </c>
      <c r="C4426" s="1" t="s">
        <v>13446</v>
      </c>
      <c r="D4426" s="2" t="n">
        <v>41689</v>
      </c>
      <c r="E4426" s="1" t="s">
        <v>710</v>
      </c>
      <c r="F4426" s="1" t="s">
        <v>711</v>
      </c>
      <c r="G4426" s="1" t="s">
        <v>712</v>
      </c>
      <c r="H4426" s="1" t="s">
        <v>713</v>
      </c>
      <c r="I4426" s="1" t="s">
        <v>714</v>
      </c>
      <c r="J4426" s="1" t="s">
        <v>16187</v>
      </c>
      <c r="K4426" s="1" t="s">
        <v>17185</v>
      </c>
      <c r="L4426" s="1" t="s">
        <v>13448</v>
      </c>
      <c r="M4426" s="1" t="s">
        <v>718</v>
      </c>
    </row>
    <row r="4427" customFormat="false" ht="15" hidden="false" customHeight="false" outlineLevel="0" collapsed="false">
      <c r="A4427" s="1" t="s">
        <v>149</v>
      </c>
      <c r="B4427" s="1" t="s">
        <v>3544</v>
      </c>
      <c r="C4427" s="1" t="s">
        <v>1253</v>
      </c>
      <c r="D4427" s="2" t="n">
        <v>41144</v>
      </c>
      <c r="E4427" s="1" t="s">
        <v>710</v>
      </c>
      <c r="F4427" s="1" t="s">
        <v>711</v>
      </c>
      <c r="G4427" s="1" t="s">
        <v>712</v>
      </c>
      <c r="H4427" s="1" t="s">
        <v>713</v>
      </c>
      <c r="I4427" s="1" t="s">
        <v>714</v>
      </c>
      <c r="J4427" s="1" t="s">
        <v>838</v>
      </c>
      <c r="K4427" s="1" t="s">
        <v>17186</v>
      </c>
      <c r="L4427" s="1" t="s">
        <v>12775</v>
      </c>
      <c r="M4427" s="1" t="s">
        <v>718</v>
      </c>
    </row>
    <row r="4428" customFormat="false" ht="15" hidden="false" customHeight="false" outlineLevel="0" collapsed="false">
      <c r="A4428" s="1" t="s">
        <v>155</v>
      </c>
      <c r="B4428" s="1" t="s">
        <v>17187</v>
      </c>
      <c r="C4428" s="1" t="s">
        <v>958</v>
      </c>
      <c r="D4428" s="2" t="n">
        <v>41426</v>
      </c>
      <c r="E4428" s="1" t="s">
        <v>763</v>
      </c>
      <c r="F4428" s="1" t="s">
        <v>711</v>
      </c>
      <c r="G4428" s="1" t="s">
        <v>722</v>
      </c>
      <c r="H4428" s="1" t="s">
        <v>713</v>
      </c>
      <c r="I4428" s="1" t="s">
        <v>714</v>
      </c>
      <c r="J4428" s="1" t="s">
        <v>9737</v>
      </c>
      <c r="K4428" s="1" t="s">
        <v>17188</v>
      </c>
      <c r="L4428" s="1" t="s">
        <v>17189</v>
      </c>
      <c r="M4428" s="1" t="s">
        <v>718</v>
      </c>
    </row>
    <row r="4429" customFormat="false" ht="15" hidden="false" customHeight="false" outlineLevel="0" collapsed="false">
      <c r="A4429" s="1" t="s">
        <v>135</v>
      </c>
      <c r="B4429" s="1" t="s">
        <v>17190</v>
      </c>
      <c r="C4429" s="1" t="s">
        <v>1139</v>
      </c>
      <c r="D4429" s="2" t="n">
        <v>40975</v>
      </c>
      <c r="E4429" s="1" t="s">
        <v>763</v>
      </c>
      <c r="F4429" s="1" t="s">
        <v>711</v>
      </c>
      <c r="G4429" s="1" t="s">
        <v>712</v>
      </c>
      <c r="H4429" s="1" t="s">
        <v>713</v>
      </c>
      <c r="I4429" s="1" t="s">
        <v>714</v>
      </c>
      <c r="J4429" s="1" t="s">
        <v>832</v>
      </c>
      <c r="K4429" s="1" t="s">
        <v>17191</v>
      </c>
      <c r="L4429" s="1" t="s">
        <v>17192</v>
      </c>
      <c r="M4429" s="1" t="s">
        <v>718</v>
      </c>
    </row>
    <row r="4430" customFormat="false" ht="15" hidden="false" customHeight="false" outlineLevel="0" collapsed="false">
      <c r="A4430" s="1" t="s">
        <v>134</v>
      </c>
      <c r="B4430" s="1" t="s">
        <v>17193</v>
      </c>
      <c r="C4430" s="1" t="s">
        <v>1139</v>
      </c>
      <c r="D4430" s="2" t="n">
        <v>40975</v>
      </c>
      <c r="E4430" s="1" t="s">
        <v>763</v>
      </c>
      <c r="F4430" s="1" t="s">
        <v>711</v>
      </c>
      <c r="G4430" s="1" t="s">
        <v>712</v>
      </c>
      <c r="H4430" s="1" t="s">
        <v>713</v>
      </c>
      <c r="I4430" s="1" t="s">
        <v>714</v>
      </c>
      <c r="J4430" s="1" t="s">
        <v>832</v>
      </c>
      <c r="K4430" s="1" t="s">
        <v>17191</v>
      </c>
      <c r="L4430" s="1" t="s">
        <v>17192</v>
      </c>
      <c r="M4430" s="1" t="s">
        <v>718</v>
      </c>
    </row>
    <row r="4431" customFormat="false" ht="15" hidden="false" customHeight="false" outlineLevel="0" collapsed="false">
      <c r="A4431" s="1" t="s">
        <v>148</v>
      </c>
      <c r="B4431" s="1" t="s">
        <v>2712</v>
      </c>
      <c r="C4431" s="1" t="s">
        <v>14870</v>
      </c>
      <c r="D4431" s="2" t="n">
        <v>40853</v>
      </c>
      <c r="E4431" s="1" t="s">
        <v>710</v>
      </c>
      <c r="F4431" s="1" t="s">
        <v>711</v>
      </c>
      <c r="G4431" s="1" t="s">
        <v>722</v>
      </c>
      <c r="H4431" s="1" t="s">
        <v>713</v>
      </c>
      <c r="I4431" s="1" t="s">
        <v>714</v>
      </c>
      <c r="J4431" s="1" t="s">
        <v>2001</v>
      </c>
      <c r="K4431" s="1" t="s">
        <v>17194</v>
      </c>
      <c r="L4431" s="1" t="s">
        <v>14871</v>
      </c>
      <c r="M4431" s="1" t="s">
        <v>718</v>
      </c>
    </row>
    <row r="4432" customFormat="false" ht="15" hidden="false" customHeight="false" outlineLevel="0" collapsed="false">
      <c r="A4432" s="1" t="s">
        <v>140</v>
      </c>
      <c r="B4432" s="1" t="s">
        <v>8259</v>
      </c>
      <c r="C4432" s="1" t="s">
        <v>1854</v>
      </c>
      <c r="D4432" s="2" t="n">
        <v>41555</v>
      </c>
      <c r="E4432" s="1" t="s">
        <v>710</v>
      </c>
      <c r="F4432" s="1" t="s">
        <v>711</v>
      </c>
      <c r="G4432" s="1" t="s">
        <v>712</v>
      </c>
      <c r="H4432" s="1" t="s">
        <v>713</v>
      </c>
      <c r="I4432" s="1" t="s">
        <v>714</v>
      </c>
      <c r="J4432" s="1" t="s">
        <v>1530</v>
      </c>
      <c r="K4432" s="1" t="s">
        <v>17195</v>
      </c>
      <c r="L4432" s="1" t="s">
        <v>4457</v>
      </c>
      <c r="M4432" s="1" t="s">
        <v>718</v>
      </c>
    </row>
    <row r="4433" customFormat="false" ht="15" hidden="false" customHeight="false" outlineLevel="0" collapsed="false">
      <c r="A4433" s="1" t="s">
        <v>146</v>
      </c>
      <c r="B4433" s="1" t="s">
        <v>7453</v>
      </c>
      <c r="C4433" s="1" t="s">
        <v>17196</v>
      </c>
      <c r="D4433" s="2" t="n">
        <v>41281</v>
      </c>
      <c r="E4433" s="1" t="s">
        <v>763</v>
      </c>
      <c r="F4433" s="1" t="s">
        <v>711</v>
      </c>
      <c r="G4433" s="1" t="s">
        <v>712</v>
      </c>
      <c r="H4433" s="1" t="s">
        <v>713</v>
      </c>
      <c r="I4433" s="1" t="s">
        <v>714</v>
      </c>
      <c r="J4433" s="1" t="s">
        <v>1723</v>
      </c>
      <c r="K4433" s="1" t="s">
        <v>17197</v>
      </c>
      <c r="L4433" s="1" t="s">
        <v>17198</v>
      </c>
      <c r="M4433" s="1" t="s">
        <v>718</v>
      </c>
    </row>
    <row r="4434" customFormat="false" ht="15" hidden="false" customHeight="false" outlineLevel="0" collapsed="false">
      <c r="A4434" s="1" t="s">
        <v>143</v>
      </c>
      <c r="B4434" s="1" t="s">
        <v>17199</v>
      </c>
      <c r="C4434" s="1" t="s">
        <v>17200</v>
      </c>
      <c r="D4434" s="2" t="n">
        <v>41706</v>
      </c>
      <c r="E4434" s="1" t="s">
        <v>710</v>
      </c>
      <c r="F4434" s="1" t="s">
        <v>711</v>
      </c>
      <c r="G4434" s="1" t="s">
        <v>712</v>
      </c>
      <c r="H4434" s="1" t="s">
        <v>713</v>
      </c>
      <c r="I4434" s="1" t="s">
        <v>714</v>
      </c>
      <c r="J4434" s="1" t="s">
        <v>2627</v>
      </c>
      <c r="K4434" s="1" t="s">
        <v>17201</v>
      </c>
      <c r="L4434" s="1" t="s">
        <v>17202</v>
      </c>
      <c r="M4434" s="1" t="s">
        <v>718</v>
      </c>
    </row>
    <row r="4435" customFormat="false" ht="15" hidden="false" customHeight="false" outlineLevel="0" collapsed="false">
      <c r="A4435" s="1" t="s">
        <v>17203</v>
      </c>
      <c r="B4435" s="1" t="s">
        <v>17204</v>
      </c>
      <c r="C4435" s="1" t="s">
        <v>3712</v>
      </c>
      <c r="D4435" s="2" t="n">
        <v>30290</v>
      </c>
      <c r="E4435" s="1" t="s">
        <v>763</v>
      </c>
      <c r="F4435" s="1" t="s">
        <v>711</v>
      </c>
      <c r="G4435" s="1" t="s">
        <v>722</v>
      </c>
      <c r="H4435" s="1" t="s">
        <v>713</v>
      </c>
      <c r="I4435" s="1" t="s">
        <v>714</v>
      </c>
      <c r="J4435" s="1" t="s">
        <v>17205</v>
      </c>
      <c r="K4435" s="1" t="s">
        <v>10321</v>
      </c>
      <c r="L4435" s="1" t="s">
        <v>11816</v>
      </c>
      <c r="M4435" s="1" t="s">
        <v>718</v>
      </c>
    </row>
    <row r="4436" customFormat="false" ht="15" hidden="false" customHeight="false" outlineLevel="0" collapsed="false">
      <c r="A4436" s="1" t="s">
        <v>17206</v>
      </c>
      <c r="B4436" s="1" t="s">
        <v>17207</v>
      </c>
      <c r="C4436" s="1" t="s">
        <v>16996</v>
      </c>
      <c r="D4436" s="2" t="n">
        <v>30329</v>
      </c>
      <c r="E4436" s="1" t="s">
        <v>763</v>
      </c>
      <c r="F4436" s="1" t="s">
        <v>711</v>
      </c>
      <c r="G4436" s="1" t="s">
        <v>712</v>
      </c>
      <c r="H4436" s="1" t="s">
        <v>713</v>
      </c>
      <c r="I4436" s="1" t="s">
        <v>714</v>
      </c>
      <c r="J4436" s="1" t="s">
        <v>4239</v>
      </c>
      <c r="K4436" s="1" t="s">
        <v>10321</v>
      </c>
      <c r="L4436" s="1" t="s">
        <v>8387</v>
      </c>
      <c r="M4436" s="1" t="s">
        <v>718</v>
      </c>
    </row>
    <row r="4437" customFormat="false" ht="15" hidden="false" customHeight="false" outlineLevel="0" collapsed="false">
      <c r="A4437" s="1" t="s">
        <v>102</v>
      </c>
      <c r="B4437" s="1" t="s">
        <v>17208</v>
      </c>
      <c r="C4437" s="1" t="s">
        <v>10125</v>
      </c>
      <c r="D4437" s="2" t="n">
        <v>41655</v>
      </c>
      <c r="E4437" s="1" t="s">
        <v>763</v>
      </c>
      <c r="F4437" s="1" t="s">
        <v>711</v>
      </c>
      <c r="G4437" s="1" t="s">
        <v>712</v>
      </c>
      <c r="H4437" s="1" t="s">
        <v>713</v>
      </c>
      <c r="I4437" s="1" t="s">
        <v>714</v>
      </c>
      <c r="J4437" s="1" t="s">
        <v>17209</v>
      </c>
      <c r="K4437" s="1" t="s">
        <v>16974</v>
      </c>
      <c r="L4437" s="1" t="s">
        <v>17210</v>
      </c>
      <c r="M4437" s="1" t="s">
        <v>718</v>
      </c>
    </row>
    <row r="4438" customFormat="false" ht="15" hidden="false" customHeight="false" outlineLevel="0" collapsed="false">
      <c r="A4438" s="1" t="s">
        <v>377</v>
      </c>
      <c r="B4438" s="1" t="s">
        <v>17211</v>
      </c>
      <c r="C4438" s="1" t="s">
        <v>17212</v>
      </c>
      <c r="D4438" s="2" t="n">
        <v>40837</v>
      </c>
      <c r="E4438" s="1" t="s">
        <v>763</v>
      </c>
      <c r="F4438" s="1" t="s">
        <v>711</v>
      </c>
      <c r="G4438" s="1" t="s">
        <v>712</v>
      </c>
      <c r="H4438" s="1" t="s">
        <v>713</v>
      </c>
      <c r="I4438" s="1" t="s">
        <v>714</v>
      </c>
      <c r="J4438" s="1" t="s">
        <v>805</v>
      </c>
      <c r="K4438" s="1" t="s">
        <v>17213</v>
      </c>
      <c r="L4438" s="1" t="s">
        <v>17214</v>
      </c>
      <c r="M4438" s="1" t="s">
        <v>718</v>
      </c>
    </row>
    <row r="4439" customFormat="false" ht="15" hidden="false" customHeight="false" outlineLevel="0" collapsed="false">
      <c r="A4439" s="1" t="s">
        <v>165</v>
      </c>
      <c r="B4439" s="1" t="s">
        <v>17215</v>
      </c>
      <c r="C4439" s="1" t="s">
        <v>15935</v>
      </c>
      <c r="D4439" s="2" t="n">
        <v>41165</v>
      </c>
      <c r="E4439" s="1" t="s">
        <v>710</v>
      </c>
      <c r="F4439" s="1" t="s">
        <v>711</v>
      </c>
      <c r="G4439" s="1" t="s">
        <v>712</v>
      </c>
      <c r="H4439" s="1" t="s">
        <v>713</v>
      </c>
      <c r="I4439" s="1" t="s">
        <v>714</v>
      </c>
      <c r="J4439" s="1" t="s">
        <v>1131</v>
      </c>
      <c r="K4439" s="1" t="s">
        <v>716</v>
      </c>
      <c r="L4439" s="1" t="s">
        <v>14610</v>
      </c>
      <c r="M4439" s="1" t="s">
        <v>718</v>
      </c>
    </row>
    <row r="4440" customFormat="false" ht="15" hidden="false" customHeight="false" outlineLevel="0" collapsed="false">
      <c r="A4440" s="1" t="s">
        <v>17216</v>
      </c>
      <c r="B4440" s="1" t="s">
        <v>17217</v>
      </c>
      <c r="C4440" s="1" t="s">
        <v>9198</v>
      </c>
      <c r="D4440" s="2" t="n">
        <v>29365</v>
      </c>
      <c r="E4440" s="1" t="s">
        <v>763</v>
      </c>
      <c r="F4440" s="1" t="s">
        <v>711</v>
      </c>
      <c r="G4440" s="1" t="s">
        <v>712</v>
      </c>
      <c r="H4440" s="1" t="s">
        <v>713</v>
      </c>
      <c r="I4440" s="1" t="s">
        <v>714</v>
      </c>
      <c r="J4440" s="1" t="s">
        <v>928</v>
      </c>
      <c r="K4440" s="1" t="s">
        <v>17218</v>
      </c>
      <c r="L4440" s="1" t="s">
        <v>1418</v>
      </c>
      <c r="M4440" s="1" t="s">
        <v>718</v>
      </c>
    </row>
    <row r="4441" customFormat="false" ht="15" hidden="false" customHeight="false" outlineLevel="0" collapsed="false">
      <c r="A4441" s="1" t="s">
        <v>17219</v>
      </c>
      <c r="B4441" s="1" t="s">
        <v>17220</v>
      </c>
      <c r="C4441" s="1" t="s">
        <v>8833</v>
      </c>
      <c r="D4441" s="2" t="n">
        <v>33531</v>
      </c>
      <c r="E4441" s="1" t="s">
        <v>710</v>
      </c>
      <c r="F4441" s="1" t="s">
        <v>711</v>
      </c>
      <c r="G4441" s="1" t="s">
        <v>712</v>
      </c>
      <c r="H4441" s="1" t="s">
        <v>713</v>
      </c>
      <c r="I4441" s="1" t="s">
        <v>714</v>
      </c>
      <c r="J4441" s="1" t="s">
        <v>17221</v>
      </c>
      <c r="K4441" s="1" t="s">
        <v>17222</v>
      </c>
      <c r="L4441" s="1" t="s">
        <v>1418</v>
      </c>
      <c r="M4441" s="1" t="s">
        <v>718</v>
      </c>
    </row>
    <row r="4442" customFormat="false" ht="15" hidden="false" customHeight="false" outlineLevel="0" collapsed="false">
      <c r="A4442" s="1" t="s">
        <v>605</v>
      </c>
      <c r="B4442" s="1" t="s">
        <v>1490</v>
      </c>
      <c r="C4442" s="1" t="s">
        <v>17223</v>
      </c>
      <c r="D4442" s="2" t="n">
        <v>39963</v>
      </c>
      <c r="E4442" s="1" t="s">
        <v>710</v>
      </c>
      <c r="F4442" s="1" t="s">
        <v>711</v>
      </c>
      <c r="G4442" s="1" t="s">
        <v>712</v>
      </c>
      <c r="H4442" s="1" t="s">
        <v>713</v>
      </c>
      <c r="I4442" s="1" t="s">
        <v>714</v>
      </c>
      <c r="J4442" s="1" t="s">
        <v>17224</v>
      </c>
      <c r="K4442" s="1" t="s">
        <v>15920</v>
      </c>
      <c r="L4442" s="1" t="s">
        <v>17225</v>
      </c>
      <c r="M4442" s="1" t="s">
        <v>718</v>
      </c>
    </row>
    <row r="4443" customFormat="false" ht="15" hidden="false" customHeight="false" outlineLevel="0" collapsed="false">
      <c r="A4443" s="1" t="s">
        <v>174</v>
      </c>
      <c r="B4443" s="1" t="s">
        <v>17226</v>
      </c>
      <c r="C4443" s="1" t="s">
        <v>12652</v>
      </c>
      <c r="D4443" s="2" t="n">
        <v>41609</v>
      </c>
      <c r="E4443" s="1" t="s">
        <v>710</v>
      </c>
      <c r="F4443" s="1" t="s">
        <v>711</v>
      </c>
      <c r="G4443" s="1" t="s">
        <v>712</v>
      </c>
      <c r="H4443" s="1" t="s">
        <v>713</v>
      </c>
      <c r="I4443" s="1" t="s">
        <v>714</v>
      </c>
      <c r="J4443" s="1" t="s">
        <v>1723</v>
      </c>
      <c r="K4443" s="1" t="s">
        <v>14220</v>
      </c>
      <c r="L4443" s="1" t="s">
        <v>13125</v>
      </c>
      <c r="M4443" s="1" t="s">
        <v>718</v>
      </c>
    </row>
    <row r="4444" customFormat="false" ht="15" hidden="false" customHeight="false" outlineLevel="0" collapsed="false">
      <c r="A4444" s="1" t="s">
        <v>17227</v>
      </c>
      <c r="B4444" s="1" t="s">
        <v>17228</v>
      </c>
      <c r="C4444" s="1" t="s">
        <v>17229</v>
      </c>
      <c r="D4444" s="2" t="n">
        <v>35012</v>
      </c>
      <c r="E4444" s="1" t="s">
        <v>763</v>
      </c>
      <c r="F4444" s="1" t="s">
        <v>711</v>
      </c>
      <c r="G4444" s="1" t="s">
        <v>712</v>
      </c>
      <c r="H4444" s="1" t="s">
        <v>713</v>
      </c>
      <c r="I4444" s="1" t="s">
        <v>714</v>
      </c>
      <c r="J4444" s="1" t="s">
        <v>17230</v>
      </c>
      <c r="K4444" s="1" t="s">
        <v>17231</v>
      </c>
      <c r="L4444" s="1" t="s">
        <v>8387</v>
      </c>
      <c r="M4444" s="1" t="s">
        <v>718</v>
      </c>
    </row>
    <row r="4445" customFormat="false" ht="15" hidden="false" customHeight="false" outlineLevel="0" collapsed="false">
      <c r="A4445" s="1" t="s">
        <v>17232</v>
      </c>
      <c r="B4445" s="1" t="s">
        <v>17233</v>
      </c>
      <c r="C4445" s="1" t="s">
        <v>17234</v>
      </c>
      <c r="D4445" s="2" t="n">
        <v>33133</v>
      </c>
      <c r="E4445" s="1" t="s">
        <v>763</v>
      </c>
      <c r="F4445" s="1" t="s">
        <v>711</v>
      </c>
      <c r="G4445" s="1" t="s">
        <v>17235</v>
      </c>
      <c r="H4445" s="1" t="s">
        <v>713</v>
      </c>
      <c r="I4445" s="1" t="s">
        <v>714</v>
      </c>
      <c r="J4445" s="1" t="s">
        <v>10321</v>
      </c>
      <c r="K4445" s="1" t="s">
        <v>10321</v>
      </c>
      <c r="L4445" s="1" t="s">
        <v>1418</v>
      </c>
      <c r="M4445" s="1" t="s">
        <v>718</v>
      </c>
    </row>
    <row r="4446" customFormat="false" ht="15" hidden="false" customHeight="false" outlineLevel="0" collapsed="false">
      <c r="A4446" s="1" t="s">
        <v>507</v>
      </c>
      <c r="B4446" s="1" t="s">
        <v>17236</v>
      </c>
      <c r="C4446" s="1" t="s">
        <v>11658</v>
      </c>
      <c r="D4446" s="2" t="n">
        <v>39268</v>
      </c>
      <c r="E4446" s="1" t="s">
        <v>763</v>
      </c>
      <c r="F4446" s="1" t="s">
        <v>711</v>
      </c>
      <c r="G4446" s="1" t="s">
        <v>712</v>
      </c>
      <c r="H4446" s="1" t="s">
        <v>713</v>
      </c>
      <c r="I4446" s="1" t="s">
        <v>714</v>
      </c>
      <c r="J4446" s="1" t="s">
        <v>12242</v>
      </c>
      <c r="K4446" s="1" t="s">
        <v>10321</v>
      </c>
      <c r="L4446" s="1" t="s">
        <v>6260</v>
      </c>
      <c r="M4446" s="1" t="s">
        <v>718</v>
      </c>
    </row>
    <row r="4447" customFormat="false" ht="15" hidden="false" customHeight="false" outlineLevel="0" collapsed="false">
      <c r="A4447" s="1" t="s">
        <v>17237</v>
      </c>
      <c r="B4447" s="1" t="s">
        <v>15190</v>
      </c>
      <c r="C4447" s="1" t="s">
        <v>8692</v>
      </c>
      <c r="D4447" s="2" t="n">
        <v>35138</v>
      </c>
      <c r="E4447" s="1" t="s">
        <v>763</v>
      </c>
      <c r="F4447" s="1" t="s">
        <v>711</v>
      </c>
      <c r="G4447" s="1" t="s">
        <v>722</v>
      </c>
      <c r="H4447" s="1" t="s">
        <v>713</v>
      </c>
      <c r="I4447" s="1" t="s">
        <v>714</v>
      </c>
      <c r="J4447" s="1" t="s">
        <v>4239</v>
      </c>
      <c r="K4447" s="1" t="s">
        <v>17238</v>
      </c>
      <c r="L4447" s="1" t="s">
        <v>8387</v>
      </c>
      <c r="M4447" s="1" t="s">
        <v>718</v>
      </c>
    </row>
    <row r="4448" customFormat="false" ht="15" hidden="false" customHeight="false" outlineLevel="0" collapsed="false">
      <c r="A4448" s="1" t="s">
        <v>17239</v>
      </c>
      <c r="B4448" s="1" t="s">
        <v>17240</v>
      </c>
      <c r="C4448" s="1" t="s">
        <v>739</v>
      </c>
      <c r="D4448" s="2" t="n">
        <v>27259</v>
      </c>
      <c r="E4448" s="1" t="s">
        <v>710</v>
      </c>
      <c r="F4448" s="1" t="s">
        <v>711</v>
      </c>
      <c r="G4448" s="1" t="s">
        <v>712</v>
      </c>
      <c r="H4448" s="1" t="s">
        <v>713</v>
      </c>
      <c r="I4448" s="1" t="s">
        <v>714</v>
      </c>
      <c r="J4448" s="1" t="s">
        <v>11383</v>
      </c>
      <c r="K4448" s="1" t="s">
        <v>716</v>
      </c>
      <c r="L4448" s="1" t="s">
        <v>8387</v>
      </c>
      <c r="M4448" s="1" t="s">
        <v>718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2026-04-28T17:16:30Z</dcterms:created>
  <dc:creator>XP-Educativo</dc:creator>
  <dc:description/>
  <dc:language>es-VE</dc:language>
  <cp:lastModifiedBy/>
  <cp:lastPrinted>2026-04-28T18:48:47Z</cp:lastPrinted>
  <dcterms:modified xsi:type="dcterms:W3CDTF">2026-05-02T14:49:54Z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